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0a_Delivery" sheetId="13" state="visible" r:id="rId13"/>
    <sheet name="11_Open_Questions" sheetId="14" state="visible" r:id="rId14"/>
    <sheet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CE4D6"/>
      </patternFill>
    </fill>
    <fill>
      <patternFill patternType="solid">
        <fgColor rgb="00F2F5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4" borderId="0" pivotButton="0" quotePrefix="0" xfId="0"/>
    <xf numFmtId="0" fontId="4" fillId="6" borderId="0" pivotButton="0" quotePrefix="0" xfId="0"/>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v1.18</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PRAP_NewApp_Development_Plan_v1.18.xlsx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1.18</t>
        </is>
      </c>
      <c r="B5" s="11" t="inlineStr">
        <is>
          <t>2026-10-10</t>
        </is>
      </c>
      <c r="C5" s="11" t="inlineStr">
        <is>
          <t>Claude Code</t>
        </is>
      </c>
      <c r="D5" s="11" t="inlineStr">
        <is>
          <t>-</t>
        </is>
      </c>
      <c r="E5" s="12" t="inlineStr">
        <is>
          <t>WEB PLAN R-63, TWO REQUESTS FROM THE FIELD. (1) NR-STO-20 - A PLAN OF YOUR OWN CANNOT TIME OUT: 'the session time-out should not apply to the private file use session'. A workspace inside the person's own folder (My plans, at any depth) takes NO claim - no marker, no heartbeat, nothing to expire - because nobody else can open it and there is nobody to keep out (NR-STO-10). The strip says 'Your own plan - no time-out'. NR-STO-14 is amended to say so; everywhere else the one-writer rule is unchanged. (2) NR-STO-21 - A TIME-OUT IS SAID IN A POP-UP: when a holding session's claim has lapsed and been taken over, a window that must be answered names who took over and when, says that nothing on screen is lost, and offers Save my version to My plans (the main button), Reload the team's plan (which discards) or Decide later. It is raised by the thirty-second check, the moment the window is looked at again, and by a Save that finds the hold gone; said once per lapse. (3) NR-IMP-10 - THE FILE WINDOW IS GRAPHICAL AND USEFUL: 'update the file search windows more graphical and useful'. A sidebar of places (My plans and Team plans, recent folders, this computer, drives); a path bar of buttons with back, forward and up; a drawn picture and coloured type badge per file; the time and how long ago, grouped Today / Yesterday / This week / This month / Older; a filter box; list or tiles; a details pane; the keyboard; for a plan, who saved it last and who is editing it now, read from the first 4 KB of the file and its claim marker; a save box that warns before replacing; files of other types counted rather than silently missing, and the application's own side files (.lock, .journal, .tmp-) never offered. It remembers where each kind of window was last used. Newest first (R-56) and the double-click guard (R-57) are kept. New test tools/test_filebrowser.py; three guards proved by putting the fault back. Python edition 1.35.</t>
        </is>
      </c>
      <c r="F5" s="11" t="inlineStr">
        <is>
          <t>Issued for review</t>
        </is>
      </c>
    </row>
    <row r="6">
      <c r="A6" s="11" t="inlineStr">
        <is>
          <t>1.17</t>
        </is>
      </c>
      <c r="B6" s="11" t="inlineStr">
        <is>
          <t>2026-10-08</t>
        </is>
      </c>
      <c r="C6" s="11" t="inlineStr">
        <is>
          <t>Claude Code</t>
        </is>
      </c>
      <c r="D6" s="11" t="inlineStr">
        <is>
          <t>-</t>
        </is>
      </c>
      <c r="E6" s="12" t="inlineStr">
        <is>
          <t>KEEP YOUR VERSION (web plan R-61), under NR-STO-14 and NR-STO-16. A session whose hold lapsed and was taken over, or whose plan a colleague saved since it was opened, has its Save refused, and the only advice was Save as or Reload - the second discards the work on screen. The window now offers 'Save my version to My plans': a new file in the person's own workspaces folder, named with their name and the time and checked so it never lands on an existing file, after which the window works on it. The team's plan is never touched. Offered by a bar on either refusal and on the File menu at any time. test_python_app.py covers both refusals; the guard was proved by taking it out.</t>
        </is>
      </c>
      <c r="F6" s="11" t="inlineStr">
        <is>
          <t>Superseded by v1.18</t>
        </is>
      </c>
    </row>
    <row r="7">
      <c r="A7" s="11" t="inlineStr">
        <is>
          <t>1.16</t>
        </is>
      </c>
      <c r="B7" s="11" t="inlineStr">
        <is>
          <t>2026-10-08</t>
        </is>
      </c>
      <c r="C7" s="11" t="inlineStr">
        <is>
          <t>Claude Code</t>
        </is>
      </c>
      <c r="D7" s="11" t="inlineStr">
        <is>
          <t>-</t>
        </is>
      </c>
      <c r="E7" s="12" t="inlineStr">
        <is>
          <t>NR-DEP-17 AMENDED - A PAGE THAT HAS GONE QUIET NO LONGER STOPS THE APPLICATION (web plan R-58). Reported from the field as the audit trail not working: a save said 'Saved - but the change log could not be written to the audit folder ... Failed to fetch'. The archive itself works; what had happened is that the application behind the window had shut itself down. The backstop stopped it once the page's heartbeat had been silent for fifteen minutes - and that is exactly what a browser does to a tab it puts to sleep (Edge's sleeping tabs are on by default), and what a laptop lid does, and on Windows the clock compared against keeps running through sleep. The window still looked alive; nothing in it could reach the disk - not the change log, not Save. Only the close message now stops the application. The cost is that a browser killed outright leaves the console open until somebody closes it, against work that could not be saved. And when the application HAS stopped - its console closed - the window now says so in words and keeps a red bar up with two downloads that never needed it: the plan as it stands on screen, and the change-log entries that never reached the audit folder. test_python_app.py checks the archive on disk, a day-silent page surviving, and both downloads; each guard was proved by putting the fault back.</t>
        </is>
      </c>
      <c r="F7" s="11" t="inlineStr">
        <is>
          <t>Issued for review</t>
        </is>
      </c>
    </row>
    <row r="8">
      <c r="A8" s="11" t="inlineStr">
        <is>
          <t>1.15</t>
        </is>
      </c>
      <c r="B8" s="11" t="inlineStr">
        <is>
          <t>2026-09-17</t>
        </is>
      </c>
      <c r="C8" s="11" t="inlineStr">
        <is>
          <t>Claude Code</t>
        </is>
      </c>
      <c r="D8" s="11" t="inlineStr">
        <is>
          <t>-</t>
        </is>
      </c>
      <c r="E8" s="12" t="inlineStr">
        <is>
          <t>C-N03: 파일 선택 창이 하나로 통일되었다. 같은 애플리케이션인데 PM_APP.cmd로 실행하면 페이지 안에 그려진 폴더 목록이, PM_APP.py로 실행하면 Windows 기본 대화상자가 떴다 - 함께 배포되는 런타임에는 tkinter가 없고 정식 설치본에는 있기 때문이다. 현장에서 보고된 그대로이며, 같은 프로그램이 실행 방법에 따라 다른 창을 여는 것은 사용법 안내도 화면 캡처도 둘로 만든다. 네이티브 대화상자를 철회하고 페이지 안의 폴더 목록 하나만 남겼다. 그쪽이 어느 PC에서나 동작하고(표준 라이브러리만 쓴다), 패키지 배포판이 이미 쓰던 것이며, 브라우저의 파일 인터페이스를 거치지 않는다는 R-N21의 요건도 그대로 지킨다. 열기·다른 이름으로 저장·내보내기·폴더 선택 네 가지 모두 이미 폴더 목록으로 할 수 있었으므로 기능은 하나도 줄지 않았다. 함께 정리된 것: 메뉴의 '폴더에서 가져오기'는 '소스 데이터 가져오기'와 완전히 같은 동작이 되어 삭제했고, Tk가 주 스레드를 점유해야 해서 존재하던 대화상자 펌프가 사라지면서 launch.py의 주 스레드는 정지 신호만 기다린다.</t>
        </is>
      </c>
      <c r="F8" s="11" t="inlineStr">
        <is>
          <t>Issued for review</t>
        </is>
      </c>
    </row>
    <row r="9">
      <c r="A9" s="11" t="inlineStr">
        <is>
          <t>1.14</t>
        </is>
      </c>
      <c r="B9" s="11" t="inlineStr">
        <is>
          <t>2026-09-13</t>
        </is>
      </c>
      <c r="C9" s="11" t="inlineStr">
        <is>
          <t>Claude Code</t>
        </is>
      </c>
      <c r="D9" s="11" t="inlineStr">
        <is>
          <t>-</t>
        </is>
      </c>
      <c r="E9" s="12" t="inlineStr">
        <is>
          <t>TWO CORRECTIONS, BOTH ABOUT THIS DOCUMENT RATHER THAN THE APPLICATION. No requirement, decision, risk or task changes, and no code is touched. A-N01 NOW CITES THE WEB PLAN INSTEAD OF COPYING IT. It used to read 'up to about 100 projects and 1,000 people', which was true of REQ-NFR-03 when it was written. That requirement was amended at R-47 to 100 projects and 150 people - measured rather than asserted - at which moment this row became a false statement about another document. The desktop line sets no volume of its own and never did: it renders the same tables from the same core/, so the binding cost is the same (projects + people) rows x horizon months. Citing the requirement instead of restating it means this row cannot go stale the next time the figure moves, which is the only fix that survives the next amendment. AND v1.13 IS BACK-FILLED BELOW, because it was issued with no row of its own. REQ-VC-04 says every re-issue adds a version-history row stating what changed and why; this document skipped one, in a document set whose own subject is keeping versions in step, and nothing was checking. check_consistency.py now requires every controlled document to carry a history row for the version it calls itself - the desktop specification had the same gap at v1.5 and is corrected the same way. The back-filled entry is taken from the change that made it, not reconstructed from memory.</t>
        </is>
      </c>
      <c r="F9" s="11" t="inlineStr">
        <is>
          <t>Issued for review</t>
        </is>
      </c>
    </row>
    <row r="10">
      <c r="A10" s="11" t="inlineStr">
        <is>
          <t>1.13</t>
        </is>
      </c>
      <c r="B10" s="11" t="inlineStr">
        <is>
          <t>2026-09-11</t>
        </is>
      </c>
      <c r="C10" s="11" t="inlineStr">
        <is>
          <t>Claude Code</t>
        </is>
      </c>
      <c r="D10" s="11" t="inlineStr">
        <is>
          <t>-</t>
        </is>
      </c>
      <c r="E10" s="12" t="inlineStr">
        <is>
          <t>BACK-FILLED AT v1.14 - this version was issued without a history row, which REQ-VC-04 requires. Recorded now from the change that produced it rather than reconstructed: NR-DEP-17 added. CLOSING THE BROWSER NOW CLOSES THE CONSOLE WINDOW TOO. Reported from the field: the console window that IS the application outlived the page that is its window, and then sat owning the port, the write claim on whichever plan was open and the data folder, with no way to be rid of it but to know it was there. Closing the last page stops it in about four seconds - and what made it more than one line is everything it must NOT do, each of which is a test: not before any page has ever connected, not on a reload (pagehide is indistinguishable from a close at the moment it fires, so F5 would otherwise lose the plan), not while another tab is open, and not while somebody is still typing their name at sign-in. The no-message backstop is deliberately slow - fifteen minutes - because a browser freezes the timers of a tab nobody is looking at, and shutting down on someone who left it in a background tab is worse than a console outliving its window on the rare occasion a browser dies without a word. --keep-running opts out. Desktop specification v1.5, Python package v1.17, tools/test_shutdown.py new. The web application was untouched.</t>
        </is>
      </c>
      <c r="F10" s="11" t="inlineStr">
        <is>
          <t>Issued</t>
        </is>
      </c>
    </row>
    <row r="11">
      <c r="A11" s="13" t="inlineStr">
        <is>
          <t>1.12</t>
        </is>
      </c>
      <c r="B11" s="13" t="inlineStr">
        <is>
          <t>2026-08-25</t>
        </is>
      </c>
      <c r="C11" s="13" t="inlineStr">
        <is>
          <t>Claude Code</t>
        </is>
      </c>
      <c r="D11" s="13" t="inlineStr">
        <is>
          <t>-</t>
        </is>
      </c>
      <c r="E11" s="14" t="inlineStr">
        <is>
          <t>THE DIFFERENCE REPORT IS BUILT - task N4.5, NR-IMP-02, and the last unbuilt piece of the approved specification. Importing a revised workbook over a plan somebody has been working in used to REPLACE it. Now it asks first, then shows what would change - rows to add, rows to change with the columns and both values, and rows the plan has that the file does not - and the user accepts or skips per sheet. The whole thing lands as PENDING EDITS, so it is undone by Leave without change and kept by Save, like every other change. The behaviour that mattered most is the one S-N04 named: an accepted sheet ADDS and CHANGES but never DELETES, so a row somebody typed by hand survives an import of a file that never heard of it. The engine is shared (src/core/06a_diff.js, pure); the SCREEN is in the Python shell alone, because the web application is feature-frozen at N-06 and has no workspace to merge into. Specification v1.4 records the six decisions inside it that could each have gone another way. Step N4 is now complete but for N4.4d and N4.4e, which the Python shell largely covers already.</t>
        </is>
      </c>
    </row>
    <row r="12">
      <c r="A12" s="15" t="inlineStr">
        <is>
          <t>1.11</t>
        </is>
      </c>
      <c r="B12" s="15" t="inlineStr">
        <is>
          <t>2026-08-22</t>
        </is>
      </c>
      <c r="C12" s="15" t="inlineStr">
        <is>
          <t>Claude Code</t>
        </is>
      </c>
      <c r="D12" s="15" t="inlineStr">
        <is>
          <t>-</t>
        </is>
      </c>
      <c r="E12" s="16" t="inlineStr">
        <is>
          <t>GATE N4a IS CLOSED. IT RAN. The Python package arrived by e-mail, started on the company PC, imported a source workbook and exported one - all of it reported by the requester from the machine that carries the controls. Every assumption this line was built on is now evidence rather than argument. R-N21, the control that stopped the web application being given a file, is ANSWERED IN PRACTICE and not only in design: the shell that never asks the browser for a file was not asked about by the control that watches for one, on the very machine where the other application still cannot import. R-N01 and R-N09 - application allow-listing, SmartScreen, anti-virus - fall away for this route entirely, because there is no executable for any of them to judge. A-N09 is confirmed in full. WHAT IS NOT YET PROVEN, and is not claimed: saving and reopening a plan, the write claim, and the shared folder were not part of this run. They are tested here - 80 checks and 42 - but tested is not used. Step N5 carries them, and the honest state of the sharing model is 'built and verified, not yet exercised by two people on one plan'.</t>
        </is>
      </c>
    </row>
    <row r="13">
      <c r="A13" s="17" t="inlineStr">
        <is>
          <t>1.10</t>
        </is>
      </c>
      <c r="B13" s="17" t="inlineStr">
        <is>
          <t>2026-08-22</t>
        </is>
      </c>
      <c r="C13" s="17" t="inlineStr">
        <is>
          <t>Claude Code</t>
        </is>
      </c>
      <c r="D13" s="17" t="inlineStr">
        <is>
          <t>-</t>
        </is>
      </c>
      <c r="E13" s="18" t="inlineStr">
        <is>
          <t>DELIVERY IS SOLVED, AND R-N20 WAS WIDER THAN THE EVIDENCE. The Python package went through company e-mail without complaint, and the requester identified what had stopped the earlier attempt: the EXECUTABLE inside the zip, not the zip. So the filter judges what an archive CONTAINS, which is what a competent one does - and the constraint is narrower than it was recorded as. R-N20 drops from HIGH/HIGH to Low/HIGH: it still bars the Electron package, because that is an .exe however it is wrapped, but it does not bar this. Route B's premise - 'what travels is .py text' - is now measured rather than reasoned. Nothing is worked around: the filter did exactly its job on the executable and had no reason to object to source text. Sheet 10a records the fifth measured result. What is still not known is whether the application RUNS on that laptop - Gate N4a, and the one thing now waiting.</t>
        </is>
      </c>
    </row>
    <row r="14">
      <c r="A14" s="15" t="inlineStr">
        <is>
          <t>1.9</t>
        </is>
      </c>
      <c r="B14" s="15" t="inlineStr">
        <is>
          <t>2026-08-18</t>
        </is>
      </c>
      <c r="C14" s="15" t="inlineStr">
        <is>
          <t>Claude Code</t>
        </is>
      </c>
      <c r="D14" s="15" t="inlineStr">
        <is>
          <t>-</t>
        </is>
      </c>
      <c r="E14" s="16"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15">
      <c r="A15" s="17" t="inlineStr">
        <is>
          <t>1.8</t>
        </is>
      </c>
      <c r="B15" s="17" t="inlineStr">
        <is>
          <t>2026-08-18</t>
        </is>
      </c>
      <c r="C15" s="17" t="inlineStr">
        <is>
          <t>Claude Code</t>
        </is>
      </c>
      <c r="D15" s="17" t="inlineStr">
        <is>
          <t>-</t>
        </is>
      </c>
      <c r="E15" s="18"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16">
      <c r="A16" s="15" t="inlineStr">
        <is>
          <t>1.7</t>
        </is>
      </c>
      <c r="B16" s="15" t="inlineStr">
        <is>
          <t>2026-08-15</t>
        </is>
      </c>
      <c r="C16" s="15" t="inlineStr">
        <is>
          <t>Claude Code</t>
        </is>
      </c>
      <c r="D16" s="15" t="inlineStr">
        <is>
          <t>-</t>
        </is>
      </c>
      <c r="E16" s="16"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17">
      <c r="A17" s="17" t="inlineStr">
        <is>
          <t>1.6</t>
        </is>
      </c>
      <c r="B17" s="17" t="inlineStr">
        <is>
          <t>2026-08-15</t>
        </is>
      </c>
      <c r="C17" s="17" t="inlineStr">
        <is>
          <t>Claude Code</t>
        </is>
      </c>
      <c r="D17" s="17" t="inlineStr">
        <is>
          <t>-</t>
        </is>
      </c>
      <c r="E17" s="18"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18">
      <c r="A18" s="15" t="inlineStr">
        <is>
          <t>1.5</t>
        </is>
      </c>
      <c r="B18" s="15" t="inlineStr">
        <is>
          <t>2026-08-13</t>
        </is>
      </c>
      <c r="C18" s="15" t="inlineStr">
        <is>
          <t>Claude Code</t>
        </is>
      </c>
      <c r="D18" s="15" t="inlineStr">
        <is>
          <t>-</t>
        </is>
      </c>
      <c r="E18" s="16"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9">
      <c r="A19" s="17" t="inlineStr">
        <is>
          <t>1.4</t>
        </is>
      </c>
      <c r="B19" s="17" t="inlineStr">
        <is>
          <t>2026-08-13</t>
        </is>
      </c>
      <c r="C19" s="17" t="inlineStr">
        <is>
          <t>Claude Code</t>
        </is>
      </c>
      <c r="D19" s="17" t="inlineStr">
        <is>
          <t>APPROVED</t>
        </is>
      </c>
      <c r="E19" s="18"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20">
      <c r="A20" s="15" t="inlineStr">
        <is>
          <t>1.3</t>
        </is>
      </c>
      <c r="B20" s="15" t="inlineStr">
        <is>
          <t>2026-08-13</t>
        </is>
      </c>
      <c r="C20" s="15" t="inlineStr">
        <is>
          <t>Claude Code</t>
        </is>
      </c>
      <c r="D20" s="15" t="inlineStr">
        <is>
          <t>Superseded</t>
        </is>
      </c>
      <c r="E20" s="16"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21">
      <c r="A21" s="17" t="inlineStr">
        <is>
          <t>1.2</t>
        </is>
      </c>
      <c r="B21" s="17" t="inlineStr">
        <is>
          <t>2026-08-13</t>
        </is>
      </c>
      <c r="C21" s="17" t="inlineStr">
        <is>
          <t>Claude Code</t>
        </is>
      </c>
      <c r="D21" s="17" t="inlineStr">
        <is>
          <t>-</t>
        </is>
      </c>
      <c r="E21" s="18"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22">
      <c r="A22" s="15" t="inlineStr">
        <is>
          <t>1.1</t>
        </is>
      </c>
      <c r="B22" s="15" t="inlineStr">
        <is>
          <t>2026-08-13</t>
        </is>
      </c>
      <c r="C22" s="15" t="inlineStr">
        <is>
          <t>Claude Code</t>
        </is>
      </c>
      <c r="D22" s="15" t="inlineStr">
        <is>
          <t>-</t>
        </is>
      </c>
      <c r="E22"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23">
      <c r="A23" s="17" t="inlineStr">
        <is>
          <t>1.0</t>
        </is>
      </c>
      <c r="B23" s="17" t="inlineStr">
        <is>
          <t>2026-08-13</t>
        </is>
      </c>
      <c r="C23" s="17" t="inlineStr">
        <is>
          <t>Claude Code</t>
        </is>
      </c>
      <c r="D23" s="17" t="inlineStr">
        <is>
          <t>APPROVED</t>
        </is>
      </c>
      <c r="E23" s="18"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24">
      <c r="A24" s="15" t="inlineStr">
        <is>
          <t>0.7</t>
        </is>
      </c>
      <c r="B24" s="15" t="inlineStr">
        <is>
          <t>2026-08-13</t>
        </is>
      </c>
      <c r="C24" s="15" t="inlineStr">
        <is>
          <t>Claude Code</t>
        </is>
      </c>
      <c r="D24" s="15" t="inlineStr">
        <is>
          <t>Superseded</t>
        </is>
      </c>
      <c r="E24"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25">
      <c r="A25" s="17" t="inlineStr">
        <is>
          <t>0.6</t>
        </is>
      </c>
      <c r="B25" s="17" t="inlineStr">
        <is>
          <t>2026-08-13</t>
        </is>
      </c>
      <c r="C25" s="17" t="inlineStr">
        <is>
          <t>Claude Code</t>
        </is>
      </c>
      <c r="D25" s="17" t="inlineStr">
        <is>
          <t>Superseded</t>
        </is>
      </c>
      <c r="E25" s="18"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26">
      <c r="A26" s="15" t="inlineStr">
        <is>
          <t>0.5</t>
        </is>
      </c>
      <c r="B26" s="15" t="inlineStr">
        <is>
          <t>2026-08-13</t>
        </is>
      </c>
      <c r="C26" s="15" t="inlineStr">
        <is>
          <t>Claude Code</t>
        </is>
      </c>
      <c r="D26" s="15" t="inlineStr">
        <is>
          <t>Superseded</t>
        </is>
      </c>
      <c r="E26"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27">
      <c r="A27" s="17" t="inlineStr">
        <is>
          <t>0.4</t>
        </is>
      </c>
      <c r="B27" s="17" t="inlineStr">
        <is>
          <t>2026-08-13</t>
        </is>
      </c>
      <c r="C27" s="17" t="inlineStr">
        <is>
          <t>Claude Code</t>
        </is>
      </c>
      <c r="D27" s="17" t="inlineStr">
        <is>
          <t>Superseded</t>
        </is>
      </c>
      <c r="E27" s="18"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28">
      <c r="A28" s="15" t="inlineStr">
        <is>
          <t>0.3</t>
        </is>
      </c>
      <c r="B28" s="15" t="inlineStr">
        <is>
          <t>2026-08-13</t>
        </is>
      </c>
      <c r="C28" s="15" t="inlineStr">
        <is>
          <t>Claude Code</t>
        </is>
      </c>
      <c r="D28" s="15" t="inlineStr">
        <is>
          <t>Superseded</t>
        </is>
      </c>
      <c r="E28"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9">
      <c r="A29" s="17" t="inlineStr">
        <is>
          <t>0.2</t>
        </is>
      </c>
      <c r="B29" s="17" t="inlineStr">
        <is>
          <t>2026-08-13</t>
        </is>
      </c>
      <c r="C29" s="17" t="inlineStr">
        <is>
          <t>Claude Code</t>
        </is>
      </c>
      <c r="D29" s="17" t="inlineStr">
        <is>
          <t>Superseded</t>
        </is>
      </c>
      <c r="E29" s="18"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30">
      <c r="A30" s="15" t="inlineStr">
        <is>
          <t>0.1</t>
        </is>
      </c>
      <c r="B30" s="15" t="inlineStr">
        <is>
          <t>2026-08-13</t>
        </is>
      </c>
      <c r="C30" s="15" t="inlineStr">
        <is>
          <t>Claude Code</t>
        </is>
      </c>
      <c r="D30" s="15" t="inlineStr">
        <is>
          <t>Superseded</t>
        </is>
      </c>
      <c r="E30"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32">
      <c r="A32" s="5" t="inlineStr">
        <is>
          <t>Numbering rules for this document line</t>
        </is>
      </c>
    </row>
    <row r="33" ht="28" customHeight="1">
      <c r="A33" s="10" t="inlineStr">
        <is>
          <t>Version</t>
        </is>
      </c>
      <c r="B33" s="10" t="inlineStr">
        <is>
          <t>Meaning</t>
        </is>
      </c>
    </row>
    <row r="34">
      <c r="A34" s="17" t="inlineStr">
        <is>
          <t>v0.x</t>
        </is>
      </c>
      <c r="B34" s="18" t="inlineStr">
        <is>
          <t>Draft issues during Step 1 review rounds.</t>
        </is>
      </c>
    </row>
    <row r="35">
      <c r="A35" s="15" t="inlineStr">
        <is>
          <t>v1.0</t>
        </is>
      </c>
      <c r="B35" s="16" t="inlineStr">
        <is>
          <t>The approved baseline, set at Gate N1.</t>
        </is>
      </c>
    </row>
    <row r="36">
      <c r="A36" s="17" t="inlineStr">
        <is>
          <t>v1.x</t>
        </is>
      </c>
      <c r="B36" s="18" t="inlineStr">
        <is>
          <t>Approved changes against that baseline, each separately approved.</t>
        </is>
      </c>
    </row>
    <row r="37">
      <c r="A37" s="15" t="inlineStr">
        <is>
          <t>v2.0</t>
        </is>
      </c>
      <c r="B37" s="16" t="inlineStr">
        <is>
          <t>Reserved for a structural change, on the same rule the web plan used.</t>
        </is>
      </c>
    </row>
    <row r="39">
      <c r="A39" s="8" t="inlineStr">
        <is>
          <t>Gate prefixes are N1..N5 throughout this document, so a reference such as 'G4' can never be confused between the two plans.</t>
        </is>
      </c>
    </row>
    <row r="40">
      <c r="A40" s="3" t="inlineStr">
        <is>
          <t>Legend</t>
        </is>
      </c>
    </row>
    <row r="41">
      <c r="A41" s="19" t="inlineStr">
        <is>
          <t>Green = new to the desktop application; nothing in the web application corresponds to it.</t>
        </is>
      </c>
    </row>
    <row r="42">
      <c r="A42" s="20" t="inlineStr">
        <is>
          <t>Orange = inherited from the web application but deliberately changed here.</t>
        </is>
      </c>
    </row>
    <row r="43">
      <c r="A43" s="21"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13" t="inlineStr">
        <is>
          <t>Form</t>
        </is>
      </c>
      <c r="B12" s="14" t="inlineStr">
        <is>
          <t>One HTML file, opened in a browser</t>
        </is>
      </c>
      <c r="C12" s="14" t="inlineStr">
        <is>
          <t>Program with its own window and icon, run from a copied folder - NOT installed</t>
        </is>
      </c>
      <c r="D12" s="13" t="inlineStr">
        <is>
          <t>NR-APP-01, NR-DEP-05</t>
        </is>
      </c>
    </row>
    <row r="13">
      <c r="A13" s="13" t="inlineStr">
        <is>
          <t>Platform</t>
        </is>
      </c>
      <c r="B13" s="14" t="inlineStr">
        <is>
          <t>Any browser on any OS</t>
        </is>
      </c>
      <c r="C13" s="14" t="inlineStr">
        <is>
          <t>Windows 10 / 11 only</t>
        </is>
      </c>
      <c r="D13" s="13" t="inlineStr">
        <is>
          <t>NR-DEP-01</t>
        </is>
      </c>
    </row>
    <row r="14">
      <c r="A14" s="13" t="inlineStr">
        <is>
          <t>Data after closing</t>
        </is>
      </c>
      <c r="B14" s="14" t="inlineStr">
        <is>
          <t>Lost - the file must be re-imported each session</t>
        </is>
      </c>
      <c r="C14" s="14" t="inlineStr">
        <is>
          <t>KEPT - the workspace reopens as it was left</t>
        </is>
      </c>
      <c r="D14" s="13" t="inlineStr">
        <is>
          <t>NR-STO-01</t>
        </is>
      </c>
    </row>
    <row r="15">
      <c r="A15" s="13" t="inlineStr">
        <is>
          <t>Source of truth</t>
        </is>
      </c>
      <c r="B15" s="14" t="inlineStr">
        <is>
          <t>The Excel workbook outside the application</t>
        </is>
      </c>
      <c r="C15" s="14" t="inlineStr">
        <is>
          <t>The workspace file the application owns; Excel becomes exchange</t>
        </is>
      </c>
      <c r="D15" s="13" t="inlineStr">
        <is>
          <t>NR-STO-02</t>
        </is>
      </c>
    </row>
    <row r="16">
      <c r="A16" s="17" t="inlineStr">
        <is>
          <t>Calculation engine</t>
        </is>
      </c>
      <c r="B16" s="18" t="inlineStr">
        <is>
          <t>Shared - one implementation</t>
        </is>
      </c>
      <c r="C16" s="18" t="inlineStr">
        <is>
          <t>Shared - the same implementation, not a copy</t>
        </is>
      </c>
      <c r="D16" s="17" t="inlineStr">
        <is>
          <t>NR-PAR-01</t>
        </is>
      </c>
    </row>
    <row r="17">
      <c r="A17" s="15" t="inlineStr">
        <is>
          <t>Data contract</t>
        </is>
      </c>
      <c r="B17" s="16" t="inlineStr">
        <is>
          <t>Schema version 5, ten sheets</t>
        </is>
      </c>
      <c r="C17" s="16" t="inlineStr">
        <is>
          <t>Identical, unchanged</t>
        </is>
      </c>
      <c r="D17" s="15" t="inlineStr">
        <is>
          <t>NR-PAR-02</t>
        </is>
      </c>
    </row>
    <row r="18">
      <c r="A18" s="17" t="inlineStr">
        <is>
          <t>AI agent interoperability</t>
        </is>
      </c>
      <c r="B18" s="18" t="inlineStr">
        <is>
          <t>prap-source-data JSON, format_version 1</t>
        </is>
      </c>
      <c r="C18" s="18" t="inlineStr">
        <is>
          <t>Identical, and now also the on-disk format</t>
        </is>
      </c>
      <c r="D18" s="17" t="inlineStr">
        <is>
          <t>NR-STO-03</t>
        </is>
      </c>
    </row>
    <row r="19">
      <c r="A19" s="13" t="inlineStr">
        <is>
          <t>Distribution</t>
        </is>
      </c>
      <c r="B19" s="14" t="inlineStr">
        <is>
          <t>Copy one file</t>
        </is>
      </c>
      <c r="C19" s="14" t="inlineStr">
        <is>
          <t>Copy one folder. No installer, no administrator rights, no registry. Size unconstrained</t>
        </is>
      </c>
      <c r="D19" s="13"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5" t="inlineStr">
        <is>
          <t>Network use</t>
        </is>
      </c>
      <c r="B21" s="16" t="inlineStr">
        <is>
          <t>None</t>
        </is>
      </c>
      <c r="C21" s="16" t="inlineStr">
        <is>
          <t>None</t>
        </is>
      </c>
      <c r="D21" s="15" t="inlineStr">
        <is>
          <t>NR-SEC-01</t>
        </is>
      </c>
    </row>
    <row r="22">
      <c r="A22" s="17" t="inlineStr">
        <is>
          <t>Status</t>
        </is>
      </c>
      <c r="B22" s="18" t="inlineStr">
        <is>
          <t>Complete, in service, frozen at Gate 5</t>
        </is>
      </c>
      <c r="C22" s="18" t="inlineStr">
        <is>
          <t>Not started - this plan is Step 1</t>
        </is>
      </c>
      <c r="D22" s="17" t="inlineStr">
        <is>
          <t>-</t>
        </is>
      </c>
    </row>
    <row r="25">
      <c r="A25" s="5" t="inlineStr">
        <is>
          <t>What the web application keeps - not touched by this plan</t>
        </is>
      </c>
    </row>
    <row r="26" ht="28" customHeight="1">
      <c r="A26" s="10" t="inlineStr">
        <is>
          <t>Point</t>
        </is>
      </c>
    </row>
    <row r="27">
      <c r="A27" s="18" t="inlineStr">
        <is>
          <t>app/PRAP.html (application v1.24) continues in service, unchanged, and is released as v1.0 under its own Gate 5.</t>
        </is>
      </c>
    </row>
    <row r="28">
      <c r="A28" s="16" t="inlineStr">
        <is>
          <t>PRAP_Development_Plan_v2.26.xlsx, the programming specification v1.0 and the UI component list v1.0 stay approved as they are.</t>
        </is>
      </c>
    </row>
    <row r="29">
      <c r="A29" s="18" t="inlineStr">
        <is>
          <t>The source workbook template, the dummy datasets and the AI agent guide serve BOTH applications and are not forked.</t>
        </is>
      </c>
    </row>
    <row r="30">
      <c r="A30" s="16" t="inlineStr">
        <is>
          <t>The 13 verification suites under tools/ keep running against the HTML build after every change, which is how a regression in the shared engine is caught before it can reach either application.</t>
        </is>
      </c>
    </row>
    <row r="31">
      <c r="A31" s="18"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8" t="inlineStr">
        <is>
          <t>A desktop application for Windows 10 / 11, launched from an icon, no browser involved.</t>
        </is>
      </c>
    </row>
    <row r="37">
      <c r="A37" s="16" t="inlineStr">
        <is>
          <t>Portable operation: the whole application is one folder that is copied where the user wants it and run from there, with everything it needs and everything it writes kept inside that folder.</t>
        </is>
      </c>
    </row>
    <row r="38">
      <c r="A38" s="18" t="inlineStr">
        <is>
          <t>Persistent storage: a workspace the application owns, written on every Save and reopened at launch.</t>
        </is>
      </c>
    </row>
    <row r="39">
      <c r="A39" s="16" t="inlineStr">
        <is>
          <t>Import from the Excel source workbook and from prap-source-data JSON, as today - but as an INGEST into the workspace rather than as the session's only data.</t>
        </is>
      </c>
    </row>
    <row r="40">
      <c r="A40" s="18" t="inlineStr">
        <is>
          <t>Export to Excel and JSON, as today, for sharing and archiving.</t>
        </is>
      </c>
    </row>
    <row r="41">
      <c r="A41" s="16" t="inlineStr">
        <is>
          <t>Desktop conventions the web version cannot offer: native Open/Save dialogs, a recent-workspaces list, a menu bar, window state remembered between sessions.</t>
        </is>
      </c>
    </row>
    <row r="42">
      <c r="A42" s="18" t="inlineStr">
        <is>
          <t>Crash and power-loss recovery, including edits that were pending when the application stopped.</t>
        </is>
      </c>
    </row>
    <row r="43">
      <c r="A43" s="16"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8" t="inlineStr">
        <is>
          <t>Any change to the load formula, the period derivation, the validation rules or the data schema.</t>
        </is>
      </c>
      <c r="B48" s="18" t="inlineStr">
        <is>
          <t>The engine is shared. Changing it here would change the finished web application too.</t>
        </is>
      </c>
    </row>
    <row r="49">
      <c r="A49" s="16" t="inlineStr">
        <is>
          <t>Multi-user or concurrent editing of one workspace.</t>
        </is>
      </c>
      <c r="B49" s="16" t="inlineStr">
        <is>
          <t>Assumption A-06 of the web plan still holds - one person maintains a plan at a time. Q-N06 asks whether that is still true.</t>
        </is>
      </c>
    </row>
    <row r="50">
      <c r="A50" s="18" t="inlineStr">
        <is>
          <t>A server, a database service, or any network feature.</t>
        </is>
      </c>
      <c r="B50" s="18" t="inlineStr">
        <is>
          <t>The tool is offline by requirement, and that is a property worth keeping rather than an accident.</t>
        </is>
      </c>
    </row>
    <row r="51">
      <c r="A51" s="16" t="inlineStr">
        <is>
          <t>macOS and Linux builds.</t>
        </is>
      </c>
      <c r="B51" s="16" t="inlineStr">
        <is>
          <t>CLOSED at review round 1: Windows only. The same source would build for them, but they are neither verified nor supported.</t>
        </is>
      </c>
    </row>
    <row r="52">
      <c r="A52" s="18" t="inlineStr">
        <is>
          <t>An installer, a Start-menu entry, a file association, or any registry entry.</t>
        </is>
      </c>
      <c r="B52" s="18" t="inlineStr">
        <is>
          <t>CLOSED at review round 1: the application is non-installed. Each of these would write outside its own folder, which NR-DEP-06 forbids. The cost is recorded honestly at NR-IMP-04 and decision N-15.</t>
        </is>
      </c>
    </row>
    <row r="53">
      <c r="A53" s="16" t="inlineStr">
        <is>
          <t>Automatic update over the network.</t>
        </is>
      </c>
      <c r="B53" s="16" t="inlineStr">
        <is>
          <t>It would be the only thing in the product that needs a network. Updates are distributed as a new package.</t>
        </is>
      </c>
    </row>
    <row r="54">
      <c r="A54" s="18" t="inlineStr">
        <is>
          <t>Migrating the web application onto the desktop shell, or retiring it.</t>
        </is>
      </c>
      <c r="B54" s="18" t="inlineStr">
        <is>
          <t>Explicitly excluded on your instruction: both applications stay.</t>
        </is>
      </c>
    </row>
    <row r="56">
      <c r="A56" s="3" t="inlineStr">
        <is>
          <t>Legend</t>
        </is>
      </c>
    </row>
    <row r="57">
      <c r="A57" s="19" t="inlineStr">
        <is>
          <t>Green = new to the desktop application; nothing in the web application corresponds to it.</t>
        </is>
      </c>
    </row>
    <row r="58">
      <c r="A58" s="20" t="inlineStr">
        <is>
          <t>Orange = inherited from the web application but deliberately changed here.</t>
        </is>
      </c>
    </row>
    <row r="59">
      <c r="A59" s="21"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2"/>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13" t="inlineStr">
        <is>
          <t>NR-APP-01</t>
        </is>
      </c>
      <c r="B11" s="13" t="inlineStr">
        <is>
          <t>Application form</t>
        </is>
      </c>
      <c r="C11" s="14" t="inlineStr">
        <is>
          <t>The application is a desktop program with its own window, icon and menu bar. No browser is visible to the user at any point.</t>
        </is>
      </c>
      <c r="D11" s="13" t="inlineStr">
        <is>
          <t>Must</t>
        </is>
      </c>
      <c r="E11" s="14" t="inlineStr">
        <is>
          <t>Your instruction</t>
        </is>
      </c>
      <c r="F11" s="13"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13" t="inlineStr">
        <is>
          <t>NR-APP-06</t>
        </is>
      </c>
      <c r="B16" s="13" t="inlineStr">
        <is>
          <t>Application form</t>
        </is>
      </c>
      <c r="C16" s="14" t="inlineStr">
        <is>
          <t>A recent-workspaces list of at least ten entries is available from the menu. It is stored in the application's own data folder, not in the registry or in the user profile.</t>
        </is>
      </c>
      <c r="D16" s="13" t="inlineStr">
        <is>
          <t>Should</t>
        </is>
      </c>
      <c r="E16" s="14" t="inlineStr">
        <is>
          <t>Desktop convention + NR-DEP-06</t>
        </is>
      </c>
      <c r="F16" s="13"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13" t="inlineStr">
        <is>
          <t>NR-STO-06</t>
        </is>
      </c>
      <c r="B24" s="13" t="inlineStr">
        <is>
          <t>Storage</t>
        </is>
      </c>
      <c r="C24" s="14" t="inlineStr">
        <is>
          <t>The previous committed version of a workspace is retained and can be restored from within the application. The number retained is a setting; its default is ONE, so a workspace directory holds the current file and the one before it.</t>
        </is>
      </c>
      <c r="D24" s="13" t="inlineStr">
        <is>
          <t>Should</t>
        </is>
      </c>
      <c r="E24" s="14" t="inlineStr">
        <is>
          <t>Q-N07</t>
        </is>
      </c>
      <c r="F24" s="13"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13" t="inlineStr">
        <is>
          <t>NR-STO-10</t>
        </is>
      </c>
      <c r="B28" s="13" t="inlineStr">
        <is>
          <t>Storage</t>
        </is>
      </c>
      <c r="C28" s="14" t="inlineStr">
        <is>
          <t>While one session is editing a workspace, no other session may update it. The claim is made when the FIRST EDIT is attempted - not when the workspace is opened - so that reading is never blocked.</t>
        </is>
      </c>
      <c r="D28" s="13" t="inlineStr">
        <is>
          <t>Must</t>
        </is>
      </c>
      <c r="E28" s="14" t="inlineStr">
        <is>
          <t>Your instruction, round 3</t>
        </is>
      </c>
      <c r="F28" s="13" t="inlineStr">
        <is>
          <t>N4</t>
        </is>
      </c>
    </row>
    <row r="29">
      <c r="A29" s="13" t="inlineStr">
        <is>
          <t>NR-STO-11</t>
        </is>
      </c>
      <c r="B29" s="13" t="inlineStr">
        <is>
          <t>Storage</t>
        </is>
      </c>
      <c r="C29" s="14" t="inlineStr">
        <is>
          <t>Reading is a full working mode, not a refusal: every figure, table, graph, filter and export is available to a session that does not hold the claim. Only writing to that workspace is withheld.</t>
        </is>
      </c>
      <c r="D29" s="13" t="inlineStr">
        <is>
          <t>Must</t>
        </is>
      </c>
      <c r="E29" s="14" t="inlineStr">
        <is>
          <t>Consequence of NR-STO-10</t>
        </is>
      </c>
      <c r="F29" s="13" t="inlineStr">
        <is>
          <t>N4</t>
        </is>
      </c>
    </row>
    <row r="30">
      <c r="A30" s="13" t="inlineStr">
        <is>
          <t>NR-STO-12</t>
        </is>
      </c>
      <c r="B30" s="13" t="inlineStr">
        <is>
          <t>Storage</t>
        </is>
      </c>
      <c r="C30" s="14" t="inlineStr">
        <is>
          <t>A session refused the claim is shown a message naming who holds it, how to reach them, since when, whether their session is still responding, and when the plan becomes free - never merely that the file is locked.</t>
        </is>
      </c>
      <c r="D30" s="13" t="inlineStr">
        <is>
          <t>Must</t>
        </is>
      </c>
      <c r="E30" s="14" t="inlineStr">
        <is>
          <t>Q-N17</t>
        </is>
      </c>
      <c r="F30" s="13"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13" t="inlineStr">
        <is>
          <t>NR-STO-14</t>
        </is>
      </c>
      <c r="B32" s="13" t="inlineStr">
        <is>
          <t>Storage</t>
        </is>
      </c>
      <c r="C32" s="14" t="inlineStr">
        <is>
          <t>A holding session refreshes its claim every 30 seconds while it lives, so the application always knows whether the holder is alive. A claim that has stopped being refreshed expires after 30 MINUTES, after which anybody may take it over. A workspace in the person's OWN folder takes no claim at all, so it has nothing to expire (NR-STO-20).</t>
        </is>
      </c>
      <c r="D32" s="13" t="inlineStr">
        <is>
          <t>Must</t>
        </is>
      </c>
      <c r="E32" s="14" t="inlineStr">
        <is>
          <t>Q-N16</t>
        </is>
      </c>
      <c r="F32" s="13"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NR-STO-20</t>
        </is>
      </c>
      <c r="B37" s="11" t="inlineStr">
        <is>
          <t>Storage</t>
        </is>
      </c>
      <c r="C37" s="12" t="inlineStr">
        <is>
          <t>A WORKSPACE IN THE PERSON'S OWN FOLDER CANNOT TIME OUT. Nobody else can open a workspace there, so it takes no claim - no marker, no heartbeat, no expiry - and the window says it is the person's own and never times out. Moving it to the team folder brings it under NR-STO-10 again.</t>
        </is>
      </c>
      <c r="D37" s="11" t="inlineStr">
        <is>
          <t>Must</t>
        </is>
      </c>
      <c r="E37" s="12" t="inlineStr">
        <is>
          <t>Web plan R-63</t>
        </is>
      </c>
      <c r="F37" s="11" t="inlineStr">
        <is>
          <t>N4</t>
        </is>
      </c>
    </row>
    <row r="38">
      <c r="A38" s="11" t="inlineStr">
        <is>
          <t>NR-STO-21</t>
        </is>
      </c>
      <c r="B38" s="11" t="inlineStr">
        <is>
          <t>Storage</t>
        </is>
      </c>
      <c r="C38" s="12" t="inlineStr">
        <is>
          <t>WHEN A HOLDING SESSION'S CLAIM HAS LAPSED AND BEEN TAKEN OVER, IT IS TOLD IN A POP-UP that must be answered - who took over and when, that nothing on screen is lost, and the ways on: keep the work as a new file in the person's own folder (offered first), reload the plan (which discards), or decide later. Raised at once when the window is looked at again, by the periodic check, and by a Save that finds the claim gone; said once per lapse.</t>
        </is>
      </c>
      <c r="D38" s="11" t="inlineStr">
        <is>
          <t>Must</t>
        </is>
      </c>
      <c r="E38" s="12" t="inlineStr">
        <is>
          <t>Web plan R-63</t>
        </is>
      </c>
      <c r="F38" s="11" t="inlineStr">
        <is>
          <t>N4</t>
        </is>
      </c>
    </row>
    <row r="39">
      <c r="A39" s="11" t="inlineStr">
        <is>
          <t>NR-STO-18</t>
        </is>
      </c>
      <c r="B39" s="11" t="inlineStr">
        <is>
          <t>Storage</t>
        </is>
      </c>
      <c r="C39" s="12" t="inlineStr">
        <is>
          <t>Importing into a workspace is an edit and takes the claim like any other. It is the largest change the application can make, so it cannot be the one that bypasses the rule.</t>
        </is>
      </c>
      <c r="D39" s="11" t="inlineStr">
        <is>
          <t>Must</t>
        </is>
      </c>
      <c r="E39" s="12" t="inlineStr">
        <is>
          <t>Correctness</t>
        </is>
      </c>
      <c r="F39" s="11" t="inlineStr">
        <is>
          <t>N4</t>
        </is>
      </c>
    </row>
    <row r="40">
      <c r="A40" s="13" t="inlineStr">
        <is>
          <t>NR-IMP-01</t>
        </is>
      </c>
      <c r="B40" s="13" t="inlineStr">
        <is>
          <t>Import / export</t>
        </is>
      </c>
      <c r="C40" s="14" t="inlineStr">
        <is>
          <t>Import reads the Excel source workbook and prap-source-data JSON exactly as the web application does, using the same reader and reporting the same findings.</t>
        </is>
      </c>
      <c r="D40" s="13" t="inlineStr">
        <is>
          <t>Must</t>
        </is>
      </c>
      <c r="E40" s="14" t="inlineStr">
        <is>
          <t>Replaces nothing - REQ-IMP-01 inherited</t>
        </is>
      </c>
      <c r="F40" s="13" t="inlineStr">
        <is>
          <t>N4</t>
        </is>
      </c>
    </row>
    <row r="41">
      <c r="A41" s="13" t="inlineStr">
        <is>
          <t>NR-IMP-02</t>
        </is>
      </c>
      <c r="B41" s="13" t="inlineStr">
        <is>
          <t>Import / export</t>
        </is>
      </c>
      <c r="C41" s="14"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41" s="13" t="inlineStr">
        <is>
          <t>Must</t>
        </is>
      </c>
      <c r="E41" s="14" t="inlineStr">
        <is>
          <t>Q-N05</t>
        </is>
      </c>
      <c r="F41" s="13" t="inlineStr">
        <is>
          <t>N4</t>
        </is>
      </c>
    </row>
    <row r="42">
      <c r="A42" s="13" t="inlineStr">
        <is>
          <t>NR-IMP-03</t>
        </is>
      </c>
      <c r="B42" s="13" t="inlineStr">
        <is>
          <t>Import / export</t>
        </is>
      </c>
      <c r="C42" s="14" t="inlineStr">
        <is>
          <t>Export to Excel and to JSON produces byte-for-byte the same content the web application would produce from the same data.</t>
        </is>
      </c>
      <c r="D42" s="13" t="inlineStr">
        <is>
          <t>Must</t>
        </is>
      </c>
      <c r="E42" s="14" t="inlineStr">
        <is>
          <t>Parity</t>
        </is>
      </c>
      <c r="F42" s="13" t="inlineStr">
        <is>
          <t>N4</t>
        </is>
      </c>
    </row>
    <row r="43">
      <c r="A43" s="11" t="inlineStr">
        <is>
          <t>NR-IMP-05</t>
        </is>
      </c>
      <c r="B43" s="11" t="inlineStr">
        <is>
          <t>Import / export</t>
        </is>
      </c>
      <c r="C43" s="12" t="inlineStr">
        <is>
          <t>A source workbook can be opened for a look without creating a workspace: every table and graph, nothing saved, nothing left behind. The quick question - 'what does this file say?' - does not require committing to a plan first.</t>
        </is>
      </c>
      <c r="D43" s="11" t="inlineStr">
        <is>
          <t>Must</t>
        </is>
      </c>
      <c r="E43" s="12" t="inlineStr">
        <is>
          <t>Q-N10</t>
        </is>
      </c>
      <c r="F43" s="11" t="inlineStr">
        <is>
          <t>N4</t>
        </is>
      </c>
    </row>
    <row r="44">
      <c r="A44" s="11" t="inlineStr">
        <is>
          <t>NR-IMP-06</t>
        </is>
      </c>
      <c r="B44" s="11" t="inlineStr">
        <is>
          <t>Import / export</t>
        </is>
      </c>
      <c r="C44" s="12" t="inlineStr">
        <is>
          <t>A file the application cannot read because it is encrypted or protected says so, names that as the likely cause, and says what to do about it. It never reports a protected file as corrupt, and never fails silently.</t>
        </is>
      </c>
      <c r="D44" s="11" t="inlineStr">
        <is>
          <t>Must</t>
        </is>
      </c>
      <c r="E44" s="12" t="inlineStr">
        <is>
          <t>Q-N04 - see R-N18</t>
        </is>
      </c>
      <c r="F44" s="11" t="inlineStr">
        <is>
          <t>N4</t>
        </is>
      </c>
    </row>
    <row r="45">
      <c r="A45" s="11" t="inlineStr">
        <is>
          <t>NR-IMP-07</t>
        </is>
      </c>
      <c r="B45" s="11" t="inlineStr">
        <is>
          <t>Import / export</t>
        </is>
      </c>
      <c r="C45" s="12" t="inlineStr">
        <is>
          <t>Nothing the application writes is encrypted by the application itself. Where files must be protected, that is done by whatever the company already uses, on the folder - so the application never becomes the only thing that can open the user's own data.</t>
        </is>
      </c>
      <c r="D45" s="11" t="inlineStr">
        <is>
          <t>Must</t>
        </is>
      </c>
      <c r="E45" s="12" t="inlineStr">
        <is>
          <t>Q-N04 - see R-N18</t>
        </is>
      </c>
      <c r="F45" s="11" t="inlineStr">
        <is>
          <t>N2</t>
        </is>
      </c>
    </row>
    <row r="46">
      <c r="A46" s="11" t="inlineStr">
        <is>
          <t>NR-IMP-09</t>
        </is>
      </c>
      <c r="B46" s="11" t="inlineStr">
        <is>
          <t>Import / export</t>
        </is>
      </c>
      <c r="C46"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6" s="11" t="inlineStr">
        <is>
          <t>Must</t>
        </is>
      </c>
      <c r="E46" s="12" t="inlineStr">
        <is>
          <t>R-N21, C-N02</t>
        </is>
      </c>
      <c r="F46" s="11" t="inlineStr">
        <is>
          <t>N4</t>
        </is>
      </c>
    </row>
    <row r="47">
      <c r="A47" s="11" t="inlineStr">
        <is>
          <t>NR-IMP-10</t>
        </is>
      </c>
      <c r="B47" s="11" t="inlineStr">
        <is>
          <t>Import / export</t>
        </is>
      </c>
      <c r="C47" s="12" t="inlineStr">
        <is>
          <t>THE FILE WINDOW SHOWS WHAT IS IN A FOLDER AT A GLANCE. Places down the side (the person's own and the team's plan folders, recent folders, this computer, drives); a path whose every step is a button, with back, forward and up; a picture and type badge per file, its modified time and how long ago, grouped by when; a filter, a list or tiles view, a details pane and keyboard use; for a plan, who saved it last and who is editing it now, before it is opened; a save that warns before replacing; files of other types counted rather than silently missing. It opens where that kind of window was last used. No browser file interface is involved (NR-IMP-09).</t>
        </is>
      </c>
      <c r="D47" s="11" t="inlineStr">
        <is>
          <t>Should</t>
        </is>
      </c>
      <c r="E47" s="12" t="inlineStr">
        <is>
          <t>Web plan R-63</t>
        </is>
      </c>
      <c r="F47" s="11" t="inlineStr">
        <is>
          <t>N4</t>
        </is>
      </c>
    </row>
    <row r="48">
      <c r="A48" s="11" t="inlineStr">
        <is>
          <t>NR-DEP-17</t>
        </is>
      </c>
      <c r="B48" s="11" t="inlineStr">
        <is>
          <t>Deployment</t>
        </is>
      </c>
      <c r="C48" s="12" t="inlineStr">
        <is>
          <t>THE WINDOW AND THE APPLICATION GO TOGETHER. Closing the last page of the desktop shell stops the application - the console window closes by itself, within a few seconds. The console IS the application and the browser page is its window, and a console left running after the window has gone owns a port, a claim on a plan nobody has open and a data folder the next run then has to argue with, while the only way to be rid of it is to know it is there. FOUR THINGS IT MUST NOT DO, each of which is a way of losing somebody's work or their patience. NOT BEFORE A PAGE HAS EVER CONNECTED: a slow browser, or an address somebody is about to paste in, is not a countdown. NOT ON A RELOAD: the close signal fires on a reload exactly as it does on a close, so it is not believed until a grace period has passed with nobody saying hello again - otherwise refreshing the page would be a way of losing the plan in it. NOT WHILE ANOTHER PAGE IS OPEN: two windows, close one, it carries on. NOT WHILE SOMEBODY IS STILL SIGNING IN: liveness is registered before the start-up sequence, because part of that sequence waits on a person typing their name, and 'open it, look at it, close it again' is exactly the case this exists for. A QUIET PAGE IS NOT A CLOSED ONE (amended at v1.16). Only the close signal stops it. A heartbeat is still sent, but silence is never taken as closure: a browser freezes the timers of a tab it has put to sleep and a laptop lid stops everything, and an application that stopped on silence left a window that looked alive and could save nothing - which is how this was found. A browser killed outright therefore leaves the console open until somebody closes it, which is the better of the two failures. And if the application does stop with a window still open, that window says so and offers the browser's own download of the plan and of any change-log entries not yet archived. AND IT CAN BE TURNED OFF, with --keep-running, for a headless run or for somebody who wants to shut one browser window and open another.</t>
        </is>
      </c>
      <c r="D48" s="11" t="inlineStr">
        <is>
          <t>Must</t>
        </is>
      </c>
      <c r="E48" s="12" t="inlineStr">
        <is>
          <t>R-N24</t>
        </is>
      </c>
      <c r="F48" s="11" t="inlineStr">
        <is>
          <t>N3</t>
        </is>
      </c>
    </row>
    <row r="49">
      <c r="A49" s="11" t="inlineStr">
        <is>
          <t>NR-DEP-16</t>
        </is>
      </c>
      <c r="B49" s="11" t="inlineStr">
        <is>
          <t>Deployment</t>
        </is>
      </c>
      <c r="C49" s="12" t="inlineStr">
        <is>
          <t>The Python shell needs a Python 3.9 or newer interpreter and NOTHING else: standard library only, no pip install, no download, no administrator rights. What is delivered is readable source text, so it can be reviewed before it is run.</t>
        </is>
      </c>
      <c r="D49" s="11" t="inlineStr">
        <is>
          <t>Must</t>
        </is>
      </c>
      <c r="E49" s="12" t="inlineStr">
        <is>
          <t>R-N20, C-N02</t>
        </is>
      </c>
      <c r="F49" s="11" t="inlineStr">
        <is>
          <t>N4</t>
        </is>
      </c>
    </row>
    <row r="50">
      <c r="A50" s="11" t="inlineStr">
        <is>
          <t>NR-IMP-08</t>
        </is>
      </c>
      <c r="B50" s="11" t="inlineStr">
        <is>
          <t>Import / export</t>
        </is>
      </c>
      <c r="C50"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50" s="11" t="inlineStr">
        <is>
          <t>Must</t>
        </is>
      </c>
      <c r="E50" s="12" t="inlineStr">
        <is>
          <t>Gate N3 review - C-N01</t>
        </is>
      </c>
      <c r="F50" s="11" t="inlineStr">
        <is>
          <t>N4</t>
        </is>
      </c>
    </row>
    <row r="51">
      <c r="A51" s="13" t="inlineStr">
        <is>
          <t>NR-IMP-04</t>
        </is>
      </c>
      <c r="B51" s="13" t="inlineStr">
        <is>
          <t>Import / export</t>
        </is>
      </c>
      <c r="C51" s="14" t="inlineStr">
        <is>
          <t>A workspace can be opened by dragging it onto the running application's window. Double-clicking a workspace file in Explorer does NOT open it, because a file association would require a registry entry that NR-DEP-06 forbids.</t>
        </is>
      </c>
      <c r="D51" s="13" t="inlineStr">
        <is>
          <t>Could</t>
        </is>
      </c>
      <c r="E51" s="14" t="inlineStr">
        <is>
          <t>Reduced by the non-installed rule</t>
        </is>
      </c>
      <c r="F51" s="13" t="inlineStr">
        <is>
          <t>N4</t>
        </is>
      </c>
    </row>
    <row r="52">
      <c r="A52" s="11" t="inlineStr">
        <is>
          <t>NR-USR-01</t>
        </is>
      </c>
      <c r="B52" s="11" t="inlineStr">
        <is>
          <t>User identity</t>
        </is>
      </c>
      <c r="C52" s="12" t="inlineStr">
        <is>
          <t>The application asks who the user is when it starts, before any workspace is opened, and carries that identity for the session.</t>
        </is>
      </c>
      <c r="D52" s="11" t="inlineStr">
        <is>
          <t>Must</t>
        </is>
      </c>
      <c r="E52" s="12" t="inlineStr">
        <is>
          <t>Q-N17</t>
        </is>
      </c>
      <c r="F52" s="11" t="inlineStr">
        <is>
          <t>N4</t>
        </is>
      </c>
    </row>
    <row r="53">
      <c r="A53" s="11" t="inlineStr">
        <is>
          <t>NR-USR-02</t>
        </is>
      </c>
      <c r="B53" s="11" t="inlineStr">
        <is>
          <t>User identity</t>
        </is>
      </c>
      <c r="C53" s="12" t="inlineStr">
        <is>
          <t>It asks in full only the first time. Afterwards it shows what it remembers, pre-filled, for the user to confirm with one click - and offers 'not me' for a shared PC.</t>
        </is>
      </c>
      <c r="D53" s="11" t="inlineStr">
        <is>
          <t>Must</t>
        </is>
      </c>
      <c r="E53" s="12" t="inlineStr">
        <is>
          <t>Q-N17, usability</t>
        </is>
      </c>
      <c r="F53" s="11" t="inlineStr">
        <is>
          <t>N4</t>
        </is>
      </c>
    </row>
    <row r="54">
      <c r="A54" s="11" t="inlineStr">
        <is>
          <t>NR-USR-03</t>
        </is>
      </c>
      <c r="B54" s="11" t="inlineStr">
        <is>
          <t>User identity</t>
        </is>
      </c>
      <c r="C54" s="12" t="inlineStr">
        <is>
          <t>The name is pre-filled from the Windows account name the first time, so the common case is confirming rather than typing. It stays editable - a Windows account name is often not how colleagues know each other.</t>
        </is>
      </c>
      <c r="D54" s="11" t="inlineStr">
        <is>
          <t>Should</t>
        </is>
      </c>
      <c r="E54" s="12" t="inlineStr">
        <is>
          <t>Q-N17</t>
        </is>
      </c>
      <c r="F54" s="11" t="inlineStr">
        <is>
          <t>N4</t>
        </is>
      </c>
    </row>
    <row r="55">
      <c r="A55" s="13" t="inlineStr">
        <is>
          <t>NR-USR-04</t>
        </is>
      </c>
      <c r="B55" s="13" t="inlineStr">
        <is>
          <t>User identity</t>
        </is>
      </c>
      <c r="C55" s="14" t="inlineStr">
        <is>
          <t>An identity is a name and a DEPARTMENT. Both are recorded; no e-mail, telephone or other field is collected. A name and a department are what a colleague needs to find somebody in the company directory.</t>
        </is>
      </c>
      <c r="D55" s="13" t="inlineStr">
        <is>
          <t>Must</t>
        </is>
      </c>
      <c r="E55" s="14" t="inlineStr">
        <is>
          <t>Q-N18</t>
        </is>
      </c>
      <c r="F55" s="13" t="inlineStr">
        <is>
          <t>N4</t>
        </is>
      </c>
    </row>
    <row r="56">
      <c r="A56" s="11" t="inlineStr">
        <is>
          <t>NR-USR-05</t>
        </is>
      </c>
      <c r="B56" s="11" t="inlineStr">
        <is>
          <t>User identity</t>
        </is>
      </c>
      <c r="C56" s="12" t="inlineStr">
        <is>
          <t>A claim carries the holder's name and contact details, so the message a blocked colleague sees can be acted on rather than merely read. Those details are removed with the claim.</t>
        </is>
      </c>
      <c r="D56" s="11" t="inlineStr">
        <is>
          <t>Must</t>
        </is>
      </c>
      <c r="E56" s="12" t="inlineStr">
        <is>
          <t>Q-N17 - contact</t>
        </is>
      </c>
      <c r="F56" s="11" t="inlineStr">
        <is>
          <t>N4</t>
        </is>
      </c>
    </row>
    <row r="57">
      <c r="A57" s="13" t="inlineStr">
        <is>
          <t>NR-USR-06</t>
        </is>
      </c>
      <c r="B57" s="13" t="inlineStr">
        <is>
          <t>User identity</t>
        </is>
      </c>
      <c r="C57" s="14" t="inlineStr">
        <is>
          <t>The blocked message shows the holder's name and department together, and offers to copy them, so a colleague can look them up or ask their department without writing anything down.</t>
        </is>
      </c>
      <c r="D57" s="13" t="inlineStr">
        <is>
          <t>Should</t>
        </is>
      </c>
      <c r="E57" s="14" t="inlineStr">
        <is>
          <t>Q-N18</t>
        </is>
      </c>
      <c r="F57" s="13" t="inlineStr">
        <is>
          <t>N4</t>
        </is>
      </c>
    </row>
    <row r="58">
      <c r="A58" s="13" t="inlineStr">
        <is>
          <t>NR-USR-07</t>
        </is>
      </c>
      <c r="B58" s="13" t="inlineStr">
        <is>
          <t>User identity</t>
        </is>
      </c>
      <c r="C58" s="14" t="inlineStr">
        <is>
          <t>A workspace records who last saved it - name and department - and when, shown when it is opened. On a shared plan, knowing whose figures these are matters as much as knowing when they were made.</t>
        </is>
      </c>
      <c r="D58" s="13" t="inlineStr">
        <is>
          <t>Should</t>
        </is>
      </c>
      <c r="E58" s="14" t="inlineStr">
        <is>
          <t>Follows from having identities</t>
        </is>
      </c>
      <c r="F58" s="13" t="inlineStr">
        <is>
          <t>N4</t>
        </is>
      </c>
    </row>
    <row r="59">
      <c r="A59" s="11" t="inlineStr">
        <is>
          <t>NR-USR-08</t>
        </is>
      </c>
      <c r="B59" s="11" t="inlineStr">
        <is>
          <t>User identity</t>
        </is>
      </c>
      <c r="C59" s="12" t="inlineStr">
        <is>
          <t>This identity is DECLARED, not verified. The application states as much where it is entered, and nothing in it is treated as proof of who acted.</t>
        </is>
      </c>
      <c r="D59" s="11" t="inlineStr">
        <is>
          <t>Must</t>
        </is>
      </c>
      <c r="E59" s="12" t="inlineStr">
        <is>
          <t>Honesty about what it is</t>
        </is>
      </c>
      <c r="F59" s="11" t="inlineStr">
        <is>
          <t>N2</t>
        </is>
      </c>
    </row>
    <row r="60">
      <c r="A60" s="11" t="inlineStr">
        <is>
          <t>NR-USR-09</t>
        </is>
      </c>
      <c r="B60" s="11" t="inlineStr">
        <is>
          <t>User identity</t>
        </is>
      </c>
      <c r="C60" s="12" t="inlineStr">
        <is>
          <t>Identity is held per user in their own data folder, never in the shared application folder, so two people on one copy do not overwrite each other's details.</t>
        </is>
      </c>
      <c r="D60" s="11" t="inlineStr">
        <is>
          <t>Must</t>
        </is>
      </c>
      <c r="E60" s="12" t="inlineStr">
        <is>
          <t>NR-DEP-11</t>
        </is>
      </c>
      <c r="F60" s="11" t="inlineStr">
        <is>
          <t>N4</t>
        </is>
      </c>
    </row>
    <row r="61">
      <c r="A61" s="11" t="inlineStr">
        <is>
          <t>NR-USR-10</t>
        </is>
      </c>
      <c r="B61" s="11" t="inlineStr">
        <is>
          <t>User identity</t>
        </is>
      </c>
      <c r="C61"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61" s="11" t="inlineStr">
        <is>
          <t>Should</t>
        </is>
      </c>
      <c r="E61" s="12" t="inlineStr">
        <is>
          <t>Q-N18, Person.department</t>
        </is>
      </c>
      <c r="F61" s="11" t="inlineStr">
        <is>
          <t>N4</t>
        </is>
      </c>
    </row>
    <row r="62">
      <c r="A62" s="11" t="inlineStr">
        <is>
          <t>NR-USR-11</t>
        </is>
      </c>
      <c r="B62" s="11" t="inlineStr">
        <is>
          <t>User identity</t>
        </is>
      </c>
      <c r="C62" s="12" t="inlineStr">
        <is>
          <t>Where the declared name matches a person in the open workspace, that person's department is offered first. The user is usually one of the people in the plan, so their own record is the best answer available.</t>
        </is>
      </c>
      <c r="D62" s="11" t="inlineStr">
        <is>
          <t>Could</t>
        </is>
      </c>
      <c r="E62" s="12" t="inlineStr">
        <is>
          <t>Q-N18</t>
        </is>
      </c>
      <c r="F62" s="11" t="inlineStr">
        <is>
          <t>N4</t>
        </is>
      </c>
    </row>
    <row r="63">
      <c r="A63" s="11" t="inlineStr">
        <is>
          <t>NR-PAR-01</t>
        </is>
      </c>
      <c r="B63" s="11" t="inlineStr">
        <is>
          <t>Parity</t>
        </is>
      </c>
      <c r="C63" s="12" t="inlineStr">
        <is>
          <t>The calculation engine, the validation rules and the period derivation are ONE implementation shared by both applications, not two copies kept in step by hand.</t>
        </is>
      </c>
      <c r="D63" s="11" t="inlineStr">
        <is>
          <t>Must</t>
        </is>
      </c>
      <c r="E63" s="12" t="inlineStr">
        <is>
          <t>Your instruction to keep both</t>
        </is>
      </c>
      <c r="F63" s="11" t="inlineStr">
        <is>
          <t>N2</t>
        </is>
      </c>
    </row>
    <row r="64">
      <c r="A64" s="11" t="inlineStr">
        <is>
          <t>NR-PAR-02</t>
        </is>
      </c>
      <c r="B64" s="11" t="inlineStr">
        <is>
          <t>Parity</t>
        </is>
      </c>
      <c r="C64" s="12" t="inlineStr">
        <is>
          <t>Given identical input, both applications produce identical figures, identical findings and identical exports. This is proven by an automated test, not asserted.</t>
        </is>
      </c>
      <c r="D64" s="11" t="inlineStr">
        <is>
          <t>Must</t>
        </is>
      </c>
      <c r="E64" s="12" t="inlineStr">
        <is>
          <t>Derived from NR-PAR-01</t>
        </is>
      </c>
      <c r="F64" s="11" t="inlineStr">
        <is>
          <t>N4</t>
        </is>
      </c>
    </row>
    <row r="65">
      <c r="A65" s="11" t="inlineStr">
        <is>
          <t>NR-PAR-03</t>
        </is>
      </c>
      <c r="B65" s="11" t="inlineStr">
        <is>
          <t>Parity</t>
        </is>
      </c>
      <c r="C65" s="12" t="inlineStr">
        <is>
          <t>The HTML application continues to be built from the shared engine and its behaviour is unchanged by the refactor, proven by the existing 13 suites passing unmodified.</t>
        </is>
      </c>
      <c r="D65" s="11" t="inlineStr">
        <is>
          <t>Must</t>
        </is>
      </c>
      <c r="E65" s="12" t="inlineStr">
        <is>
          <t>Protects the finished product</t>
        </is>
      </c>
      <c r="F65" s="11" t="inlineStr">
        <is>
          <t>N2</t>
        </is>
      </c>
    </row>
    <row r="66">
      <c r="A66" s="11" t="inlineStr">
        <is>
          <t>NR-PAR-04</t>
        </is>
      </c>
      <c r="B66" s="11" t="inlineStr">
        <is>
          <t>Parity</t>
        </is>
      </c>
      <c r="C66" s="12" t="inlineStr">
        <is>
          <t>Screen layout, wording and interaction match the web application except where a desktop convention requires otherwise, and every such difference is listed.</t>
        </is>
      </c>
      <c r="D66" s="11" t="inlineStr">
        <is>
          <t>Should</t>
        </is>
      </c>
      <c r="E66" s="12" t="inlineStr">
        <is>
          <t>Two tools, one habit</t>
        </is>
      </c>
      <c r="F66" s="11" t="inlineStr">
        <is>
          <t>N3</t>
        </is>
      </c>
    </row>
    <row r="67">
      <c r="A67" s="13" t="inlineStr">
        <is>
          <t>NR-DEP-01</t>
        </is>
      </c>
      <c r="B67" s="13" t="inlineStr">
        <is>
          <t>Deployment</t>
        </is>
      </c>
      <c r="C67" s="14" t="inlineStr">
        <is>
          <t>The application runs on Windows 10 and Windows 11, 64-bit. No other operating system is supported or tested.</t>
        </is>
      </c>
      <c r="D67" s="13" t="inlineStr">
        <is>
          <t>Must</t>
        </is>
      </c>
      <c r="E67" s="14" t="inlineStr">
        <is>
          <t>Your instruction</t>
        </is>
      </c>
      <c r="F67" s="13" t="inlineStr">
        <is>
          <t>N5</t>
        </is>
      </c>
    </row>
    <row r="68">
      <c r="A68" s="13" t="inlineStr">
        <is>
          <t>NR-DEP-02</t>
        </is>
      </c>
      <c r="B68" s="13" t="inlineStr">
        <is>
          <t>Deployment</t>
        </is>
      </c>
      <c r="C68" s="14" t="inlineStr">
        <is>
          <t>There is NO INSTALLER. The application is a folder that is copied to wherever the user wants it and run from there. It requires no administrator rights, at any point, for any purpose.</t>
        </is>
      </c>
      <c r="D68" s="13" t="inlineStr">
        <is>
          <t>Must</t>
        </is>
      </c>
      <c r="E68" s="14" t="inlineStr">
        <is>
          <t>Your instruction</t>
        </is>
      </c>
      <c r="F68" s="13" t="inlineStr">
        <is>
          <t>N5</t>
        </is>
      </c>
    </row>
    <row r="69">
      <c r="A69" s="13" t="inlineStr">
        <is>
          <t>NR-DEP-03</t>
        </is>
      </c>
      <c r="B69" s="13" t="inlineStr">
        <is>
          <t>Deployment</t>
        </is>
      </c>
      <c r="C69" s="14" t="inlineStr">
        <is>
          <t>Updating means replacing the application files inside that folder. No workspace, setting or recent-file entry is touched by an update, and a workspace written by an older version opens in a newer one.</t>
        </is>
      </c>
      <c r="D69" s="13" t="inlineStr">
        <is>
          <t>Must</t>
        </is>
      </c>
      <c r="E69" s="14" t="inlineStr">
        <is>
          <t>Data safety</t>
        </is>
      </c>
      <c r="F69" s="13" t="inlineStr">
        <is>
          <t>N5</t>
        </is>
      </c>
    </row>
    <row r="70">
      <c r="A70" s="11" t="inlineStr">
        <is>
          <t>NR-DEP-04</t>
        </is>
      </c>
      <c r="B70" s="11" t="inlineStr">
        <is>
          <t>Deployment</t>
        </is>
      </c>
      <c r="C70" s="12" t="inlineStr">
        <is>
          <t>A workspace written by a NEWER version than the running one is refused with a clear message rather than partially read.</t>
        </is>
      </c>
      <c r="D70" s="11" t="inlineStr">
        <is>
          <t>Must</t>
        </is>
      </c>
      <c r="E70" s="12" t="inlineStr">
        <is>
          <t>Data safety</t>
        </is>
      </c>
      <c r="F70" s="11" t="inlineStr">
        <is>
          <t>N4</t>
        </is>
      </c>
    </row>
    <row r="71">
      <c r="A71" s="11" t="inlineStr">
        <is>
          <t>NR-DEP-05</t>
        </is>
      </c>
      <c r="B71" s="11" t="inlineStr">
        <is>
          <t>Deployment</t>
        </is>
      </c>
      <c r="C71" s="12" t="inlineStr">
        <is>
          <t>The application folder is self-contained: it carries its own browser engine and every other dependency, and requires nothing to be present on the machine beyond Windows itself. Package size is not constrained.</t>
        </is>
      </c>
      <c r="D71" s="11" t="inlineStr">
        <is>
          <t>Must</t>
        </is>
      </c>
      <c r="E71" s="12" t="inlineStr">
        <is>
          <t>Your instruction</t>
        </is>
      </c>
      <c r="F71" s="11" t="inlineStr">
        <is>
          <t>N5</t>
        </is>
      </c>
    </row>
    <row r="72">
      <c r="A72" s="13" t="inlineStr">
        <is>
          <t>NR-DEP-06</t>
        </is>
      </c>
      <c r="B72" s="13" t="inlineStr">
        <is>
          <t>Deployment</t>
        </is>
      </c>
      <c r="C72" s="14"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72" s="13" t="inlineStr">
        <is>
          <t>Must</t>
        </is>
      </c>
      <c r="E72" s="14" t="inlineStr">
        <is>
          <t>Non-installed rule, amended for the shared folder</t>
        </is>
      </c>
      <c r="F72" s="13" t="inlineStr">
        <is>
          <t>N5</t>
        </is>
      </c>
    </row>
    <row r="73">
      <c r="A73" s="11" t="inlineStr">
        <is>
          <t>NR-DEP-07</t>
        </is>
      </c>
      <c r="B73" s="11" t="inlineStr">
        <is>
          <t>Deployment</t>
        </is>
      </c>
      <c r="C73" s="12" t="inlineStr">
        <is>
          <t>Deleting the folder removes the application completely, leaving no trace on the machine.</t>
        </is>
      </c>
      <c r="D73" s="11" t="inlineStr">
        <is>
          <t>Must</t>
        </is>
      </c>
      <c r="E73" s="12" t="inlineStr">
        <is>
          <t>Non-installed rule</t>
        </is>
      </c>
      <c r="F73" s="11" t="inlineStr">
        <is>
          <t>N5</t>
        </is>
      </c>
    </row>
    <row r="74">
      <c r="A74" s="11" t="inlineStr">
        <is>
          <t>NR-DEP-08</t>
        </is>
      </c>
      <c r="B74" s="11" t="inlineStr">
        <is>
          <t>Deployment</t>
        </is>
      </c>
      <c r="C74"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4" s="11" t="inlineStr">
        <is>
          <t>Must</t>
        </is>
      </c>
      <c r="E74" s="12" t="inlineStr">
        <is>
          <t>Non-installed rule</t>
        </is>
      </c>
      <c r="F74" s="11" t="inlineStr">
        <is>
          <t>N5</t>
        </is>
      </c>
    </row>
    <row r="75">
      <c r="A75" s="13" t="inlineStr">
        <is>
          <t>NR-DEP-09</t>
        </is>
      </c>
      <c r="B75" s="13" t="inlineStr">
        <is>
          <t>Deployment</t>
        </is>
      </c>
      <c r="C75" s="14" t="inlineStr">
        <is>
          <t>Where the application folder is read-only or shared - typically on a network folder - the application still runs, tells the user plainly that it cannot keep data beside itself, and keeps that data in a folder the user chooses instead.</t>
        </is>
      </c>
      <c r="D75" s="13" t="inlineStr">
        <is>
          <t>Must</t>
        </is>
      </c>
      <c r="E75" s="14" t="inlineStr">
        <is>
          <t>Raised from Should at round 2 - Q-N12</t>
        </is>
      </c>
      <c r="F75" s="13" t="inlineStr">
        <is>
          <t>N4</t>
        </is>
      </c>
    </row>
    <row r="76">
      <c r="A76" s="11" t="inlineStr">
        <is>
          <t>NR-DEP-10</t>
        </is>
      </c>
      <c r="B76" s="11" t="inlineStr">
        <is>
          <t>Deployment</t>
        </is>
      </c>
      <c r="C76"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6" s="11" t="inlineStr">
        <is>
          <t>Must</t>
        </is>
      </c>
      <c r="E76" s="12" t="inlineStr">
        <is>
          <t>Q-N12</t>
        </is>
      </c>
      <c r="F76" s="11" t="inlineStr">
        <is>
          <t>N4</t>
        </is>
      </c>
    </row>
    <row r="77">
      <c r="A77" s="11" t="inlineStr">
        <is>
          <t>NR-DEP-11</t>
        </is>
      </c>
      <c r="B77" s="11" t="inlineStr">
        <is>
          <t>Deployment</t>
        </is>
      </c>
      <c r="C77" s="12" t="inlineStr">
        <is>
          <t>Where several people run one shared copy, each has their own settings, recent list, backups and default workspace folder. No user can see, overwrite or lock out another through the application.</t>
        </is>
      </c>
      <c r="D77" s="11" t="inlineStr">
        <is>
          <t>Must</t>
        </is>
      </c>
      <c r="E77" s="12" t="inlineStr">
        <is>
          <t>Q-N12</t>
        </is>
      </c>
      <c r="F77" s="11" t="inlineStr">
        <is>
          <t>N4</t>
        </is>
      </c>
    </row>
    <row r="78">
      <c r="A78" s="11" t="inlineStr">
        <is>
          <t>NR-DEP-12</t>
        </is>
      </c>
      <c r="B78" s="11" t="inlineStr">
        <is>
          <t>Deployment</t>
        </is>
      </c>
      <c r="C78" s="12" t="inlineStr">
        <is>
          <t>The application can create a personal desktop shortcut, at the user's request, that carries their own --data path. This is how a shared copy is used day to day without being asked anything at launch.</t>
        </is>
      </c>
      <c r="D78" s="11" t="inlineStr">
        <is>
          <t>Should</t>
        </is>
      </c>
      <c r="E78" s="12" t="inlineStr">
        <is>
          <t>Q-N12</t>
        </is>
      </c>
      <c r="F78" s="11" t="inlineStr">
        <is>
          <t>N4</t>
        </is>
      </c>
    </row>
    <row r="79">
      <c r="A79" s="13" t="inlineStr">
        <is>
          <t>NR-DEP-13</t>
        </is>
      </c>
      <c r="B79" s="13" t="inlineStr">
        <is>
          <t>Deployment</t>
        </is>
      </c>
      <c r="C79" s="14" t="inlineStr">
        <is>
          <t>The application runs correctly when launched from a UNC path (\\server\share\PM_APP) as well as from a mapped drive letter.</t>
        </is>
      </c>
      <c r="D79" s="13" t="inlineStr">
        <is>
          <t>Must</t>
        </is>
      </c>
      <c r="E79" s="14" t="inlineStr">
        <is>
          <t>Q-N12</t>
        </is>
      </c>
      <c r="F79" s="13" t="inlineStr">
        <is>
          <t>N5</t>
        </is>
      </c>
    </row>
    <row r="80">
      <c r="A80" s="11" t="inlineStr">
        <is>
          <t>NR-DEP-14</t>
        </is>
      </c>
      <c r="B80" s="11" t="inlineStr">
        <is>
          <t>Deployment</t>
        </is>
      </c>
      <c r="C80" s="12" t="inlineStr">
        <is>
          <t>Both arrangements are supported and both are tested: run in place from the shared folder, and copied from it to a local folder and run there. Neither is a second-class case, and the user guide states what each costs in launch time.</t>
        </is>
      </c>
      <c r="D80" s="11" t="inlineStr">
        <is>
          <t>Must</t>
        </is>
      </c>
      <c r="E80" s="12" t="inlineStr">
        <is>
          <t>Q-N14</t>
        </is>
      </c>
      <c r="F80" s="11" t="inlineStr">
        <is>
          <t>N5</t>
        </is>
      </c>
    </row>
    <row r="81">
      <c r="A81" s="11" t="inlineStr">
        <is>
          <t>NR-DEP-15</t>
        </is>
      </c>
      <c r="B81" s="11" t="inlineStr">
        <is>
          <t>Deployment</t>
        </is>
      </c>
      <c r="C81" s="12" t="inlineStr">
        <is>
          <t>On a writable shared folder, each person's data folder sits under the application's own data folder, one per user. Nobody has to choose a location, and nobody's settings meet anybody else's.</t>
        </is>
      </c>
      <c r="D81" s="11" t="inlineStr">
        <is>
          <t>Should</t>
        </is>
      </c>
      <c r="E81" s="12" t="inlineStr">
        <is>
          <t>Q-N15</t>
        </is>
      </c>
      <c r="F81" s="11" t="inlineStr">
        <is>
          <t>N4</t>
        </is>
      </c>
    </row>
    <row r="82">
      <c r="A82" s="13" t="inlineStr">
        <is>
          <t>NR-SEC-01</t>
        </is>
      </c>
      <c r="B82" s="13" t="inlineStr">
        <is>
          <t>Security</t>
        </is>
      </c>
      <c r="C82" s="14"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82" s="13" t="inlineStr">
        <is>
          <t>Must</t>
        </is>
      </c>
      <c r="E82" s="14" t="inlineStr">
        <is>
          <t>Offline by requirement; C-N02</t>
        </is>
      </c>
      <c r="F82" s="13" t="inlineStr">
        <is>
          <t>N5</t>
        </is>
      </c>
    </row>
    <row r="83">
      <c r="A83" s="11" t="inlineStr">
        <is>
          <t>NR-SEC-02</t>
        </is>
      </c>
      <c r="B83" s="11" t="inlineStr">
        <is>
          <t>Security</t>
        </is>
      </c>
      <c r="C83" s="12" t="inlineStr">
        <is>
          <t>The embedded browser engine runs with remote content disabled and Node integration off in the renderer, so a crafted workspace file cannot execute code.</t>
        </is>
      </c>
      <c r="D83" s="11" t="inlineStr">
        <is>
          <t>Must</t>
        </is>
      </c>
      <c r="E83" s="12" t="inlineStr">
        <is>
          <t>Standard hardening</t>
        </is>
      </c>
      <c r="F83" s="11" t="inlineStr">
        <is>
          <t>N4</t>
        </is>
      </c>
    </row>
    <row r="84">
      <c r="A84" s="11" t="inlineStr">
        <is>
          <t>NR-SEC-03</t>
        </is>
      </c>
      <c r="B84" s="11" t="inlineStr">
        <is>
          <t>Security</t>
        </is>
      </c>
      <c r="C84" s="12" t="inlineStr">
        <is>
          <t>Workspace files contain business data only - no credentials, no connection strings, nothing that would be sensitive if the file were mailed to a colleague.</t>
        </is>
      </c>
      <c r="D84" s="11" t="inlineStr">
        <is>
          <t>Must</t>
        </is>
      </c>
      <c r="E84" s="12" t="inlineStr">
        <is>
          <t>Data hygiene</t>
        </is>
      </c>
      <c r="F84" s="11" t="inlineStr">
        <is>
          <t>N2</t>
        </is>
      </c>
    </row>
    <row r="85">
      <c r="A85" s="11" t="inlineStr">
        <is>
          <t>NR-SEC-04</t>
        </is>
      </c>
      <c r="B85" s="11" t="inlineStr">
        <is>
          <t>Security</t>
        </is>
      </c>
      <c r="C85" s="12" t="inlineStr">
        <is>
          <t>Where a shell listens, it binds 127.0.0.1 only - never the network interface - on a port the operating system chooses at start. Nothing outside the machine can reach it, nothing is reserved, and Windows Firewall is never asked to allow anything.</t>
        </is>
      </c>
      <c r="D85" s="11" t="inlineStr">
        <is>
          <t>Must</t>
        </is>
      </c>
      <c r="E85" s="12" t="inlineStr">
        <is>
          <t>C-N02</t>
        </is>
      </c>
      <c r="F85" s="11" t="inlineStr">
        <is>
          <t>N4</t>
        </is>
      </c>
    </row>
    <row r="86">
      <c r="A86" s="11" t="inlineStr">
        <is>
          <t>NR-SEC-05</t>
        </is>
      </c>
      <c r="B86" s="11" t="inlineStr">
        <is>
          <t>Security</t>
        </is>
      </c>
      <c r="C86"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6" s="11" t="inlineStr">
        <is>
          <t>Must</t>
        </is>
      </c>
      <c r="E86" s="12" t="inlineStr">
        <is>
          <t>C-N02</t>
        </is>
      </c>
      <c r="F86" s="11" t="inlineStr">
        <is>
          <t>N4</t>
        </is>
      </c>
    </row>
    <row r="87">
      <c r="A87" s="11" t="inlineStr">
        <is>
          <t>NR-SEC-06</t>
        </is>
      </c>
      <c r="B87" s="11" t="inlineStr">
        <is>
          <t>Security</t>
        </is>
      </c>
      <c r="C87" s="12" t="inlineStr">
        <is>
          <t>The listener serves one page and one operation list. No URL is ever mapped onto a path on disk, so there is no directory to escape from.</t>
        </is>
      </c>
      <c r="D87" s="11" t="inlineStr">
        <is>
          <t>Must</t>
        </is>
      </c>
      <c r="E87" s="12" t="inlineStr">
        <is>
          <t>C-N02</t>
        </is>
      </c>
      <c r="F87" s="11" t="inlineStr">
        <is>
          <t>N4</t>
        </is>
      </c>
    </row>
    <row r="88">
      <c r="A88" s="13" t="inlineStr">
        <is>
          <t>NR-NFR-01</t>
        </is>
      </c>
      <c r="B88" s="13" t="inlineStr">
        <is>
          <t>Performance</t>
        </is>
      </c>
      <c r="C88" s="14" t="inlineStr">
        <is>
          <t>Launch to a usable window in under 5 seconds from a local disk, and reopening the last workspace adds no more than 2 seconds on the volumes in A-N01. Launch from a network folder is measured and stated rather than promised - see R-N12.</t>
        </is>
      </c>
      <c r="D88" s="13" t="inlineStr">
        <is>
          <t>Should</t>
        </is>
      </c>
      <c r="E88" s="14" t="inlineStr">
        <is>
          <t>Usability</t>
        </is>
      </c>
      <c r="F88" s="13" t="inlineStr">
        <is>
          <t>N4</t>
        </is>
      </c>
    </row>
    <row r="89">
      <c r="A89" s="11" t="inlineStr">
        <is>
          <t>NR-NFR-02</t>
        </is>
      </c>
      <c r="B89" s="11" t="inlineStr">
        <is>
          <t>Performance</t>
        </is>
      </c>
      <c r="C89" s="12" t="inlineStr">
        <is>
          <t>A Save completes in under 1 second at those volumes, so autosave is never felt.</t>
        </is>
      </c>
      <c r="D89" s="11" t="inlineStr">
        <is>
          <t>Should</t>
        </is>
      </c>
      <c r="E89" s="12" t="inlineStr">
        <is>
          <t>Usability</t>
        </is>
      </c>
      <c r="F89" s="11" t="inlineStr">
        <is>
          <t>N4</t>
        </is>
      </c>
    </row>
    <row r="91">
      <c r="A91" s="5" t="inlineStr">
        <is>
          <t>Count</t>
        </is>
      </c>
    </row>
    <row r="92" ht="28" customHeight="1">
      <c r="A92" s="10" t="inlineStr">
        <is>
          <t>Measure</t>
        </is>
      </c>
      <c r="B92" s="10" t="inlineStr">
        <is>
          <t>Count</t>
        </is>
      </c>
    </row>
    <row r="93">
      <c r="A93" s="17" t="inlineStr">
        <is>
          <t>Total requirements</t>
        </is>
      </c>
      <c r="B93" s="17">
        <f>COUNTA(A11:A89)</f>
        <v/>
      </c>
    </row>
    <row r="94">
      <c r="A94" s="15" t="inlineStr">
        <is>
          <t>Must</t>
        </is>
      </c>
      <c r="B94" s="15">
        <f>COUNTIF(D11:D89,"Must")</f>
        <v/>
      </c>
    </row>
    <row r="95">
      <c r="A95" s="17" t="inlineStr">
        <is>
          <t>Should</t>
        </is>
      </c>
      <c r="B95" s="17">
        <f>COUNTIF(D11:D89,"Should")</f>
        <v/>
      </c>
    </row>
    <row r="96">
      <c r="A96" s="15" t="inlineStr">
        <is>
          <t>Could</t>
        </is>
      </c>
      <c r="B96" s="15">
        <f>COUNTIF(D11:D89,"Could")</f>
        <v/>
      </c>
    </row>
    <row r="98">
      <c r="A98" s="8" t="inlineStr">
        <is>
          <t>Please mark any requirement you disagree with in the Priority column, or strike it out. The register is the contract for Steps 2 to 5, exactly as sheet 03 of the web plan was.</t>
        </is>
      </c>
    </row>
    <row r="99">
      <c r="A99" s="3" t="inlineStr">
        <is>
          <t>Legend</t>
        </is>
      </c>
    </row>
    <row r="100">
      <c r="A100" s="19" t="inlineStr">
        <is>
          <t>Green = new to the desktop application; nothing in the web application corresponds to it.</t>
        </is>
      </c>
    </row>
    <row r="101">
      <c r="A101" s="20" t="inlineStr">
        <is>
          <t>Orange = inherited from the web application but deliberately changed here.</t>
        </is>
      </c>
    </row>
    <row r="102">
      <c r="A102" s="21" t="inlineStr">
        <is>
          <t>Yellow = needs your decision before the work can proceed.</t>
        </is>
      </c>
    </row>
  </sheetData>
  <dataValidations count="1">
    <dataValidation sqref="D11:D8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7" t="inlineStr">
        <is>
          <t>core/</t>
        </is>
      </c>
      <c r="B14" s="18" t="inlineStr">
        <is>
          <t>Parse, validate, derive periods, calculate load, read and write xlsx, read and write JSON. No DOM, no filesystem, no dialogs.</t>
        </is>
      </c>
      <c r="C14" s="18" t="inlineStr">
        <is>
          <t>Shared, identical</t>
        </is>
      </c>
      <c r="D14" s="18" t="inlineStr">
        <is>
          <t>The whole of the trust in both products sits here. Built at N2.1: 7 files, 1,210 lines, and tools/test_layers.py holds it to the boundary.</t>
        </is>
      </c>
    </row>
    <row r="15">
      <c r="A15" s="15" t="inlineStr">
        <is>
          <t>ui/</t>
        </is>
      </c>
      <c r="B15" s="16" t="inlineStr">
        <is>
          <t>Tabs, tables, charts, filters, the provisional-edit model, the change log.</t>
        </is>
      </c>
      <c r="C15" s="16" t="inlineStr">
        <is>
          <t>Shared, identical</t>
        </is>
      </c>
      <c r="D15" s="16" t="inlineStr">
        <is>
          <t>Renders into a DOM; indifferent to which shell provides it.</t>
        </is>
      </c>
    </row>
    <row r="16">
      <c r="A16" s="17" t="inlineStr">
        <is>
          <t>storage/</t>
        </is>
      </c>
      <c r="B16" s="18" t="inlineStr">
        <is>
          <t>An interface: open, save, listWorkspaces, restoreVersion, recoverPending.</t>
        </is>
      </c>
      <c r="C16" s="18" t="inlineStr">
        <is>
          <t>Interface shared, implementation per shell</t>
        </is>
      </c>
      <c r="D16" s="18" t="inlineStr">
        <is>
          <t>The whole of the difference between the two products sits here. In the web shell it is two functions and 63 lines - one reads a file, one writes one - which is how small the seam turned out to be.</t>
        </is>
      </c>
    </row>
    <row r="17">
      <c r="A17" s="15" t="inlineStr">
        <is>
          <t>shell/web/</t>
        </is>
      </c>
      <c r="B17" s="16" t="inlineStr">
        <is>
          <t>Storage over the browser's own storage; the build step that emits the single HTML file.</t>
        </is>
      </c>
      <c r="C17" s="16" t="inlineStr">
        <is>
          <t>Web only</t>
        </is>
      </c>
      <c r="D17" s="16"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5" t="inlineStr">
        <is>
          <t>tools/</t>
        </is>
      </c>
      <c r="B19" s="16" t="inlineStr">
        <is>
          <t>The 13 verification suites, the document generators, the Python reference implementation.</t>
        </is>
      </c>
      <c r="C19" s="16" t="inlineStr">
        <is>
          <t>Shared</t>
        </is>
      </c>
      <c r="D19" s="16"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5" t="inlineStr">
        <is>
          <t>Tauri</t>
        </is>
      </c>
      <c r="B34" s="15" t="inlineStr">
        <is>
          <t>Later option</t>
        </is>
      </c>
      <c r="C34" s="16" t="inlineStr">
        <is>
          <t>Package around 10 MB, single executable. Same engine reuse.</t>
        </is>
      </c>
      <c r="D34" s="16" t="inlineStr">
        <is>
          <t>Needs a Rust toolchain and a Windows build host; cannot be verified from the current environment. Automated UI testing needs a WebDriver setup that is not available here.</t>
        </is>
      </c>
    </row>
    <row r="35">
      <c r="A35" s="17" t="inlineStr">
        <is>
          <t>Native rewrite (C# / .NET, Java)</t>
        </is>
      </c>
      <c r="B35" s="17" t="inlineStr">
        <is>
          <t>Rejected</t>
        </is>
      </c>
      <c r="C35" s="18" t="inlineStr">
        <is>
          <t>Smallest package, best desktop integration.</t>
        </is>
      </c>
      <c r="D35" s="18" t="inlineStr">
        <is>
          <t>Discards a verified engine and a verified UI, and creates the second implementation that NR-PAR-01 exists to prevent. Months of work to reach where the product already is.</t>
        </is>
      </c>
    </row>
    <row r="36">
      <c r="A36" s="15" t="inlineStr">
        <is>
          <t>Progressive web app</t>
        </is>
      </c>
      <c r="B36" s="15" t="inlineStr">
        <is>
          <t>Rejected</t>
        </is>
      </c>
      <c r="C36" s="16" t="inlineStr">
        <is>
          <t>No packaging at all.</t>
        </is>
      </c>
      <c r="D36" s="16"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7" t="inlineStr">
        <is>
          <t>Installer (MSI / NSIS / MSIX)</t>
        </is>
      </c>
      <c r="B45" s="17" t="inlineStr">
        <is>
          <t>REJECTED</t>
        </is>
      </c>
      <c r="C45" s="18" t="inlineStr">
        <is>
          <t>Writes to Program Files and the registry, creates Start-menu entries and an uninstall record. This is precisely what 'non-installed' excludes.</t>
        </is>
      </c>
    </row>
    <row r="46">
      <c r="A46" s="15" t="inlineStr">
        <is>
          <t>Single self-extracting .exe</t>
        </is>
      </c>
      <c r="B46" s="15" t="inlineStr">
        <is>
          <t>REJECTED</t>
        </is>
      </c>
      <c r="C46" s="16"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5" t="inlineStr">
        <is>
          <t>ZIP of that folder</t>
        </is>
      </c>
      <c r="B48" s="15" t="inlineStr">
        <is>
          <t>How it is delivered</t>
        </is>
      </c>
      <c r="C48" s="16"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8" t="inlineStr">
        <is>
          <t>Double-clicking a .prap file in Explorer will not open it.</t>
        </is>
      </c>
      <c r="B55" s="18" t="inlineStr">
        <is>
          <t>A file association is a registry entry. Mitigated by drag-and-drop onto the window, and by the recent-workspaces list (NR-IMP-04, NR-APP-06).</t>
        </is>
      </c>
    </row>
    <row r="56">
      <c r="A56" s="16" t="inlineStr">
        <is>
          <t>No Start-menu or taskbar entry appears by itself.</t>
        </is>
      </c>
      <c r="B56" s="16" t="inlineStr">
        <is>
          <t>The user can pin the exe by hand - which is a user action, not something the application does. The user guide will say how.</t>
        </is>
      </c>
    </row>
    <row r="57">
      <c r="A57" s="18" t="inlineStr">
        <is>
          <t>Windows will not treat the application as known software.</t>
        </is>
      </c>
      <c r="B57" s="18" t="inlineStr">
        <is>
          <t>SmartScreen and anti-virus judge an unsigned, unregistered executable more harshly, not less. See risks R-N01 and R-N09 - this is the one place where 'non-installed' makes a problem harder rather than easier.</t>
        </is>
      </c>
    </row>
    <row r="58">
      <c r="A58" s="16" t="inlineStr">
        <is>
          <t>The folder must not be nested too deeply.</t>
        </is>
      </c>
      <c r="B58" s="16"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9" t="inlineStr">
        <is>
          <t>Green = new to the desktop application; nothing in the web application corresponds to it.</t>
        </is>
      </c>
    </row>
    <row r="63">
      <c r="A63" s="20" t="inlineStr">
        <is>
          <t>Orange = inherited from the web application but deliberately changed here.</t>
        </is>
      </c>
    </row>
    <row r="64">
      <c r="A64" s="21"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7" t="inlineStr">
        <is>
          <t>Format</t>
        </is>
      </c>
      <c r="B18" s="18" t="inlineStr">
        <is>
          <t>prap-source-data JSON, format_version 1 - the format the AI agent guide already documents.</t>
        </is>
      </c>
      <c r="C18" s="17" t="inlineStr">
        <is>
          <t>NR-STO-03</t>
        </is>
      </c>
    </row>
    <row r="19">
      <c r="A19" s="15" t="inlineStr">
        <is>
          <t>Why not SQLite</t>
        </is>
      </c>
      <c r="B19" s="16"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5" t="inlineStr">
        <is>
          <t>N-02</t>
        </is>
      </c>
    </row>
    <row r="20">
      <c r="A20" s="17" t="inlineStr">
        <is>
          <t>Why not the Excel workbook itself</t>
        </is>
      </c>
      <c r="B20" s="18" t="inlineStr">
        <is>
          <t>Writing xlsx on every Save would be slow, would lose the provisional-edit state, and would make an interrupted write corrupt the user's own archive file.</t>
        </is>
      </c>
      <c r="C20" s="17" t="inlineStr">
        <is>
          <t>N-02</t>
        </is>
      </c>
    </row>
    <row r="21">
      <c r="A21" s="15" t="inlineStr">
        <is>
          <t>Extension</t>
        </is>
      </c>
      <c r="B21" s="16" t="inlineStr">
        <is>
          <t>.prap - but NOT registered with Windows, because that would need a registry entry the non-installed rule forbids. Workspaces are opened from within the application, or dragged onto its window.</t>
        </is>
      </c>
      <c r="C21" s="15" t="inlineStr">
        <is>
          <t>NR-IMP-04</t>
        </is>
      </c>
    </row>
    <row r="22">
      <c r="A22" s="17" t="inlineStr">
        <is>
          <t>Contents</t>
        </is>
      </c>
      <c r="B22" s="18" t="inlineStr">
        <is>
          <t>The ten sheets exactly as imported, plus a small header: application version, schema version, source file name and import timestamp, and the retained version history.</t>
        </is>
      </c>
      <c r="C22" s="17" t="inlineStr">
        <is>
          <t>NR-STO-09</t>
        </is>
      </c>
    </row>
    <row r="23">
      <c r="A23" s="15" t="inlineStr">
        <is>
          <t>Readable</t>
        </is>
      </c>
      <c r="B23" s="16" t="inlineStr">
        <is>
          <t>Yes - it is JSON. A workspace can be inspected, diffed, version-controlled, or handed to an AI agent as-is.</t>
        </is>
      </c>
      <c r="C23" s="15"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8" t="inlineStr">
        <is>
          <t>An update replaces the application files and leaves data\ alone.</t>
        </is>
      </c>
      <c r="B41" s="18" t="inlineStr">
        <is>
          <t>Stated as a rule in the user guide AND enforced by the updater instructions: the delivered zip contains no data\ folder, so extracting it over an existing installation cannot overwrite one.</t>
        </is>
      </c>
    </row>
    <row r="42">
      <c r="A42" s="16" t="inlineStr">
        <is>
          <t>Workspaces default into data\workspaces\ but are not confined there.</t>
        </is>
      </c>
      <c r="B42" s="16" t="inlineStr">
        <is>
          <t>The user may save a workspace anywhere - a project folder, a network drive. The default simply means the application always has somewhere sensible to put one.</t>
        </is>
      </c>
    </row>
    <row r="43">
      <c r="A43" s="18" t="inlineStr">
        <is>
          <t>Paths in settings.json are relative wherever they can be.</t>
        </is>
      </c>
      <c r="B43" s="18" t="inlineStr">
        <is>
          <t>So copying the folder to another PC, or to a different drive letter, does not break the recent list (NR-DEP-08).</t>
        </is>
      </c>
    </row>
    <row r="44">
      <c r="A44" s="16" t="inlineStr">
        <is>
          <t>If the application folder is read-only, data\ cannot be created.</t>
        </is>
      </c>
      <c r="B44" s="16"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7" t="inlineStr">
        <is>
          <t>1</t>
        </is>
      </c>
      <c r="B60" s="17" t="inlineStr">
        <is>
          <t>--data=&lt;path&gt; on the command line</t>
        </is>
      </c>
      <c r="C60" s="18" t="inlineStr">
        <is>
          <t>How a personal shortcut carries it. Explicit, visible, and belongs to the user rather than to the application.</t>
        </is>
      </c>
      <c r="D60" s="17" t="inlineStr">
        <is>
          <t>Always wins</t>
        </is>
      </c>
    </row>
    <row r="61">
      <c r="A61" s="15" t="inlineStr">
        <is>
          <t>2</t>
        </is>
      </c>
      <c r="B61" s="15" t="inlineStr">
        <is>
          <t>The PRAP_DATA environment variable</t>
        </is>
      </c>
      <c r="C61" s="16" t="inlineStr">
        <is>
          <t>For a site that wants to set it centrally, by login script or group policy.</t>
        </is>
      </c>
      <c r="D61" s="15" t="inlineStr">
        <is>
          <t>If no argument</t>
        </is>
      </c>
    </row>
    <row r="62">
      <c r="A62" s="17" t="inlineStr">
        <is>
          <t>3</t>
        </is>
      </c>
      <c r="B62" s="17" t="inlineStr">
        <is>
          <t>data\ beside the application - and data\users\&lt;name&gt;\ where the folder is shared</t>
        </is>
      </c>
      <c r="C62" s="18" t="inlineStr">
        <is>
          <t>The ordinary single-user case, and the reason a copied folder simply works. Q-N15 says the share would be WRITABLE, so on a shared copy this rule still applies: each person gets their own folder under it and nobody has to choose anything (NR-DEP-15).</t>
        </is>
      </c>
      <c r="D62" s="17" t="inlineStr">
        <is>
          <t>If writable</t>
        </is>
      </c>
    </row>
    <row r="63">
      <c r="A63" s="15" t="inlineStr">
        <is>
          <t>4</t>
        </is>
      </c>
      <c r="B63" s="15" t="inlineStr">
        <is>
          <t>Ask the user, once</t>
        </is>
      </c>
      <c r="C63" s="16" t="inlineStr">
        <is>
          <t>Only where the folder is read-only after all. The answer is not written to a hidden file - the application offers to create a desktop shortcut carrying --data, so the choice lives somewhere the user can see, move and delete.</t>
        </is>
      </c>
      <c r="D63" s="15"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7" t="inlineStr">
        <is>
          <t>1</t>
        </is>
      </c>
      <c r="B72" s="18" t="inlineStr">
        <is>
          <t>Serialise the committed model to JSON in memory.</t>
        </is>
      </c>
      <c r="C72" s="18" t="inlineStr">
        <is>
          <t>Nothing has touched the disk yet.</t>
        </is>
      </c>
    </row>
    <row r="73">
      <c r="A73" s="15" t="inlineStr">
        <is>
          <t>2</t>
        </is>
      </c>
      <c r="B73" s="16" t="inlineStr">
        <is>
          <t>Write it to a temporary file in the same directory, and flush it to the physical disk.</t>
        </is>
      </c>
      <c r="C73" s="16" t="inlineStr">
        <is>
          <t>Same directory, so the rename in step 4 cannot cross a filesystem boundary.</t>
        </is>
      </c>
    </row>
    <row r="74">
      <c r="A74" s="17" t="inlineStr">
        <is>
          <t>3</t>
        </is>
      </c>
      <c r="B74" s="18" t="inlineStr">
        <is>
          <t>Roll the current workspace file into the version history.</t>
        </is>
      </c>
      <c r="C74" s="18" t="inlineStr">
        <is>
          <t>This is what NR-STO-06 restores from.</t>
        </is>
      </c>
    </row>
    <row r="75">
      <c r="A75" s="15" t="inlineStr">
        <is>
          <t>4</t>
        </is>
      </c>
      <c r="B75" s="16" t="inlineStr">
        <is>
          <t>Rename the temporary file over the workspace file.</t>
        </is>
      </c>
      <c r="C75" s="16" t="inlineStr">
        <is>
          <t>A rename is atomic. The file is either wholly the old contents or wholly the new - never half of each (NR-STO-05).</t>
        </is>
      </c>
    </row>
    <row r="76">
      <c r="A76" s="17" t="inlineStr">
        <is>
          <t>5</t>
        </is>
      </c>
      <c r="B76" s="18" t="inlineStr">
        <is>
          <t>Only now report the save as done.</t>
        </is>
      </c>
      <c r="C76" s="18"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7" t="inlineStr">
        <is>
          <t>A pending edit</t>
        </is>
      </c>
      <c r="B83" s="18" t="inlineStr">
        <is>
          <t>Held exactly as today - snapshot taken before the first change.</t>
        </is>
      </c>
      <c r="C83" s="18" t="inlineStr">
        <is>
          <t>Nothing written to the workspace.</t>
        </is>
      </c>
    </row>
    <row r="84">
      <c r="A84" s="15" t="inlineStr">
        <is>
          <t>Save</t>
        </is>
      </c>
      <c r="B84" s="16" t="inlineStr">
        <is>
          <t>Commits as today, then writes the workspace.</t>
        </is>
      </c>
      <c r="C84" s="16" t="inlineStr">
        <is>
          <t>The existing Save is already the commit point, so persistence attaches to it with no new state.</t>
        </is>
      </c>
    </row>
    <row r="85">
      <c r="A85" s="17" t="inlineStr">
        <is>
          <t>Leave without change</t>
        </is>
      </c>
      <c r="B85" s="18" t="inlineStr">
        <is>
          <t>Reverts as today.</t>
        </is>
      </c>
      <c r="C85" s="18"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7" t="inlineStr">
        <is>
          <t>Replace everything</t>
        </is>
      </c>
      <c r="B98" s="18" t="inlineStr">
        <is>
          <t>Simple.</t>
        </is>
      </c>
      <c r="C98" s="18" t="inlineStr">
        <is>
          <t>Destroys hand-entered data with no warning.</t>
        </is>
      </c>
      <c r="D98" s="17" t="inlineStr">
        <is>
          <t>Rejected</t>
        </is>
      </c>
    </row>
    <row r="99">
      <c r="A99" s="15" t="inlineStr">
        <is>
          <t>Merge by key, source wins</t>
        </is>
      </c>
      <c r="B99" s="16" t="inlineStr">
        <is>
          <t>Keeps rows the import does not mention.</t>
        </is>
      </c>
      <c r="C99" s="16" t="inlineStr">
        <is>
          <t>Silently changes rows you edited deliberately.</t>
        </is>
      </c>
      <c r="D99" s="15"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5" t="inlineStr">
        <is>
          <t>Refuse; require a new workspace</t>
        </is>
      </c>
      <c r="B101" s="16" t="inlineStr">
        <is>
          <t>Impossible to lose anything.</t>
        </is>
      </c>
      <c r="C101" s="16" t="inlineStr">
        <is>
          <t>Makes the ordinary case - refreshed project dates - painful.</t>
        </is>
      </c>
      <c r="D101" s="15"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9" t="inlineStr">
        <is>
          <t>Green = new to the desktop application; nothing in the web application corresponds to it.</t>
        </is>
      </c>
    </row>
    <row r="106">
      <c r="A106" s="20" t="inlineStr">
        <is>
          <t>Orange = inherited from the web application but deliberately changed here.</t>
        </is>
      </c>
    </row>
    <row r="107">
      <c r="A107" s="21"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7" t="inlineStr">
        <is>
          <t>Claim on OPEN</t>
        </is>
      </c>
      <c r="B11" s="18" t="inlineStr">
        <is>
          <t>Simple to build.</t>
        </is>
      </c>
      <c r="C11" s="18"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7" t="inlineStr">
        <is>
          <t>READING</t>
        </is>
      </c>
      <c r="B18" s="18" t="inlineStr">
        <is>
          <t>The workspace is open and nobody in this session has tried to change anything.</t>
        </is>
      </c>
      <c r="C18" s="18" t="inlineStr">
        <is>
          <t>Everything except changing the workspace: all tabs, figures, graphs, filters, horizon, exports, Save As.</t>
        </is>
      </c>
      <c r="D18" s="18" t="inlineStr">
        <is>
          <t>Entered on open. Leaves to EDITING on the first edit attempt.</t>
        </is>
      </c>
    </row>
    <row r="19">
      <c r="A19" s="15" t="inlineStr">
        <is>
          <t>EDITING</t>
        </is>
      </c>
      <c r="B19" s="16" t="inlineStr">
        <is>
          <t>This session holds the claim.</t>
        </is>
      </c>
      <c r="C19" s="16" t="inlineStr">
        <is>
          <t>Everything. This is the ordinary working state, identical to the single-user case.</t>
        </is>
      </c>
      <c r="D19" s="16" t="inlineStr">
        <is>
          <t>Entered by a successful claim. Leaves on Save, on Leave-without-change, or on close.</t>
        </is>
      </c>
    </row>
    <row r="20">
      <c r="A20" s="17" t="inlineStr">
        <is>
          <t>BLOCKED</t>
        </is>
      </c>
      <c r="B20" s="18" t="inlineStr">
        <is>
          <t>This session tried to edit and somebody else holds the claim.</t>
        </is>
      </c>
      <c r="C20" s="18" t="inlineStr">
        <is>
          <t>Everything READING allows. The attempted edit did not happen, and the window says who holds the plan and since when.</t>
        </is>
      </c>
      <c r="D20" s="18" t="inlineStr">
        <is>
          <t>Entered by a refused claim. Leaves to READING, and offers EDITING the moment the holder releases.</t>
        </is>
      </c>
    </row>
    <row r="21">
      <c r="A21" s="15" t="inlineStr">
        <is>
          <t>STALE</t>
        </is>
      </c>
      <c r="B21" s="16" t="inlineStr">
        <is>
          <t>Somebody else has saved this workspace since this session read it.</t>
        </is>
      </c>
      <c r="C21" s="16" t="inlineStr">
        <is>
          <t>Everything READING allows, with a standing offer to reload. Editing from a stale view is refused until it reloads.</t>
        </is>
      </c>
      <c r="D21" s="16"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7" t="inlineStr">
        <is>
          <t>1</t>
        </is>
      </c>
      <c r="B28" s="18" t="inlineStr">
        <is>
          <t>Create a claim file beside the workspace, using an operation that FAILS if the file already exists.</t>
        </is>
      </c>
      <c r="C28" s="18" t="inlineStr">
        <is>
          <t>Not read-then-write: two sessions can both read 'no claim' and both then write one. Create-if-absent is decided by the filesystem, one winner, no race - and it works over SMB (NR-STO-13).</t>
        </is>
      </c>
    </row>
    <row r="29">
      <c r="A29" s="15" t="inlineStr">
        <is>
          <t>2</t>
        </is>
      </c>
      <c r="B29" s="16" t="inlineStr">
        <is>
          <t>The file records user name, machine name, process, the application version, and the time.</t>
        </is>
      </c>
      <c r="C29" s="16" t="inlineStr">
        <is>
          <t>So a refusal can name a person rather than saying 'locked' (NR-STO-12). 'Kim is editing this, since 09:14, on PC-4471' is actionable; 'file in use' is not.</t>
        </is>
      </c>
    </row>
    <row r="30">
      <c r="A30" s="17" t="inlineStr">
        <is>
          <t>3</t>
        </is>
      </c>
      <c r="B30" s="18" t="inlineStr">
        <is>
          <t>While the session holds the claim it rewrites the time inside it, every 30 seconds.</t>
        </is>
      </c>
      <c r="C30" s="18" t="inlineStr">
        <is>
          <t>A heartbeat. It is how a live holder is told apart from a dead one, without asking the user to guess (NR-STO-14).</t>
        </is>
      </c>
    </row>
    <row r="31">
      <c r="A31" s="15" t="inlineStr">
        <is>
          <t>4</t>
        </is>
      </c>
      <c r="B31" s="16" t="inlineStr">
        <is>
          <t>A claim whose heartbeat has not moved for 30 MINUTES expires and may be taken over.</t>
        </is>
      </c>
      <c r="C31" s="16" t="inlineStr">
        <is>
          <t>Your answer at Q-N16. Note that the heartbeat interval and the expiry are two different numbers - see the section below, which is where the value of keeping them apart shows.</t>
        </is>
      </c>
    </row>
    <row r="32">
      <c r="A32" s="17" t="inlineStr">
        <is>
          <t>5</t>
        </is>
      </c>
      <c r="B32" s="18" t="inlineStr">
        <is>
          <t>Saving re-reads the claim first, and refuses if it is no longer this session's.</t>
        </is>
      </c>
      <c r="C32" s="18"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7" t="inlineStr">
        <is>
          <t>Holder active - heartbeat within the last 30 seconds</t>
        </is>
      </c>
      <c r="B47" s="18" t="inlineStr">
        <is>
          <t>"Kim Min-jun is editing this plan (active now)."</t>
        </is>
      </c>
      <c r="C47" s="18" t="inlineStr">
        <is>
          <t>Wait, or telephone them. The plan is genuinely in use.</t>
        </is>
      </c>
    </row>
    <row r="48">
      <c r="A48" s="15" t="inlineStr">
        <is>
          <t>Holder silent - heartbeat older than 30 seconds</t>
        </is>
      </c>
      <c r="B48" s="16" t="inlineStr">
        <is>
          <t>"Kim Min-jun's session has not responded since 09:14. The plan becomes free at 09:44."</t>
        </is>
      </c>
      <c r="C48" s="16" t="inlineStr">
        <is>
          <t>The colleague can decide: wait 20 minutes, or call and ask. Both are informed choices.</t>
        </is>
      </c>
    </row>
    <row r="49">
      <c r="A49" s="17" t="inlineStr">
        <is>
          <t>Expired - heartbeat older than 30 minutes</t>
        </is>
      </c>
      <c r="B49" s="18" t="inlineStr">
        <is>
          <t>"Kim Min-jun's session stopped responding at 09:14. You may take over."</t>
        </is>
      </c>
      <c r="C49" s="18"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7" t="inlineStr">
        <is>
          <t>At launch, before any plan opens</t>
        </is>
      </c>
      <c r="B60" s="18" t="inlineStr">
        <is>
          <t>The application asks who you are. The first time it pre-fills your Windows account name and asks for the rest; afterwards it shows what it remembers and you confirm with one click. 'Not me' switches user, which matters on a shared PC.</t>
        </is>
      </c>
      <c r="C60" s="17" t="inlineStr">
        <is>
          <t>NR-USR-01..03</t>
        </is>
      </c>
    </row>
    <row r="61">
      <c r="A61" s="15" t="inlineStr">
        <is>
          <t>What is recorded</t>
        </is>
      </c>
      <c r="B61" s="16" t="inlineStr">
        <is>
          <t>A name and a DEPARTMENT. Nothing else - no e-mail, no telephone. A name and a department are what a colleague needs to find somebody in the company directory, and they are two fields people will actually fill in.</t>
        </is>
      </c>
      <c r="C61" s="15" t="inlineStr">
        <is>
          <t>NR-USR-04</t>
        </is>
      </c>
    </row>
    <row r="62">
      <c r="A62" s="17" t="inlineStr">
        <is>
          <t>Where the department comes from</t>
        </is>
      </c>
      <c r="B62" s="18"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7" t="inlineStr">
        <is>
          <t>NR-USR-10, NR-USR-11</t>
        </is>
      </c>
    </row>
    <row r="63">
      <c r="A63" s="15" t="inlineStr">
        <is>
          <t>Where it is kept</t>
        </is>
      </c>
      <c r="B63" s="16" t="inlineStr">
        <is>
          <t>In the user's own data folder - never in the shared application folder, where two people would overwrite each other.</t>
        </is>
      </c>
      <c r="C63" s="15" t="inlineStr">
        <is>
          <t>NR-USR-09</t>
        </is>
      </c>
    </row>
    <row r="64">
      <c r="A64" s="17" t="inlineStr">
        <is>
          <t>What the claim carries</t>
        </is>
      </c>
      <c r="B64" s="18" t="inlineStr">
        <is>
          <t>The holder's name and contact details, so the message can be acted on. Removed when the claim ends.</t>
        </is>
      </c>
      <c r="C64" s="17" t="inlineStr">
        <is>
          <t>NR-USR-05</t>
        </is>
      </c>
    </row>
    <row r="65">
      <c r="A65" s="15" t="inlineStr">
        <is>
          <t>What a blocked colleague sees</t>
        </is>
      </c>
      <c r="B65" s="16"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5" t="inlineStr">
        <is>
          <t>NR-STO-12, NR-USR-06</t>
        </is>
      </c>
    </row>
    <row r="66">
      <c r="A66" s="17" t="inlineStr">
        <is>
          <t>What else it improves</t>
        </is>
      </c>
      <c r="B66" s="18" t="inlineStr">
        <is>
          <t>A workspace records who last saved it and when, shown on opening. On a shared plan, whose figures these are matters as much as when they were made.</t>
        </is>
      </c>
      <c r="C66" s="17"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8" t="inlineStr">
        <is>
          <t>The holder saves and closes the workspace.</t>
        </is>
      </c>
      <c r="B73" s="18" t="inlineStr">
        <is>
          <t>Released immediately. A waiting session is offered it without reopening anything.</t>
        </is>
      </c>
    </row>
    <row r="74">
      <c r="A74" s="16" t="inlineStr">
        <is>
          <t>The holder discards their edits (Leave without change).</t>
        </is>
      </c>
      <c r="B74" s="16" t="inlineStr">
        <is>
          <t>Released immediately - there is nothing to protect any more.</t>
        </is>
      </c>
    </row>
    <row r="75">
      <c r="A75" s="18" t="inlineStr">
        <is>
          <t>The holder closes the application.</t>
        </is>
      </c>
      <c r="B75" s="18" t="inlineStr">
        <is>
          <t>Released on the way out, including on an unexpected close where the application still gets to run.</t>
        </is>
      </c>
    </row>
    <row r="76">
      <c r="A76" s="16" t="inlineStr">
        <is>
          <t>The holder's session dies without warning.</t>
        </is>
      </c>
      <c r="B76" s="16"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8" t="inlineStr">
        <is>
          <t>Row-level or section-level locking.</t>
        </is>
      </c>
      <c r="B82" s="18" t="inlineStr">
        <is>
          <t>Two people editing different parts of one plan at the same time is a different product, and it needs a merge model the storage format does not have. The claim covers the whole workspace (N-20).</t>
        </is>
      </c>
    </row>
    <row r="83">
      <c r="A83" s="16" t="inlineStr">
        <is>
          <t>Merging two people's changes.</t>
        </is>
      </c>
      <c r="B83" s="16" t="inlineStr">
        <is>
          <t>Out of scope, and it would change the file format. What is in scope is that no change is lost silently.</t>
        </is>
      </c>
    </row>
    <row r="84">
      <c r="A84" s="18" t="inlineStr">
        <is>
          <t>A queue of waiting editors.</t>
        </is>
      </c>
      <c r="B84" s="18" t="inlineStr">
        <is>
          <t>One waiting session is offered the claim when it frees. Beyond that, people can talk to each other.</t>
        </is>
      </c>
    </row>
    <row r="85">
      <c r="A85" s="16" t="inlineStr">
        <is>
          <t>An operating-system lock.</t>
        </is>
      </c>
      <c r="B85" s="16"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9" t="inlineStr">
        <is>
          <t>Green = new to the desktop application; nothing in the web application corresponds to it.</t>
        </is>
      </c>
    </row>
    <row r="90">
      <c r="A90" s="20" t="inlineStr">
        <is>
          <t>Orange = inherited from the web application but deliberately changed here.</t>
        </is>
      </c>
    </row>
    <row r="91">
      <c r="A91" s="21"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7" t="inlineStr">
        <is>
          <t>N-01</t>
        </is>
      </c>
      <c r="B5" s="18" t="inlineStr">
        <is>
          <t>The desktop shell is Electron, packaged without an installer requirement.</t>
        </is>
      </c>
      <c r="C5" s="18"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5" t="inlineStr">
        <is>
          <t>N-02</t>
        </is>
      </c>
      <c r="B6" s="16" t="inlineStr">
        <is>
          <t>The workspace is prap-source-data JSON, not SQLite and not xlsx.</t>
        </is>
      </c>
      <c r="C6" s="16" t="inlineStr">
        <is>
          <t>Small data, an existing round-trip-tested format, and it keeps a workspace directly readable by an AI agent. See sheet 05.</t>
        </is>
      </c>
      <c r="D6" s="11" t="inlineStr">
        <is>
          <t>CONFIRMED at Gate N1</t>
        </is>
      </c>
    </row>
    <row r="7">
      <c r="A7" s="17" t="inlineStr">
        <is>
          <t>N-03</t>
        </is>
      </c>
      <c r="B7" s="18" t="inlineStr">
        <is>
          <t>Workspace writes are atomic, with the previous versions retained.</t>
        </is>
      </c>
      <c r="C7" s="18" t="inlineStr">
        <is>
          <t>The cost of persistence is that a bad write now destroys data that used to live safely in Excel. Atomic rename plus history is the standard answer.</t>
        </is>
      </c>
      <c r="D7" s="11" t="inlineStr">
        <is>
          <t>CONFIRMED at Gate N1</t>
        </is>
      </c>
    </row>
    <row r="8">
      <c r="A8" s="15" t="inlineStr">
        <is>
          <t>N-04</t>
        </is>
      </c>
      <c r="B8" s="16" t="inlineStr">
        <is>
          <t>Many workspaces, chosen by the user, with a recent list.</t>
        </is>
      </c>
      <c r="C8" s="16" t="inlineStr">
        <is>
          <t>You plan scenarios. A single implicit workspace would force overwriting one plan to explore another.</t>
        </is>
      </c>
      <c r="D8" s="11" t="inlineStr">
        <is>
          <t>CONFIRMED at Gate N1</t>
        </is>
      </c>
    </row>
    <row r="9">
      <c r="A9" s="17" t="inlineStr">
        <is>
          <t>N-05</t>
        </is>
      </c>
      <c r="B9" s="18" t="inlineStr">
        <is>
          <t>One shared engine, two shells - never two implementations.</t>
        </is>
      </c>
      <c r="C9" s="18" t="inlineStr">
        <is>
          <t>Two implementations of the same arithmetic will diverge, and the divergence will be discovered by someone who trusted the wrong number.</t>
        </is>
      </c>
      <c r="D9" s="11" t="inlineStr">
        <is>
          <t>CONFIRMED at Gate N1</t>
        </is>
      </c>
    </row>
    <row r="10">
      <c r="A10" s="15" t="inlineStr">
        <is>
          <t>N-06</t>
        </is>
      </c>
      <c r="B10" s="16" t="inlineStr">
        <is>
          <t>The HTML application is frozen in feature terms at its v1.0. Shared-engine fixes reach it; desktop-only features do not.</t>
        </is>
      </c>
      <c r="C10" s="16" t="inlineStr">
        <is>
          <t>It is finished and in service. Keeping it a build target protects it; keeping it feature-frozen keeps it from becoming a second thing to design.</t>
        </is>
      </c>
      <c r="D10" s="11" t="inlineStr">
        <is>
          <t>CONFIRMED at Gate N1</t>
        </is>
      </c>
    </row>
    <row r="11">
      <c r="A11" s="17" t="inlineStr">
        <is>
          <t>N-07</t>
        </is>
      </c>
      <c r="B11" s="18" t="inlineStr">
        <is>
          <t>Re-import shows a difference and lets the user decide per sheet.</t>
        </is>
      </c>
      <c r="C11" s="18" t="inlineStr">
        <is>
          <t>The only option that cannot silently lose hand-entered work. See sheet 05.</t>
        </is>
      </c>
      <c r="D11" s="11" t="inlineStr">
        <is>
          <t>CONFIRMED at Gate N1</t>
        </is>
      </c>
    </row>
    <row r="12">
      <c r="A12" s="15" t="inlineStr">
        <is>
          <t>N-08</t>
        </is>
      </c>
      <c r="B12" s="16" t="inlineStr">
        <is>
          <t>Pending edits are journalled separately from the committed workspace.</t>
        </is>
      </c>
      <c r="C12" s="16" t="inlineStr">
        <is>
          <t>So recovery can offer them back without a half-typed row ever becoming committed data.</t>
        </is>
      </c>
      <c r="D12" s="11" t="inlineStr">
        <is>
          <t>CONFIRMED at Gate N1</t>
        </is>
      </c>
    </row>
    <row r="13">
      <c r="A13" s="17" t="inlineStr">
        <is>
          <t>N-09</t>
        </is>
      </c>
      <c r="B13" s="18" t="inlineStr">
        <is>
          <t>No network access of any kind, including update checks and crash reporting.</t>
        </is>
      </c>
      <c r="C13" s="18" t="inlineStr">
        <is>
          <t>The tool is offline by requirement. Anything that opens a socket makes it a different kind of product in the eyes of corporate IT.</t>
        </is>
      </c>
      <c r="D13" s="11" t="inlineStr">
        <is>
          <t>CONFIRMED at Gate N1</t>
        </is>
      </c>
    </row>
    <row r="14">
      <c r="A14" s="15" t="inlineStr">
        <is>
          <t>N-10</t>
        </is>
      </c>
      <c r="B14" s="16" t="inlineStr">
        <is>
          <t>Engine parity between the applications is mandatory and tested; visual parity is best-effort and documented.</t>
        </is>
      </c>
      <c r="C14" s="16" t="inlineStr">
        <is>
          <t>The figures must agree or both tools are worthless. Whether a dialog looks native matters much less.</t>
        </is>
      </c>
      <c r="D14" s="11" t="inlineStr">
        <is>
          <t>CONFIRMED at Gate N1</t>
        </is>
      </c>
    </row>
    <row r="15">
      <c r="A15" s="17" t="inlineStr">
        <is>
          <t>N-11</t>
        </is>
      </c>
      <c r="B15" s="18" t="inlineStr">
        <is>
          <t>The desktop application reuses the web UI rather than being redesigned.</t>
        </is>
      </c>
      <c r="C15" s="18" t="inlineStr">
        <is>
          <t>You have reviewed that UI over 25 rounds. Redesigning it would discard that and give you two habits to hold.</t>
        </is>
      </c>
      <c r="D15" s="11" t="inlineStr">
        <is>
          <t>CONFIRMED at Gate N1</t>
        </is>
      </c>
    </row>
    <row r="16">
      <c r="A16" s="15" t="inlineStr">
        <is>
          <t>N-12</t>
        </is>
      </c>
      <c r="B16" s="16" t="inlineStr">
        <is>
          <t>A workspace from a newer application version is refused, not partially read.</t>
        </is>
      </c>
      <c r="C16" s="16" t="inlineStr">
        <is>
          <t>Reading unknown fields and writing them back out is how data quietly disappears.</t>
        </is>
      </c>
      <c r="D16" s="11" t="inlineStr">
        <is>
          <t>CONFIRMED at Gate N1</t>
        </is>
      </c>
    </row>
    <row r="17">
      <c r="A17" s="17" t="inlineStr">
        <is>
          <t>N-13</t>
        </is>
      </c>
      <c r="B17" s="18" t="inlineStr">
        <is>
          <t>Application files and user data are separate folders under one parent, and an update replaces only the application files.</t>
        </is>
      </c>
      <c r="C17" s="18"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5" t="inlineStr">
        <is>
          <t>N-14</t>
        </is>
      </c>
      <c r="B18" s="16" t="inlineStr">
        <is>
          <t>The package is a plain folder that runs in place, delivered as a zip - not a single self-extracting executable.</t>
        </is>
      </c>
      <c r="C18" s="16"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7" t="inlineStr">
        <is>
          <t>N-15</t>
        </is>
      </c>
      <c r="B19" s="18" t="inlineStr">
        <is>
          <t>No registry entry, no file association, no Start-menu entry, no AppData folder - ever.</t>
        </is>
      </c>
      <c r="C19" s="18"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5" t="inlineStr">
        <is>
          <t>N-16</t>
        </is>
      </c>
      <c r="B20" s="16" t="inlineStr">
        <is>
          <t>Where data lives is resolved in one fixed order, and the chosen location is shown in the About dialog.</t>
        </is>
      </c>
      <c r="C20" s="16"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7" t="inlineStr">
        <is>
          <t>N-17</t>
        </is>
      </c>
      <c r="B21" s="18" t="inlineStr">
        <is>
          <t>Workspace locking is an advisory marker file, not an operating-system lock.</t>
        </is>
      </c>
      <c r="C21" s="18"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5" t="inlineStr">
        <is>
          <t>N-18</t>
        </is>
      </c>
      <c r="B22" s="16" t="inlineStr">
        <is>
          <t>Concurrent use is designed for unconditionally, not only if the shared folder is adopted.</t>
        </is>
      </c>
      <c r="C22" s="16"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7" t="inlineStr">
        <is>
          <t>N-19</t>
        </is>
      </c>
      <c r="B23" s="18" t="inlineStr">
        <is>
          <t>The write claim is made at the first EDIT, not when the workspace is opened.</t>
        </is>
      </c>
      <c r="C23" s="18"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5" t="inlineStr">
        <is>
          <t>N-20</t>
        </is>
      </c>
      <c r="B24" s="16" t="inlineStr">
        <is>
          <t>The claim covers the whole workspace, not a row or a section.</t>
        </is>
      </c>
      <c r="C24" s="16"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7" t="inlineStr">
        <is>
          <t>N-21</t>
        </is>
      </c>
      <c r="B25" s="18" t="inlineStr">
        <is>
          <t>The claim is a file created by an operation that fails if it already exists, kept alive by a heartbeat.</t>
        </is>
      </c>
      <c r="C25" s="18"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5" t="inlineStr">
        <is>
          <t>N-22</t>
        </is>
      </c>
      <c r="B26" s="16" t="inlineStr">
        <is>
          <t>Saving keeps the claim; only closing or discarding releases it.</t>
        </is>
      </c>
      <c r="C26" s="16" t="inlineStr">
        <is>
          <t>Releasing on save would hand the plan to somebody else in the middle of a working session, which is exactly when it must not move.</t>
        </is>
      </c>
      <c r="D26" s="11" t="inlineStr">
        <is>
          <t>CONFIRMED at Gate N1</t>
        </is>
      </c>
    </row>
    <row r="27">
      <c r="A27" s="17" t="inlineStr">
        <is>
          <t>N-23</t>
        </is>
      </c>
      <c r="B27" s="18" t="inlineStr">
        <is>
          <t>The heartbeat interval (30 seconds) and the expiry (30 minutes) are separate numbers.</t>
        </is>
      </c>
      <c r="C27" s="18"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5" t="inlineStr">
        <is>
          <t>N-24</t>
        </is>
      </c>
      <c r="B28" s="16" t="inlineStr">
        <is>
          <t>A user may reclaim their own stalled claim immediately, without waiting out the expiry.</t>
        </is>
      </c>
      <c r="C28" s="16"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7" t="inlineStr">
        <is>
          <t>N-25</t>
        </is>
      </c>
      <c r="B29" s="18" t="inlineStr">
        <is>
          <t>Identity is declared by the user, not authenticated.</t>
        </is>
      </c>
      <c r="C29" s="18"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5" t="inlineStr">
        <is>
          <t>N-26</t>
        </is>
      </c>
      <c r="B30" s="16" t="inlineStr">
        <is>
          <t>The name is pre-filled from the Windows account but stays editable.</t>
        </is>
      </c>
      <c r="C30" s="16" t="inlineStr">
        <is>
          <t>Free accuracy for the common case without a login system, and editable because a Windows account name is often not how colleagues know each other.</t>
        </is>
      </c>
      <c r="D30" s="11" t="inlineStr">
        <is>
          <t>CONFIRMED at Gate N1</t>
        </is>
      </c>
    </row>
    <row r="31">
      <c r="A31" s="17" t="inlineStr">
        <is>
          <t>N-27</t>
        </is>
      </c>
      <c r="B31" s="18" t="inlineStr">
        <is>
          <t>The holder's name and department travel inside the claim, and are removed with it.</t>
        </is>
      </c>
      <c r="C31" s="18" t="inlineStr">
        <is>
          <t>A message that names somebody but not where to find them leaves the colleague exactly as stuck. Nothing personal outlives the claim it was written for.</t>
        </is>
      </c>
      <c r="D31" s="11" t="inlineStr">
        <is>
          <t>CONFIRMED at Gate N1</t>
        </is>
      </c>
    </row>
    <row r="32">
      <c r="A32" s="15" t="inlineStr">
        <is>
          <t>N-28</t>
        </is>
      </c>
      <c r="B32" s="16" t="inlineStr">
        <is>
          <t>An identity is a name and a department, and nothing else.</t>
        </is>
      </c>
      <c r="C32" s="16"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7" t="inlineStr">
        <is>
          <t>N-29</t>
        </is>
      </c>
      <c r="B33" s="18" t="inlineStr">
        <is>
          <t>The application is 'Project Management APP' on screen, PM_APP as folder and executable.</t>
        </is>
      </c>
      <c r="C33" s="18" t="inlineStr">
        <is>
          <t>Your answer at Q-N11. The documents keep the PRAP_NewApp_ prefix so this plan stays findable beside the web application's; say if you would rather they were renamed to match.</t>
        </is>
      </c>
      <c r="D33" s="11" t="inlineStr">
        <is>
          <t>CONFIRMED at Gate N1</t>
        </is>
      </c>
    </row>
    <row r="34">
      <c r="A34" s="15" t="inlineStr">
        <is>
          <t>N-30</t>
        </is>
      </c>
      <c r="B34" s="16" t="inlineStr">
        <is>
          <t>One previous version of a workspace is retained, and it is a setting rather than a constant.</t>
        </is>
      </c>
      <c r="C34" s="16"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7" t="inlineStr">
        <is>
          <t>N-31</t>
        </is>
      </c>
      <c r="B35" s="18" t="inlineStr">
        <is>
          <t>Both distribution arrangements are first-class: run from the share, or copy from it and run locally.</t>
        </is>
      </c>
      <c r="C35" s="18"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5" t="inlineStr">
        <is>
          <t>N-32</t>
        </is>
      </c>
      <c r="B36" s="16" t="inlineStr">
        <is>
          <t>The application never encrypts anything itself; where files must be protected, the company's own protection is applied to the folder.</t>
        </is>
      </c>
      <c r="C36" s="16"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7" t="inlineStr">
        <is>
          <t>N1</t>
        </is>
      </c>
      <c r="B5" s="17" t="inlineStr">
        <is>
          <t>N1.1</t>
        </is>
      </c>
      <c r="C5" s="18" t="inlineStr">
        <is>
          <t>Draft this plan.</t>
        </is>
      </c>
      <c r="D5" s="18" t="inlineStr">
        <is>
          <t>PRAP_NewApp_Development_Plan_v1.18.xlsx</t>
        </is>
      </c>
      <c r="E5" s="17" t="inlineStr">
        <is>
          <t>Complete - issued for review</t>
        </is>
      </c>
    </row>
    <row r="6">
      <c r="A6" s="15" t="inlineStr">
        <is>
          <t>N1</t>
        </is>
      </c>
      <c r="B6" s="15" t="inlineStr">
        <is>
          <t>N1.2</t>
        </is>
      </c>
      <c r="C6" s="16" t="inlineStr">
        <is>
          <t>Requester reviews across six rounds; all 18 questions answered.</t>
        </is>
      </c>
      <c r="D6" s="16" t="inlineStr">
        <is>
          <t>v0.6_reviewed mark-up</t>
        </is>
      </c>
      <c r="E6" s="15" t="inlineStr">
        <is>
          <t>Complete</t>
        </is>
      </c>
    </row>
    <row r="7">
      <c r="A7" s="17" t="inlineStr">
        <is>
          <t>N1</t>
        </is>
      </c>
      <c r="B7" s="17" t="inlineStr">
        <is>
          <t>N1.3</t>
        </is>
      </c>
      <c r="C7" s="18" t="inlineStr">
        <is>
          <t>Apply the answers and re-issue, round by round.</t>
        </is>
      </c>
      <c r="D7" s="18" t="inlineStr">
        <is>
          <t>Plans v0.2 to v0.7</t>
        </is>
      </c>
      <c r="E7" s="17" t="inlineStr">
        <is>
          <t>Complete</t>
        </is>
      </c>
    </row>
    <row r="8">
      <c r="A8" s="15" t="inlineStr">
        <is>
          <t>N1</t>
        </is>
      </c>
      <c r="B8" s="15" t="inlineStr">
        <is>
          <t>GN1</t>
        </is>
      </c>
      <c r="C8" s="16" t="inlineStr">
        <is>
          <t>GATE N1 CLOSED - approved by direction 2026-08-13. Decisions N-01..N-32 confirmed. Step N2 authorised.</t>
        </is>
      </c>
      <c r="D8" s="16" t="inlineStr">
        <is>
          <t>Plan v1.0</t>
        </is>
      </c>
      <c r="E8" s="15" t="inlineStr">
        <is>
          <t>Complete</t>
        </is>
      </c>
    </row>
    <row r="9">
      <c r="A9" s="17" t="inlineStr">
        <is>
          <t>N2</t>
        </is>
      </c>
      <c r="B9" s="17" t="inlineStr">
        <is>
          <t>N2.1</t>
        </is>
      </c>
      <c r="C9" s="18" t="inlineStr">
        <is>
          <t>Split the source into core / ui / storage / shell-web, with a build step that re-emits app/PRAP.html. NO behaviour change.</t>
        </is>
      </c>
      <c r="D9" s="18" t="inlineStr">
        <is>
          <t>src/ + tools/build_app.py</t>
        </is>
      </c>
      <c r="E9" s="17" t="inlineStr">
        <is>
          <t>Complete</t>
        </is>
      </c>
    </row>
    <row r="10">
      <c r="A10" s="15" t="inlineStr">
        <is>
          <t>N2</t>
        </is>
      </c>
      <c r="B10" s="15" t="inlineStr">
        <is>
          <t>N2.2</t>
        </is>
      </c>
      <c r="C10" s="16" t="inlineStr">
        <is>
          <t>Prove the refactor changed nothing: the rebuilt file is byte-identical, and all 13 existing suites pass against it unmodified.</t>
        </is>
      </c>
      <c r="D10" s="16" t="inlineStr">
        <is>
          <t>tools/test_layers.py + suite run</t>
        </is>
      </c>
      <c r="E10" s="15" t="inlineStr">
        <is>
          <t>Complete - byte-identical; 13/13 suites pass</t>
        </is>
      </c>
    </row>
    <row r="11">
      <c r="A11" s="17" t="inlineStr">
        <is>
          <t>N2</t>
        </is>
      </c>
      <c r="B11" s="17" t="inlineStr">
        <is>
          <t>N2.3</t>
        </is>
      </c>
      <c r="C11" s="18" t="inlineStr">
        <is>
          <t>Specify the storage interface and the workspace file format.</t>
        </is>
      </c>
      <c r="D11" s="18" t="inlineStr">
        <is>
          <t>Specification sheets 03, 04</t>
        </is>
      </c>
      <c r="E11" s="17" t="inlineStr">
        <is>
          <t>Complete - issued for review</t>
        </is>
      </c>
    </row>
    <row r="12">
      <c r="A12" s="15" t="inlineStr">
        <is>
          <t>N2</t>
        </is>
      </c>
      <c r="B12" s="15" t="inlineStr">
        <is>
          <t>N2.4</t>
        </is>
      </c>
      <c r="C12" s="16" t="inlineStr">
        <is>
          <t>Specify the desktop shell: window, menus, dialogs, recent files, drag-and-drop, About; and user identity.</t>
        </is>
      </c>
      <c r="D12" s="16" t="inlineStr">
        <is>
          <t>Specification sheets 05, 08</t>
        </is>
      </c>
      <c r="E12" s="15" t="inlineStr">
        <is>
          <t>Complete - issued for review</t>
        </is>
      </c>
    </row>
    <row r="13">
      <c r="A13" s="17" t="inlineStr">
        <is>
          <t>N2</t>
        </is>
      </c>
      <c r="B13" s="17" t="inlineStr">
        <is>
          <t>N2.5</t>
        </is>
      </c>
      <c r="C13" s="18" t="inlineStr">
        <is>
          <t>Specify save safety, version retention, journalling and recovery; and the write claim.</t>
        </is>
      </c>
      <c r="D13" s="18" t="inlineStr">
        <is>
          <t>Specification sheets 06, 07</t>
        </is>
      </c>
      <c r="E13" s="17" t="inlineStr">
        <is>
          <t>Complete - issued for review</t>
        </is>
      </c>
    </row>
    <row r="14">
      <c r="A14" s="15" t="inlineStr">
        <is>
          <t>N2</t>
        </is>
      </c>
      <c r="B14" s="15" t="inlineStr">
        <is>
          <t>N2.6</t>
        </is>
      </c>
      <c r="C14" s="16" t="inlineStr">
        <is>
          <t>Specify the re-import difference report, the look-without-a-workspace path, and protected files.</t>
        </is>
      </c>
      <c r="D14" s="16" t="inlineStr">
        <is>
          <t>Specification sheet 09</t>
        </is>
      </c>
      <c r="E14" s="15" t="inlineStr">
        <is>
          <t>Complete - issued for review</t>
        </is>
      </c>
    </row>
    <row r="15">
      <c r="A15" s="17" t="inlineStr">
        <is>
          <t>N2</t>
        </is>
      </c>
      <c r="B15" s="17" t="inlineStr">
        <is>
          <t>N2.7</t>
        </is>
      </c>
      <c r="C15" s="18" t="inlineStr">
        <is>
          <t>Specify packaging, deployment, the folder layout, data resolution and update.</t>
        </is>
      </c>
      <c r="D15" s="18" t="inlineStr">
        <is>
          <t>Specification sheet 10</t>
        </is>
      </c>
      <c r="E15" s="17" t="inlineStr">
        <is>
          <t>Complete - issued for review</t>
        </is>
      </c>
    </row>
    <row r="16">
      <c r="A16" s="15" t="inlineStr">
        <is>
          <t>N2</t>
        </is>
      </c>
      <c r="B16" s="15" t="inlineStr">
        <is>
          <t>N2.8</t>
        </is>
      </c>
      <c r="C16" s="16" t="inlineStr">
        <is>
          <t>Traceability matrix: every NR-id to a specification section, read from the plan rather than re-typed.</t>
        </is>
      </c>
      <c r="D16" s="16" t="inlineStr">
        <is>
          <t>Specification sheet 11</t>
        </is>
      </c>
      <c r="E16" s="15" t="inlineStr">
        <is>
          <t>Complete - 69/69 specified</t>
        </is>
      </c>
    </row>
    <row r="17">
      <c r="A17" s="17" t="inlineStr">
        <is>
          <t>N2</t>
        </is>
      </c>
      <c r="B17" s="17" t="inlineStr">
        <is>
          <t>GN2</t>
        </is>
      </c>
      <c r="C17" s="18" t="inlineStr">
        <is>
          <t>GATE N2 CLOSED - specification approved 2026-08-13; all seven open points agreed. Step N3 authorised.</t>
        </is>
      </c>
      <c r="D17" s="18" t="inlineStr">
        <is>
          <t>PRAP_NewApp_Specification_v1.0.xlsx</t>
        </is>
      </c>
      <c r="E17" s="17" t="inlineStr">
        <is>
          <t>Complete</t>
        </is>
      </c>
    </row>
    <row r="18">
      <c r="A18" s="15" t="inlineStr">
        <is>
          <t>N3</t>
        </is>
      </c>
      <c r="B18" s="15" t="inlineStr">
        <is>
          <t>N3.1</t>
        </is>
      </c>
      <c r="C18" s="16" t="inlineStr">
        <is>
          <t>Desktop-specific UI design: eight screens, built as a clickable prototype; then the real application wrapped in the desktop chrome and loaded with the 62-project dummy dataset, so the figures and charts can be reviewed as they will be.</t>
        </is>
      </c>
      <c r="D18" s="16" t="inlineStr">
        <is>
          <t>app/PM_APP_Prototype_v0.2.html</t>
        </is>
      </c>
      <c r="E18" s="15" t="inlineStr">
        <is>
          <t>Complete - issued for review</t>
        </is>
      </c>
    </row>
    <row r="19">
      <c r="A19" s="17" t="inlineStr">
        <is>
          <t>N3</t>
        </is>
      </c>
      <c r="B19" s="17" t="inlineStr">
        <is>
          <t>N3.2</t>
        </is>
      </c>
      <c r="C19" s="18" t="inlineStr">
        <is>
          <t>List every deliberate divergence from the web UI, with its reason (NR-PAR-04).</t>
        </is>
      </c>
      <c r="D19" s="18" t="inlineStr">
        <is>
          <t>Component list sheet 03 - 9 divergences</t>
        </is>
      </c>
      <c r="E19" s="17" t="inlineStr">
        <is>
          <t>Complete - issued for review</t>
        </is>
      </c>
    </row>
    <row r="20">
      <c r="A20" s="15" t="inlineStr">
        <is>
          <t>N3</t>
        </is>
      </c>
      <c r="B20" s="15" t="inlineStr">
        <is>
          <t>N3.3</t>
        </is>
      </c>
      <c r="C20" s="16" t="inlineStr">
        <is>
          <t>Requester reviews the prototype and the component list.</t>
        </is>
      </c>
      <c r="D20" s="16" t="inlineStr">
        <is>
          <t>v0.2_reviewed mark-up</t>
        </is>
      </c>
      <c r="E20" s="15" t="inlineStr">
        <is>
          <t>Complete</t>
        </is>
      </c>
    </row>
    <row r="21">
      <c r="A21" s="17" t="inlineStr">
        <is>
          <t>N3</t>
        </is>
      </c>
      <c r="B21" s="17" t="inlineStr">
        <is>
          <t>GN3</t>
        </is>
      </c>
      <c r="C21" s="18" t="inlineStr">
        <is>
          <t>GATE N3 CLOSED - component list v1.0 approved 2026-08-13, with change C-N01. Step N4 authorised.</t>
        </is>
      </c>
      <c r="D21" s="18" t="inlineStr">
        <is>
          <t>PRAP_NewApp_Component_List_v1.0.xlsx</t>
        </is>
      </c>
      <c r="E21" s="17" t="inlineStr">
        <is>
          <t>Complete</t>
        </is>
      </c>
    </row>
    <row r="22">
      <c r="A22" s="15" t="inlineStr">
        <is>
          <t>N4</t>
        </is>
      </c>
      <c r="B22" s="15" t="inlineStr">
        <is>
          <t>N4.1</t>
        </is>
      </c>
      <c r="C22" s="16" t="inlineStr">
        <is>
          <t>Desktop shell: application window, menu bar, native dialogs, window state.</t>
        </is>
      </c>
      <c r="D22" s="16" t="inlineStr">
        <is>
          <t>src/shell/desktop/main.js, preload.js, paths.js</t>
        </is>
      </c>
      <c r="E22" s="15" t="inlineStr">
        <is>
          <t>Complete - 23 checks in a running application</t>
        </is>
      </c>
    </row>
    <row r="23">
      <c r="A23" s="17" t="inlineStr">
        <is>
          <t>N4</t>
        </is>
      </c>
      <c r="B23" s="17" t="inlineStr">
        <is>
          <t>N4.2</t>
        </is>
      </c>
      <c r="C23" s="18" t="inlineStr">
        <is>
          <t>Filesystem storage adapter: open, save, atomic write, version history.</t>
        </is>
      </c>
      <c r="D23" s="18" t="inlineStr">
        <is>
          <t>src/storage/desktop/workspace.js</t>
        </is>
      </c>
      <c r="E23" s="17" t="inlineStr">
        <is>
          <t>Complete - killed mid-write 12 times, always wholly old or wholly new</t>
        </is>
      </c>
    </row>
    <row r="24">
      <c r="A24" s="15" t="inlineStr">
        <is>
          <t>N4</t>
        </is>
      </c>
      <c r="B24" s="15" t="inlineStr">
        <is>
          <t>N4.3</t>
        </is>
      </c>
      <c r="C24" s="16" t="inlineStr">
        <is>
          <t>Workspace lifecycle: new, open, save, save as, recent list, reopen last at launch.</t>
        </is>
      </c>
      <c r="D24" s="16" t="inlineStr">
        <is>
          <t>src/shell/desktop/main.js</t>
        </is>
      </c>
      <c r="E24" s="15" t="inlineStr">
        <is>
          <t>Complete</t>
        </is>
      </c>
    </row>
    <row r="25">
      <c r="A25" s="17" t="inlineStr">
        <is>
          <t>N4</t>
        </is>
      </c>
      <c r="B25" s="17" t="inlineStr">
        <is>
          <t>N4.4</t>
        </is>
      </c>
      <c r="C25" s="18" t="inlineStr">
        <is>
          <t>Journalling and crash recovery.</t>
        </is>
      </c>
      <c r="D25" s="18" t="inlineStr">
        <is>
          <t>src/storage/desktop/workspace.js</t>
        </is>
      </c>
      <c r="E25" s="17" t="inlineStr">
        <is>
          <t>Complete - the storage half; the prompt is N4.4d</t>
        </is>
      </c>
    </row>
    <row r="26">
      <c r="A26" s="15" t="inlineStr">
        <is>
          <t>N4</t>
        </is>
      </c>
      <c r="B26" s="15" t="inlineStr">
        <is>
          <t>N4.4b</t>
        </is>
      </c>
      <c r="C26" s="16" t="inlineStr">
        <is>
          <t>Data-location resolution, the About dialog that shows it, and the personal shortcut.</t>
        </is>
      </c>
      <c r="D26" s="16" t="inlineStr">
        <is>
          <t>src/shell/desktop/paths.js</t>
        </is>
      </c>
      <c r="E26" s="15" t="inlineStr">
        <is>
          <t>Complete - the shortcut is outstanding</t>
        </is>
      </c>
    </row>
    <row r="27">
      <c r="A27" s="17" t="inlineStr">
        <is>
          <t>N4</t>
        </is>
      </c>
      <c r="B27" s="17" t="inlineStr">
        <is>
          <t>N4.4c</t>
        </is>
      </c>
      <c r="C27" s="18" t="inlineStr">
        <is>
          <t>The write claim: create-if-absent, the heartbeat, expiry and takeover, and the re-check before every save.</t>
        </is>
      </c>
      <c r="D27" s="18" t="inlineStr">
        <is>
          <t>src/storage/desktop/claim.js</t>
        </is>
      </c>
      <c r="E27" s="17" t="inlineStr">
        <is>
          <t>Complete - one winner from eight racing processes</t>
        </is>
      </c>
    </row>
    <row r="28">
      <c r="A28" s="15" t="inlineStr">
        <is>
          <t>N4</t>
        </is>
      </c>
      <c r="B28" s="15" t="inlineStr">
        <is>
          <t>N4.4d</t>
        </is>
      </c>
      <c r="C28" s="16" t="inlineStr">
        <is>
          <t>The four session states on screen: who holds the plan, the refusal that names them, the offer when it frees, and the staleness notice with its reload.</t>
        </is>
      </c>
      <c r="D28" s="16" t="inlineStr">
        <is>
          <t>ui/</t>
        </is>
      </c>
      <c r="E28" s="15" t="inlineStr">
        <is>
          <t>Not started</t>
        </is>
      </c>
    </row>
    <row r="29">
      <c r="A29" s="17" t="inlineStr">
        <is>
          <t>N4</t>
        </is>
      </c>
      <c r="B29" s="17" t="inlineStr">
        <is>
          <t>N4.4e</t>
        </is>
      </c>
      <c r="C29" s="18" t="inlineStr">
        <is>
          <t>User identity: the launch prompt, remembering and confirming it, switching user, contact details, and the blocked message that carries them.</t>
        </is>
      </c>
      <c r="D29" s="18" t="inlineStr">
        <is>
          <t>shell/desktop/ + ui/</t>
        </is>
      </c>
      <c r="E29" s="17" t="inlineStr">
        <is>
          <t>Not started</t>
        </is>
      </c>
    </row>
    <row r="30">
      <c r="A30" s="15" t="inlineStr">
        <is>
          <t>N4</t>
        </is>
      </c>
      <c r="B30" s="15" t="inlineStr">
        <is>
          <t>N4.5</t>
        </is>
      </c>
      <c r="C30" s="16" t="inlineStr">
        <is>
          <t>Import into an occupied workspace: the difference view and the per-sheet decision.</t>
        </is>
      </c>
      <c r="D30" s="16" t="inlineStr">
        <is>
          <t>src/core/06a_diff.js + src/shell/python/importdiff.js</t>
        </is>
      </c>
      <c r="E30" s="15" t="inlineStr">
        <is>
          <t>Complete - 24 checks, including that a hand-typed row survives an import that never heard of it</t>
        </is>
      </c>
    </row>
    <row r="31">
      <c r="A31" s="17" t="inlineStr">
        <is>
          <t>N4</t>
        </is>
      </c>
      <c r="B31" s="17" t="inlineStr">
        <is>
          <t>N4.6</t>
        </is>
      </c>
      <c r="C31" s="18" t="inlineStr">
        <is>
          <t>Parity suite: identical input through both applications, identical figures, findings and exports.</t>
        </is>
      </c>
      <c r="D31" s="18" t="inlineStr">
        <is>
          <t>tools/test_parity.py</t>
        </is>
      </c>
      <c r="E31" s="17" t="inlineStr">
        <is>
          <t>Not started</t>
        </is>
      </c>
    </row>
    <row r="32">
      <c r="A32" s="15" t="inlineStr">
        <is>
          <t>N4</t>
        </is>
      </c>
      <c r="B32" s="15" t="inlineStr">
        <is>
          <t>N4.7</t>
        </is>
      </c>
      <c r="C32" s="16" t="inlineStr">
        <is>
          <t>Persistence suite: save, close, relaunch, verify; kill mid-write, verify; recover pending edits.</t>
        </is>
      </c>
      <c r="D32" s="16" t="inlineStr">
        <is>
          <t>tools/test_persist.py</t>
        </is>
      </c>
      <c r="E32" s="15" t="inlineStr">
        <is>
          <t>Not started</t>
        </is>
      </c>
    </row>
    <row r="33">
      <c r="A33" s="17" t="inlineStr">
        <is>
          <t>N4</t>
        </is>
      </c>
      <c r="B33" s="17" t="inlineStr">
        <is>
          <t>N4.8</t>
        </is>
      </c>
      <c r="C33" s="18" t="inlineStr">
        <is>
          <t>Requester reviews against real data; refinements folded in.</t>
        </is>
      </c>
      <c r="D33" s="18" t="inlineStr">
        <is>
          <t>Updated code</t>
        </is>
      </c>
      <c r="E33" s="17" t="inlineStr">
        <is>
          <t>Not started</t>
        </is>
      </c>
    </row>
    <row r="34">
      <c r="A34" s="15" t="inlineStr">
        <is>
          <t>N4</t>
        </is>
      </c>
      <c r="B34" s="15" t="inlineStr">
        <is>
          <t>GN4</t>
        </is>
      </c>
      <c r="C34" s="16" t="inlineStr">
        <is>
          <t>GATE N4 - application functionally complete.</t>
        </is>
      </c>
      <c r="D34" s="16" t="inlineStr">
        <is>
          <t>Project Management APP v0.9</t>
        </is>
      </c>
      <c r="E34" s="15" t="inlineStr">
        <is>
          <t>Not started</t>
        </is>
      </c>
    </row>
    <row r="35">
      <c r="A35" s="17" t="inlineStr">
        <is>
          <t>N4a</t>
        </is>
      </c>
      <c r="B35" s="17" t="inlineStr">
        <is>
          <t>N4a.1</t>
        </is>
      </c>
      <c r="C35" s="18" t="inlineStr">
        <is>
          <t>Port the storage layer to Python: workspaces, atomic save, versions, journal, the write claim.</t>
        </is>
      </c>
      <c r="D35" s="18" t="inlineStr">
        <is>
          <t>src/storage/python/</t>
        </is>
      </c>
      <c r="E35" s="17" t="inlineStr">
        <is>
          <t>Complete - 80 checks, including 12 kills mid-save and 8 processes racing for one claim</t>
        </is>
      </c>
    </row>
    <row r="36">
      <c r="A36" s="15" t="inlineStr">
        <is>
          <t>N4a</t>
        </is>
      </c>
      <c r="B36" s="15" t="inlineStr">
        <is>
          <t>N4a.2</t>
        </is>
      </c>
      <c r="C36" s="16" t="inlineStr">
        <is>
          <t>The local server that replaces Electron's main process, with the six controls NR-SEC-04..06 require.</t>
        </is>
      </c>
      <c r="D36" s="16" t="inlineStr">
        <is>
          <t>src/shell/python/server.py</t>
        </is>
      </c>
      <c r="E36" s="15" t="inlineStr">
        <is>
          <t>Complete - 11 of the 42 end-to-end checks are the security ones</t>
        </is>
      </c>
    </row>
    <row r="37">
      <c r="A37" s="17" t="inlineStr">
        <is>
          <t>N4a</t>
        </is>
      </c>
      <c r="B37" s="17" t="inlineStr">
        <is>
          <t>N4a.3</t>
        </is>
      </c>
      <c r="C37" s="18" t="inlineStr">
        <is>
          <t>Choosing a file WITHOUT the browser: a folder listing drawn in the page. A native tkinter dialog was drawn too, where tcl/tk existed, and was withdrawn at C-N03 - it made the .cmd and the .py look like different programs.</t>
        </is>
      </c>
      <c r="D37" s="18" t="inlineStr">
        <is>
          <t>src/shell/python/files.py, bridge.js</t>
        </is>
      </c>
      <c r="E37" s="17" t="inlineStr">
        <is>
          <t>Complete - and the page carries no file input at all (NR-IMP-09)</t>
        </is>
      </c>
    </row>
    <row r="38">
      <c r="A38" s="15" t="inlineStr">
        <is>
          <t>N4a</t>
        </is>
      </c>
      <c r="B38" s="15" t="inlineStr">
        <is>
          <t>N4a.4</t>
        </is>
      </c>
      <c r="C38" s="16" t="inlineStr">
        <is>
          <t>The window chrome the Electron menu bar used to provide, drawn in the page.</t>
        </is>
      </c>
      <c r="D38" s="16" t="inlineStr">
        <is>
          <t>src/shell/python/chrome.html, chrome.css</t>
        </is>
      </c>
      <c r="E38" s="15" t="inlineStr">
        <is>
          <t>Complete</t>
        </is>
      </c>
    </row>
    <row r="39">
      <c r="A39" s="17" t="inlineStr">
        <is>
          <t>N4a</t>
        </is>
      </c>
      <c r="B39" s="17" t="inlineStr">
        <is>
          <t>N4a.5</t>
        </is>
      </c>
      <c r="C39" s="18" t="inlineStr">
        <is>
          <t>Build and package: one command, 107 KB of readable Python text.</t>
        </is>
      </c>
      <c r="D39" s="18" t="inlineStr">
        <is>
          <t>tools/build_python_app.py</t>
        </is>
      </c>
      <c r="E39" s="17" t="inlineStr">
        <is>
          <t>Complete - dist/PM_APP_python_v0.2.zip</t>
        </is>
      </c>
    </row>
    <row r="40">
      <c r="A40" s="15" t="inlineStr">
        <is>
          <t>N4a</t>
        </is>
      </c>
      <c r="B40" s="15" t="inlineStr">
        <is>
          <t>N4a.6</t>
        </is>
      </c>
      <c r="C40" s="16" t="inlineStr">
        <is>
          <t>Prove it is the same application: 1,225 person-months compared against the independent Python reference on every run.</t>
        </is>
      </c>
      <c r="D40" s="16" t="inlineStr">
        <is>
          <t>tools/test_python_app.py</t>
        </is>
      </c>
      <c r="E40" s="15" t="inlineStr">
        <is>
          <t>Complete - worst difference 0.00e+00</t>
        </is>
      </c>
    </row>
    <row r="41">
      <c r="A41" s="17" t="inlineStr">
        <is>
          <t>N4a</t>
        </is>
      </c>
      <c r="B41" s="17" t="inlineStr">
        <is>
          <t>N4a.7</t>
        </is>
      </c>
      <c r="C41" s="18" t="inlineStr">
        <is>
          <t>Requester runs it on the company laptop and reports what happened.</t>
        </is>
      </c>
      <c r="D41" s="18" t="inlineStr">
        <is>
          <t>Your result, 2026-08-22</t>
        </is>
      </c>
      <c r="E41" s="17" t="inlineStr">
        <is>
          <t>COMPLETE - it arrived, it ran, it imported and it exported</t>
        </is>
      </c>
    </row>
    <row r="42">
      <c r="A42" s="15" t="inlineStr">
        <is>
          <t>N4a</t>
        </is>
      </c>
      <c r="B42" s="15" t="inlineStr">
        <is>
          <t>GN4a</t>
        </is>
      </c>
      <c r="C42" s="16" t="inlineStr">
        <is>
          <t>GATE N4a - the Python shell arrives, starts, and reads a workbook on the target machine.</t>
        </is>
      </c>
      <c r="D42" s="16" t="inlineStr">
        <is>
          <t>PM_APP Python v0.4</t>
        </is>
      </c>
      <c r="E42" s="15" t="inlineStr">
        <is>
          <t>CLOSED 2026-08-22</t>
        </is>
      </c>
    </row>
    <row r="43">
      <c r="A43" s="17" t="inlineStr">
        <is>
          <t>N5</t>
        </is>
      </c>
      <c r="B43" s="17" t="inlineStr">
        <is>
          <t>N5.1</t>
        </is>
      </c>
      <c r="C43" s="18" t="inlineStr">
        <is>
          <t>Package as a plain Windows folder delivered in a zip; verify it launches with no installation and no administrator rights.</t>
        </is>
      </c>
      <c r="D43" s="18" t="inlineStr">
        <is>
          <t>PM_APP_v&lt;ver&gt;.zip</t>
        </is>
      </c>
      <c r="E43" s="17" t="inlineStr">
        <is>
          <t>Not started</t>
        </is>
      </c>
    </row>
    <row r="44">
      <c r="A44" s="15" t="inlineStr">
        <is>
          <t>N5</t>
        </is>
      </c>
      <c r="B44" s="15" t="inlineStr">
        <is>
          <t>N5.2</t>
        </is>
      </c>
      <c r="C44" s="16" t="inlineStr">
        <is>
          <t>Verify no socket is opened, offline, for a full session (NR-SEC-01).</t>
        </is>
      </c>
      <c r="D44" s="16" t="inlineStr">
        <is>
          <t>Test evidence</t>
        </is>
      </c>
      <c r="E44" s="15" t="inlineStr">
        <is>
          <t>Not started</t>
        </is>
      </c>
    </row>
    <row r="45">
      <c r="A45" s="17" t="inlineStr">
        <is>
          <t>N5</t>
        </is>
      </c>
      <c r="B45" s="17" t="inlineStr">
        <is>
          <t>N5.3</t>
        </is>
      </c>
      <c r="C45" s="18" t="inlineStr">
        <is>
          <t>Portability suite: run the folder, then copy it to another path and another PC and run it again; verify the recent list and settings survive (NR-DEP-08).</t>
        </is>
      </c>
      <c r="D45" s="18" t="inlineStr">
        <is>
          <t>tools/test_portable.py</t>
        </is>
      </c>
      <c r="E45" s="17" t="inlineStr">
        <is>
          <t>Not started</t>
        </is>
      </c>
    </row>
    <row r="46">
      <c r="A46" s="15" t="inlineStr">
        <is>
          <t>N5</t>
        </is>
      </c>
      <c r="B46" s="15" t="inlineStr">
        <is>
          <t>N5.4</t>
        </is>
      </c>
      <c r="C46" s="16" t="inlineStr">
        <is>
          <t>Cleanliness check: record every file and registry key touched during a full session; verify nothing outside the application folder is written, and that deleting the folder leaves nothing behind (NR-DEP-06, NR-DEP-07).</t>
        </is>
      </c>
      <c r="D46" s="16" t="inlineStr">
        <is>
          <t>Test evidence</t>
        </is>
      </c>
      <c r="E46" s="15" t="inlineStr">
        <is>
          <t>Not started</t>
        </is>
      </c>
    </row>
    <row r="47">
      <c r="A47" s="17" t="inlineStr">
        <is>
          <t>N5</t>
        </is>
      </c>
      <c r="B47" s="17" t="inlineStr">
        <is>
          <t>N5.5</t>
        </is>
      </c>
      <c r="C47" s="18" t="inlineStr">
        <is>
          <t>Update check: extract a newer zip over an existing folder; verify workspaces, backups and settings are untouched (NR-DEP-03).</t>
        </is>
      </c>
      <c r="D47" s="18" t="inlineStr">
        <is>
          <t>Test evidence</t>
        </is>
      </c>
      <c r="E47" s="17" t="inlineStr">
        <is>
          <t>Not started</t>
        </is>
      </c>
    </row>
    <row r="48">
      <c r="A48" s="15" t="inlineStr">
        <is>
          <t>N5</t>
        </is>
      </c>
      <c r="B48" s="15" t="inlineStr">
        <is>
          <t>N5.6</t>
        </is>
      </c>
      <c r="C48" s="16" t="inlineStr">
        <is>
          <t>Awkward-location tests: a deeply nested path (R-N10), a read-only network folder (R-N11), and a UNC path (NR-DEP-13).</t>
        </is>
      </c>
      <c r="D48" s="16" t="inlineStr">
        <is>
          <t>Test evidence</t>
        </is>
      </c>
      <c r="E48" s="15" t="inlineStr">
        <is>
          <t>Not started</t>
        </is>
      </c>
    </row>
    <row r="49">
      <c r="A49" s="17" t="inlineStr">
        <is>
          <t>N5</t>
        </is>
      </c>
      <c r="B49" s="17" t="inlineStr">
        <is>
          <t>N5.6b</t>
        </is>
      </c>
      <c r="C49" s="18"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8" t="inlineStr">
        <is>
          <t>tools/test_shared.py</t>
        </is>
      </c>
      <c r="E49" s="17" t="inlineStr">
        <is>
          <t>Not started</t>
        </is>
      </c>
    </row>
    <row r="50">
      <c r="A50" s="15" t="inlineStr">
        <is>
          <t>N5</t>
        </is>
      </c>
      <c r="B50" s="15" t="inlineStr">
        <is>
          <t>N5.6c</t>
        </is>
      </c>
      <c r="C50" s="16" t="inlineStr">
        <is>
          <t>Measure launch time from a local disk and from a network folder, and state both in the user guide rather than promising one.</t>
        </is>
      </c>
      <c r="D50" s="16" t="inlineStr">
        <is>
          <t>Test evidence</t>
        </is>
      </c>
      <c r="E50" s="15" t="inlineStr">
        <is>
          <t>Not started</t>
        </is>
      </c>
    </row>
    <row r="51">
      <c r="A51" s="17" t="inlineStr">
        <is>
          <t>N5</t>
        </is>
      </c>
      <c r="B51" s="17" t="inlineStr">
        <is>
          <t>N5.7</t>
        </is>
      </c>
      <c r="C51" s="18" t="inlineStr">
        <is>
          <t>Run on a real company PC - the only place execution policy, SmartScreen and anti-virus can be judged.</t>
        </is>
      </c>
      <c r="D51" s="18" t="inlineStr">
        <is>
          <t>Test evidence</t>
        </is>
      </c>
      <c r="E51" s="17" t="inlineStr">
        <is>
          <t>Pending you</t>
        </is>
      </c>
    </row>
    <row r="52">
      <c r="A52" s="15" t="inlineStr">
        <is>
          <t>N5</t>
        </is>
      </c>
      <c r="B52" s="15" t="inlineStr">
        <is>
          <t>N5.8</t>
        </is>
      </c>
      <c r="C52" s="16" t="inlineStr">
        <is>
          <t>User guide: where to extract it, first launch and the SmartScreen prompt, workspaces, import and export, backup, updating, and what to do if it will not start.</t>
        </is>
      </c>
      <c r="D52" s="16" t="inlineStr">
        <is>
          <t>User guide</t>
        </is>
      </c>
      <c r="E52" s="15" t="inlineStr">
        <is>
          <t>Not started</t>
        </is>
      </c>
    </row>
    <row r="53">
      <c r="A53" s="17" t="inlineStr">
        <is>
          <t>N5</t>
        </is>
      </c>
      <c r="B53" s="17" t="inlineStr">
        <is>
          <t>N5.9</t>
        </is>
      </c>
      <c r="C53" s="18" t="inlineStr">
        <is>
          <t>Full pass over the traceability matrix; version alignment across both product lines.</t>
        </is>
      </c>
      <c r="D53" s="18" t="inlineStr">
        <is>
          <t>Traceability matrix</t>
        </is>
      </c>
      <c r="E53" s="17" t="inlineStr">
        <is>
          <t>Not started</t>
        </is>
      </c>
    </row>
    <row r="54">
      <c r="A54" s="15" t="inlineStr">
        <is>
          <t>N5</t>
        </is>
      </c>
      <c r="B54" s="15" t="inlineStr">
        <is>
          <t>GN5</t>
        </is>
      </c>
      <c r="C54" s="16" t="inlineStr">
        <is>
          <t>GATE N5 - release.</t>
        </is>
      </c>
      <c r="D54" s="16" t="inlineStr">
        <is>
          <t>Project Management APP v1.0 (PM_APP)</t>
        </is>
      </c>
      <c r="E54" s="15" t="inlineStr">
        <is>
          <t>Not started</t>
        </is>
      </c>
    </row>
    <row r="56">
      <c r="A56" s="5" t="inlineStr">
        <is>
          <t>Progress</t>
        </is>
      </c>
    </row>
    <row r="57" ht="28" customHeight="1">
      <c r="A57" s="10" t="inlineStr">
        <is>
          <t>Measure</t>
        </is>
      </c>
      <c r="B57" s="10" t="inlineStr">
        <is>
          <t>Count</t>
        </is>
      </c>
    </row>
    <row r="58">
      <c r="A58" s="17" t="inlineStr">
        <is>
          <t>Tasks total</t>
        </is>
      </c>
      <c r="B58" s="17">
        <f>COUNTA(B5:B54)</f>
        <v/>
      </c>
    </row>
    <row r="59">
      <c r="A59" s="15" t="inlineStr">
        <is>
          <t>Complete</t>
        </is>
      </c>
      <c r="B59" s="15">
        <f>COUNTIF(E5:E54,"Complete")+COUNTIF(E5:E54,"Complete - issued for review")</f>
        <v/>
      </c>
    </row>
    <row r="60">
      <c r="A60" s="17" t="inlineStr">
        <is>
          <t>Awaiting the requester</t>
        </is>
      </c>
      <c r="B60" s="17">
        <f>COUNTIF(E5:E54,"Pending you")</f>
        <v/>
      </c>
    </row>
    <row r="61">
      <c r="A61" s="15" t="inlineStr">
        <is>
          <t>Not started</t>
        </is>
      </c>
      <c r="B61" s="15">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7" t="inlineStr">
        <is>
          <t>The refactor changed nothing</t>
        </is>
      </c>
      <c r="B5" s="18" t="inlineStr">
        <is>
          <t>The rebuilt file is BYTE-IDENTICAL to the one that was verified, and the 13 existing suites pass against it unmodified. Identity is a stronger claim than equivalence and needs no argument.</t>
        </is>
      </c>
      <c r="C5" s="17" t="inlineStr">
        <is>
          <t>NR-PAR-03</t>
        </is>
      </c>
      <c r="D5" s="18" t="inlineStr">
        <is>
          <t>DONE at N2.2 - 13/13 pass, sha256 unchanged</t>
        </is>
      </c>
    </row>
    <row r="6">
      <c r="A6" s="15" t="inlineStr">
        <is>
          <t>The two applications agree</t>
        </is>
      </c>
      <c r="B6" s="16" t="inlineStr">
        <is>
          <t>tools/test_parity.py - one dataset through both, comparing every person-month figure, every validation finding and both export files.</t>
        </is>
      </c>
      <c r="C6" s="15" t="inlineStr">
        <is>
          <t>NR-PAR-02</t>
        </is>
      </c>
      <c r="D6" s="16" t="inlineStr">
        <is>
          <t>Automated, in this repository</t>
        </is>
      </c>
    </row>
    <row r="7">
      <c r="A7" s="17" t="inlineStr">
        <is>
          <t>Data survives closing</t>
        </is>
      </c>
      <c r="B7" s="18" t="inlineStr">
        <is>
          <t>tools/test_persist.py - import, save, close the application, relaunch, compare the model to what was saved.</t>
        </is>
      </c>
      <c r="C7" s="17" t="inlineStr">
        <is>
          <t>NR-STO-01</t>
        </is>
      </c>
      <c r="D7" s="18" t="inlineStr">
        <is>
          <t>Automated, in this repository</t>
        </is>
      </c>
    </row>
    <row r="8">
      <c r="A8" s="15" t="inlineStr">
        <is>
          <t>A save is never half-written</t>
        </is>
      </c>
      <c r="B8" s="16" t="inlineStr">
        <is>
          <t>Kill the process during a write, relaunch, verify the workspace is wholly old or wholly new. Repeated across many timings.</t>
        </is>
      </c>
      <c r="C8" s="15" t="inlineStr">
        <is>
          <t>NR-STO-05</t>
        </is>
      </c>
      <c r="D8" s="16" t="inlineStr">
        <is>
          <t>Automated, in this repository</t>
        </is>
      </c>
    </row>
    <row r="9">
      <c r="A9" s="17" t="inlineStr">
        <is>
          <t>Pending edits are recovered</t>
        </is>
      </c>
      <c r="B9" s="18" t="inlineStr">
        <is>
          <t>Kill the process with edits pending, relaunch, verify the prompt appears and both answers behave.</t>
        </is>
      </c>
      <c r="C9" s="17" t="inlineStr">
        <is>
          <t>NR-STO-07</t>
        </is>
      </c>
      <c r="D9" s="18" t="inlineStr">
        <is>
          <t>Automated, in this repository</t>
        </is>
      </c>
    </row>
    <row r="10">
      <c r="A10" s="15" t="inlineStr">
        <is>
          <t>Re-import loses nothing</t>
        </is>
      </c>
      <c r="B10" s="16" t="inlineStr">
        <is>
          <t>Import a changed workbook over hand-entered data; verify every difference is shown and nothing changes without a decision.</t>
        </is>
      </c>
      <c r="C10" s="15" t="inlineStr">
        <is>
          <t>NR-IMP-02</t>
        </is>
      </c>
      <c r="D10" s="16" t="inlineStr">
        <is>
          <t>Automated, in this repository</t>
        </is>
      </c>
    </row>
    <row r="11">
      <c r="A11" s="17" t="inlineStr">
        <is>
          <t>An old workspace still opens</t>
        </is>
      </c>
      <c r="B11" s="18" t="inlineStr">
        <is>
          <t>Open a workspace written by an earlier version; verify it loads and reports the upgrade.</t>
        </is>
      </c>
      <c r="C11" s="17" t="inlineStr">
        <is>
          <t>NR-DEP-03</t>
        </is>
      </c>
      <c r="D11" s="18"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13" t="inlineStr">
        <is>
          <t>It needs no installation</t>
        </is>
      </c>
      <c r="B13" s="14" t="inlineStr">
        <is>
          <t>Extract the zip, run the exe, use it, delete the folder - with no administrator rights at any point.</t>
        </is>
      </c>
      <c r="C13" s="13" t="inlineStr">
        <is>
          <t>NR-DEP-02</t>
        </is>
      </c>
      <c r="D13" s="14"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13" t="inlineStr">
        <is>
          <t>Only one session can write</t>
        </is>
      </c>
      <c r="B18" s="14" t="inlineStr">
        <is>
          <t>Two sessions attempt the first edit together, many times over; verify exactly one is granted it and the other is told who holds it. Then verify a save is refused if the claim was displaced beneath it.</t>
        </is>
      </c>
      <c r="C18" s="13" t="inlineStr">
        <is>
          <t>NR-STO-10, NR-STO-13</t>
        </is>
      </c>
      <c r="D18" s="14"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13" t="inlineStr">
        <is>
          <t>A crash does not strand a plan</t>
        </is>
      </c>
      <c r="B20" s="14" t="inlineStr">
        <is>
          <t>Kill the holding session; verify the heartbeat stops within 30 seconds and is reported as silent, that the claim expires at 30 minutes and can then be taken over naming whose it was, and that the SAME user on the SAME machine can reclaim it at once.</t>
        </is>
      </c>
      <c r="C20" s="13" t="inlineStr">
        <is>
          <t>NR-STO-14, NR-STO-19, R-N13</t>
        </is>
      </c>
      <c r="D20" s="14" t="inlineStr">
        <is>
          <t>Automated, at N5.6b</t>
        </is>
      </c>
    </row>
    <row r="21">
      <c r="A21" s="13" t="inlineStr">
        <is>
          <t>A blocked colleague can act</t>
        </is>
      </c>
      <c r="B21" s="14" t="inlineStr">
        <is>
          <t>Block a session and verify the message names the holder and their department, says whether they are still responding and when the plan frees, and copies name and department on request.</t>
        </is>
      </c>
      <c r="C21" s="13" t="inlineStr">
        <is>
          <t>NR-STO-12, NR-USR-05, NR-USR-06</t>
        </is>
      </c>
      <c r="D21" s="14"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7" t="inlineStr">
        <is>
          <t>The figures are right</t>
        </is>
      </c>
      <c r="B31" s="18" t="inlineStr">
        <is>
          <t>Inherited: the engine is already proven against the Python reference on all 1,225 person-months of the large dataset and 433 of the 10x10 dataset.</t>
        </is>
      </c>
      <c r="C31" s="17" t="inlineStr">
        <is>
          <t>Inherited</t>
        </is>
      </c>
      <c r="D31" s="18"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9" t="inlineStr">
        <is>
          <t>Green = new to the desktop application; nothing in the web application corresponds to it.</t>
        </is>
      </c>
    </row>
    <row r="37">
      <c r="A37" s="20" t="inlineStr">
        <is>
          <t>Orange = inherited from the web application but deliberately changed here.</t>
        </is>
      </c>
    </row>
    <row r="38">
      <c r="A38" s="21"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7" t="inlineStr">
        <is>
          <t>Desktop plan</t>
        </is>
      </c>
      <c r="B5" s="18" t="inlineStr">
        <is>
          <t>PRAP_NewApp_Development_Plan_v&lt;ver&gt;.xlsx</t>
        </is>
      </c>
      <c r="C5" s="17" t="inlineStr">
        <is>
          <t>docs/</t>
        </is>
      </c>
      <c r="D5" s="18" t="inlineStr">
        <is>
          <t>Sheet 01 of this document</t>
        </is>
      </c>
    </row>
    <row r="6">
      <c r="A6" s="15" t="inlineStr">
        <is>
          <t>Desktop specification</t>
        </is>
      </c>
      <c r="B6" s="16" t="inlineStr">
        <is>
          <t>PRAP_NewApp_Specification_v&lt;ver&gt;.xlsx</t>
        </is>
      </c>
      <c r="C6" s="15" t="inlineStr">
        <is>
          <t>docs/</t>
        </is>
      </c>
      <c r="D6" s="16" t="inlineStr">
        <is>
          <t>Its own version-history sheet</t>
        </is>
      </c>
    </row>
    <row r="7">
      <c r="A7" s="17" t="inlineStr">
        <is>
          <t>Desktop component list</t>
        </is>
      </c>
      <c r="B7" s="18" t="inlineStr">
        <is>
          <t>PRAP_NewApp_Component_List_v&lt;ver&gt;.xlsx</t>
        </is>
      </c>
      <c r="C7" s="17" t="inlineStr">
        <is>
          <t>docs/</t>
        </is>
      </c>
      <c r="D7" s="18" t="inlineStr">
        <is>
          <t>Its own version-history sheet</t>
        </is>
      </c>
    </row>
    <row r="8">
      <c r="A8" s="15" t="inlineStr">
        <is>
          <t>Desktop application</t>
        </is>
      </c>
      <c r="B8" s="16" t="inlineStr">
        <is>
          <t>PM_APP_v&lt;ver&gt;.zip, extracting to a PM_APP\ folder</t>
        </is>
      </c>
      <c r="C8" s="15" t="inlineStr">
        <is>
          <t>dist/</t>
        </is>
      </c>
      <c r="D8" s="16" t="inlineStr">
        <is>
          <t>version.txt in the folder, plus the About dialog and window title</t>
        </is>
      </c>
    </row>
    <row r="9">
      <c r="A9" s="17" t="inlineStr">
        <is>
          <t>Workspace file</t>
        </is>
      </c>
      <c r="B9" s="18" t="inlineStr">
        <is>
          <t>&lt;user's own name&gt;.prap</t>
        </is>
      </c>
      <c r="C9" s="17" t="inlineStr">
        <is>
          <t>data\workspaces\ by default, or wherever the user chooses</t>
        </is>
      </c>
      <c r="D9" s="18" t="inlineStr">
        <is>
          <t>Header block inside the file</t>
        </is>
      </c>
    </row>
    <row r="10">
      <c r="A10" s="15" t="inlineStr">
        <is>
          <t>User settings</t>
        </is>
      </c>
      <c r="B10" s="16" t="inlineStr">
        <is>
          <t>settings.json</t>
        </is>
      </c>
      <c r="C10" s="15" t="inlineStr">
        <is>
          <t>data\</t>
        </is>
      </c>
      <c r="D10" s="16" t="inlineStr">
        <is>
          <t>Written by the application; never carried in the zip</t>
        </is>
      </c>
    </row>
    <row r="11">
      <c r="A11" s="17" t="inlineStr">
        <is>
          <t>Web plan and its documents</t>
        </is>
      </c>
      <c r="B11" s="18" t="inlineStr">
        <is>
          <t>PRAP_Development_Plan_v&lt;ver&gt;.xlsx and siblings</t>
        </is>
      </c>
      <c r="C11" s="17" t="inlineStr">
        <is>
          <t>docs/</t>
        </is>
      </c>
      <c r="D11" s="18" t="inlineStr">
        <is>
          <t>Unchanged - their own sheets</t>
        </is>
      </c>
    </row>
    <row r="12">
      <c r="A12" s="15" t="inlineStr">
        <is>
          <t>Web application</t>
        </is>
      </c>
      <c r="B12" s="16" t="inlineStr">
        <is>
          <t>app/PRAP.html</t>
        </is>
      </c>
      <c r="C12" s="15" t="inlineStr">
        <is>
          <t>app/</t>
        </is>
      </c>
      <c r="D12" s="16" t="inlineStr">
        <is>
          <t>APP_VERSION constant, shown in the footer</t>
        </is>
      </c>
    </row>
    <row r="13">
      <c r="A13" s="17" t="inlineStr">
        <is>
          <t>Shared source tree</t>
        </is>
      </c>
      <c r="B13" s="18" t="inlineStr">
        <is>
          <t>core/, ui/, storage/, shell/</t>
        </is>
      </c>
      <c r="C13" s="17" t="inlineStr">
        <is>
          <t>repository root</t>
        </is>
      </c>
      <c r="D13" s="18" t="inlineStr">
        <is>
          <t>Git history</t>
        </is>
      </c>
    </row>
    <row r="14">
      <c r="A14" s="15" t="inlineStr">
        <is>
          <t>Shared data contract</t>
        </is>
      </c>
      <c r="B14" s="16" t="inlineStr">
        <is>
          <t>schema_version in the Config sheet; format_version in the JSON</t>
        </is>
      </c>
      <c r="C14" s="15" t="inlineStr">
        <is>
          <t>templates/</t>
        </is>
      </c>
      <c r="D14" s="16" t="inlineStr">
        <is>
          <t>Unchanged at 5 and 1</t>
        </is>
      </c>
    </row>
    <row r="17">
      <c r="A17" s="5" t="inlineStr">
        <is>
          <t>Rules</t>
        </is>
      </c>
    </row>
    <row r="18" ht="28" customHeight="1">
      <c r="A18" s="10" t="inlineStr">
        <is>
          <t>Rule</t>
        </is>
      </c>
      <c r="B18" s="10" t="inlineStr">
        <is>
          <t>Consequence</t>
        </is>
      </c>
    </row>
    <row r="19">
      <c r="A19" s="18" t="inlineStr">
        <is>
          <t>The two product lines version independently.</t>
        </is>
      </c>
      <c r="B19" s="18" t="inlineStr">
        <is>
          <t>Desktop v1.0 and web v1.0 are unrelated numbers. Nothing forces them to move together.</t>
        </is>
      </c>
    </row>
    <row r="20">
      <c r="A20" s="16" t="inlineStr">
        <is>
          <t>The DATA contract versions once, for both.</t>
        </is>
      </c>
      <c r="B20" s="16" t="inlineStr">
        <is>
          <t>Schema version 5 and JSON format_version 1 are shared. A change to either is a change to both products and needs approval on both plans.</t>
        </is>
      </c>
    </row>
    <row r="21">
      <c r="A21" s="18" t="inlineStr">
        <is>
          <t>An engine fix is released to both.</t>
        </is>
      </c>
      <c r="B21" s="18" t="inlineStr">
        <is>
          <t>Fix in core/, re-verify against both, re-issue the HTML file as a point version and the desktop package as a point version. The fix is recorded in both version histories.</t>
        </is>
      </c>
    </row>
    <row r="22">
      <c r="A22" s="16" t="inlineStr">
        <is>
          <t>A desktop feature does not reach the web application.</t>
        </is>
      </c>
      <c r="B22" s="16" t="inlineStr">
        <is>
          <t>Decision N-06. The web application is feature-frozen; adding to it would reopen a closed gate.</t>
        </is>
      </c>
    </row>
    <row r="23">
      <c r="A23" s="18" t="inlineStr">
        <is>
          <t>Neither plan supersedes the other.</t>
        </is>
      </c>
      <c r="B23" s="18"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13" t="inlineStr">
        <is>
          <t>R-N01</t>
        </is>
      </c>
      <c r="B5" s="14" t="inlineStr">
        <is>
          <t>Corporate policy blocks the application from running at all - typically application allow-listing, or a rule against executables outside Program Files.</t>
        </is>
      </c>
      <c r="C5" s="13" t="inlineStr">
        <is>
          <t>Low</t>
        </is>
      </c>
      <c r="D5" s="13" t="inlineStr">
        <is>
          <t>Low</t>
        </is>
      </c>
      <c r="E5" s="14" t="inlineStr">
        <is>
          <t>CLOSED for the route being taken, 2026-08-22: the Python shell ran on the company PC, and an allow-list has no executable to judge. It stays on this register at Low/Low because it would return in full the day anybody revives the Electron package. ORIGINAL FINDING,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3" t="inlineStr">
        <is>
          <t>R-N09</t>
        </is>
      </c>
      <c r="B13" s="14" t="inlineStr">
        <is>
          <t>Windows SmartScreen warns about the executable, or anti-virus quarantines it, because it is unsigned and unknown.</t>
        </is>
      </c>
      <c r="C13" s="13" t="inlineStr">
        <is>
          <t>HIGH</t>
        </is>
      </c>
      <c r="D13" s="13" t="inlineStr">
        <is>
          <t>Low</t>
        </is>
      </c>
      <c r="E13" s="14" t="inlineStr">
        <is>
          <t>MOOT for the route being taken, 2026-08-22 - there is no executable, so there is nothing for SmartScreen or a reputation service to judge, and the requester met neither. Impact drops to Low; the likelihood is left at HIGH because it describes what WOULD happen to an .exe, and that is still true of the Electron package. ORIGINAL FINDING: 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3" t="inlineStr">
        <is>
          <t>R-N10</t>
        </is>
      </c>
      <c r="B14" s="14" t="inlineStr">
        <is>
          <t>The application fails in a deeply nested folder because Windows path limits are exceeded.</t>
        </is>
      </c>
      <c r="C14" s="13" t="inlineStr">
        <is>
          <t>Low</t>
        </is>
      </c>
      <c r="D14" s="13" t="inlineStr">
        <is>
          <t>Medium</t>
        </is>
      </c>
      <c r="E14" s="14"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13" t="inlineStr">
        <is>
          <t>R-N11</t>
        </is>
      </c>
      <c r="B15" s="14" t="inlineStr">
        <is>
          <t>The application folder is put on a read-only or shared network folder, so it cannot keep its data beside itself.</t>
        </is>
      </c>
      <c r="C15" s="13" t="inlineStr">
        <is>
          <t>HIGH</t>
        </is>
      </c>
      <c r="D15" s="13" t="inlineStr">
        <is>
          <t>Medium</t>
        </is>
      </c>
      <c r="E15" s="14"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13" t="inlineStr">
        <is>
          <t>R-N13</t>
        </is>
      </c>
      <c r="B17" s="14" t="inlineStr">
        <is>
          <t>A crash leaves a workspace claimed, and nobody can edit it.</t>
        </is>
      </c>
      <c r="C17" s="13" t="inlineStr">
        <is>
          <t>Medium</t>
        </is>
      </c>
      <c r="D17" s="13" t="inlineStr">
        <is>
          <t>Low</t>
        </is>
      </c>
      <c r="E17" s="14"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13" t="inlineStr">
        <is>
          <t>R-N16</t>
        </is>
      </c>
      <c r="B19" s="14" t="inlineStr">
        <is>
          <t>A declared name is mistaken for a verified one, and somebody relies on the tool to say who did what.</t>
        </is>
      </c>
      <c r="C19" s="13" t="inlineStr">
        <is>
          <t>Low</t>
        </is>
      </c>
      <c r="D19" s="13" t="inlineStr">
        <is>
          <t>Low</t>
        </is>
      </c>
      <c r="E19" s="14"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3" t="inlineStr">
        <is>
          <t>R-N20</t>
        </is>
      </c>
      <c r="B20" s="14" t="inlineStr">
        <is>
          <t>The company will not let an executable ARRIVE, whatever its policy on running one.</t>
        </is>
      </c>
      <c r="C20" s="13" t="inlineStr">
        <is>
          <t>Low</t>
        </is>
      </c>
      <c r="D20" s="13" t="inlineStr">
        <is>
          <t>HIGH</t>
        </is>
      </c>
      <c r="E20" s="14" t="inlineStr">
        <is>
          <t>NARROWED 2026-08-22, and no longer the binding constraint. The Python package - a zip of plain text - went through company e-mail without complaint, and the requester identified what had stopped the earlier attempt: the EXECUTABLE inside the zip rather than the zip itself. The filter judges what an archive contains, which is what a competent one does. So the risk is real but confined: it still bars the Electron package, because that is an .exe however it is wrapped, and it does not bar the shell that was built to answer it. Likelihood falls from HIGH to Low - it now applies only to a route nobody is taking - and the impact stays HIGH because it would still be fatal to that route. Route B's premise is now measured rather than reasoned. ORIGINAL FINDING, 2026-08-15: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13" t="inlineStr">
        <is>
          <t>R-N21</t>
        </is>
      </c>
      <c r="B22" s="14" t="inlineStr">
        <is>
          <t>Data cannot enter a browser page at all - the company blocks the file picker, so the web application cannot be given a file.</t>
        </is>
      </c>
      <c r="C22" s="13" t="inlineStr">
        <is>
          <t>HIGH</t>
        </is>
      </c>
      <c r="D22" s="13" t="inlineStr">
        <is>
          <t>Low</t>
        </is>
      </c>
      <c r="E22" s="14" t="inlineStr">
        <is>
          <t>ANSWERED 2026-08-22, on the machine that carries the control. The Python shell imported a source workbook on the company PC. The risk itself is unchanged and still HIGH - the control is there and the web application still cannot be given a file on that laptop - but its IMPACT falls from HIGH to Low, because the tool the requester will use does not go near the interface it watches. That is what the shell was built for, and it is now measured rather than reasoned. ORIGINAL FINDING, 2026-08-18: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7" t="inlineStr">
        <is>
          <t>What it is</t>
        </is>
      </c>
      <c r="B32" s="18" t="inlineStr">
        <is>
          <t>A digital seal applied to the .exe that says which ORGANISATION published it. Windows checks the seal when the file is run.</t>
        </is>
      </c>
    </row>
    <row r="33">
      <c r="A33" s="15" t="inlineStr">
        <is>
          <t>What happens without it</t>
        </is>
      </c>
      <c r="B33" s="16"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7" t="inlineStr">
        <is>
          <t>What happens with it</t>
        </is>
      </c>
      <c r="B34" s="18" t="inlineStr">
        <is>
          <t>The warning names your company instead, and usually disappears entirely once the file has been seen a few times. Anti-virus is far less likely to quarantine it.</t>
        </is>
      </c>
    </row>
    <row r="35">
      <c r="A35" s="15" t="inlineStr">
        <is>
          <t>What is bought</t>
        </is>
      </c>
      <c r="B35" s="16"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7" t="inlineStr">
        <is>
          <t>Why the COMPANY has to buy it</t>
        </is>
      </c>
      <c r="B36" s="18" t="inlineStr">
        <is>
          <t>The authority verifies the ORGANISATION exists before issuing - company registration documents, a verifiable telephone number, that sort of thing. An individual cannot buy a certificate in the company's name, which is the whole point of it.</t>
        </is>
      </c>
    </row>
    <row r="37">
      <c r="A37" s="15" t="inlineStr">
        <is>
          <t>What else it needs</t>
        </is>
      </c>
      <c r="B37" s="16" t="inlineStr">
        <is>
          <t>Industry rules now require the signing key to live on a hardware token or in a cloud signing service, so somebody has to hold that token and run the signing step when a new version is built.</t>
        </is>
      </c>
    </row>
    <row r="38">
      <c r="A38" s="17" t="inlineStr">
        <is>
          <t>Who would own it</t>
        </is>
      </c>
      <c r="B38" s="18" t="inlineStr">
        <is>
          <t>Whoever owns software distribution or endpoint security - IT or InfoSec. It is a procurement request, not a development task.</t>
        </is>
      </c>
    </row>
    <row r="39">
      <c r="A39" s="15" t="inlineStr">
        <is>
          <t>Is it needed?</t>
        </is>
      </c>
      <c r="B39" s="16"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3" t="inlineStr">
        <is>
          <t>A-N01</t>
        </is>
      </c>
      <c r="B45" s="14" t="inlineStr">
        <is>
          <t>Data volume is whatever the web plan's REQ-NFR-03 currently says, BY REFERENCE AND NOT RESTATED. The desktop line sets no volume of its own: it renders the same tables from the same core/, so the binding cost is the same one - (projects + people) rows x horizon months on the Overall tab.</t>
        </is>
      </c>
      <c r="C45" s="13" t="inlineStr">
        <is>
          <t>AMENDED at R-47. It used to restate the figure ('up to about 100 projects and 1,000 people'), and when REQ-NFR-03 was amended to 100 x 150 that restatement became a false claim about the web plan - in the document set whose own subject is keeping versions in step. Citing it instead of copying it means this row cannot go stale the next time the volume moves</t>
        </is>
      </c>
    </row>
    <row r="46">
      <c r="A46" s="13" t="inlineStr">
        <is>
          <t>A-N02</t>
        </is>
      </c>
      <c r="B46" s="14" t="inlineStr">
        <is>
          <t>Windows 10 or 11, 64-bit, is the only target. macOS and Linux are out of scope.</t>
        </is>
      </c>
      <c r="C46" s="13"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13" t="inlineStr">
        <is>
          <t>A-N09</t>
        </is>
      </c>
      <c r="B48" s="14" t="inlineStr">
        <is>
          <t>The user can extract a zip and run an executable from their own folder, and nothing will later block or remove it.</t>
        </is>
      </c>
      <c r="C48" s="13"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13" t="inlineStr">
        <is>
          <t>A-N03</t>
        </is>
      </c>
      <c r="B53" s="14" t="inlineStr">
        <is>
          <t>One person works on a given workspace at a time - but the application no longer RELIES on it, because a shared folder makes it unsafe to assume.</t>
        </is>
      </c>
      <c r="C53" s="13" t="inlineStr">
        <is>
          <t>WITHDRAWN as an assumption at round 2; enforced by NR-STO-10 instead</t>
        </is>
      </c>
    </row>
    <row r="54">
      <c r="A54" s="15" t="inlineStr">
        <is>
          <t>A-N04</t>
        </is>
      </c>
      <c r="B54" s="16" t="inlineStr">
        <is>
          <t>Package size is unconstrained.</t>
        </is>
      </c>
      <c r="C54" s="15" t="inlineStr">
        <is>
          <t>CONFIRMED by your instruction, 2026-08-13</t>
        </is>
      </c>
    </row>
    <row r="55">
      <c r="A55" s="17" t="inlineStr">
        <is>
          <t>A-N05</t>
        </is>
      </c>
      <c r="B55" s="18" t="inlineStr">
        <is>
          <t>Both applications remain in service indefinitely; neither is a migration path away from the other.</t>
        </is>
      </c>
      <c r="C55" s="17" t="inlineStr">
        <is>
          <t>CONFIRMED by your instruction, 2026-08-13</t>
        </is>
      </c>
    </row>
    <row r="56">
      <c r="A56" s="15" t="inlineStr">
        <is>
          <t>A-N06</t>
        </is>
      </c>
      <c r="B56" s="16" t="inlineStr">
        <is>
          <t>The source Excel workbook continues to be maintained by hand, by someone other than the tool.</t>
        </is>
      </c>
      <c r="C56" s="15" t="inlineStr">
        <is>
          <t>Inherited A-04, standing</t>
        </is>
      </c>
    </row>
    <row r="57">
      <c r="A57" s="17" t="inlineStr">
        <is>
          <t>A-N07</t>
        </is>
      </c>
      <c r="B57" s="18" t="inlineStr">
        <is>
          <t>The user can copy a package into their own profile or a network share and run it from there.</t>
        </is>
      </c>
      <c r="C57" s="17" t="inlineStr">
        <is>
          <t>To confirm - Q-N02</t>
        </is>
      </c>
    </row>
    <row r="59">
      <c r="A59" s="3" t="inlineStr">
        <is>
          <t>Legend</t>
        </is>
      </c>
    </row>
    <row r="60">
      <c r="A60" s="19" t="inlineStr">
        <is>
          <t>Green = new to the desktop application; nothing in the web application corresponds to it.</t>
        </is>
      </c>
    </row>
    <row r="61">
      <c r="A61" s="20" t="inlineStr">
        <is>
          <t>Orange = inherited from the web application but deliberately changed here.</t>
        </is>
      </c>
    </row>
    <row r="62">
      <c r="A62" s="21"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7" t="inlineStr">
        <is>
          <t xml:space="preserve">  SENDING A ZIP OF PLAIN TEXT through the same e-mail  ALLOWED   (2026-08-22)</t>
        </is>
      </c>
    </row>
    <row r="10">
      <c r="A10" s="6" t="inlineStr"/>
    </row>
    <row r="11">
      <c r="A11" s="7" t="inlineStr">
        <is>
          <t xml:space="preserve">  ...while TRANSFERRING and OPENING the HTML file itself was not restricted at all.</t>
        </is>
      </c>
    </row>
    <row r="12">
      <c r="A12" s="6" t="inlineStr"/>
    </row>
    <row r="13">
      <c r="A13" s="6" t="inlineStr">
        <is>
          <t>The fifth result is the one that settles the first. The mail filter was not refusing archives; it</t>
        </is>
      </c>
    </row>
    <row r="14">
      <c r="A14" s="6" t="inlineStr">
        <is>
          <t>was refusing the EXECUTABLE inside one, which is what a competent filter does. So the constraint</t>
        </is>
      </c>
    </row>
    <row r="15">
      <c r="A15" s="6" t="inlineStr">
        <is>
          <t>is narrower than it was first recorded as, and it is narrower in exactly the direction route B was</t>
        </is>
      </c>
    </row>
    <row r="16">
      <c r="A16" s="6" t="inlineStr">
        <is>
          <t>built for: what travels here is .py source, and it arrives.</t>
        </is>
      </c>
    </row>
    <row r="17">
      <c r="A17" s="6" t="inlineStr"/>
    </row>
    <row r="18">
      <c r="A18" s="6" t="inlineStr">
        <is>
          <t>What remains is the import control, and it is unmoved: every way the web application can be handed</t>
        </is>
      </c>
    </row>
    <row r="19">
      <c r="A19" s="6" t="inlineStr">
        <is>
          <t>a file - picker, drag-and-drop, .json - ends at the same File API the control is watching. That is</t>
        </is>
      </c>
    </row>
    <row r="20">
      <c r="A20" s="6" t="inlineStr">
        <is>
          <t>the barrier the Python shell removes, and the only one still standing between the requester and a</t>
        </is>
      </c>
    </row>
    <row r="21">
      <c r="A21" s="6" t="inlineStr">
        <is>
          <t>working tool is whether the application RUNS on that laptop.</t>
        </is>
      </c>
    </row>
    <row r="23">
      <c r="A23"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5">
      <c r="A25" s="5" t="inlineStr">
        <is>
          <t>The three routes</t>
        </is>
      </c>
    </row>
    <row r="26" ht="28" customHeight="1">
      <c r="A26" s="10" t="inlineStr"/>
      <c r="B26" s="10" t="inlineStr">
        <is>
          <t>Route</t>
        </is>
      </c>
      <c r="C26" s="10" t="inlineStr">
        <is>
          <t>What it is</t>
        </is>
      </c>
      <c r="D26" s="10" t="inlineStr">
        <is>
          <t>What it costs</t>
        </is>
      </c>
      <c r="E26" s="10" t="inlineStr">
        <is>
          <t>Verdict</t>
        </is>
      </c>
    </row>
    <row r="27">
      <c r="A27" s="17" t="inlineStr">
        <is>
          <t>A</t>
        </is>
      </c>
      <c r="B27" s="17" t="inlineStr">
        <is>
          <t>Ask IT for the sanctioned channel</t>
        </is>
      </c>
      <c r="C27" s="18" t="inlineStr">
        <is>
          <t>The software-distribution share, the internal artifact store, or an allow-list entry. Nothing is rebuilt - the package is finished and tested.</t>
        </is>
      </c>
      <c r="D27" s="18" t="inlineStr">
        <is>
          <t>Best fidelity, no work. Depends entirely on somebody else, and the answer may be no or slow.</t>
        </is>
      </c>
      <c r="E27" s="18" t="inlineStr">
        <is>
          <t>NOT NEEDED for route B - it arrived by e-mail. Still the only way the Electron package could</t>
        </is>
      </c>
    </row>
    <row r="28">
      <c r="A28" s="15" t="inlineStr">
        <is>
          <t>B</t>
        </is>
      </c>
      <c r="B28" s="15" t="inlineStr">
        <is>
          <t>Replace the Electron shell with a PYTHON one   [DELIVERED 2026-08-22]</t>
        </is>
      </c>
      <c r="C28" s="16"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8" s="16" t="inlineStr">
        <is>
          <t>Removes the executable from one problem and the upload from the other. Needs Python on the laptop. Roughly 700 lines of new Python, no new engine.</t>
        </is>
      </c>
      <c r="E28" s="16" t="inlineStr">
        <is>
          <t>RECOMMENDED - and now the only route that answers both refusals</t>
        </is>
      </c>
    </row>
    <row r="29">
      <c r="A29" s="17" t="inlineStr">
        <is>
          <t>C</t>
        </is>
      </c>
      <c r="B29" s="17" t="inlineStr">
        <is>
          <t>Persistence in the web application instead</t>
        </is>
      </c>
      <c r="C29" s="18" t="inlineStr">
        <is>
          <t>Give the existing HTML file real storage, through the browser's own file access. It already arrives - it is a document.</t>
        </is>
      </c>
      <c r="D29" s="18" t="inlineStr">
        <is>
          <t>RULED OUT 2026-08-18. It depends on the browser's file access, which is the exact interface the import control intercepts (R-N21). It was never going to keep the shared folder either; now it cannot even get the first file in.</t>
        </is>
      </c>
      <c r="E29" s="18" t="inlineStr">
        <is>
          <t>RULED OUT - not partial</t>
        </is>
      </c>
    </row>
    <row r="32">
      <c r="A32" s="5" t="inlineStr">
        <is>
          <t>Why the import control does not touch route B</t>
        </is>
      </c>
    </row>
    <row r="33">
      <c r="A33" s="6" t="inlineStr">
        <is>
          <t>The control watches data crossing INTO the page. So the design simply does not cross there.</t>
        </is>
      </c>
    </row>
    <row r="34">
      <c r="A34" s="6" t="inlineStr"/>
    </row>
    <row r="35">
      <c r="A35" s="7" t="inlineStr">
        <is>
          <t xml:space="preserve">    Web application, today          Route B</t>
        </is>
      </c>
    </row>
    <row r="36">
      <c r="A36" s="7" t="inlineStr">
        <is>
          <t xml:space="preserve">    ----------------------          -------</t>
        </is>
      </c>
    </row>
    <row r="37">
      <c r="A37" s="7" t="inlineStr">
        <is>
          <t xml:space="preserve">    user picks a file               user picks a file  (in a PYTHON dialog, not the page)</t>
        </is>
      </c>
    </row>
    <row r="38">
      <c r="A38" s="7" t="inlineStr">
        <is>
          <t xml:space="preserve">    &lt;input type="file"&gt;             Python opens it with open()</t>
        </is>
      </c>
    </row>
    <row r="39">
      <c r="A39" s="7" t="inlineStr">
        <is>
          <t xml:space="preserve">    File API reads the bytes        Python reads the bytes</t>
        </is>
      </c>
    </row>
    <row r="40">
      <c r="A40" s="7" t="inlineStr">
        <is>
          <t xml:space="preserve">    ^^^ INTERCEPTED HERE            page fetches them from 127.0.0.1 as ordinary page content</t>
        </is>
      </c>
    </row>
    <row r="41">
      <c r="A41" s="7" t="inlineStr">
        <is>
          <t xml:space="preserve">    page parses the xlsx            page parses the xlsx   &lt;- unchanged, same code</t>
        </is>
      </c>
    </row>
    <row r="42">
      <c r="A42" s="6" t="inlineStr"/>
    </row>
    <row r="43">
      <c r="A43" s="6" t="inlineStr">
        <is>
          <t>The page keeps the xlsx reader it already has and the figures it already produces. What it loses is</t>
        </is>
      </c>
    </row>
    <row r="44">
      <c r="A44" s="6" t="inlineStr">
        <is>
          <t>the upload element, the drag-and-drop handler and every File API call - the three things a DLP</t>
        </is>
      </c>
    </row>
    <row r="45">
      <c r="A45" s="6" t="inlineStr">
        <is>
          <t>upload control actually watches. Nothing is disabled, evaded or hidden: the file never travels that</t>
        </is>
      </c>
    </row>
    <row r="46">
      <c r="A46" s="6" t="inlineStr">
        <is>
          <t>path, because a program the user ran on their own machine read it and served it.</t>
        </is>
      </c>
    </row>
    <row r="48">
      <c r="A48"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50">
      <c r="A50" s="5" t="inlineStr">
        <is>
          <t>Why route B is a swap rather than a rewrite</t>
        </is>
      </c>
    </row>
    <row r="51">
      <c r="A51" s="6" t="inlineStr">
        <is>
          <t>Because the seam is already there. Specification sheet 03 defines thirteen storage operations, and</t>
        </is>
      </c>
    </row>
    <row r="52">
      <c r="A52" s="6" t="inlineStr">
        <is>
          <t>preload.js already exposes exactly those to the page. A Python shell implements the same thirteen</t>
        </is>
      </c>
    </row>
    <row r="53">
      <c r="A53" s="6" t="inlineStr">
        <is>
          <t>over HTTP instead of IPC; the page calls fetch() instead of ipcRenderer.invoke(). Nothing above that</t>
        </is>
      </c>
    </row>
    <row r="54">
      <c r="A54" s="6" t="inlineStr">
        <is>
          <t>line moves.</t>
        </is>
      </c>
    </row>
    <row r="55">
      <c r="A55" s="6" t="inlineStr"/>
    </row>
    <row r="56">
      <c r="A56" s="6" t="inlineStr">
        <is>
          <t xml:space="preserve">    core/    unchanged   the same JavaScript, the same figures, in the browser</t>
        </is>
      </c>
    </row>
    <row r="57">
      <c r="A57" s="6" t="inlineStr">
        <is>
          <t xml:space="preserve">    ui/      unchanged   the same tabs, tables and charts the reviewer approved</t>
        </is>
      </c>
    </row>
    <row r="58">
      <c r="A58" s="6" t="inlineStr">
        <is>
          <t xml:space="preserve">    storage/ NEW         workspace.py and claim.py, ported from the .js beside them</t>
        </is>
      </c>
    </row>
    <row r="59">
      <c r="A59" s="6" t="inlineStr">
        <is>
          <t xml:space="preserve">    shell/   NEW         http.server, about 200 lines, serving the page and the thirteen calls</t>
        </is>
      </c>
    </row>
    <row r="61" ht="28" customHeight="1">
      <c r="A61" s="10" t="inlineStr">
        <is>
          <t>Point</t>
        </is>
      </c>
      <c r="B61" s="10" t="inlineStr">
        <is>
          <t>Detail</t>
        </is>
      </c>
      <c r="C61" s="10" t="inlineStr">
        <is>
          <t>Ref</t>
        </is>
      </c>
    </row>
    <row r="62">
      <c r="A62" s="17" t="inlineStr">
        <is>
          <t>Decision N-05 survives</t>
        </is>
      </c>
      <c r="B62" s="18" t="inlineStr">
        <is>
          <t>There is still ONE engine. The numbers stay in core/, in the browser. Python touches files and nothing else - if a calculation appears in the Python, something has gone wrong.</t>
        </is>
      </c>
      <c r="C62" s="17" t="inlineStr">
        <is>
          <t>N-05</t>
        </is>
      </c>
    </row>
    <row r="63">
      <c r="A63" s="15" t="inlineStr">
        <is>
          <t>No pip install</t>
        </is>
      </c>
      <c r="B63" s="16" t="inlineStr">
        <is>
          <t>http.server, json, pathlib, zipfile and xml are all standard library. The xlsx reading and writing stays in the browser, where it is already dependency-free - so Python never needs openpyxl.</t>
        </is>
      </c>
      <c r="C63" s="15" t="inlineStr">
        <is>
          <t>NR-DEP-05</t>
        </is>
      </c>
    </row>
    <row r="64">
      <c r="A64" s="17" t="inlineStr">
        <is>
          <t>The storage design carries over intact</t>
        </is>
      </c>
      <c r="B64" s="18" t="inlineStr">
        <is>
          <t>Atomic save, retained version, journal, the claim with its heartbeat and expiry - all of it is filesystem work, and all of it ports directly. The 33 checks in test_storage.mjs become 33 checks in Python.</t>
        </is>
      </c>
      <c r="C64" s="17" t="inlineStr">
        <is>
          <t>NR-STO-04..19</t>
        </is>
      </c>
    </row>
    <row r="65">
      <c r="A65" s="15" t="inlineStr">
        <is>
          <t>The shared folder still works</t>
        </is>
      </c>
      <c r="B65" s="16" t="inlineStr">
        <is>
          <t>Which route C cannot offer. Real files, real claim files, several people on one plan - the whole of sheet 07 keeps its meaning.</t>
        </is>
      </c>
      <c r="C65" s="15" t="inlineStr">
        <is>
          <t>NR-STO-10</t>
        </is>
      </c>
    </row>
    <row r="66">
      <c r="A66" s="17" t="inlineStr">
        <is>
          <t>What is lost</t>
        </is>
      </c>
      <c r="B66" s="18" t="inlineStr">
        <is>
          <t>A window of its own. The application would open in the browser, pointed at a local address, launched from a shortcut. It looks like the web application because it IS the web application - which is a fair trade for arriving at all.</t>
        </is>
      </c>
      <c r="C66" s="17" t="inlineStr">
        <is>
          <t>D-N01..D-N09</t>
        </is>
      </c>
    </row>
    <row r="68">
      <c r="A68"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70">
      <c r="A70" s="5" t="inlineStr">
        <is>
          <t>What has to be known before route B is chosen</t>
        </is>
      </c>
    </row>
    <row r="71" ht="28" customHeight="1">
      <c r="A71" s="10" t="inlineStr">
        <is>
          <t>Question</t>
        </is>
      </c>
      <c r="B71" s="10" t="inlineStr">
        <is>
          <t>Why it decides the route</t>
        </is>
      </c>
    </row>
    <row r="72">
      <c r="A72" s="18" t="inlineStr">
        <is>
          <t>Is Python installed on the laptop, and which version?</t>
        </is>
      </c>
      <c r="B72" s="18" t="inlineStr">
        <is>
          <t>`python --version` at a command prompt. 3.9 or newer is enough. If it is absent, route B needs IT to install it - which is the same conversation as route A, but for a runtime that is far easier to approve than an unknown application.</t>
        </is>
      </c>
    </row>
    <row r="73">
      <c r="A73" s="16" t="inlineStr">
        <is>
          <t>What internal route exists for files that are not e-mail?</t>
        </is>
      </c>
      <c r="B73" s="16" t="inlineStr">
        <is>
          <t>SharePoint, Teams, an internal GitLab, a software share. Route B still has to arrive; .py is text rather than an executable, which most filters treat differently, but the sanctioned route is better than the tolerated one.</t>
        </is>
      </c>
    </row>
    <row r="74">
      <c r="A74" s="18" t="inlineStr">
        <is>
          <t>Would IT rather approve a runtime than an application?</t>
        </is>
      </c>
      <c r="B74" s="18" t="inlineStr">
        <is>
          <t>Usually yes, and it is worth asking in those terms. 'May I have Python' is a smaller request than 'may I run this 142 MB thing a contractor sent me'.</t>
        </is>
      </c>
    </row>
    <row r="75">
      <c r="A75" s="16" t="inlineStr">
        <is>
          <t>What did the import security message actually say - which product, which policy name?</t>
        </is>
      </c>
      <c r="B75" s="16"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13" t="inlineStr">
        <is>
          <t>Q-N01</t>
        </is>
      </c>
      <c r="B5" s="13" t="inlineStr">
        <is>
          <t>Deployment</t>
        </is>
      </c>
      <c r="C5" s="14" t="inlineStr">
        <is>
          <t>Which operating systems must this run on?</t>
        </is>
      </c>
      <c r="D5" s="14" t="inlineStr">
        <is>
          <t>ANSWERED 2026-08-13: Windows only. Closed - A-N02, NR-DEP-01. macOS and Linux are out of scope.</t>
        </is>
      </c>
      <c r="E5" s="22" t="inlineStr">
        <is>
          <t>Windows. CLOSED</t>
        </is>
      </c>
    </row>
    <row r="6">
      <c r="A6" s="13" t="inlineStr">
        <is>
          <t>Q-N02</t>
        </is>
      </c>
      <c r="B6" s="13" t="inlineStr">
        <is>
          <t>Deployment</t>
        </is>
      </c>
      <c r="C6" s="14" t="inlineStr">
        <is>
          <t>Can you extract a zip into your own folder and run the .exe inside it?</t>
        </is>
      </c>
      <c r="D6" s="14"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13" t="inlineStr">
        <is>
          <t>Q-N03</t>
        </is>
      </c>
      <c r="B7" s="13" t="inlineStr">
        <is>
          <t>Deployment</t>
        </is>
      </c>
      <c r="C7" s="14" t="inlineStr">
        <is>
          <t>Is a company code-signing certificate obtainable, and by whom?</t>
        </is>
      </c>
      <c r="D7" s="14"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13" t="inlineStr">
        <is>
          <t>Q-N04</t>
        </is>
      </c>
      <c r="B8" s="13" t="inlineStr">
        <is>
          <t>Storage</t>
        </is>
      </c>
      <c r="C8" s="14" t="inlineStr">
        <is>
          <t>Where should workspaces live by default?</t>
        </is>
      </c>
      <c r="D8" s="14"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13" t="inlineStr">
        <is>
          <t>Q-N05</t>
        </is>
      </c>
      <c r="B9" s="13" t="inlineStr">
        <is>
          <t>Storage</t>
        </is>
      </c>
      <c r="C9" s="14" t="inlineStr">
        <is>
          <t>When you re-import a source workbook over a workspace that already holds your hand-entered data, what should happen?</t>
        </is>
      </c>
      <c r="D9" s="14"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13" t="inlineStr">
        <is>
          <t>Q-N06</t>
        </is>
      </c>
      <c r="B10" s="13" t="inlineStr">
        <is>
          <t>Storage</t>
        </is>
      </c>
      <c r="C10" s="14" t="inlineStr">
        <is>
          <t>Will more than one person ever have the same workspace open at once?</t>
        </is>
      </c>
      <c r="D10" s="14"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13" t="inlineStr">
        <is>
          <t>Q-N07</t>
        </is>
      </c>
      <c r="B11" s="13" t="inlineStr">
        <is>
          <t>Storage</t>
        </is>
      </c>
      <c r="C11" s="14" t="inlineStr">
        <is>
          <t>How many previous versions of a workspace should be retained?</t>
        </is>
      </c>
      <c r="D11" s="14"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13" t="inlineStr">
        <is>
          <t>Q-N08</t>
        </is>
      </c>
      <c r="B12" s="13" t="inlineStr">
        <is>
          <t>Deployment</t>
        </is>
      </c>
      <c r="C12" s="14" t="inlineStr">
        <is>
          <t>How will updates reach you?</t>
        </is>
      </c>
      <c r="D12" s="14"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13" t="inlineStr">
        <is>
          <t>Q-N09</t>
        </is>
      </c>
      <c r="B13" s="13" t="inlineStr">
        <is>
          <t>Governance</t>
        </is>
      </c>
      <c r="C13" s="14" t="inlineStr">
        <is>
          <t>Does this tool fall under any internal validation or record-keeping obligation, now that it HOLDS data rather than only displaying it?</t>
        </is>
      </c>
      <c r="D13" s="14"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13" t="inlineStr">
        <is>
          <t>Q-N10</t>
        </is>
      </c>
      <c r="B14" s="13" t="inlineStr">
        <is>
          <t>Scope</t>
        </is>
      </c>
      <c r="C14" s="14" t="inlineStr">
        <is>
          <t>Should the application be able to open a source workbook for a quick look, without creating a workspace?</t>
        </is>
      </c>
      <c r="D14" s="14"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13" t="inlineStr">
        <is>
          <t>Q-N11</t>
        </is>
      </c>
      <c r="B15" s="13" t="inlineStr">
        <is>
          <t>Naming</t>
        </is>
      </c>
      <c r="C15" s="14" t="inlineStr">
        <is>
          <t>What should the application be called on screen?</t>
        </is>
      </c>
      <c r="D15" s="14"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13" t="inlineStr">
        <is>
          <t>Q-N12</t>
        </is>
      </c>
      <c r="B16" s="13" t="inlineStr">
        <is>
          <t>Deployment</t>
        </is>
      </c>
      <c r="C16" s="14" t="inlineStr">
        <is>
          <t>Where will you keep the application folder?</t>
        </is>
      </c>
      <c r="D16" s="14"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13" t="inlineStr">
        <is>
          <t>Q-N13</t>
        </is>
      </c>
      <c r="B17" s="13" t="inlineStr">
        <is>
          <t>Deployment</t>
        </is>
      </c>
      <c r="C17" s="14" t="inlineStr">
        <is>
          <t>Is it acceptable that double-clicking a .prap file in Explorer will NOT open the application?</t>
        </is>
      </c>
      <c r="D17" s="14" t="inlineStr">
        <is>
          <t>ANSWERED 2026-08-13: not needed, drag-and-drop is fine. Closed. NR-IMP-04 stands as reduced, decision N-15 is unchallenged, and no registry entry will be written for any reason.</t>
        </is>
      </c>
      <c r="E17" s="22" t="inlineStr">
        <is>
          <t>Not needed. CLOSED</t>
        </is>
      </c>
    </row>
    <row r="18">
      <c r="A18" s="13" t="inlineStr">
        <is>
          <t>Q-N14</t>
        </is>
      </c>
      <c r="B18" s="13" t="inlineStr">
        <is>
          <t>Deployment</t>
        </is>
      </c>
      <c r="C18" s="14" t="inlineStr">
        <is>
          <t>Is the share where people RUN it from, or where they copy it from once?</t>
        </is>
      </c>
      <c r="D18" s="14"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13" t="inlineStr">
        <is>
          <t>Q-N15</t>
        </is>
      </c>
      <c r="B19" s="13" t="inlineStr">
        <is>
          <t>Deployment</t>
        </is>
      </c>
      <c r="C19" s="14" t="inlineStr">
        <is>
          <t>Would the share be writable, or read-only?</t>
        </is>
      </c>
      <c r="D19" s="14"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13" t="inlineStr">
        <is>
          <t>Q-N16</t>
        </is>
      </c>
      <c r="B20" s="13" t="inlineStr">
        <is>
          <t>Sharing</t>
        </is>
      </c>
      <c r="C20" s="14" t="inlineStr">
        <is>
          <t>How long should a silent session hold a plan before others may take it over?</t>
        </is>
      </c>
      <c r="D20" s="14"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13" t="inlineStr">
        <is>
          <t>Q-N17</t>
        </is>
      </c>
      <c r="B21" s="13" t="inlineStr">
        <is>
          <t>Sharing</t>
        </is>
      </c>
      <c r="C21" s="14" t="inlineStr">
        <is>
          <t>Should the application be able to say who is editing, and let a blocked colleague contact them?</t>
        </is>
      </c>
      <c r="D21" s="14"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13" t="inlineStr">
        <is>
          <t>Q-N18</t>
        </is>
      </c>
      <c r="B22" s="13" t="inlineStr">
        <is>
          <t>User identity</t>
        </is>
      </c>
      <c r="C22" s="14" t="inlineStr">
        <is>
          <t>Which details should the application record beside the name?</t>
        </is>
      </c>
      <c r="D22" s="14"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9" t="inlineStr">
        <is>
          <t>Green = new to the desktop application; nothing in the web application corresponds to it.</t>
        </is>
      </c>
    </row>
    <row r="27">
      <c r="A27" s="20" t="inlineStr">
        <is>
          <t>Orange = inherited from the web application but deliberately changed here.</t>
        </is>
      </c>
    </row>
    <row r="28">
      <c r="A28" s="21"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7" t="inlineStr">
        <is>
          <t>1</t>
        </is>
      </c>
      <c r="B5" s="17" t="inlineStr">
        <is>
          <t>Instruction 2026-08-13</t>
        </is>
      </c>
      <c r="C5" s="18" t="inlineStr">
        <is>
          <t>Change the program from a web application to a separate program type, like other open-source applications.</t>
        </is>
      </c>
      <c r="D5" s="18" t="inlineStr">
        <is>
          <t>Accepted as the purpose of this plan.</t>
        </is>
      </c>
      <c r="E5" s="18" t="inlineStr">
        <is>
          <t>Sheet 02 scope; NR-APP-01..07; decision N-01 selects the shell technology; sheet 04 records why the engine is not rewritten.</t>
        </is>
      </c>
      <c r="F5" s="17" t="inlineStr">
        <is>
          <t>Closed</t>
        </is>
      </c>
    </row>
    <row r="6">
      <c r="A6" s="15" t="inlineStr">
        <is>
          <t>2</t>
        </is>
      </c>
      <c r="B6" s="15" t="inlineStr">
        <is>
          <t>Instruction 2026-08-13</t>
        </is>
      </c>
      <c r="C6" s="16" t="inlineStr">
        <is>
          <t>Change the data flow to keep imported data even after the application closes.</t>
        </is>
      </c>
      <c r="D6" s="16" t="inlineStr">
        <is>
          <t>Accepted.</t>
        </is>
      </c>
      <c r="E6" s="16" t="inlineStr">
        <is>
          <t>NR-STO-01..09; sheet 05 sets out the workspace model, the write protocol and the recovery behaviour; decisions N-02, N-03, N-08; risk R-N03 records the new risk this creates.</t>
        </is>
      </c>
      <c r="F6" s="15" t="inlineStr">
        <is>
          <t>Closed</t>
        </is>
      </c>
    </row>
    <row r="7">
      <c r="A7" s="17" t="inlineStr">
        <is>
          <t>3</t>
        </is>
      </c>
      <c r="B7" s="17" t="inlineStr">
        <is>
          <t>Instruction 2026-08-13</t>
        </is>
      </c>
      <c r="C7" s="18" t="inlineStr">
        <is>
          <t>Use both ways - the web application goes final and stays usable; keep the HTML and its documents.</t>
        </is>
      </c>
      <c r="D7" s="18" t="inlineStr">
        <is>
          <t>Accepted, and it shapes the architecture.</t>
        </is>
      </c>
      <c r="E7" s="18" t="inlineStr">
        <is>
          <t>Sheet 02 states what is kept and untouched. Decisions N-05, N-06 and N-10 make the arrangement maintainable: one engine, the web application feature-frozen, parity tested rather than assumed. Risk R-N07 records the cost.</t>
        </is>
      </c>
      <c r="F7" s="17" t="inlineStr">
        <is>
          <t>Closed</t>
        </is>
      </c>
    </row>
    <row r="8">
      <c r="A8" s="15" t="inlineStr">
        <is>
          <t>4</t>
        </is>
      </c>
      <c r="B8" s="15" t="inlineStr">
        <is>
          <t>Instruction 2026-08-13</t>
        </is>
      </c>
      <c r="C8" s="16" t="inlineStr">
        <is>
          <t>Develop the new application under a separate plan with a different name.</t>
        </is>
      </c>
      <c r="D8" s="16" t="inlineStr">
        <is>
          <t>Accepted.</t>
        </is>
      </c>
      <c r="E8" s="16" t="inlineStr">
        <is>
          <t>This document, PRAP-NAPP-PLAN-001, in its own version line from v0.1 with its own gates N1..N5. The web application plan is not amended.</t>
        </is>
      </c>
      <c r="F8" s="15" t="inlineStr">
        <is>
          <t>Closed</t>
        </is>
      </c>
    </row>
    <row r="9">
      <c r="A9" s="17" t="inlineStr">
        <is>
          <t>5</t>
        </is>
      </c>
      <c r="B9" s="17" t="inlineStr">
        <is>
          <t>Instruction 2026-08-13</t>
        </is>
      </c>
      <c r="C9" s="18" t="inlineStr">
        <is>
          <t>Distribution size would be allowed.</t>
        </is>
      </c>
      <c r="D9" s="18" t="inlineStr">
        <is>
          <t>Accepted - and it decides an open question.</t>
        </is>
      </c>
      <c r="E9" s="18" t="inlineStr">
        <is>
          <t>Recorded as assumption A-N04. It removes the only strong argument against Electron, so decision N-01 selects it on the grounds of verifiability instead. Sheet 04 keeps Tauri as a documented later option.</t>
        </is>
      </c>
      <c r="F9" s="17" t="inlineStr">
        <is>
          <t>Closed</t>
        </is>
      </c>
    </row>
    <row r="10">
      <c r="A10" s="15" t="inlineStr">
        <is>
          <t>6</t>
        </is>
      </c>
      <c r="B10" s="15" t="inlineStr">
        <is>
          <t>-</t>
        </is>
      </c>
      <c r="C10" s="16" t="inlineStr">
        <is>
          <t>Not requester input - raised while drafting.</t>
        </is>
      </c>
      <c r="D10" s="16" t="inlineStr">
        <is>
          <t>Two claims in this plan cannot be verified from the development environment.</t>
        </is>
      </c>
      <c r="E10" s="16"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5" t="inlineStr">
        <is>
          <t>Closed</t>
        </is>
      </c>
    </row>
    <row r="11">
      <c r="A11" s="17" t="inlineStr">
        <is>
          <t>7</t>
        </is>
      </c>
      <c r="B11" s="17" t="inlineStr">
        <is>
          <t>Instruction 2026-08-13 (round 1)</t>
        </is>
      </c>
      <c r="C11" s="18" t="inlineStr">
        <is>
          <t>The new application should work well under Windows OS.</t>
        </is>
      </c>
      <c r="D11" s="18" t="inlineStr">
        <is>
          <t>Accepted - Q-N01 closed.</t>
        </is>
      </c>
      <c r="E11" s="18"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7" t="inlineStr">
        <is>
          <t>Closed</t>
        </is>
      </c>
    </row>
    <row r="12">
      <c r="A12" s="15" t="inlineStr">
        <is>
          <t>8</t>
        </is>
      </c>
      <c r="B12" s="15" t="inlineStr">
        <is>
          <t>Instruction 2026-08-13 (round 1)</t>
        </is>
      </c>
      <c r="C12" s="16" t="inlineStr">
        <is>
          <t>It should be a non-installed application.</t>
        </is>
      </c>
      <c r="D12" s="16" t="inlineStr">
        <is>
          <t>Accepted, and it reaches further than one requirement.</t>
        </is>
      </c>
      <c r="E12" s="16"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5" t="inlineStr">
        <is>
          <t>Closed</t>
        </is>
      </c>
    </row>
    <row r="13">
      <c r="A13" s="17" t="inlineStr">
        <is>
          <t>9</t>
        </is>
      </c>
      <c r="B13" s="17" t="inlineStr">
        <is>
          <t>-</t>
        </is>
      </c>
      <c r="C13" s="18" t="inlineStr">
        <is>
          <t>Not requester input - found while applying item 8.</t>
        </is>
      </c>
      <c r="D13" s="18" t="inlineStr">
        <is>
          <t>Two consequences worth your explicit agreement.</t>
        </is>
      </c>
      <c r="E13" s="18"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7" t="inlineStr">
        <is>
          <t>Closed</t>
        </is>
      </c>
    </row>
    <row r="14">
      <c r="A14" s="15" t="inlineStr">
        <is>
          <t>10</t>
        </is>
      </c>
      <c r="B14" s="15" t="inlineStr">
        <is>
          <t>-</t>
        </is>
      </c>
      <c r="C14" s="16" t="inlineStr">
        <is>
          <t>Not requester input - found while applying item 8.</t>
        </is>
      </c>
      <c r="D14" s="16" t="inlineStr">
        <is>
          <t>Non-installed makes one thing HARDER, not easier.</t>
        </is>
      </c>
      <c r="E14" s="16"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5" t="inlineStr">
        <is>
          <t>Closed</t>
        </is>
      </c>
    </row>
    <row r="15">
      <c r="A15" s="17" t="inlineStr">
        <is>
          <t>11</t>
        </is>
      </c>
      <c r="B15" s="17" t="inlineStr">
        <is>
          <t>Q-N13 answer (round 2)</t>
        </is>
      </c>
      <c r="C15" s="18" t="inlineStr">
        <is>
          <t>File association not needed; drag-and-drop is fine.</t>
        </is>
      </c>
      <c r="D15" s="18" t="inlineStr">
        <is>
          <t>Accepted - closes the question with no change.</t>
        </is>
      </c>
      <c r="E15" s="18" t="inlineStr">
        <is>
          <t>NR-IMP-04 stands as reduced at v0.2, and decision N-15 is now unchallenged: no registry entry will be written for any purpose. The 'optional associate files action' floated at v0.2 is dropped rather than left hanging.</t>
        </is>
      </c>
      <c r="F15" s="17" t="inlineStr">
        <is>
          <t>Closed</t>
        </is>
      </c>
    </row>
    <row r="16">
      <c r="A16" s="15" t="inlineStr">
        <is>
          <t>12</t>
        </is>
      </c>
      <c r="B16" s="15" t="inlineStr">
        <is>
          <t>Q-N12 answer (round 2)</t>
        </is>
      </c>
      <c r="C16" s="16" t="inlineStr">
        <is>
          <t>A shared network folder could be considered.</t>
        </is>
      </c>
      <c r="D16" s="16" t="inlineStr">
        <is>
          <t>Accepted, and planned for as though it will happen.</t>
        </is>
      </c>
      <c r="E16" s="16"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5" t="inlineStr">
        <is>
          <t>Closed</t>
        </is>
      </c>
    </row>
    <row r="17">
      <c r="A17" s="17" t="inlineStr">
        <is>
          <t>13</t>
        </is>
      </c>
      <c r="B17" s="17" t="inlineStr">
        <is>
          <t>-</t>
        </is>
      </c>
      <c r="C17" s="18" t="inlineStr">
        <is>
          <t>Not requester input - found while applying item 12.</t>
        </is>
      </c>
      <c r="D17" s="18" t="inlineStr">
        <is>
          <t>A shared folder breaks the v0.2 layout in two places, and one of them silently destroys work.</t>
        </is>
      </c>
      <c r="E17" s="18"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7" t="inlineStr">
        <is>
          <t>Closed</t>
        </is>
      </c>
    </row>
    <row r="18">
      <c r="A18" s="15" t="inlineStr">
        <is>
          <t>14</t>
        </is>
      </c>
      <c r="B18" s="15" t="inlineStr">
        <is>
          <t>-</t>
        </is>
      </c>
      <c r="C18" s="16" t="inlineStr">
        <is>
          <t>Not requester input - found while applying item 12.</t>
        </is>
      </c>
      <c r="D18" s="16" t="inlineStr">
        <is>
          <t>Where does a portable application remember its data location, if it cannot write beside itself?</t>
        </is>
      </c>
      <c r="E18" s="16"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5" t="inlineStr">
        <is>
          <t>Closed</t>
        </is>
      </c>
    </row>
    <row r="19">
      <c r="A19" s="17" t="inlineStr">
        <is>
          <t>15</t>
        </is>
      </c>
      <c r="B19" s="17" t="inlineStr">
        <is>
          <t>Q-N06</t>
        </is>
      </c>
      <c r="C19" s="18" t="inlineStr">
        <is>
          <t>Not requester input - a consequence of item 12.</t>
        </is>
      </c>
      <c r="D19" s="18" t="inlineStr">
        <is>
          <t>The question no longer needs answering.</t>
        </is>
      </c>
      <c r="E19" s="18" t="inlineStr">
        <is>
          <t>Q-N06 asked whether two people would ever open one workspace at once. With concurrent use designed for unconditionally (N-18), the answer changes nothing. Marked superseded rather than left open.</t>
        </is>
      </c>
      <c r="F19" s="17" t="inlineStr">
        <is>
          <t>Closed</t>
        </is>
      </c>
    </row>
    <row r="20">
      <c r="A20" s="15" t="inlineStr">
        <is>
          <t>16</t>
        </is>
      </c>
      <c r="B20" s="15" t="inlineStr">
        <is>
          <t>Instruction 2026-08-13 (round 3)</t>
        </is>
      </c>
      <c r="C20" s="16" t="inlineStr">
        <is>
          <t>Block other sessions from updating while someone starts editing.</t>
        </is>
      </c>
      <c r="D20" s="16" t="inlineStr">
        <is>
          <t>Accepted, and it settles the sharing model: single writer, many readers.</t>
        </is>
      </c>
      <c r="E20" s="16"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5" t="inlineStr">
        <is>
          <t>Closed</t>
        </is>
      </c>
    </row>
    <row r="21">
      <c r="A21" s="17" t="inlineStr">
        <is>
          <t>17</t>
        </is>
      </c>
      <c r="B21" s="17" t="inlineStr">
        <is>
          <t>-</t>
        </is>
      </c>
      <c r="C21" s="18" t="inlineStr">
        <is>
          <t>Not requester input - noticed while applying item 16.</t>
        </is>
      </c>
      <c r="D21" s="18" t="inlineStr">
        <is>
          <t>The instruction fits the application's existing edit model exactly.</t>
        </is>
      </c>
      <c r="E21" s="18"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7" t="inlineStr">
        <is>
          <t>Closed</t>
        </is>
      </c>
    </row>
    <row r="22">
      <c r="A22" s="15" t="inlineStr">
        <is>
          <t>18</t>
        </is>
      </c>
      <c r="B22" s="15" t="inlineStr">
        <is>
          <t>-</t>
        </is>
      </c>
      <c r="C22" s="16" t="inlineStr">
        <is>
          <t>Not requester input - a gap in v0.3 that item 16 makes plain.</t>
        </is>
      </c>
      <c r="D22" s="16" t="inlineStr">
        <is>
          <t>Blocking writers is not enough on its own: a READER can be misled just as badly.</t>
        </is>
      </c>
      <c r="E22" s="16"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5" t="inlineStr">
        <is>
          <t>Closed</t>
        </is>
      </c>
    </row>
    <row r="23">
      <c r="A23" s="17" t="inlineStr">
        <is>
          <t>19</t>
        </is>
      </c>
      <c r="B23" s="17" t="inlineStr">
        <is>
          <t>-</t>
        </is>
      </c>
      <c r="C23" s="18" t="inlineStr">
        <is>
          <t>Not requester input - raised while applying item 16.</t>
        </is>
      </c>
      <c r="D23" s="18" t="inlineStr">
        <is>
          <t>One failure mode belongs to the network, not to the application.</t>
        </is>
      </c>
      <c r="E23" s="18"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7" t="inlineStr">
        <is>
          <t>Closed</t>
        </is>
      </c>
    </row>
    <row r="24">
      <c r="A24" s="15" t="inlineStr">
        <is>
          <t>20</t>
        </is>
      </c>
      <c r="B24" s="15" t="inlineStr">
        <is>
          <t>Q-N16 answer (round 4)</t>
        </is>
      </c>
      <c r="C24" s="16" t="inlineStr">
        <is>
          <t>A silent session may hold a plan for 30 minutes.</t>
        </is>
      </c>
      <c r="D24" s="16" t="inlineStr">
        <is>
          <t>Accepted - twenty times the 90 seconds proposed, and coherent with the Q-N17 answer.</t>
        </is>
      </c>
      <c r="E24" s="16"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5" t="inlineStr">
        <is>
          <t>Closed</t>
        </is>
      </c>
    </row>
    <row r="25">
      <c r="A25" s="17" t="inlineStr">
        <is>
          <t>21</t>
        </is>
      </c>
      <c r="B25" s="17" t="inlineStr">
        <is>
          <t>Q-N17 answer (round 4)</t>
        </is>
      </c>
      <c r="C25" s="18" t="inlineStr">
        <is>
          <t>Ask for the user's name at log-in; show who is editing in the pop-up; let others contact that person from what the pop-up shows.</t>
        </is>
      </c>
      <c r="D25" s="18" t="inlineStr">
        <is>
          <t>Accepted, and it is what makes item 20 work.</t>
        </is>
      </c>
      <c r="E25" s="18"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7" t="inlineStr">
        <is>
          <t>Closed</t>
        </is>
      </c>
    </row>
    <row r="26">
      <c r="A26" s="15" t="inlineStr">
        <is>
          <t>22</t>
        </is>
      </c>
      <c r="B26" s="15" t="inlineStr">
        <is>
          <t>-</t>
        </is>
      </c>
      <c r="C26" s="16" t="inlineStr">
        <is>
          <t>Not requester input - noticed while applying items 20 and 21.</t>
        </is>
      </c>
      <c r="D26" s="16" t="inlineStr">
        <is>
          <t>The two answers are stronger together than separately.</t>
        </is>
      </c>
      <c r="E26" s="16"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5" t="inlineStr">
        <is>
          <t>Closed</t>
        </is>
      </c>
    </row>
    <row r="27">
      <c r="A27" s="17" t="inlineStr">
        <is>
          <t>23</t>
        </is>
      </c>
      <c r="B27" s="17" t="inlineStr">
        <is>
          <t>-</t>
        </is>
      </c>
      <c r="C27" s="18" t="inlineStr">
        <is>
          <t>Not requester input - found while applying item 20.</t>
        </is>
      </c>
      <c r="D27" s="18" t="inlineStr">
        <is>
          <t>Thirty minutes has one genuinely infuriating case.</t>
        </is>
      </c>
      <c r="E27" s="18" t="inlineStr">
        <is>
          <t>Your own application crashes, you restart it, and you cannot edit your own plan for half an hour. NR-STO-19 and decision N-24 let a user reclaim a stalled claim held by their own name on their own machine at once. Everybody else waits.</t>
        </is>
      </c>
      <c r="F27" s="17" t="inlineStr">
        <is>
          <t>Closed</t>
        </is>
      </c>
    </row>
    <row r="28">
      <c r="A28" s="15" t="inlineStr">
        <is>
          <t>24</t>
        </is>
      </c>
      <c r="B28" s="15" t="inlineStr">
        <is>
          <t>-</t>
        </is>
      </c>
      <c r="C28" s="16" t="inlineStr">
        <is>
          <t>Not requester input - raised while applying item 21.</t>
        </is>
      </c>
      <c r="D28" s="16" t="inlineStr">
        <is>
          <t>What a typed name is, and is not.</t>
        </is>
      </c>
      <c r="E28" s="16"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5" t="inlineStr">
        <is>
          <t>Closed</t>
        </is>
      </c>
    </row>
    <row r="29">
      <c r="A29" s="17" t="inlineStr">
        <is>
          <t>25</t>
        </is>
      </c>
      <c r="B29" s="17" t="inlineStr">
        <is>
          <t>Q-N18 answer (round 5)</t>
        </is>
      </c>
      <c r="C29" s="18" t="inlineStr">
        <is>
          <t>Record the user's department beside their name.</t>
        </is>
      </c>
      <c r="D29" s="18" t="inlineStr">
        <is>
          <t>Accepted, and e-mail and telephone are dropped rather than kept as optional.</t>
        </is>
      </c>
      <c r="E29" s="18"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7" t="inlineStr">
        <is>
          <t>Closed</t>
        </is>
      </c>
    </row>
    <row r="30">
      <c r="A30" s="15" t="inlineStr">
        <is>
          <t>26</t>
        </is>
      </c>
      <c r="B30" s="15" t="inlineStr">
        <is>
          <t>-</t>
        </is>
      </c>
      <c r="C30" s="16" t="inlineStr">
        <is>
          <t>Not requester input - noticed while applying item 25.</t>
        </is>
      </c>
      <c r="D30" s="16" t="inlineStr">
        <is>
          <t>The answer fits a column the data model already has.</t>
        </is>
      </c>
      <c r="E30" s="16"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5" t="inlineStr">
        <is>
          <t>Closed</t>
        </is>
      </c>
    </row>
    <row r="31">
      <c r="A31" s="17" t="inlineStr">
        <is>
          <t>27</t>
        </is>
      </c>
      <c r="B31" s="17" t="inlineStr">
        <is>
          <t>v0.6_reviewed (round 6)</t>
        </is>
      </c>
      <c r="C31" s="18" t="inlineStr">
        <is>
          <t>Q-N02: a zip can be saved in your own folder and executed. Confirming the rest with IT is difficult at the moment - assume no issue.</t>
        </is>
      </c>
      <c r="D31" s="18" t="inlineStr">
        <is>
          <t>Accepted as a decision to proceed, recorded as an assumption rather than a fact.</t>
        </is>
      </c>
      <c r="E31" s="18"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7" t="inlineStr">
        <is>
          <t>Closed</t>
        </is>
      </c>
    </row>
    <row r="32">
      <c r="A32" s="15" t="inlineStr">
        <is>
          <t>28</t>
        </is>
      </c>
      <c r="B32" s="15" t="inlineStr">
        <is>
          <t>v0.6_reviewed - Q-N03</t>
        </is>
      </c>
      <c r="C32" s="16" t="inlineStr">
        <is>
          <t>Not an answer: 'elaborate the question more easily. What IT purchase is needed? What is the company code-signing certificate?'</t>
        </is>
      </c>
      <c r="D32" s="16" t="inlineStr">
        <is>
          <t>Fair - the question assumed knowledge it should have supplied.</t>
        </is>
      </c>
      <c r="E32" s="16"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5" t="inlineStr">
        <is>
          <t>Closed</t>
        </is>
      </c>
    </row>
    <row r="33">
      <c r="A33" s="17" t="inlineStr">
        <is>
          <t>29</t>
        </is>
      </c>
      <c r="B33" s="17" t="inlineStr">
        <is>
          <t>v0.6_reviewed - Q-N04</t>
        </is>
      </c>
      <c r="C33" s="18" t="inlineStr">
        <is>
          <t>'Even in a shared network, there is a certain way to decrypt a file to be imported into the system.'</t>
        </is>
      </c>
      <c r="D33" s="18" t="inlineStr">
        <is>
          <t>Read as being about file PROTECTION rather than about location - flagged for your confirmation.</t>
        </is>
      </c>
      <c r="E33" s="18"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7" t="inlineStr">
        <is>
          <t>Closed</t>
        </is>
      </c>
    </row>
    <row r="34">
      <c r="A34" s="15" t="inlineStr">
        <is>
          <t>30</t>
        </is>
      </c>
      <c r="B34" s="15" t="inlineStr">
        <is>
          <t>v0.6_reviewed - Q-N05</t>
        </is>
      </c>
      <c r="C34" s="16" t="inlineStr">
        <is>
          <t>Ask whether to update existing data, and give a difference report so the user decides what may be overridden.</t>
        </is>
      </c>
      <c r="D34" s="16" t="inlineStr">
        <is>
          <t>Accepted - confirms the v0.3 proposal and adds an explicit first question.</t>
        </is>
      </c>
      <c r="E34" s="16"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5" t="inlineStr">
        <is>
          <t>Closed</t>
        </is>
      </c>
    </row>
    <row r="35">
      <c r="A35" s="17" t="inlineStr">
        <is>
          <t>31</t>
        </is>
      </c>
      <c r="B35" s="17" t="inlineStr">
        <is>
          <t>v0.6_reviewed - Q-N07</t>
        </is>
      </c>
      <c r="C35" s="18" t="inlineStr">
        <is>
          <t>Retain only one previous version.</t>
        </is>
      </c>
      <c r="D35" s="18" t="inlineStr">
        <is>
          <t>Accepted, with its consequence recorded rather than left implicit.</t>
        </is>
      </c>
      <c r="E35" s="18"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7" t="inlineStr">
        <is>
          <t>Closed</t>
        </is>
      </c>
    </row>
    <row r="36">
      <c r="A36" s="15" t="inlineStr">
        <is>
          <t>32</t>
        </is>
      </c>
      <c r="B36" s="15" t="inlineStr">
        <is>
          <t>v0.6_reviewed - Q-N09</t>
        </is>
      </c>
      <c r="C36" s="16" t="inlineStr">
        <is>
          <t>No internal validation or record-keeping obligation.</t>
        </is>
      </c>
      <c r="D36" s="16" t="inlineStr">
        <is>
          <t>Accepted - and it settles an open risk.</t>
        </is>
      </c>
      <c r="E36" s="16" t="inlineStr">
        <is>
          <t>Assumption A-N11. R-N16 falls from Medium/Medium to Low/Low: with nothing formal resting on it, a declared user name is a courtesy rather than a control. It also keeps Step N5 to functional verification rather than qualification evidence.</t>
        </is>
      </c>
      <c r="F36" s="15" t="inlineStr">
        <is>
          <t>Closed</t>
        </is>
      </c>
    </row>
    <row r="37">
      <c r="A37" s="17" t="inlineStr">
        <is>
          <t>33</t>
        </is>
      </c>
      <c r="B37" s="17" t="inlineStr">
        <is>
          <t>v0.6_reviewed - Q-N10</t>
        </is>
      </c>
      <c r="C37" s="18" t="inlineStr">
        <is>
          <t>Yes - open a source workbook for a look without creating a workspace.</t>
        </is>
      </c>
      <c r="D37" s="18" t="inlineStr">
        <is>
          <t>Accepted.</t>
        </is>
      </c>
      <c r="E37" s="18" t="inlineStr">
        <is>
          <t>NR-IMP-05. A workspace becomes optional rather than mandatory, which also gives somebody a way to try the application without committing to anything.</t>
        </is>
      </c>
      <c r="F37" s="17" t="inlineStr">
        <is>
          <t>Closed</t>
        </is>
      </c>
    </row>
    <row r="38">
      <c r="A38" s="15" t="inlineStr">
        <is>
          <t>34</t>
        </is>
      </c>
      <c r="B38" s="15" t="inlineStr">
        <is>
          <t>v0.6_reviewed - Q-N11</t>
        </is>
      </c>
      <c r="C38" s="16" t="inlineStr">
        <is>
          <t>'Project Management APP' or 'PM_APP'.</t>
        </is>
      </c>
      <c r="D38" s="16" t="inlineStr">
        <is>
          <t>Accepted, with one thing to confirm.</t>
        </is>
      </c>
      <c r="E38" s="16"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5" t="inlineStr">
        <is>
          <t>Closed</t>
        </is>
      </c>
    </row>
    <row r="39">
      <c r="A39" s="17" t="inlineStr">
        <is>
          <t>35</t>
        </is>
      </c>
      <c r="B39" s="17" t="inlineStr">
        <is>
          <t>v0.6_reviewed - Q-N14 and Q-N15</t>
        </is>
      </c>
      <c r="C39" s="18" t="inlineStr">
        <is>
          <t>Both ways of using the share; and the share would be writable.</t>
        </is>
      </c>
      <c r="D39" s="18" t="inlineStr">
        <is>
          <t>Accepted - and the writable answer is the simpler outcome.</t>
        </is>
      </c>
      <c r="E39" s="18"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7" t="inlineStr">
        <is>
          <t>Closed</t>
        </is>
      </c>
    </row>
    <row r="40">
      <c r="A40" s="15" t="inlineStr">
        <is>
          <t>36</t>
        </is>
      </c>
      <c r="B40" s="15" t="inlineStr">
        <is>
          <t>-</t>
        </is>
      </c>
      <c r="C40" s="16" t="inlineStr">
        <is>
          <t>Not requester input - the state of the document.</t>
        </is>
      </c>
      <c r="D40" s="16" t="inlineStr">
        <is>
          <t>Every question is answered.</t>
        </is>
      </c>
      <c r="E40" s="16"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5" t="inlineStr">
        <is>
          <t>Closed</t>
        </is>
      </c>
    </row>
    <row r="41">
      <c r="A41" s="17" t="inlineStr">
        <is>
          <t>37</t>
        </is>
      </c>
      <c r="B41" s="17" t="inlineStr">
        <is>
          <t>Gate N1</t>
        </is>
      </c>
      <c r="C41" s="18" t="inlineStr">
        <is>
          <t>'Go to next step', 2026-08-13.</t>
        </is>
      </c>
      <c r="D41" s="18" t="inlineStr">
        <is>
          <t>Recorded as approval of the plan as a baseline.</t>
        </is>
      </c>
      <c r="E41" s="18"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7" t="inlineStr">
        <is>
          <t>Closed</t>
        </is>
      </c>
    </row>
    <row r="42">
      <c r="A42" s="15" t="inlineStr">
        <is>
          <t>38</t>
        </is>
      </c>
      <c r="B42" s="15" t="inlineStr">
        <is>
          <t>Instruction 2026-08-18</t>
        </is>
      </c>
      <c r="C42" s="16" t="inlineStr">
        <is>
          <t>IT bans any data upload into HTML. How is that limitation solved?</t>
        </is>
      </c>
      <c r="D42" s="16" t="inlineStr">
        <is>
          <t>Accepted as a constraint, and diagnosed before it was recorded.</t>
        </is>
      </c>
      <c r="E42" s="16"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5" t="inlineStr">
        <is>
          <t>Closed</t>
        </is>
      </c>
    </row>
    <row r="43">
      <c r="A43" s="17" t="inlineStr">
        <is>
          <t>39</t>
        </is>
      </c>
      <c r="B43" s="17" t="inlineStr">
        <is>
          <t>Diagnostic 2026-08-18</t>
        </is>
      </c>
      <c r="C43" s="18" t="inlineStr">
        <is>
          <t>The file dialog opens normally; after choosing the file a company security message appeared and nothing was imported. No limitation on transferring or opening the HTML file.</t>
        </is>
      </c>
      <c r="D43" s="18" t="inlineStr">
        <is>
          <t>Decisive - it names the control exactly.</t>
        </is>
      </c>
      <c r="E43" s="18"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7" t="inlineStr">
        <is>
          <t>Closed</t>
        </is>
      </c>
    </row>
    <row r="44">
      <c r="A44" s="15" t="inlineStr">
        <is>
          <t>40</t>
        </is>
      </c>
      <c r="B44" s="15" t="inlineStr">
        <is>
          <t>Answers 2026-08-20</t>
        </is>
      </c>
      <c r="C44" s="16" t="inlineStr">
        <is>
          <t>Python 3.14 is installed. No internal file route is allowed yet - use e-mail with Python code. The import message said data upload is not allowed except to permitted paths.</t>
        </is>
      </c>
      <c r="D44" s="16" t="inlineStr">
        <is>
          <t>All three decided the route, and the third decided whether the route existed.</t>
        </is>
      </c>
      <c r="E44" s="16" t="inlineStr">
        <is>
          <t>Route B is chosen and built: src/storage/python/ and src/shell/python/, change C-N02 on this plan and sheet 05a of the specification. The third answer is the one that mattered - a DLP control on upload DESTINATIONS watches data leaving into a web page, and leaves a local program reading a local file entirely alone. Had it named a process reading business documents, route B would have been in doubt too.</t>
        </is>
      </c>
      <c r="F44" s="15" t="inlineStr">
        <is>
          <t>Closed</t>
        </is>
      </c>
    </row>
    <row r="45">
      <c r="A45" s="17" t="inlineStr">
        <is>
          <t>41</t>
        </is>
      </c>
      <c r="B45" s="17" t="inlineStr">
        <is>
          <t>Result 2026-08-22</t>
        </is>
      </c>
      <c r="C45" s="18" t="inlineStr">
        <is>
          <t>The Python package went through e-mail with no problem. The earlier refusal was caused by the EXECUTABLE enclosed in the zip.</t>
        </is>
      </c>
      <c r="D45" s="18" t="inlineStr">
        <is>
          <t>Decisive, and it narrows a risk this plan had recorded too widely.</t>
        </is>
      </c>
      <c r="E45" s="18" t="inlineStr">
        <is>
          <t>R-N20 falls from HIGH/HIGH to Low/HIGH and stops being the binding constraint. The filter judges what an archive CONTAINS rather than refusing archives - which is what a competent filter does, and which the plan should have said rather than concluding that nothing could be sent. Route B's premise, 'what travels is .py text', is now measured. Sheet 10a records the fifth result. Delivery is closed; whether the application RUNS on that laptop is Gate N4a and is the only thing outstanding.</t>
        </is>
      </c>
      <c r="F45" s="17" t="inlineStr">
        <is>
          <t>Closed</t>
        </is>
      </c>
    </row>
    <row r="47">
      <c r="A47"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9">
      <c r="A49" s="5" t="inlineStr">
        <is>
          <t>Approval - Gate N1</t>
        </is>
      </c>
    </row>
    <row r="50" ht="28" customHeight="1">
      <c r="A50" s="10" t="inlineStr">
        <is>
          <t>Document</t>
        </is>
      </c>
      <c r="B50" s="10" t="inlineStr">
        <is>
          <t>Approver</t>
        </is>
      </c>
      <c r="C50" s="10" t="inlineStr">
        <is>
          <t>Date</t>
        </is>
      </c>
      <c r="D50" s="10" t="inlineStr">
        <is>
          <t>Decision</t>
        </is>
      </c>
    </row>
    <row r="51">
      <c r="A51" s="11" t="inlineStr">
        <is>
          <t>PRAP NewApp Development Plan v1.0</t>
        </is>
      </c>
      <c r="B51" s="11" t="inlineStr">
        <is>
          <t>Dan</t>
        </is>
      </c>
      <c r="C51" s="11" t="inlineStr">
        <is>
          <t>2026-08-13</t>
        </is>
      </c>
      <c r="D51"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3">
      <c r="A53"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2026-10-12T06:11:26Z</dcterms:created>
  <dcterms:modified xsi:type="dcterms:W3CDTF">2026-10-12T06:11:26Z</dcterms:modified>
</cp:coreProperties>
</file>