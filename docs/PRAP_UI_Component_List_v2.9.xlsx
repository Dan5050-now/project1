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 name="05_Round3" sheetId="6" state="visible" r:id="rId6"/>
    <sheet name="06_Round4" sheetId="7" state="visible" r:id="rId7"/>
    <sheet name="07_Round5" sheetId="8" state="visible" r:id="rId8"/>
    <sheet name="08_Round6" sheetId="9" state="visible" r:id="rId9"/>
    <sheet name="09_Since_v1.0"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APPROVED by Dan, 2026-08-02. Step 3 gate closed.</t>
        </is>
      </c>
    </row>
    <row r="4">
      <c r="A4" s="3" t="inlineStr">
        <is>
          <t>Version</t>
        </is>
      </c>
      <c r="B4" s="4" t="inlineStr">
        <is>
          <t>v2.9</t>
        </is>
      </c>
    </row>
    <row r="5">
      <c r="A5" s="3" t="inlineStr">
        <is>
          <t>Date</t>
        </is>
      </c>
      <c r="B5" s="4" t="inlineStr">
        <is>
          <t>2026-10-12</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app/PRAP.html</t>
        </is>
      </c>
    </row>
    <row r="9">
      <c r="A9" s="3" t="inlineStr">
        <is>
          <t>Governing plan</t>
        </is>
      </c>
      <c r="B9" s="4" t="inlineStr">
        <is>
          <t>PRAP_Development_Plan_v2.0.xlsx (APPROVED BASELINE)</t>
        </is>
      </c>
    </row>
    <row r="10">
      <c r="A10" s="3" t="inlineStr">
        <is>
          <t>Specification</t>
        </is>
      </c>
      <c r="B10" s="4" t="inlineStr">
        <is>
          <t>PRAP_Programming_Specification_v1.0.xlsx (APPROVED)</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APPROVED by Dan on 2026-08-02, together with development plan v2.0 and programming</t>
        </is>
      </c>
    </row>
    <row r="53">
      <c r="A53" s="4" t="inlineStr">
        <is>
          <t>specification v1.0. Step 3 is closed and Step 4 - code generation - is authorised.</t>
        </is>
      </c>
    </row>
    <row r="54">
      <c r="A54" s="4" t="inlineStr"/>
    </row>
    <row r="55">
      <c r="A55" s="4" t="inlineStr">
        <is>
          <t>The two judgement calls flagged on sheet 08 were approved as made: the '...cut-off' milestones</t>
        </is>
      </c>
    </row>
    <row r="56">
      <c r="A56" s="4" t="inlineStr">
        <is>
          <t>stay ordinary, and the portfolio average covers active project-months only. Both are recorded</t>
        </is>
      </c>
    </row>
    <row r="57">
      <c r="A57" s="4" t="inlineStr">
        <is>
          <t>here so a later reader knows they were decided rather than defaulted.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3"/>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74 components. 25 Keep, 15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THIRTEEN sheets back in template layout, edits included. [FIXED v2.0] v1.0 said ten; MonthlyEstimate arrived at R-30 (schema 9) and is written too.</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 and months off their own standard. [FIXED v2.0] v1.0 said five tiles; R-42 added the sixth, 'Off their standard', which opens the Standard vs staffed list (R-52). It had never done so: the pop-up handler runs in the capture phase and swallowed the click on a div declaring role=button. Role now counts as well as tag.</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THIS chart still has no legend and answers by hover, exactly as you asked. [FIXED v2.0] v1.0's flat 'No legend' is no longer true of the application: five other charts DO carry one, and since R-45 a legend entry is clickable - it picks that series out across the whole tab. Your instruction was about this chart and it still holds here.</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[CHANGED v2.2] Resource by project (table)</t>
        </is>
      </c>
      <c r="D20" s="13" t="inlineStr">
        <is>
          <t>Project x month heatmap. Sorted NewDrug CT, Biosimilar CT, Others, then earliest first. [CHANGED v2.2] SINCE R-49 A MONTH INSIDE THE PROJECT'S RUN WITH NOBODY ON IT CARRIES THE FIGURE ITS STANDARD ASKS FOR, not a dot. A dot was a statement and it was the wrong one: it says the month costs nothing, when what it costs is exactly what the standard for its type, phase, scope and period says. Drawn as DEMAND and never as resource - no filled sequential scale, an outline and a hatch, italic, and a hollow ring glyph so the difference is not carried by colour alone (D-04) - and never added to the row, column or grand total, which stay the APPLIED figure so this table still reconciles with O-09. The unallocated is totalled on a line of its own and beside each project's applied total. Filled only where the calculation produced no figure at all, so nothing existing moves.</t>
        </is>
      </c>
      <c r="E20" s="12" t="inlineStr">
        <is>
          <t>REQ-DSH-01, REQ-DSH-17</t>
        </is>
      </c>
      <c r="F20" s="12" t="inlineStr">
        <is>
          <t>Change (R-49)</t>
        </is>
      </c>
      <c r="G20" s="13" t="inlineStr">
        <is>
          <t>Yes, proceed to the built.</t>
        </is>
      </c>
      <c r="H20" s="13" t="inlineStr">
        <is>
          <t>Done. The figure was computable from the moment the periods existed - REQ-CAL-19 says the project-month IS its standard and the people on it divide it, so a divisor of nobody does not make it nought. Demand is now a property of the project-month, from one function shared with V-36 so the screen cannot contradict the finding beside it. The charts and the results export are deliberately NOT changed: a stacked bar mixing allocated and unallocated bands would misstate its own total, and REQ-OUT-06 promises every exported monthly figure is the sum of its detail rows, which unallocated demand has none of.</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[FIXED v2.0] Monthly demand by person (chart)</t>
        </is>
      </c>
      <c r="D22" s="13" t="inlineStr">
        <is>
          <t>A STACKED chart, one band per person per month, the 20 most loaded shown individually and the rest folded into one band. It totals the same figure every month as 'Monthly demand by project' - the same person-months summed the other way. A segment is outlined where that person's own month crosses the ceiling or the floor. [FIXED v2.0] v1.0 described a bar chart of MEAN load per person and recorded it 'Keep - unchanged'. No such chart exists: it was replaced by this one, which answers 'what is this month made of' rather than 'what does this person average'.</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gray unless the period is given a colour (R-59),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[FIXED v2.1] Row virtualisation — not built, and not required</t>
        </is>
      </c>
      <c r="D43" s="8" t="inlineStr">
        <is>
          <t>NOT BUILT, AND SINCE R-47 NOT REQUIRED. Both Overall tables render EVERY row, and at the volume REQ-NFR-03 now names that is the right build. THIS ENTRY HAS BEEN WRONG TWICE AND IS NOW A DECISION. v1.0 recorded it 'Keep - unchanged', which reads as built; it never was, and there is no virtualisation anywhere in src/. v2.0 corrected that to NOT IMPLEMENTED, which made it an open defect against a requirement naming 1,000 people. v2.1 records what was decided once both volumes had been measured. WHAT WAS MEASURED (tools/build_stress_workbook.py builds a fixture at any --projects / --people; tools/measure_scale.py drives it). Switching to the Overall tab, 60-month horizon, against a 1,000 ms budget fixed before any number was seen: 50 x 100 529 ms (53% of budget, worst case 571) | 100 x 100 689 ms (69%, 746) | 100 x 150 810 ms (81%, 894) | 100 x 200 981 ms (98%, 1,225) | 50 x 400 1,044 ms (104%) | 100 x 1,000 3,058 ms (306%, worst 4,537, drawing 67,222 cells in 1,102 rows). REQ-NFR-03 WAS AMENDED TO 100 x 150 - the largest volume whose WORST case is still inside budget - so the cost this component exists to remove is 810 ms against a 1,000 ms budget, and removing it would change no number a user feels. THE BINDING QUANTITY IS ROWS, AND ROWS IS PROJECTS PLUS PEOPLE. Both Overall tables sit on one tab, so 50 x 200 and 100 x 150 are the same 252 rows and measure within 10 ms of each other. Anyone re-measuring this should vary the row count and the horizon together; the project count alone answers nothing. WHAT VIRTUALISATION WOULD NOT HAVE FIXED, had it been built for 1,000 people. The import at that volume is 7,328 ms against a 5,000 ms budget and 3,076 ms of it is the CALCULATION alone - 180,160 person-months. Virtualisation touches neither the calculation nor the workbook parse, so it answers the tab and about half the import: that volume was never one component away from working. Editing (98 ms) and filtering (49 ms) are inside budget even there. IF IT IS EVER NEEDED: the visible window plus a small overscan, row height fixed so the scrollbar stays truthful. It is cheap to add later because the property that would conflict with it is already a requirement - sorting, filtering and totals run over the whole model, never over the drawn slice (REQ-DSH-09).</t>
        </is>
      </c>
      <c r="E43" s="7" t="inlineStr">
        <is>
          <t>REQ-DSH-09, REQ-NFR-03</t>
        </is>
      </c>
      <c r="F43" s="7" t="inlineStr">
        <is>
          <t>Change (R-47)</t>
        </is>
      </c>
      <c r="G43" s="8" t="inlineStr">
        <is>
          <t>제안대로 측정부터 해줘  [measure first, as proposed]   ...   중간값으로 개정해줘  [revise to a middle value]</t>
        </is>
      </c>
      <c r="H43" s="8" t="inlineStr">
        <is>
          <t>Done, in that order - and the order mattered. Measured at six volumes first, then the middle value was chosen FROM the measurements rather than picked and checked afterwards: the candidates offered were 200 to 400 people, and measurement showed both of those over budget, so the achievable middle is 150. REQ-NFR-03 moved and the code did not. Recorded with its figures so a later reader can act on the decision instead of re-deriving it.</t>
        </is>
      </c>
      <c r="I43" s="9" t="inlineStr"/>
    </row>
    <row r="44">
      <c r="A44" s="12" t="inlineStr">
        <is>
          <t>A-01</t>
        </is>
      </c>
      <c r="B44" s="12" t="inlineStr">
        <is>
          <t>Assumptions tab</t>
        </is>
      </c>
      <c r="C44" s="13" t="inlineStr">
        <is>
          <t>[FIXED v2.0] Standard period FTE for project types</t>
        </is>
      </c>
      <c r="D44" s="13" t="inlineStr">
        <is>
          <t>PeriodFTEStandard as a matrix - type and phase down the side, period across, shaded by magnitude. [FIXED v2.0] v1.0 called this 'Standard period weights' and named the sheet PeriodWeightStandard. Both were renamed at R-33: the column holds a monthly FTE, a MAGNITUDE, and calling it a weight is most of why it went unused - a weight reads like something to multiply by. Caught by the new component check in check_consistency.py, not by reading.</t>
        </is>
      </c>
      <c r="E44" s="12" t="inlineStr">
        <is>
          <t>REQ-DSH-11</t>
        </is>
      </c>
      <c r="F44" s="12" t="inlineStr"/>
      <c r="G44" s="13" t="inlineStr"/>
      <c r="H44" s="13"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2" t="inlineStr">
        <is>
          <t>A-05</t>
        </is>
      </c>
      <c r="B48" s="12" t="inlineStr">
        <is>
          <t>Assumptions tab</t>
        </is>
      </c>
      <c r="C48" s="13" t="inlineStr">
        <is>
          <t>[NEW v2.7] Period colours</t>
        </is>
      </c>
      <c r="D48" s="13" t="inlineStr">
        <is>
          <t>PeriodHighlight: the default colour of each period name, for every project's timeline. Editable; empty means gray. A project's own Highlight on its Periods table wins.</t>
        </is>
      </c>
      <c r="E48" s="12" t="inlineStr">
        <is>
          <t>REQ-PRJ-16</t>
        </is>
      </c>
      <c r="F48" s="12" t="inlineStr">
        <is>
          <t>Added after approval</t>
        </is>
      </c>
      <c r="G48" s="13" t="inlineStr"/>
      <c r="H48" s="13" t="inlineStr">
        <is>
          <t>R-60.</t>
        </is>
      </c>
      <c r="I48" s="9" t="inlineStr"/>
    </row>
    <row r="49">
      <c r="A49" s="10" t="inlineStr">
        <is>
          <t>A-04</t>
        </is>
      </c>
      <c r="B49" s="10" t="inlineStr">
        <is>
          <t>Assumptions tab</t>
        </is>
      </c>
      <c r="C49" s="11" t="inlineStr">
        <is>
          <t>Value lists</t>
        </is>
      </c>
      <c r="D49" s="11" t="inlineStr">
        <is>
          <t>Lists: what each list-typed column will accept, and how many values each list holds. Read-only.</t>
        </is>
      </c>
      <c r="E49" s="10" t="inlineStr">
        <is>
          <t>REQ-DSH-11</t>
        </is>
      </c>
      <c r="F49" s="10" t="inlineStr">
        <is>
          <t>Change (round 3)</t>
        </is>
      </c>
      <c r="G49" s="11" t="inlineStr">
        <is>
          <t>Insert row button ... Check all tables of the 'General assumptions'.</t>
        </is>
      </c>
      <c r="H49"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9" s="9" t="inlineStr">
        <is>
          <t>OK (v0.7)</t>
        </is>
      </c>
    </row>
    <row r="50">
      <c r="A50" s="14" t="inlineStr">
        <is>
          <t>X-05</t>
        </is>
      </c>
      <c r="B50" s="14" t="inlineStr">
        <is>
          <t>Layout</t>
        </is>
      </c>
      <c r="C50" s="15" t="inlineStr">
        <is>
          <t>Hover pop-up layer</t>
        </is>
      </c>
      <c r="D50" s="15" t="inlineStr">
        <is>
          <t>A real tooltip - follows the cursor, flips at the screen edge, carries formatted multi-line content.</t>
        </is>
      </c>
      <c r="E50" s="14" t="inlineStr">
        <is>
          <t>REQ-DSH-02</t>
        </is>
      </c>
      <c r="F50" s="14" t="inlineStr"/>
      <c r="G50" s="15" t="inlineStr"/>
      <c r="H50" s="15" t="inlineStr">
        <is>
          <t>Added for O-06 and O-10. The native SVG tooltip cannot show a list of people and waits half a second to appear, so it could not do what you asked for. This moves off the deferred list, where v0.3 had it.</t>
        </is>
      </c>
      <c r="I50" s="9" t="inlineStr"/>
    </row>
    <row r="51">
      <c r="A51" s="14" t="inlineStr">
        <is>
          <t>X-06</t>
        </is>
      </c>
      <c r="B51" s="14" t="inlineStr">
        <is>
          <t>Layout</t>
        </is>
      </c>
      <c r="C51" s="15" t="inlineStr">
        <is>
          <t>Insert-row control</t>
        </is>
      </c>
      <c r="D51" s="15" t="inlineStr">
        <is>
          <t>'+ row' leading every row of every editable table; the new row lands directly below that row.</t>
        </is>
      </c>
      <c r="E51" s="14" t="inlineStr">
        <is>
          <t>REQ-IMP-11</t>
        </is>
      </c>
      <c r="F51" s="14" t="inlineStr"/>
      <c r="G51" s="15" t="inlineStr"/>
      <c r="H51" s="15" t="inlineStr">
        <is>
          <t>Added for P-01 and S-01, generalised to 'all sections' as you asked: both source-data tables, all four sub-tables, and the role-factor and config tables on the new tab. The control leads the row - see D-18 for why.</t>
        </is>
      </c>
      <c r="I51" s="9" t="inlineStr"/>
    </row>
    <row r="52">
      <c r="A52" s="12" t="inlineStr">
        <is>
          <t>O-11</t>
        </is>
      </c>
      <c r="B52" s="12" t="inlineStr">
        <is>
          <t>Overall</t>
        </is>
      </c>
      <c r="C52" s="13" t="inlineStr">
        <is>
          <t>[NEW v2.0] Monthly resource trend / Monthly load trend (line chart)</t>
        </is>
      </c>
      <c r="D52" s="13" t="inlineStr">
        <is>
          <t>One line per project on a shared baseline, capped at the 12 largest by total. The person tab carries the same component under the title 'Monthly load trend', one line per person with the over-allocation ceiling drawn. A stack answers 'what is this month made of'; only lines answer 'is this one rising or falling', because in a stack every band's baseline moves with the bands beneath it. Hover gives the line's total, mean and peak month.</t>
        </is>
      </c>
      <c r="E52" s="12" t="inlineStr">
        <is>
          <t>REQ-DSH-02</t>
        </is>
      </c>
      <c r="F52" s="12" t="inlineStr">
        <is>
          <t>Added after approval</t>
        </is>
      </c>
      <c r="G52" s="13" t="inlineStr"/>
      <c r="H52" s="13" t="inlineStr">
        <is>
          <t>R-38. First panel on Overall, and on both source-data tabs.</t>
        </is>
      </c>
      <c r="I52" s="9" t="inlineStr"/>
    </row>
    <row r="53">
      <c r="A53" s="7" t="inlineStr">
        <is>
          <t>O-12</t>
        </is>
      </c>
      <c r="B53" s="7" t="inlineStr">
        <is>
          <t>Overall</t>
        </is>
      </c>
      <c r="C53" s="8" t="inlineStr">
        <is>
          <t>[CHANGED v2.4] Standard vs staffed (from Resource by project)</t>
        </is>
      </c>
      <c r="D53" s="8" t="inlineStr">
        <is>
          <t>Every month where a project is not being given what its own standard asks for: what it needs, what it is getting, and the gap. Both directions are counted APART and never netted off - short of the standard and over it are different facts. It was a panel of its own under the tiles; it now opens from a control in RESOURCE BY PROJECT's head, where its figures live - every month it lists is a cell in that table. THE CONTROL STATES THE COUNT AND THE DIRECTION rather than naming the screen behind it, so the alarm is on the page with nothing opened: that was the whole reason the list was not put behind a click in the first place. Drawn even when there is nothing to report.</t>
        </is>
      </c>
      <c r="E53" s="7" t="inlineStr">
        <is>
          <t>REQ-DSH-15, V-34</t>
        </is>
      </c>
      <c r="F53" s="7" t="inlineStr">
        <is>
          <t>Added after approval</t>
        </is>
      </c>
      <c r="G53" s="8" t="inlineStr"/>
      <c r="H53" s="8" t="inlineStr">
        <is>
          <t>R-42; moved and the control given the count at R-52; narrowed by direction, project and smallest gap at R-53 — which narrows the LIST and never the count, since the count is the alarm. Ordered by project ID, then month, ascending, every month listed (R-62 follow-up; was largest first, capped at 40).</t>
        </is>
      </c>
      <c r="I53" s="9" t="inlineStr"/>
    </row>
    <row r="54">
      <c r="A54" s="12" t="inlineStr">
        <is>
          <t>O-13</t>
        </is>
      </c>
      <c r="B54" s="12" t="inlineStr">
        <is>
          <t>Overall</t>
        </is>
      </c>
      <c r="C54" s="13" t="inlineStr">
        <is>
          <t>[NEW v2.0] Month detail dialog (from the list)</t>
        </is>
      </c>
      <c r="D54" s="13" t="inlineStr">
        <is>
          <t>Opens the month itself: the project figure, every assigned person's stated figure, and the calculated one beside it. EVERY STATED CELL IS EDITABLE HERE, including for somebody still on automatic - for whom the application first asks, because switching seeds every other month and a lone row would be a figure nothing reads.</t>
        </is>
      </c>
      <c r="E54" s="12" t="inlineStr">
        <is>
          <t>REQ-DSH-15, REQ-CAL-18</t>
        </is>
      </c>
      <c r="F54" s="12" t="inlineStr">
        <is>
          <t>Added after approval</t>
        </is>
      </c>
      <c r="G54" s="13" t="inlineStr"/>
      <c r="H54" s="13" t="inlineStr">
        <is>
          <t>R-42, extended by R-43.</t>
        </is>
      </c>
      <c r="I54" s="9" t="inlineStr"/>
    </row>
    <row r="55">
      <c r="A55" s="7" t="inlineStr">
        <is>
          <t>O-14</t>
        </is>
      </c>
      <c r="B55" s="7" t="inlineStr">
        <is>
          <t>Overall</t>
        </is>
      </c>
      <c r="C55" s="8" t="inlineStr">
        <is>
          <t>[NEW v2.8] Manager review (in the month dialog)</t>
        </is>
      </c>
      <c r="D55" s="8" t="inlineStr">
        <is>
          <t>Opened by clicking any short, over or not-staffed month in Resource by project, or its row in the list. A decision - Confirmed - no issue, Accepted, To be fixed - with the manager who confirmed it, the reason, and 'Apply to the whole run'; or Open the project to change the data instead. The first two CLOSE the issue and need a reason: the month stays marked but MUTED, the counts leave it out and count it apart, and clicking it shows who decided what, when and why - changeable or removable at any time. A review whose gap has since moved opens again, marked re-check (V-40).</t>
        </is>
      </c>
      <c r="E55" s="7" t="inlineStr">
        <is>
          <t>REQ-DSH-20, V-40</t>
        </is>
      </c>
      <c r="F55" s="7" t="inlineStr">
        <is>
          <t>Added after approval</t>
        </is>
      </c>
      <c r="G55" s="8" t="inlineStr"/>
      <c r="H55" s="8" t="inlineStr">
        <is>
          <t>R-62.</t>
        </is>
      </c>
      <c r="I55" s="9" t="inlineStr"/>
    </row>
    <row r="56">
      <c r="A56" s="12" t="inlineStr">
        <is>
          <t>P-07</t>
        </is>
      </c>
      <c r="B56" s="12" t="inlineStr">
        <is>
          <t>Project tab</t>
        </is>
      </c>
      <c r="C56" s="13" t="inlineStr">
        <is>
          <t>[NEW v2.0] Monthly estimation (project level)</t>
        </is>
      </c>
      <c r="D56" s="13" t="inlineStr">
        <is>
          <t>The months of a project whose FTE is STATED rather than calculated, with the automatic figure and the difference beside each one, and a derivation column carrying the whole expression term by term. Switching to manual is a button, not a cell: it copies every calculated month across first, so nothing jumps.</t>
        </is>
      </c>
      <c r="E56" s="12" t="inlineStr">
        <is>
          <t>REQ-CAL-18, REQ-DSH-14</t>
        </is>
      </c>
      <c r="F56" s="12" t="inlineStr">
        <is>
          <t>Added after approval</t>
        </is>
      </c>
      <c r="G56" s="13" t="inlineStr"/>
      <c r="H56" s="13" t="inlineStr">
        <is>
          <t>R-30, R-40, R-41.</t>
        </is>
      </c>
      <c r="I56" s="9" t="inlineStr"/>
    </row>
    <row r="57">
      <c r="A57" s="7" t="inlineStr">
        <is>
          <t>S-06</t>
        </is>
      </c>
      <c r="B57" s="7" t="inlineStr">
        <is>
          <t>Person tab</t>
        </is>
      </c>
      <c r="C57" s="8" t="inlineStr">
        <is>
          <t>[NEW v2.0] Monthly estimation (assignment level)</t>
        </is>
      </c>
      <c r="D57" s="8" t="inlineStr">
        <is>
          <t>The same panel for one assignment, with two columns the project's does not have: the sharer count, and a second derivation line giving this person's CLAIM on the month - role factor / sharers x person weight x coverage, ending in the percentage of the month it won. It states the assignment it belongs to under its title.</t>
        </is>
      </c>
      <c r="E57" s="7" t="inlineStr">
        <is>
          <t>REQ-CAL-18, REQ-DSH-14, REQ-DSH-16</t>
        </is>
      </c>
      <c r="F57" s="7" t="inlineStr">
        <is>
          <t>Added after approval</t>
        </is>
      </c>
      <c r="G57" s="8" t="inlineStr"/>
      <c r="H57" s="8" t="inlineStr">
        <is>
          <t>R-30, R-40, R-41, R-45.</t>
        </is>
      </c>
      <c r="I57" s="9" t="inlineStr"/>
    </row>
    <row r="58">
      <c r="A58" s="12" t="inlineStr">
        <is>
          <t>S-07</t>
        </is>
      </c>
      <c r="B58" s="12" t="inlineStr">
        <is>
          <t>Person tab</t>
        </is>
      </c>
      <c r="C58" s="13" t="inlineStr">
        <is>
          <t>[NEW v2.0] Switch-estimation dialog</t>
        </is>
      </c>
      <c r="D58" s="13" t="inlineStr">
        <is>
          <t>Asked in both directions, because both lose something: switching to manual stops the assumptions reaching these months, and switching back DELETES every stated figure. Names how many months are affected before it does anything.</t>
        </is>
      </c>
      <c r="E58" s="12" t="inlineStr">
        <is>
          <t>REQ-CAL-18</t>
        </is>
      </c>
      <c r="F58" s="12" t="inlineStr">
        <is>
          <t>Added after approval</t>
        </is>
      </c>
      <c r="G58" s="13" t="inlineStr"/>
      <c r="H58" s="13" t="inlineStr">
        <is>
          <t>R-30.</t>
        </is>
      </c>
      <c r="I58" s="9" t="inlineStr"/>
    </row>
    <row r="59">
      <c r="A59" s="7" t="inlineStr">
        <is>
          <t>S-08</t>
        </is>
      </c>
      <c r="B59" s="7" t="inlineStr">
        <is>
          <t>Person tab</t>
        </is>
      </c>
      <c r="C59" s="8" t="inlineStr">
        <is>
          <t>[NEW v2.9] Project timeline (the selected person's)</t>
        </is>
      </c>
      <c r="D59" s="8" t="inlineStr">
        <is>
          <t>The Overall tab's Project timeline cut to the projects the selected person has an assignment on - the same bands, milestones and colours - with a bar under each row for when they are on it, one per assignment, naming the role and dates. Every project they are on, whatever the filters above say: this is about the person, not the view. A person with no assignment is told so.</t>
        </is>
      </c>
      <c r="E59" s="7" t="inlineStr">
        <is>
          <t>REQ-DSH-22</t>
        </is>
      </c>
      <c r="F59" s="7" t="inlineStr">
        <is>
          <t>Added after approval</t>
        </is>
      </c>
      <c r="G59" s="8" t="inlineStr"/>
      <c r="H59" s="8" t="inlineStr">
        <is>
          <t>R-65.</t>
        </is>
      </c>
      <c r="I59" s="9" t="inlineStr"/>
    </row>
    <row r="60">
      <c r="A60" s="12" t="inlineStr">
        <is>
          <t>E-04</t>
        </is>
      </c>
      <c r="B60" s="12" t="inlineStr">
        <is>
          <t>Editing</t>
        </is>
      </c>
      <c r="C60" s="13" t="inlineStr">
        <is>
          <t>[NEW v2.0] Calendar panel on date cells</t>
        </is>
      </c>
      <c r="D60" s="13" t="inlineStr">
        <is>
          <t>A month opens beside the cell being edited, on that cell's own month. The cell never stops accepting keys - what you type moves the calendar. Today, and the month and year arrows, all step repeatedly rather than snapping back to the cell's own month.</t>
        </is>
      </c>
      <c r="E60" s="12" t="inlineStr">
        <is>
          <t>REQ-IMP-12</t>
        </is>
      </c>
      <c r="F60" s="12" t="inlineStr">
        <is>
          <t>Added after approval</t>
        </is>
      </c>
      <c r="G60" s="13" t="inlineStr"/>
      <c r="H60" s="13" t="inlineStr">
        <is>
          <t>R-21, both faults fixed at R-35.</t>
        </is>
      </c>
      <c r="I60" s="9" t="inlineStr"/>
    </row>
    <row r="61">
      <c r="A61" s="7" t="inlineStr">
        <is>
          <t>E-05</t>
        </is>
      </c>
      <c r="B61" s="7" t="inlineStr">
        <is>
          <t>Editing</t>
        </is>
      </c>
      <c r="C61" s="8" t="inlineStr">
        <is>
          <t>[NEW v2.0] Column filters</t>
        </is>
      </c>
      <c r="D61" s="8" t="inlineStr">
        <is>
          <t>A funnel on each heading of the six wide tables, filtering by value the way a spreadsheet does. Filters on different columns narrow together. A row still being typed is never filtered out, and the count of what is hidden is stated above the table.</t>
        </is>
      </c>
      <c r="E61" s="7" t="inlineStr">
        <is>
          <t>REQ-DSH-03, REQ-DSH-04</t>
        </is>
      </c>
      <c r="F61" s="7" t="inlineStr">
        <is>
          <t>Added after approval</t>
        </is>
      </c>
      <c r="G61" s="8" t="inlineStr"/>
      <c r="H61" s="8" t="inlineStr">
        <is>
          <t>R-36.</t>
        </is>
      </c>
      <c r="I61" s="9" t="inlineStr"/>
    </row>
    <row r="62">
      <c r="A62" s="12" t="inlineStr">
        <is>
          <t>E-06</t>
        </is>
      </c>
      <c r="B62" s="12" t="inlineStr">
        <is>
          <t>Editing</t>
        </is>
      </c>
      <c r="C62" s="13" t="inlineStr">
        <is>
          <t>[NEW v2.0] Change log</t>
        </is>
      </c>
      <c r="D62" s="13" t="inlineStr">
        <is>
          <t>Every edit is recorded in memory with the sheet, the row, the column, the value before and after, and who made it. Archived to a shared folder on Save. It is NOT shown in the application and cannot be exported from it - the archive is the record.</t>
        </is>
      </c>
      <c r="E62" s="12" t="inlineStr">
        <is>
          <t>REQ-IMP-09</t>
        </is>
      </c>
      <c r="F62" s="12" t="inlineStr">
        <is>
          <t>Added after approval</t>
        </is>
      </c>
      <c r="G62" s="13" t="inlineStr"/>
      <c r="H62" s="13" t="inlineStr">
        <is>
          <t>R-36, narrowed at R-38 and R-39.</t>
        </is>
      </c>
      <c r="I62" s="9" t="inlineStr"/>
    </row>
    <row r="63">
      <c r="A63" s="7" t="inlineStr">
        <is>
          <t>G-09</t>
        </is>
      </c>
      <c r="B63" s="7" t="inlineStr">
        <is>
          <t>Global</t>
        </is>
      </c>
      <c r="C63" s="8" t="inlineStr">
        <is>
          <t>[NEW v2.0] Identity prompt</t>
        </is>
      </c>
      <c r="D63" s="8" t="inlineStr">
        <is>
          <t>Who is editing. Asked once in the browser; taken from the Windows account in the desktop edition without asking. DECLARED, never verified - there is no authentication anywhere in this application, and the change log says so rather than implying otherwise.</t>
        </is>
      </c>
      <c r="E63" s="7" t="inlineStr">
        <is>
          <t>REQ-IMP-09, NR-USR-08</t>
        </is>
      </c>
      <c r="F63" s="7" t="inlineStr">
        <is>
          <t>Added after approval</t>
        </is>
      </c>
      <c r="G63" s="8" t="inlineStr"/>
      <c r="H63" s="8" t="inlineStr">
        <is>
          <t>R-36.</t>
        </is>
      </c>
      <c r="I63" s="9" t="inlineStr"/>
    </row>
    <row r="64">
      <c r="A64" s="12" t="inlineStr">
        <is>
          <t>G-10</t>
        </is>
      </c>
      <c r="B64" s="12" t="inlineStr">
        <is>
          <t>Global</t>
        </is>
      </c>
      <c r="C64" s="13" t="inlineStr">
        <is>
          <t>[NEW v2.0] Settings-change notice on import</t>
        </is>
      </c>
      <c r="D64" s="13" t="inlineStr">
        <is>
          <t>A file whose Config differs from the settings in force says so on the banner, and lists each setting with what it WAS, what it is now, and what it affects. A threshold that moved under a plan is otherwise invisible.</t>
        </is>
      </c>
      <c r="E64" s="12" t="inlineStr">
        <is>
          <t>REQ-IMP-14</t>
        </is>
      </c>
      <c r="F64" s="12" t="inlineStr">
        <is>
          <t>Added after approval</t>
        </is>
      </c>
      <c r="G64" s="13" t="inlineStr"/>
      <c r="H64" s="13" t="inlineStr">
        <is>
          <t>R-28.</t>
        </is>
      </c>
      <c r="I64" s="9" t="inlineStr"/>
    </row>
    <row r="65">
      <c r="A65" s="7" t="inlineStr">
        <is>
          <t>G-11</t>
        </is>
      </c>
      <c r="B65" s="7" t="inlineStr">
        <is>
          <t>Global</t>
        </is>
      </c>
      <c r="C65" s="8" t="inlineStr">
        <is>
          <t>[NEW v2.0] Results export</t>
        </is>
      </c>
      <c r="D65" s="8" t="inlineStr">
        <is>
          <t>The calculated monthly FTE, not just the source plan: every person-month with the terms behind it. Clearly marked as NOT a source workbook and not importable - a results file that pretends to be source data invites somebody to edit a derived column.</t>
        </is>
      </c>
      <c r="E65" s="7" t="inlineStr">
        <is>
          <t>REQ-OUT-06</t>
        </is>
      </c>
      <c r="F65" s="7" t="inlineStr">
        <is>
          <t>Added after approval</t>
        </is>
      </c>
      <c r="G65" s="8" t="inlineStr"/>
      <c r="H65" s="8" t="inlineStr">
        <is>
          <t>R-29.</t>
        </is>
      </c>
      <c r="I65" s="9" t="inlineStr"/>
    </row>
    <row r="66">
      <c r="A66" s="12" t="inlineStr">
        <is>
          <t>X-07</t>
        </is>
      </c>
      <c r="B66" s="12" t="inlineStr">
        <is>
          <t>Layout</t>
        </is>
      </c>
      <c r="C66" s="13" t="inlineStr">
        <is>
          <t>[NEW v2.0] Lookup columns</t>
        </is>
      </c>
      <c r="D66" s="13" t="inlineStr">
        <is>
          <t>Where a figure's size was decided somewhere else, the table showing the figure names what decided it, in a column that is looked up and cannot be edited: the standard a period selects, the whole derivation of a month term by term, and the sharer count. Never stored on the sheet, so no save can leave a stale copy of a standard in a file.</t>
        </is>
      </c>
      <c r="E66" s="12" t="inlineStr">
        <is>
          <t>REQ-DSH-14</t>
        </is>
      </c>
      <c r="F66" s="12" t="inlineStr">
        <is>
          <t>Added after approval</t>
        </is>
      </c>
      <c r="G66" s="13" t="inlineStr"/>
      <c r="H66" s="13" t="inlineStr">
        <is>
          <t>R-40, extended at R-41.</t>
        </is>
      </c>
      <c r="I66" s="9" t="inlineStr"/>
    </row>
    <row r="67">
      <c r="A67" s="7" t="inlineStr">
        <is>
          <t>X-08</t>
        </is>
      </c>
      <c r="B67" s="7" t="inlineStr">
        <is>
          <t>Layout</t>
        </is>
      </c>
      <c r="C67" s="8" t="inlineStr">
        <is>
          <t>[NEW v2.0] Legend picking</t>
        </is>
      </c>
      <c r="D67" s="8" t="inlineStr">
        <is>
          <t>Clicking a legend entry fades back everything that is not that series; a second click, another entry, or Escape brings it home. The pick applies to the WHOLE TAB, because the same project is the same id on every chart that knows it. A chart cut along a different axis is left alone rather than dimmed to nothing. Marks belonging to the MONTH - thresholds, baselines, the V-34 outline - never fade. Keyboard-operable.</t>
        </is>
      </c>
      <c r="E67" s="7" t="inlineStr">
        <is>
          <t>REQ-DSH-16</t>
        </is>
      </c>
      <c r="F67" s="7" t="inlineStr">
        <is>
          <t>Added after approval</t>
        </is>
      </c>
      <c r="G67" s="8" t="inlineStr"/>
      <c r="H67" s="8" t="inlineStr">
        <is>
          <t>R-45.</t>
        </is>
      </c>
      <c r="I67" s="9" t="inlineStr"/>
    </row>
    <row r="68">
      <c r="A68" s="12" t="inlineStr">
        <is>
          <t>X-09</t>
        </is>
      </c>
      <c r="B68" s="12" t="inlineStr">
        <is>
          <t>Layout</t>
        </is>
      </c>
      <c r="C68" s="13" t="inlineStr">
        <is>
          <t>[NEW v2.0] Headings say what the column means</t>
        </is>
      </c>
      <c r="D68" s="13" t="inlineStr">
        <is>
          <t>Each heading shows a plain name - 'Share of this person', not person_weight. The workbook's own column name is in the heading's pop-up and on the element, not printed on the page: it is wanted occasionally and the heading is read on every glance. Nothing is renamed; the cell still writes back through the identifier.</t>
        </is>
      </c>
      <c r="E68" s="12" t="inlineStr">
        <is>
          <t>REQ-DSH-16</t>
        </is>
      </c>
      <c r="F68" s="12" t="inlineStr">
        <is>
          <t>Added after approval</t>
        </is>
      </c>
      <c r="G68" s="13" t="inlineStr"/>
      <c r="H68" s="13" t="inlineStr">
        <is>
          <t>R-45, revised at review on the same day.</t>
        </is>
      </c>
      <c r="I68" s="9" t="inlineStr"/>
    </row>
    <row r="69">
      <c r="A69" s="7" t="inlineStr">
        <is>
          <t>X-10</t>
        </is>
      </c>
      <c r="B69" s="7" t="inlineStr">
        <is>
          <t>Layout</t>
        </is>
      </c>
      <c r="C69" s="8" t="inlineStr">
        <is>
          <t>[NEW v2.0] Charts grow with the horizon</t>
        </is>
      </c>
      <c r="D69" s="8" t="inlineStr">
        <is>
          <t>A chart whose x axis is the month grid takes its width from the month count and its panel scrolls sideways past the point where they all fit. A fixed width is legible only over the span it was chosen for and fails SILENTLY outside it - the chart still draws, it just stops being readable, on exactly the long plans that most need reading.</t>
        </is>
      </c>
      <c r="E69" s="7" t="inlineStr">
        <is>
          <t>REQ-DSH-16</t>
        </is>
      </c>
      <c r="F69" s="7" t="inlineStr">
        <is>
          <t>Added after approval</t>
        </is>
      </c>
      <c r="G69" s="8" t="inlineStr"/>
      <c r="H69" s="8" t="inlineStr">
        <is>
          <t>R-45.</t>
        </is>
      </c>
      <c r="I69" s="9" t="inlineStr"/>
    </row>
    <row r="70">
      <c r="A70" s="12" t="inlineStr">
        <is>
          <t>X-11</t>
        </is>
      </c>
      <c r="B70" s="12" t="inlineStr">
        <is>
          <t>Layout</t>
        </is>
      </c>
      <c r="C70" s="13" t="inlineStr">
        <is>
          <t>[NEW v2.0] Wide panels take the full width</t>
        </is>
      </c>
      <c r="D70" s="13" t="inlineStr">
        <is>
          <t>Two panels share a row only where both are readable in half a screen. Assignments, Weight overrides and Monthly estimation are stacked, in the order the work is done in: pick the assignment, then its override windows, then its months.</t>
        </is>
      </c>
      <c r="E70" s="12" t="inlineStr">
        <is>
          <t>REQ-DSH-16</t>
        </is>
      </c>
      <c r="F70" s="12" t="inlineStr">
        <is>
          <t>Added after approval</t>
        </is>
      </c>
      <c r="G70" s="13" t="inlineStr"/>
      <c r="H70" s="13" t="inlineStr">
        <is>
          <t>R-45.</t>
        </is>
      </c>
      <c r="I70" s="9" t="inlineStr"/>
    </row>
    <row r="71">
      <c r="A71" s="7" t="inlineStr">
        <is>
          <t>X-12</t>
        </is>
      </c>
      <c r="B71" s="7" t="inlineStr">
        <is>
          <t>Layout</t>
        </is>
      </c>
      <c r="C71" s="8" t="inlineStr">
        <is>
          <t>[NEW v2.0] A child panel names its parent</t>
        </is>
      </c>
      <c r="D71" s="8" t="inlineStr">
        <is>
          <t>A panel that is a child of a selection states the selected row under its title - the id, the project, the role, the window and the weight. From ONE helper shared by every panel that names the same thing, so two statements of it cannot drift apart.</t>
        </is>
      </c>
      <c r="E71" s="7" t="inlineStr">
        <is>
          <t>REQ-DSH-16</t>
        </is>
      </c>
      <c r="F71" s="7" t="inlineStr">
        <is>
          <t>Added after approval</t>
        </is>
      </c>
      <c r="G71" s="8" t="inlineStr"/>
      <c r="H71" s="8" t="inlineStr">
        <is>
          <t>R-45.</t>
        </is>
      </c>
      <c r="I71" s="9" t="inlineStr"/>
    </row>
    <row r="72">
      <c r="A72" s="12" t="inlineStr">
        <is>
          <t>P-08</t>
        </is>
      </c>
      <c r="B72" s="12" t="inlineStr">
        <is>
          <t>Project tab</t>
        </is>
      </c>
      <c r="C72" s="13" t="inlineStr">
        <is>
          <t>[NEW v2.0] Period generator that fits the project</t>
        </is>
      </c>
      <c r="D72" s="13" t="inlineStr">
        <is>
          <t>A trial is offered 'Auto derivation' from its milestones; an 'Others' project is offered 'Standard periods' instead, which lays out Planning / Develop / Close with the dates blank. A trial not ready yet keeps the button, greyed, naming the two milestones it needs.</t>
        </is>
      </c>
      <c r="E72" s="12" t="inlineStr">
        <is>
          <t>REQ-CAL-10, V-16</t>
        </is>
      </c>
      <c r="F72" s="12" t="inlineStr">
        <is>
          <t>Added after approval</t>
        </is>
      </c>
      <c r="G72" s="13" t="inlineStr"/>
      <c r="H72" s="13" t="inlineStr">
        <is>
          <t>R-22, replacing the single button P-04 described.</t>
        </is>
      </c>
      <c r="I72" s="9" t="inlineStr"/>
    </row>
    <row r="73">
      <c r="A73" s="7" t="inlineStr">
        <is>
          <t>G-12</t>
        </is>
      </c>
      <c r="B73" s="7" t="inlineStr">
        <is>
          <t>Global</t>
        </is>
      </c>
      <c r="C73" s="8" t="inlineStr">
        <is>
          <t>[NEW v2.0] Findings carry a class</t>
        </is>
      </c>
      <c r="D73" s="8" t="inlineStr">
        <is>
          <t>What a rule is ALLOWED to do is a property of the rule, separate from how bad it is: 'must' refuses the edit, 'conditional' asks at Save and lists what will be left unresolved, 'incomplete' reports only. A warning never gates an edit.</t>
        </is>
      </c>
      <c r="E73" s="7" t="inlineStr">
        <is>
          <t>REQ-IMP-13</t>
        </is>
      </c>
      <c r="F73" s="7" t="inlineStr">
        <is>
          <t>Added after approval</t>
        </is>
      </c>
      <c r="G73" s="8" t="inlineStr"/>
      <c r="H73" s="8" t="inlineStr">
        <is>
          <t>R-25.</t>
        </is>
      </c>
      <c r="I73" s="9" t="inlineStr"/>
    </row>
    <row r="74">
      <c r="A74" s="12" t="inlineStr">
        <is>
          <t>X-13</t>
        </is>
      </c>
      <c r="B74" s="12" t="inlineStr">
        <is>
          <t>Layout</t>
        </is>
      </c>
      <c r="C74" s="13" t="inlineStr">
        <is>
          <t>[NEW v2.0] The application draws its own scroll bars</t>
        </is>
      </c>
      <c r="D74" s="13" t="inlineStr">
        <is>
          <t>A bounded region is only honest if the reader can SEE there is more and reach it, and the browser's overlay bar does not do that - it takes no layout space and fades when idle. Drawn bars are always there while there is anywhere to go, and can be dragged. The two bars settle against each other before either is drawn, because each costs the region space and one can be what pushes the content past the other edge.</t>
        </is>
      </c>
      <c r="E74" s="12" t="inlineStr">
        <is>
          <t>REQ-DSH-13</t>
        </is>
      </c>
      <c r="F74" s="12" t="inlineStr">
        <is>
          <t>Added after approval</t>
        </is>
      </c>
      <c r="G74" s="13" t="inlineStr"/>
      <c r="H74" s="13" t="inlineStr">
        <is>
          <t>R-23; the settling fix at R-45.</t>
        </is>
      </c>
      <c r="I74" s="9" t="inlineStr"/>
    </row>
    <row r="75">
      <c r="A75" s="7" t="inlineStr">
        <is>
          <t>X-14</t>
        </is>
      </c>
      <c r="B75" s="7" t="inlineStr">
        <is>
          <t>Layout</t>
        </is>
      </c>
      <c r="C75" s="8" t="inlineStr">
        <is>
          <t>[NEW v2.3] A section can take the whole screen</t>
        </is>
      </c>
      <c r="D75" s="8" t="inlineStr">
        <is>
          <t>Every panel holding a bounded scroll region carries a control in its head that gives that panel the whole window - the same table with every column it has, at the height of the screen rather than the cap X-01 puts on it. The panel is not moved anywhere: it is drawn against the viewport where it stands, so editing, validation, the type-ahead, the column filters and the pop-ups all behave exactly as they do on the page. The sticky band carrying the unsaved-edit count, Save and the tabs is lifted ABOVE it and stays reachable; the filter bar is covered, and Escape gives the page back.</t>
        </is>
      </c>
      <c r="E75" s="7" t="inlineStr">
        <is>
          <t>REQ-DSH-18, REQ-DSH-13</t>
        </is>
      </c>
      <c r="F75" s="7" t="inlineStr">
        <is>
          <t>Added after approval</t>
        </is>
      </c>
      <c r="G75" s="8" t="inlineStr"/>
      <c r="H75" s="8" t="inlineStr">
        <is>
          <t>R-51. For entering data rather than reading it: the entry tables are capped at 340px on a page 1400px wide, so a sheet twenty-two columns wide was filled in through a window about a fifth of its size.</t>
        </is>
      </c>
      <c r="I75" s="9" t="inlineStr"/>
    </row>
    <row r="76">
      <c r="A76" s="12" t="inlineStr">
        <is>
          <t>X-15</t>
        </is>
      </c>
      <c r="B76" s="12" t="inlineStr">
        <is>
          <t>Layout</t>
        </is>
      </c>
      <c r="C76" s="13" t="inlineStr">
        <is>
          <t>[NEW v2.5] A row's identity stays put while its table scrolls sideways</t>
        </is>
      </c>
      <c r="D76" s="13" t="inlineStr">
        <is>
          <t>The Project sheet is twenty-five columns and about 3,070px wide in a panel of 1,316px, so scrolling out to the far columns leaves you editing a row with nothing on screen to say which project it is. The row's handle, its identifier and its name are frozen at the left edge; the rest slides under them. They are ordinary editable cells where they stand. Which columns is declared per SHEET, so one sheet cannot be pinned two ways. The cost is 436px — about six data columns at a time instead of ten, which is the right trade: six you can attribute to a project beat ten you cannot.</t>
        </is>
      </c>
      <c r="E76" s="12" t="inlineStr">
        <is>
          <t>REQ-DSH-19, REQ-DSH-13</t>
        </is>
      </c>
      <c r="F76" s="12" t="inlineStr">
        <is>
          <t>Added after approval</t>
        </is>
      </c>
      <c r="G76" s="13" t="inlineStr"/>
      <c r="H76" s="13" t="inlineStr">
        <is>
          <t>R-53.</t>
        </is>
      </c>
      <c r="I76" s="9" t="inlineStr"/>
    </row>
    <row r="77">
      <c r="A77" s="7" t="inlineStr">
        <is>
          <t>X-16</t>
        </is>
      </c>
      <c r="B77" s="7" t="inlineStr">
        <is>
          <t>Charts and tables</t>
        </is>
      </c>
      <c r="C77" s="8" t="inlineStr">
        <is>
          <t>[NEW v2.9] Today</t>
        </is>
      </c>
      <c r="D77" s="8" t="inlineStr">
        <is>
          <t>Every chart drawn over months carries one dashed line at today's day within the current month, labelled Today; the Project timeline carries one through every row. The two month-column tables outline the current month's column and badge its heading; Monthly estimation marks the current month's row. Drawn in the ink colour, because every hue on the page already means something. Not drawn when today is outside the horizon.</t>
        </is>
      </c>
      <c r="E77" s="7" t="inlineStr">
        <is>
          <t>REQ-DSH-21</t>
        </is>
      </c>
      <c r="F77" s="7" t="inlineStr">
        <is>
          <t>Added after approval</t>
        </is>
      </c>
      <c r="G77" s="8" t="inlineStr"/>
      <c r="H77" s="8" t="inlineStr">
        <is>
          <t>R-65.</t>
        </is>
      </c>
      <c r="I77" s="9" t="inlineStr"/>
    </row>
    <row r="78">
      <c r="A78" s="12" t="inlineStr">
        <is>
          <t>G-13</t>
        </is>
      </c>
      <c r="B78" s="12" t="inlineStr">
        <is>
          <t>Global</t>
        </is>
      </c>
      <c r="C78" s="13" t="inlineStr">
        <is>
          <t>[NEW v2.0] Start with no file</t>
        </is>
      </c>
      <c r="D78" s="13" t="inlineStr">
        <is>
          <t>The application opens without a workbook and seeds the delivered defaults - value lists, settings, standard period weights and role factors - so a plan can be entered from nothing. Saving writes a workbook in the current template layout.</t>
        </is>
      </c>
      <c r="E78" s="12" t="inlineStr">
        <is>
          <t>REQ-IMP-03</t>
        </is>
      </c>
      <c r="F78" s="12" t="inlineStr">
        <is>
          <t>Added after approval</t>
        </is>
      </c>
      <c r="G78" s="13" t="inlineStr"/>
      <c r="H78" s="13" t="inlineStr">
        <is>
          <t>R-14.</t>
        </is>
      </c>
      <c r="I78" s="9" t="inlineStr"/>
    </row>
    <row r="80" ht="28" customHeight="1">
      <c r="A80" s="6" t="inlineStr">
        <is>
          <t>Count</t>
        </is>
      </c>
      <c r="B80" s="6" t="inlineStr">
        <is>
          <t>Keep</t>
        </is>
      </c>
      <c r="C80" s="6" t="inlineStr">
        <is>
          <t>Changed</t>
        </is>
      </c>
      <c r="D80" s="6" t="inlineStr">
        <is>
          <t>Added</t>
        </is>
      </c>
    </row>
    <row r="81">
      <c r="A81" s="7">
        <f>COUNTA(A5:A78)</f>
        <v/>
      </c>
      <c r="B81" s="7" t="n">
        <v>25</v>
      </c>
      <c r="C81" s="7" t="n">
        <v>9</v>
      </c>
      <c r="D81" s="7" t="n">
        <v>5</v>
      </c>
    </row>
    <row r="83">
      <c r="A83" s="2" t="inlineStr">
        <is>
          <t>Green = added by this review. Amber = changed by this review.</t>
        </is>
      </c>
    </row>
  </sheetData>
  <dataValidations count="1">
    <dataValidation sqref="I5:I78"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1">
      <c r="A11" s="7" t="inlineStr">
        <is>
          <t>O-10 colour rule</t>
        </is>
      </c>
      <c r="B11" s="7" t="inlineStr">
        <is>
          <t>SUPERSEDED</t>
        </is>
      </c>
      <c r="C11" s="7" t="inlineStr">
        <is>
          <t>R-59</t>
        </is>
      </c>
      <c r="D11" s="8" t="inlineStr">
        <is>
          <t>A period is drawn in the colour chosen for it in the Periods table's Highlight column, and gray when none is chosen; weight still shades it. The per-period-name hues are retired.</t>
        </is>
      </c>
      <c r="E11" s="7" t="inlineStr">
        <is>
          <t>Should</t>
        </is>
      </c>
      <c r="F11" s="7" t="inlineStr">
        <is>
          <t>Plan v2.70, change R-59</t>
        </is>
      </c>
    </row>
    <row r="13">
      <c r="A13"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2" customWidth="1" min="1" max="1"/>
    <col width="118" customWidth="1" min="2" max="2"/>
  </cols>
  <sheetData>
    <row r="1">
      <c r="A1" s="1" t="inlineStr">
        <is>
          <t>Why v2.0 re-opened a document that was approved, and what v2.1 settles</t>
        </is>
      </c>
    </row>
    <row r="2">
      <c r="A2" s="2" t="inlineStr">
        <is>
          <t>v1.0 closed the Step 3 gate on 2026-08-02. This sheet says what changed after that, what was wrong, why nothing caught it, and - at v2.1 - how the one open item ended.</t>
        </is>
      </c>
    </row>
    <row r="4">
      <c r="A4" s="5" t="inlineStr">
        <is>
          <t>WHAT HAPPENED</t>
        </is>
      </c>
    </row>
    <row r="5" ht="26" customHeight="1">
      <c r="B5" s="16" t="inlineStr">
        <is>
          <t>v1.0 described the application as it stood at plan v2.0. Thirty-four change requests later - R-13 to R-46, plan v2.54 - it described an application that no longer existed.</t>
        </is>
      </c>
    </row>
    <row r="6" ht="39" customHeight="1">
      <c r="B6" s="16" t="inlineStr">
        <is>
          <t>22 screen elements had been added and were in nobody's list. Five entries had become actively WRONG: they described behaviour the application does not have. An entry that is merely missing leaves a reader uninformed; an entry that is wrong leaves them misinformed, which is worse, and all five read as confident statements of fact.</t>
        </is>
      </c>
    </row>
    <row r="7">
      <c r="A7" s="5" t="inlineStr">
        <is>
          <t>WHY NOTHING CAUGHT IT</t>
        </is>
      </c>
    </row>
    <row r="8" ht="39" customHeight="1">
      <c r="B8" s="16" t="inlineStr">
        <is>
          <t>tools/check_consistency.py holds the development plan, the programming specification, the source-data template, both dummies and the machine-readable contract to each other on every build. It reports a mismatch in any of them and it has been clean throughout.</t>
        </is>
      </c>
    </row>
    <row r="9" ht="39" customHeight="1">
      <c r="B9" s="16" t="inlineStr">
        <is>
          <t>THIS DOCUMENT WAS NOT IN THAT SET. It was the one artefact nothing checked, so it fell behind in silence while every other document was kept in step automatically. The drift is a gap in the guard, not a lapse of attention - which is why the fix is to put this document into the checker, not to promise to remember.</t>
        </is>
      </c>
    </row>
    <row r="10">
      <c r="A10" s="5" t="inlineStr">
        <is>
          <t>WHAT WAS CORRECTED</t>
        </is>
      </c>
    </row>
    <row r="11" ht="15" customHeight="1">
      <c r="A11" s="17" t="inlineStr">
        <is>
          <t>G-04</t>
        </is>
      </c>
      <c r="B11" s="16" t="inlineStr">
        <is>
          <t>Said the export writes 'all ten sheets'. It writes ELEVEN - MonthlyEstimate arrived at R-30 with schema 9.</t>
        </is>
      </c>
    </row>
    <row r="12" ht="26" customHeight="1">
      <c r="A12" s="17" t="inlineStr">
        <is>
          <t>O-05</t>
        </is>
      </c>
      <c r="B12" s="16" t="inlineStr">
        <is>
          <t>Said five summary tiles. There are SIX: R-42 added 'Off their standard', which jumps to the Standard vs staffed panel.</t>
        </is>
      </c>
    </row>
    <row r="13" ht="39" customHeight="1">
      <c r="A13" s="17" t="inlineStr">
        <is>
          <t>O-06</t>
        </is>
      </c>
      <c r="B13" s="16" t="inlineStr">
        <is>
          <t>Said flatly 'No legend; hover pop-up instead'. True of THAT chart, and your instruction still holds there - but five other charts carry a legend, and since R-45 a legend entry is clickable and picks its series out across the tab. The entry now says which is which.</t>
        </is>
      </c>
    </row>
    <row r="14" ht="39" customHeight="1">
      <c r="A14" s="17" t="inlineStr">
        <is>
          <t>O-08</t>
        </is>
      </c>
      <c r="B14" s="16" t="inlineStr">
        <is>
          <t>Described a bar chart of MEAN load per person, recorded 'Keep - unchanged'. No such chart exists. It was replaced by a STACKED 'Monthly demand by person', which answers what a month is made of rather than what a person averages.</t>
        </is>
      </c>
    </row>
    <row r="15" ht="65" customHeight="1">
      <c r="A15" s="17" t="inlineStr">
        <is>
          <t>X-04</t>
        </is>
      </c>
      <c r="B15" s="16" t="inlineStr">
        <is>
          <t>Recorded row virtualisation as 'Keep - unchanged', which reads as built. IT WAS NEVER BUILT - there is no virtualisation anywhere in src/. Both Overall tables render every row. This was the one correction that is not merely editorial: REQ-DSH-09 and REQ-NFR-03 named a thousand people, and at that size it was an open performance risk. v2.0 listed it as NOT IMPLEMENTED so it would stop being mistaken for done, and said it needed a decision - build it, or move the requirement. CLOSED AT v2.1 - see 'WHAT v2.1 SETTLES' below.</t>
        </is>
      </c>
    </row>
    <row r="16">
      <c r="A16" s="5" t="inlineStr">
        <is>
          <t>WHAT IS STILL TRUE</t>
        </is>
      </c>
    </row>
    <row r="17" ht="39" customHeight="1">
      <c r="B17" s="16" t="inlineStr">
        <is>
          <t>The v1.0 review trail is preserved exactly: your words against each component, the decision you took, and what was done about it. Nothing there is rewritten. The 46 components you reviewed keep their ids, their disposition and their confirm marks.</t>
        </is>
      </c>
    </row>
    <row r="18" ht="52" customHeight="1">
      <c r="B18" s="16" t="inlineStr">
        <is>
          <t>The 22 additions carry 'Added after approval' in the decision column rather than 'Keep' or 'Change', because none of them was in front of you at the Step 3 gate. Recording them as reviewed would falsify a trail that is otherwise exact. Each names the change request that introduced it, so it can be traced back to the conversation it came from.</t>
        </is>
      </c>
    </row>
    <row r="19">
      <c r="A19" s="5" t="inlineStr">
        <is>
          <t>WHAT THIS DOES NOT DO</t>
        </is>
      </c>
    </row>
    <row r="20" ht="26" customHeight="1">
      <c r="B20" s="16" t="inlineStr">
        <is>
          <t>It does not re-open the Step 3 GATE. The gate was about whether the component set was the right one to build, and it was. This is the list catching up with what was then built on your instructions, request by request.</t>
        </is>
      </c>
    </row>
    <row r="21">
      <c r="A21" s="5" t="inlineStr">
        <is>
          <t>WHAT v2.1 SETTLES</t>
        </is>
      </c>
    </row>
    <row r="22" ht="39" customHeight="1">
      <c r="B22" s="16" t="inlineStr">
        <is>
          <t>v2.0 left exactly one thing open: X-04, row virtualisation, recorded as NOT IMPLEMENTED against a requirement naming 1,000 people, and needing a decision that v2.0 deliberately did not take - build it, or move the requirement.</t>
        </is>
      </c>
    </row>
    <row r="23" ht="65" customHeight="1">
      <c r="B23" s="16" t="inlineStr">
        <is>
          <t>YOU ASKED FOR IT TO BE MEASURED FIRST, WHICH IS WHY THE ANSWER IS NOT THE ONE EITHER OF US WOULD HAVE GUESSED. A fixture generator takes any --projects and --people (tools/build_stress_workbook.py) and a driver times four interactions against budgets set before any number was seen (tools/measure_scale.py). Switching to the Overall tab over a 60-month horizon, against a 1,000 ms budget: 50 x 100 529 ms | 100 x 100 689 ms | 100 x 150 810 ms | 100 x 200 981 ms | 50 x 400 1,044 ms | 100 x 1,000 3,058 ms.</t>
        </is>
      </c>
    </row>
    <row r="24" ht="52" customHeight="1">
      <c r="B24" s="16" t="inlineStr">
        <is>
          <t>THE MIDDLE VALUE YOU THEN ASKED FOR IS 150 PEOPLE, NOT THE 200-400 THAT WAS OFFERED. Both of those measure over budget once the worst case is counted, so the offer was wrong and the measurement corrected it. 100 x 150 is the largest volume whose WORST case is still inside budget (894 ms of 1,000); 100 x 200 medians 98% and peaks at 1,225 ms.</t>
        </is>
      </c>
    </row>
    <row r="25" ht="39" customHeight="1">
      <c r="B25" s="16" t="inlineStr">
        <is>
          <t>SO REQ-NFR-03 MOVED AND THE CODE DID NOT, and X-04 is now a decision with its figures rather than a defect. The entry had been wrong twice - 'built' when it was not, then 'defect' against a volume nobody had measured - and a decision is the only one of the three states a later reader can act on.</t>
        </is>
      </c>
    </row>
    <row r="26" ht="52" customHeight="1">
      <c r="B26" s="16" t="inlineStr">
        <is>
          <t>ONE MORE BREACH CAME OUT OF MAKING THIS CHANGE, and it is the same shape as the drift above: the desktop specification was issued as v1.5 with no v1.5 row in its own version history, which is REQ-VC-04, in the document set whose whole subject is version control. check_consistency.py now requires every controlled document to carry a history row for the version it calls itself. Nothing had been checking that 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2026-10-12T06:11:26Z</dcterms:created>
  <dcterms:modified xsi:type="dcterms:W3CDTF">2026-10-12T06:11:26Z</dcterms:modified>
</cp:coreProperties>
</file>