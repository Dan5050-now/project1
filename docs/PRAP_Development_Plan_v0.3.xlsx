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5" borderId="1" applyAlignment="1" pivotButton="0" quotePrefix="0" xfId="0">
      <alignment vertical="top" wrapText="1"/>
    </xf>
    <xf numFmtId="0" fontId="4" fillId="5" borderId="1" applyAlignment="1" pivotButton="0" quotePrefix="0" xfId="0">
      <alignment vertical="top"/>
    </xf>
    <xf numFmtId="0" fontId="4" fillId="4" borderId="1" applyAlignment="1" pivotButton="0" quotePrefix="0" xfId="0">
      <alignment vertical="top" wrapText="1"/>
    </xf>
    <xf numFmtId="0" fontId="4" fillId="4" borderId="1" applyAlignment="1" pivotButton="0" quotePrefix="0" xfId="0">
      <alignment vertical="top"/>
    </xf>
    <xf numFmtId="0" fontId="9" fillId="0" borderId="0" pivotButton="0" quotePrefix="0" xfId="0"/>
    <xf numFmtId="0" fontId="4" fillId="6" borderId="1" applyAlignment="1" pivotButton="0" quotePrefix="0" xfId="0">
      <alignment vertical="top" wrapText="1"/>
    </xf>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t>
        </is>
      </c>
    </row>
    <row r="6">
      <c r="A6" s="3" t="inlineStr">
        <is>
          <t>Version</t>
        </is>
      </c>
      <c r="B6" s="4" t="inlineStr">
        <is>
          <t>v0.3</t>
        </is>
      </c>
    </row>
    <row r="7">
      <c r="A7" s="3" t="inlineStr">
        <is>
          <t>Status</t>
        </is>
      </c>
      <c r="B7" s="4" t="inlineStr">
        <is>
          <t>Draft 3 - second review round incorporated, re-issued for review</t>
        </is>
      </c>
    </row>
    <row r="8">
      <c r="A8" s="3" t="inlineStr">
        <is>
          <t>Issue date</t>
        </is>
      </c>
      <c r="B8" s="4" t="inlineStr">
        <is>
          <t>2026-07-31</t>
        </is>
      </c>
    </row>
    <row r="9">
      <c r="A9" s="3" t="inlineStr">
        <is>
          <t>Author</t>
        </is>
      </c>
      <c r="B9" s="4" t="inlineStr">
        <is>
          <t>Claude Code</t>
        </is>
      </c>
    </row>
    <row r="10">
      <c r="A10" s="3" t="inlineStr">
        <is>
          <t>Reviewer</t>
        </is>
      </c>
      <c r="B10" s="4" t="inlineStr">
        <is>
          <t>Requester - v0.1 returned as v0.11_reviewed; v0.2 returned as v0.2_reviewed</t>
        </is>
      </c>
    </row>
    <row r="11">
      <c r="A11" s="3" t="inlineStr">
        <is>
          <t>Repository</t>
        </is>
      </c>
      <c r="B11" s="4" t="inlineStr">
        <is>
          <t>Dan5050-now/project1</t>
        </is>
      </c>
    </row>
    <row r="12">
      <c r="A12" s="3" t="inlineStr">
        <is>
          <t>Branch</t>
        </is>
      </c>
      <c r="B12" s="4" t="inlineStr">
        <is>
          <t>claude/project-resource-assignment-app-1vjdzh</t>
        </is>
      </c>
    </row>
    <row r="13">
      <c r="A13" s="3" t="inlineStr">
        <is>
          <t>Supersedes</t>
        </is>
      </c>
      <c r="B13" s="4" t="inlineStr">
        <is>
          <t>v0.2 (2026-07-31)</t>
        </is>
      </c>
    </row>
    <row r="15">
      <c r="A15" s="5" t="inlineStr">
        <is>
          <t>What changed in v0.3</t>
        </is>
      </c>
    </row>
    <row r="16">
      <c r="A16" s="6" t="inlineStr">
        <is>
          <t>The second review round answered Q-13 to Q-20. Three blockers cleared and three things changed shape:</t>
        </is>
      </c>
    </row>
    <row r="17">
      <c r="A17" s="6" t="inlineStr"/>
    </row>
    <row r="18">
      <c r="A18" s="6" t="inlineStr">
        <is>
          <t xml:space="preserve">  1. Q-13 and Q-17 are closed, and with them the two items that were blocking progress. No example</t>
        </is>
      </c>
    </row>
    <row r="19">
      <c r="A19" s="6" t="inlineStr">
        <is>
          <t xml:space="preserve">     template is coming - the structure already in this plan is modelled on the existing one - and the</t>
        </is>
      </c>
    </row>
    <row r="20">
      <c r="A20" s="6" t="inlineStr">
        <is>
          <t xml:space="preserve">     weight and role-factor VALUES will be entered as data in the source workbook rather than fixed</t>
        </is>
      </c>
    </row>
    <row r="21">
      <c r="A21" s="6" t="inlineStr">
        <is>
          <t xml:space="preserve">     here. Nothing in Step 2 now waits on an input.</t>
        </is>
      </c>
    </row>
    <row r="22">
      <c r="A22" s="6" t="inlineStr">
        <is>
          <t xml:space="preserve">  2. Period sets are per project type (Q-18). Clinical Trial keeps Before-Start-up / Start-up / Conduct /</t>
        </is>
      </c>
    </row>
    <row r="23">
      <c r="A23" s="6" t="inlineStr">
        <is>
          <t xml:space="preserve">     Close-out; 'Others' gets Planning / Develop / Close. One list no longer serves both.</t>
        </is>
      </c>
    </row>
    <row r="24">
      <c r="A24" s="6" t="inlineStr">
        <is>
          <t xml:space="preserve">  3. Period boundaries are computed from milestone dates and month offsets (Q-16), not from milestone</t>
        </is>
      </c>
    </row>
    <row r="25">
      <c r="A25" s="6" t="inlineStr">
        <is>
          <t xml:space="preserve">     dates alone. Start-up is a fixed 4-month window; Conduct and Close-out hang off the DB lock.</t>
        </is>
      </c>
    </row>
    <row r="26">
      <c r="A26" s="6" t="inlineStr">
        <is>
          <t xml:space="preserve">  4. Every field is editable (Q-20), with referential integrity enforced by rule rather than by making</t>
        </is>
      </c>
    </row>
    <row r="27">
      <c r="A27" s="6" t="inlineStr">
        <is>
          <t xml:space="preserve">     identifiers read-only. Editing a referenced ID now cascades - see C-09 on sheet 05.</t>
        </is>
      </c>
    </row>
    <row r="28">
      <c r="A28" s="6" t="inlineStr"/>
    </row>
    <row r="29">
      <c r="A29" s="6" t="inlineStr">
        <is>
          <t>The milestone list was also replaced (Q-15): 'First SIV' enters, FPI leaves, and DB lock cut-off and DB</t>
        </is>
      </c>
    </row>
    <row r="30">
      <c r="A30" s="6" t="inlineStr">
        <is>
          <t>lock each split into interim and final.</t>
        </is>
      </c>
    </row>
    <row r="31">
      <c r="A31" s="6" t="inlineStr"/>
    </row>
    <row r="32">
      <c r="A32" s="6" t="inlineStr">
        <is>
          <t>IMPORTANT - the mapping in the Q-16 answer leaves three stretches of a project with no period, and so</t>
        </is>
      </c>
    </row>
    <row r="33">
      <c r="A33" s="6" t="inlineStr">
        <is>
          <t>no weight. Worked through on sheet 05, and raised as Q-21, Q-22 and Q-23. v0.3 adopts a no-gap reading</t>
        </is>
      </c>
    </row>
    <row r="34">
      <c r="A34" s="6" t="inlineStr">
        <is>
          <t>so the plan stays buildable, but those three need your confirmation before Step 2 closes.</t>
        </is>
      </c>
    </row>
    <row r="36">
      <c r="A36" s="5" t="inlineStr">
        <is>
          <t>How to read this workbook</t>
        </is>
      </c>
    </row>
    <row r="37" ht="28" customHeight="1">
      <c r="A37" s="7" t="inlineStr">
        <is>
          <t>Sheet</t>
        </is>
      </c>
      <c r="B37" s="7" t="inlineStr">
        <is>
          <t>Contents</t>
        </is>
      </c>
    </row>
    <row r="38">
      <c r="A38" s="8" t="inlineStr">
        <is>
          <t>00_Cover</t>
        </is>
      </c>
      <c r="B38" s="9" t="inlineStr">
        <is>
          <t>Document control, what changed, reading guide.</t>
        </is>
      </c>
    </row>
    <row r="39">
      <c r="A39" s="10" t="inlineStr">
        <is>
          <t>01_Version_History</t>
        </is>
      </c>
      <c r="B39" s="11" t="inlineStr">
        <is>
          <t>Change log for this plan.</t>
        </is>
      </c>
    </row>
    <row r="40">
      <c r="A40" s="8" t="inlineStr">
        <is>
          <t>02_Scope</t>
        </is>
      </c>
      <c r="B40" s="9" t="inlineStr">
        <is>
          <t>Background, objectives, in scope / out of scope.</t>
        </is>
      </c>
    </row>
    <row r="41">
      <c r="A41" s="10" t="inlineStr">
        <is>
          <t>03_Requirements</t>
        </is>
      </c>
      <c r="B41" s="11" t="inlineStr">
        <is>
          <t>Numbered requirement register - the contract for Steps 2-5.</t>
        </is>
      </c>
    </row>
    <row r="42">
      <c r="A42" s="8" t="inlineStr">
        <is>
          <t>04_Data_Model</t>
        </is>
      </c>
      <c r="B42" s="9" t="inlineStr">
        <is>
          <t>Every sheet and column of the single source workbook, with rules.</t>
        </is>
      </c>
    </row>
    <row r="43">
      <c r="A43" s="10" t="inlineStr">
        <is>
          <t>05_Resource_Logic</t>
        </is>
      </c>
      <c r="B43" s="11" t="inlineStr">
        <is>
          <t>The calculation that turns assignments and weights into monthly FTE.</t>
        </is>
      </c>
    </row>
    <row r="44">
      <c r="A44" s="8" t="inlineStr">
        <is>
          <t>06_Dashboard_Design</t>
        </is>
      </c>
      <c r="B44" s="9" t="inlineStr">
        <is>
          <t>The three dashboard tabs: tables, graphs, filters, editing.</t>
        </is>
      </c>
    </row>
    <row r="45">
      <c r="A45" s="10" t="inlineStr">
        <is>
          <t>07_Architecture</t>
        </is>
      </c>
      <c r="B45" s="11" t="inlineStr">
        <is>
          <t>Single-file HTML + Excel-on-disk design and the file-access decision.</t>
        </is>
      </c>
    </row>
    <row r="46">
      <c r="A46" s="8" t="inlineStr">
        <is>
          <t>08_WBS_Schedule</t>
        </is>
      </c>
      <c r="B46" s="9" t="inlineStr">
        <is>
          <t>The five steps broken into tasks, deliverables and review gates.</t>
        </is>
      </c>
    </row>
    <row r="47">
      <c r="A47" s="10" t="inlineStr">
        <is>
          <t>09_Version_Control</t>
        </is>
      </c>
      <c r="B47" s="11" t="inlineStr">
        <is>
          <t>How plan, specification and output files are versioned together.</t>
        </is>
      </c>
    </row>
    <row r="48">
      <c r="A48" s="8" t="inlineStr">
        <is>
          <t>10_Risks</t>
        </is>
      </c>
      <c r="B48" s="9" t="inlineStr">
        <is>
          <t>Risks and assumptions with mitigations.</t>
        </is>
      </c>
    </row>
    <row r="49">
      <c r="A49" s="10" t="inlineStr">
        <is>
          <t>11_Open_Questions</t>
        </is>
      </c>
      <c r="B49" s="11" t="inlineStr">
        <is>
          <t>Your answers to Q-01..Q-20, and the open items Q-21..Q-26.</t>
        </is>
      </c>
    </row>
    <row r="50">
      <c r="A50" s="8" t="inlineStr">
        <is>
          <t>12_Review_Log</t>
        </is>
      </c>
      <c r="B50" s="9" t="inlineStr">
        <is>
          <t>Every change made in v0.2 and v0.3, and why.</t>
        </is>
      </c>
    </row>
    <row r="52">
      <c r="A52" s="3" t="inlineStr">
        <is>
          <t>Legend</t>
        </is>
      </c>
    </row>
    <row r="53">
      <c r="A53" s="12" t="inlineStr">
        <is>
          <t>Green = new in v0.2, added from your review answers.</t>
        </is>
      </c>
    </row>
    <row r="54">
      <c r="A54" s="13" t="inlineStr">
        <is>
          <t>Orange = changed in v0.2 as a consequence of your review.</t>
        </is>
      </c>
    </row>
    <row r="55">
      <c r="A55"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Pending</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Draft for review</t>
        </is>
      </c>
    </row>
    <row r="11">
      <c r="A11"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7" t="inlineStr">
        <is>
          <t>Import of all project and person data from ONE Excel workbook via a browser file picker or drag-and-drop.</t>
        </is>
      </c>
      <c r="B22" s="18" t="inlineStr">
        <is>
          <t>Q-09</t>
        </is>
      </c>
    </row>
    <row r="23">
      <c r="A23" s="19" t="inlineStr">
        <is>
          <t>Editing imported data inside the application, with the edits carried into the export.</t>
        </is>
      </c>
      <c r="B23" s="20" t="inlineStr">
        <is>
          <t>REQ-IMP-07</t>
        </is>
      </c>
    </row>
    <row r="24">
      <c r="A24" s="11" t="inlineStr">
        <is>
          <t>Export of the current working data back to .xlsx, so the workbook remains the archive of record.</t>
        </is>
      </c>
      <c r="B24" s="10" t="inlineStr">
        <is>
          <t>v0.1</t>
        </is>
      </c>
    </row>
    <row r="25">
      <c r="A25" s="17" t="inlineStr">
        <is>
          <t>Monthly resource simulation in FTE per project and per person, default 24-month horizon, expandable to the latest project end date.</t>
        </is>
      </c>
      <c r="B25" s="18"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9" t="inlineStr">
        <is>
          <t>Over-allocation and under-allocation detection against the agreed FTE thresholds.</t>
        </is>
      </c>
      <c r="B28" s="20"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9"/>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8" t="inlineStr">
        <is>
          <t>REQ-OUT-03</t>
        </is>
      </c>
      <c r="B7" s="18" t="inlineStr">
        <is>
          <t>Output</t>
        </is>
      </c>
      <c r="C7" s="17" t="inlineStr">
        <is>
          <t>Source data lives in ONE Excel workbook held separately from the HTML file, and that workbook is the archive of record.</t>
        </is>
      </c>
      <c r="D7" s="18" t="inlineStr">
        <is>
          <t>Must</t>
        </is>
      </c>
      <c r="E7" s="18" t="inlineStr">
        <is>
          <t>Q-09</t>
        </is>
      </c>
      <c r="F7" s="18"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0" t="inlineStr">
        <is>
          <t>REQ-PRJ-01</t>
        </is>
      </c>
      <c r="B10" s="10" t="inlineStr">
        <is>
          <t>Project data</t>
        </is>
      </c>
      <c r="C10" s="11" t="inlineStr">
        <is>
          <t>Each project records a project type, restricted to 'Clinical Trial' or 'Others'.</t>
        </is>
      </c>
      <c r="D10" s="10" t="inlineStr">
        <is>
          <t>Must</t>
        </is>
      </c>
      <c r="E10" s="10" t="inlineStr">
        <is>
          <t>Requester</t>
        </is>
      </c>
      <c r="F10" s="10" t="inlineStr">
        <is>
          <t>2</t>
        </is>
      </c>
    </row>
    <row r="11">
      <c r="A11" s="8" t="inlineStr">
        <is>
          <t>REQ-PRJ-02</t>
        </is>
      </c>
      <c r="B11" s="8" t="inlineStr">
        <is>
          <t>Project data</t>
        </is>
      </c>
      <c r="C11" s="9" t="inlineStr">
        <is>
          <t>Each project records a project category. Where type = 'Clinical Trial' the category is the product name; the field is optional for 'Others'.</t>
        </is>
      </c>
      <c r="D11" s="8" t="inlineStr">
        <is>
          <t>Must</t>
        </is>
      </c>
      <c r="E11" s="8" t="inlineStr">
        <is>
          <t>Requester</t>
        </is>
      </c>
      <c r="F11" s="8"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8" t="inlineStr">
        <is>
          <t>REQ-PRJ-04</t>
        </is>
      </c>
      <c r="B13" s="18" t="inlineStr">
        <is>
          <t>Project data</t>
        </is>
      </c>
      <c r="C13" s="17" t="inlineStr">
        <is>
          <t>Each project records its conditions: outsourcing type ('Full outsourcing' / 'Partial outsourcing' / 'Full In-house') and the number of project members.</t>
        </is>
      </c>
      <c r="D13" s="18" t="inlineStr">
        <is>
          <t>Must</t>
        </is>
      </c>
      <c r="E13" s="18" t="inlineStr">
        <is>
          <t>Q-14</t>
        </is>
      </c>
      <c r="F13" s="18" t="inlineStr">
        <is>
          <t>2</t>
        </is>
      </c>
    </row>
    <row r="14">
      <c r="A14" s="10" t="inlineStr">
        <is>
          <t>REQ-PRJ-05</t>
        </is>
      </c>
      <c r="B14" s="10" t="inlineStr">
        <is>
          <t>Project data</t>
        </is>
      </c>
      <c r="C14" s="11" t="inlineStr">
        <is>
          <t>Each project records a timeline: start date, major milestone dates, and total period.</t>
        </is>
      </c>
      <c r="D14" s="10" t="inlineStr">
        <is>
          <t>Must</t>
        </is>
      </c>
      <c r="E14" s="10" t="inlineStr">
        <is>
          <t>Requester</t>
        </is>
      </c>
      <c r="F14" s="10" t="inlineStr">
        <is>
          <t>2</t>
        </is>
      </c>
    </row>
    <row r="15">
      <c r="A15" s="8" t="inlineStr">
        <is>
          <t>REQ-PRJ-06</t>
        </is>
      </c>
      <c r="B15" s="8" t="inlineStr">
        <is>
          <t>Project data</t>
        </is>
      </c>
      <c r="C15" s="9" t="inlineStr">
        <is>
          <t>Each project carries a resource weight applicable to a defined period, so burden can differ across the project's phases.</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'Clinical Trial' uses Before-Start-up / Start-up / Conduct / Close-out; 'Others' uses Planning / Develop / Close.</t>
        </is>
      </c>
      <c r="D18" s="20" t="inlineStr">
        <is>
          <t>Must</t>
        </is>
      </c>
      <c r="E18" s="20" t="inlineStr">
        <is>
          <t>Q-18</t>
        </is>
      </c>
      <c r="F18" s="20" t="inlineStr">
        <is>
          <t>2</t>
        </is>
      </c>
    </row>
    <row r="19">
      <c r="A19" s="20" t="inlineStr">
        <is>
          <t>REQ-PRJ-09</t>
        </is>
      </c>
      <c r="B19" s="20" t="inlineStr">
        <is>
          <t>Project data</t>
        </is>
      </c>
      <c r="C19" s="19" t="inlineStr">
        <is>
          <t>A 'Clinical Trial' project records its clinical phase (phase 1 / 2 / 3 / 4).</t>
        </is>
      </c>
      <c r="D19" s="20" t="inlineStr">
        <is>
          <t>Must</t>
        </is>
      </c>
      <c r="E19" s="20" t="inlineStr">
        <is>
          <t>Reviewer v0.11</t>
        </is>
      </c>
      <c r="F19" s="20" t="inlineStr">
        <is>
          <t>2</t>
        </is>
      </c>
    </row>
    <row r="20">
      <c r="A20" s="20" t="inlineStr">
        <is>
          <t>REQ-PRJ-10</t>
        </is>
      </c>
      <c r="B20" s="20" t="inlineStr">
        <is>
          <t>Project data</t>
        </is>
      </c>
      <c r="C20" s="19" t="inlineStr">
        <is>
          <t>A 'Clinical Trial' project records who performs each of EDC set-up, data-review-system set-up, RBQM set-up and DM conduct ('by CRO' / 'by SB').</t>
        </is>
      </c>
      <c r="D20" s="20" t="inlineStr">
        <is>
          <t>Must</t>
        </is>
      </c>
      <c r="E20" s="20" t="inlineStr">
        <is>
          <t>Reviewer v0.11</t>
        </is>
      </c>
      <c r="F20" s="20" t="inlineStr">
        <is>
          <t>2</t>
        </is>
      </c>
    </row>
    <row r="21">
      <c r="A21" s="20" t="inlineStr">
        <is>
          <t>REQ-PRJ-11</t>
        </is>
      </c>
      <c r="B21" s="20" t="inlineStr">
        <is>
          <t>Project data</t>
        </is>
      </c>
      <c r="C21" s="19" t="inlineStr">
        <is>
          <t>A 'Clinical Trial' project records the EDC system, data review system and RBQM system in use, from data-driven value lists.</t>
        </is>
      </c>
      <c r="D21" s="20" t="inlineStr">
        <is>
          <t>Must</t>
        </is>
      </c>
      <c r="E21" s="20" t="inlineStr">
        <is>
          <t>Reviewer v0.11</t>
        </is>
      </c>
      <c r="F21" s="20" t="inlineStr">
        <is>
          <t>2</t>
        </is>
      </c>
    </row>
    <row r="22">
      <c r="A22" s="10" t="inlineStr">
        <is>
          <t>REQ-PSN-01</t>
        </is>
      </c>
      <c r="B22" s="10" t="inlineStr">
        <is>
          <t>Person data</t>
        </is>
      </c>
      <c r="C22" s="11" t="inlineStr">
        <is>
          <t>Data is managed by person, by project assigned, and by project role assigned.</t>
        </is>
      </c>
      <c r="D22" s="10" t="inlineStr">
        <is>
          <t>Must</t>
        </is>
      </c>
      <c r="E22" s="10" t="inlineStr">
        <is>
          <t>Requester</t>
        </is>
      </c>
      <c r="F22" s="10" t="inlineStr">
        <is>
          <t>2</t>
        </is>
      </c>
    </row>
    <row r="23">
      <c r="A23" s="8" t="inlineStr">
        <is>
          <t>REQ-PSN-02</t>
        </is>
      </c>
      <c r="B23" s="8" t="inlineStr">
        <is>
          <t>Person data</t>
        </is>
      </c>
      <c r="C23" s="9" t="inlineStr">
        <is>
          <t>Each assignment records the project(s) the person is assigned to.</t>
        </is>
      </c>
      <c r="D23" s="8" t="inlineStr">
        <is>
          <t>Must</t>
        </is>
      </c>
      <c r="E23" s="8" t="inlineStr">
        <is>
          <t>Requester</t>
        </is>
      </c>
      <c r="F23" s="8" t="inlineStr">
        <is>
          <t>2</t>
        </is>
      </c>
    </row>
    <row r="24">
      <c r="A24" s="18" t="inlineStr">
        <is>
          <t>REQ-PSN-03</t>
        </is>
      </c>
      <c r="B24" s="18" t="inlineStr">
        <is>
          <t>Person data</t>
        </is>
      </c>
      <c r="C24" s="17" t="inlineStr">
        <is>
          <t>Each assignment records the role(s) the person holds on that project, drawn from the role list valid for that project's type.</t>
        </is>
      </c>
      <c r="D24" s="18" t="inlineStr">
        <is>
          <t>Must</t>
        </is>
      </c>
      <c r="E24" s="18" t="inlineStr">
        <is>
          <t>Q-03</t>
        </is>
      </c>
      <c r="F24" s="18" t="inlineStr">
        <is>
          <t>2</t>
        </is>
      </c>
    </row>
    <row r="25">
      <c r="A25" s="8" t="inlineStr">
        <is>
          <t>REQ-PSN-04</t>
        </is>
      </c>
      <c r="B25" s="8" t="inlineStr">
        <is>
          <t>Person data</t>
        </is>
      </c>
      <c r="C25" s="9" t="inlineStr">
        <is>
          <t>Each assignment records the start date the person joins and the end date they leave that study.</t>
        </is>
      </c>
      <c r="D25" s="8" t="inlineStr">
        <is>
          <t>Must</t>
        </is>
      </c>
      <c r="E25" s="8" t="inlineStr">
        <is>
          <t>Requester</t>
        </is>
      </c>
      <c r="F25" s="8" t="inlineStr">
        <is>
          <t>2</t>
        </is>
      </c>
    </row>
    <row r="26">
      <c r="A26" s="18" t="inlineStr">
        <is>
          <t>REQ-PSN-05</t>
        </is>
      </c>
      <c r="B26" s="18" t="inlineStr">
        <is>
          <t>Person data</t>
        </is>
      </c>
      <c r="C26" s="17" t="inlineStr">
        <is>
          <t>Each assignment carries a person weight saying how much that person works on that project, with optional period-specific overrides.</t>
        </is>
      </c>
      <c r="D26" s="18" t="inlineStr">
        <is>
          <t>Must</t>
        </is>
      </c>
      <c r="E26" s="18" t="inlineStr">
        <is>
          <t>Q-01</t>
        </is>
      </c>
      <c r="F26" s="18" t="inlineStr">
        <is>
          <t>2</t>
        </is>
      </c>
    </row>
    <row r="27">
      <c r="A27" s="8" t="inlineStr">
        <is>
          <t>REQ-PSN-06</t>
        </is>
      </c>
      <c r="B27" s="8" t="inlineStr">
        <is>
          <t>Person data</t>
        </is>
      </c>
      <c r="C27" s="9" t="inlineStr">
        <is>
          <t>The person record accepts further project-related information without a schema change.</t>
        </is>
      </c>
      <c r="D27" s="8" t="inlineStr">
        <is>
          <t>Should</t>
        </is>
      </c>
      <c r="E27" s="8" t="inlineStr">
        <is>
          <t>Requester</t>
        </is>
      </c>
      <c r="F27" s="8" t="inlineStr">
        <is>
          <t>2</t>
        </is>
      </c>
    </row>
    <row r="28">
      <c r="A28" s="10" t="inlineStr">
        <is>
          <t>REQ-PSN-07</t>
        </is>
      </c>
      <c r="B28" s="10" t="inlineStr">
        <is>
          <t>Person data</t>
        </is>
      </c>
      <c r="C28" s="11" t="inlineStr">
        <is>
          <t>One person may hold assignments on several projects simultaneously, and may hold more than one role on the same project.</t>
        </is>
      </c>
      <c r="D28" s="10" t="inlineStr">
        <is>
          <t>Must</t>
        </is>
      </c>
      <c r="E28" s="10" t="inlineStr">
        <is>
          <t>Derived</t>
        </is>
      </c>
      <c r="F28" s="10" t="inlineStr">
        <is>
          <t>2</t>
        </is>
      </c>
    </row>
    <row r="29">
      <c r="A29" s="18" t="inlineStr">
        <is>
          <t>REQ-CAL-01</t>
        </is>
      </c>
      <c r="B29" s="18" t="inlineStr">
        <is>
          <t>Calculation</t>
        </is>
      </c>
      <c r="C29" s="17" t="inlineStr">
        <is>
          <t>Resource is simulated on a monthly grid, default horizon 24 months, expandable to the latest project end date.</t>
        </is>
      </c>
      <c r="D29" s="18" t="inlineStr">
        <is>
          <t>Must</t>
        </is>
      </c>
      <c r="E29" s="18" t="inlineStr">
        <is>
          <t>Q-11</t>
        </is>
      </c>
      <c r="F29" s="18" t="inlineStr">
        <is>
          <t>4</t>
        </is>
      </c>
    </row>
    <row r="30">
      <c r="A30" s="18" t="inlineStr">
        <is>
          <t>REQ-CAL-02</t>
        </is>
      </c>
      <c r="B30" s="18" t="inlineStr">
        <is>
          <t>Calculation</t>
        </is>
      </c>
      <c r="C30" s="17" t="inlineStr">
        <is>
          <t>Monthly load for an assignment = project period weight x role factor x person weight x fraction of the month covered. There is no separate base allocation.</t>
        </is>
      </c>
      <c r="D30" s="18" t="inlineStr">
        <is>
          <t>Must</t>
        </is>
      </c>
      <c r="E30" s="18" t="inlineStr">
        <is>
          <t>Q-01</t>
        </is>
      </c>
      <c r="F30" s="18" t="inlineStr">
        <is>
          <t>2,4</t>
        </is>
      </c>
    </row>
    <row r="31">
      <c r="A31" s="8" t="inlineStr">
        <is>
          <t>REQ-CAL-03</t>
        </is>
      </c>
      <c r="B31" s="8" t="inlineStr">
        <is>
          <t>Calculation</t>
        </is>
      </c>
      <c r="C31" s="9" t="inlineStr">
        <is>
          <t>Project monthly load is the sum of its assignments; person monthly load is the sum across all their projects.</t>
        </is>
      </c>
      <c r="D31" s="8" t="inlineStr">
        <is>
          <t>Must</t>
        </is>
      </c>
      <c r="E31" s="8" t="inlineStr">
        <is>
          <t>Requester</t>
        </is>
      </c>
      <c r="F31" s="8" t="inlineStr">
        <is>
          <t>4</t>
        </is>
      </c>
    </row>
    <row r="32">
      <c r="A32" s="18" t="inlineStr">
        <is>
          <t>REQ-CAL-04</t>
        </is>
      </c>
      <c r="B32" s="18" t="inlineStr">
        <is>
          <t>Calculation</t>
        </is>
      </c>
      <c r="C32" s="17" t="inlineStr">
        <is>
          <t>A person-month whose total exceeds the over-allocation threshold (default 1.50 FTE) is flagged as over-allocated.</t>
        </is>
      </c>
      <c r="D32" s="18" t="inlineStr">
        <is>
          <t>Must</t>
        </is>
      </c>
      <c r="E32" s="18" t="inlineStr">
        <is>
          <t>Q-08</t>
        </is>
      </c>
      <c r="F32" s="18" t="inlineStr">
        <is>
          <t>4</t>
        </is>
      </c>
    </row>
    <row r="33">
      <c r="A33" s="18" t="inlineStr">
        <is>
          <t>REQ-CAL-05</t>
        </is>
      </c>
      <c r="B33" s="18" t="inlineStr">
        <is>
          <t>Calculation</t>
        </is>
      </c>
      <c r="C33" s="17" t="inlineStr">
        <is>
          <t>A partial first or last month is pro-rated by calendar days worked, not counted as a whole month.</t>
        </is>
      </c>
      <c r="D33" s="18" t="inlineStr">
        <is>
          <t>Must</t>
        </is>
      </c>
      <c r="E33" s="18" t="inlineStr">
        <is>
          <t>Q-02</t>
        </is>
      </c>
      <c r="F33" s="18" t="inlineStr">
        <is>
          <t>4</t>
        </is>
      </c>
    </row>
    <row r="34">
      <c r="A34" s="10" t="inlineStr">
        <is>
          <t>REQ-CAL-06</t>
        </is>
      </c>
      <c r="B34" s="10" t="inlineStr">
        <is>
          <t>Calculation</t>
        </is>
      </c>
      <c r="C34" s="11" t="inlineStr">
        <is>
          <t>All weights, factors and thresholds are data, held in the source workbook, never hardcoded in the program.</t>
        </is>
      </c>
      <c r="D34" s="10" t="inlineStr">
        <is>
          <t>Must</t>
        </is>
      </c>
      <c r="E34" s="10" t="inlineStr">
        <is>
          <t>Derived</t>
        </is>
      </c>
      <c r="F34" s="10" t="inlineStr">
        <is>
          <t>4</t>
        </is>
      </c>
    </row>
    <row r="35">
      <c r="A35" s="20" t="inlineStr">
        <is>
          <t>REQ-CAL-07</t>
        </is>
      </c>
      <c r="B35" s="20" t="inlineStr">
        <is>
          <t>Calculation</t>
        </is>
      </c>
      <c r="C35" s="19" t="inlineStr">
        <is>
          <t>A person whose monthly total stays below the under-allocation threshold (default 0.80 FTE) for three or more consecutive months is flagged as under-allocated, with the run's start and length reported.</t>
        </is>
      </c>
      <c r="D35" s="20" t="inlineStr">
        <is>
          <t>Must</t>
        </is>
      </c>
      <c r="E35" s="20" t="inlineStr">
        <is>
          <t>Q-08</t>
        </is>
      </c>
      <c r="F35" s="20" t="inlineStr">
        <is>
          <t>4</t>
        </is>
      </c>
    </row>
    <row r="36">
      <c r="A36" s="20" t="inlineStr">
        <is>
          <t>REQ-CAL-08</t>
        </is>
      </c>
      <c r="B36" s="20" t="inlineStr">
        <is>
          <t>Calculation</t>
        </is>
      </c>
      <c r="C36" s="19" t="inlineStr">
        <is>
          <t>Load is expressed in FTE, where 1.00 FTE = 160 hours per month (8 h/day x 5 days/week x 20 days/month). Hours are shown alongside FTE where useful.</t>
        </is>
      </c>
      <c r="D36" s="20" t="inlineStr">
        <is>
          <t>Must</t>
        </is>
      </c>
      <c r="E36" s="20" t="inlineStr">
        <is>
          <t>Q-08</t>
        </is>
      </c>
      <c r="F36" s="20" t="inlineStr">
        <is>
          <t>4</t>
        </is>
      </c>
    </row>
    <row r="37">
      <c r="A37" s="18" t="inlineStr">
        <is>
          <t>REQ-CAL-09</t>
        </is>
      </c>
      <c r="B37" s="18" t="inlineStr">
        <is>
          <t>Calculation</t>
        </is>
      </c>
      <c r="C37" s="17" t="inlineStr">
        <is>
          <t>For a 'Clinical Trial' project, period boundaries are computed from milestone dates plus fixed month offsets (sheet 05), so a timeline change re-shapes the periods without re-typing them. For 'Others', periods are entered directly.</t>
        </is>
      </c>
      <c r="D37" s="18" t="inlineStr">
        <is>
          <t>Must</t>
        </is>
      </c>
      <c r="E37" s="18" t="inlineStr">
        <is>
          <t>Q-16, Q-18</t>
        </is>
      </c>
      <c r="F37" s="18" t="inlineStr">
        <is>
          <t>2,4</t>
        </is>
      </c>
    </row>
    <row r="38">
      <c r="A38" s="20" t="inlineStr">
        <is>
          <t>REQ-CAL-10</t>
        </is>
      </c>
      <c r="B38" s="20" t="inlineStr">
        <is>
          <t>Calculation</t>
        </is>
      </c>
      <c r="C38" s="19" t="inlineStr">
        <is>
          <t>Every month of a project's timeline falls in exactly one period. A month left uncovered by the derivation is reported and carries weight 1.00 rather than being dropped from the simulation.</t>
        </is>
      </c>
      <c r="D38" s="20" t="inlineStr">
        <is>
          <t>Must</t>
        </is>
      </c>
      <c r="E38" s="20" t="inlineStr">
        <is>
          <t>Derived from Q-16</t>
        </is>
      </c>
      <c r="F38" s="20" t="inlineStr">
        <is>
          <t>2,4</t>
        </is>
      </c>
    </row>
    <row r="39">
      <c r="A39" s="8" t="inlineStr">
        <is>
          <t>REQ-DSH-01</t>
        </is>
      </c>
      <c r="B39" s="8" t="inlineStr">
        <is>
          <t>Dashboard</t>
        </is>
      </c>
      <c r="C39" s="9" t="inlineStr">
        <is>
          <t>Tab 'Overall' shows monthly resource simulation per project and per person as tables.</t>
        </is>
      </c>
      <c r="D39" s="8" t="inlineStr">
        <is>
          <t>Must</t>
        </is>
      </c>
      <c r="E39" s="8" t="inlineStr">
        <is>
          <t>Requester</t>
        </is>
      </c>
      <c r="F39" s="8" t="inlineStr">
        <is>
          <t>3,4</t>
        </is>
      </c>
    </row>
    <row r="40">
      <c r="A40" s="10" t="inlineStr">
        <is>
          <t>REQ-DSH-02</t>
        </is>
      </c>
      <c r="B40" s="10" t="inlineStr">
        <is>
          <t>Dashboard</t>
        </is>
      </c>
      <c r="C40" s="11" t="inlineStr">
        <is>
          <t>Tab 'Overall' shows appropriate graphs of the same simulation.</t>
        </is>
      </c>
      <c r="D40" s="10" t="inlineStr">
        <is>
          <t>Must</t>
        </is>
      </c>
      <c r="E40" s="10" t="inlineStr">
        <is>
          <t>Requester</t>
        </is>
      </c>
      <c r="F40" s="10" t="inlineStr">
        <is>
          <t>3,4</t>
        </is>
      </c>
    </row>
    <row r="41">
      <c r="A41" s="8" t="inlineStr">
        <is>
          <t>REQ-DSH-03</t>
        </is>
      </c>
      <c r="B41" s="8" t="inlineStr">
        <is>
          <t>Dashboard</t>
        </is>
      </c>
      <c r="C41" s="9" t="inlineStr">
        <is>
          <t>Tab 'Source data (project)' shows project information as a table.</t>
        </is>
      </c>
      <c r="D41" s="8" t="inlineStr">
        <is>
          <t>Must</t>
        </is>
      </c>
      <c r="E41" s="8" t="inlineStr">
        <is>
          <t>Requester</t>
        </is>
      </c>
      <c r="F41" s="8" t="inlineStr">
        <is>
          <t>3,4</t>
        </is>
      </c>
    </row>
    <row r="42">
      <c r="A42" s="10" t="inlineStr">
        <is>
          <t>REQ-DSH-04</t>
        </is>
      </c>
      <c r="B42" s="10" t="inlineStr">
        <is>
          <t>Dashboard</t>
        </is>
      </c>
      <c r="C42" s="11" t="inlineStr">
        <is>
          <t>Tab 'Source data (person)' shows person information as a table.</t>
        </is>
      </c>
      <c r="D42" s="10" t="inlineStr">
        <is>
          <t>Must</t>
        </is>
      </c>
      <c r="E42" s="10" t="inlineStr">
        <is>
          <t>Requester</t>
        </is>
      </c>
      <c r="F42" s="10" t="inlineStr">
        <is>
          <t>3,4</t>
        </is>
      </c>
    </row>
    <row r="43">
      <c r="A43" s="8" t="inlineStr">
        <is>
          <t>REQ-DSH-05</t>
        </is>
      </c>
      <c r="B43" s="8" t="inlineStr">
        <is>
          <t>Dashboard</t>
        </is>
      </c>
      <c r="C43" s="9" t="inlineStr">
        <is>
          <t>Tables can be filtered by date horizon, project type, project, person and role.</t>
        </is>
      </c>
      <c r="D43" s="8" t="inlineStr">
        <is>
          <t>Should</t>
        </is>
      </c>
      <c r="E43" s="8" t="inlineStr">
        <is>
          <t>Derived</t>
        </is>
      </c>
      <c r="F43" s="8" t="inlineStr">
        <is>
          <t>3,4</t>
        </is>
      </c>
    </row>
    <row r="44">
      <c r="A44" s="10" t="inlineStr">
        <is>
          <t>REQ-DSH-06</t>
        </is>
      </c>
      <c r="B44" s="10" t="inlineStr">
        <is>
          <t>Dashboard</t>
        </is>
      </c>
      <c r="C44" s="11" t="inlineStr">
        <is>
          <t>Any table on screen can be exported to Excel.</t>
        </is>
      </c>
      <c r="D44" s="10" t="inlineStr">
        <is>
          <t>Should</t>
        </is>
      </c>
      <c r="E44" s="10" t="inlineStr">
        <is>
          <t>Derived</t>
        </is>
      </c>
      <c r="F44" s="10" t="inlineStr">
        <is>
          <t>4</t>
        </is>
      </c>
    </row>
    <row r="45">
      <c r="A45" s="20" t="inlineStr">
        <is>
          <t>REQ-DSH-07</t>
        </is>
      </c>
      <c r="B45" s="20" t="inlineStr">
        <is>
          <t>Dashboard</t>
        </is>
      </c>
      <c r="C45" s="19" t="inlineStr">
        <is>
          <t>The horizon control offers 24 months by default and a one-click expansion to cover the latest project end date across all projects.</t>
        </is>
      </c>
      <c r="D45" s="20" t="inlineStr">
        <is>
          <t>Must</t>
        </is>
      </c>
      <c r="E45" s="20" t="inlineStr">
        <is>
          <t>Q-11</t>
        </is>
      </c>
      <c r="F45" s="20" t="inlineStr">
        <is>
          <t>3,4</t>
        </is>
      </c>
    </row>
    <row r="46">
      <c r="A46" s="20" t="inlineStr">
        <is>
          <t>REQ-DSH-08</t>
        </is>
      </c>
      <c r="B46" s="20" t="inlineStr">
        <is>
          <t>Dashboard</t>
        </is>
      </c>
      <c r="C46" s="19" t="inlineStr">
        <is>
          <t>Over-allocated and under-allocated person-months are distinguishable at a glance, and both are counted in the summary tiles.</t>
        </is>
      </c>
      <c r="D46" s="20" t="inlineStr">
        <is>
          <t>Must</t>
        </is>
      </c>
      <c r="E46" s="20" t="inlineStr">
        <is>
          <t>Q-08</t>
        </is>
      </c>
      <c r="F46" s="20" t="inlineStr">
        <is>
          <t>3,4</t>
        </is>
      </c>
    </row>
    <row r="47">
      <c r="A47" s="18" t="inlineStr">
        <is>
          <t>REQ-IMP-01</t>
        </is>
      </c>
      <c r="B47" s="18" t="inlineStr">
        <is>
          <t>Import/Export</t>
        </is>
      </c>
      <c r="C47" s="17" t="inlineStr">
        <is>
          <t>The user loads the source workbook through a file picker or drag-and-drop, chosen because a local HTML page cannot open a file from disk unaided.</t>
        </is>
      </c>
      <c r="D47" s="18" t="inlineStr">
        <is>
          <t>Must</t>
        </is>
      </c>
      <c r="E47" s="18" t="inlineStr">
        <is>
          <t>Decision D-01</t>
        </is>
      </c>
      <c r="F47" s="18" t="inlineStr">
        <is>
          <t>4</t>
        </is>
      </c>
    </row>
    <row r="48">
      <c r="A48" s="10" t="inlineStr">
        <is>
          <t>REQ-IMP-02</t>
        </is>
      </c>
      <c r="B48" s="10" t="inlineStr">
        <is>
          <t>Import/Export</t>
        </is>
      </c>
      <c r="C48" s="11" t="inlineStr">
        <is>
          <t>Loading validates the workbook and reports every problem found - missing sheet, missing column, bad date, unknown project reference - without stopping at the first one.</t>
        </is>
      </c>
      <c r="D48" s="10" t="inlineStr">
        <is>
          <t>Must</t>
        </is>
      </c>
      <c r="E48" s="10" t="inlineStr">
        <is>
          <t>Derived</t>
        </is>
      </c>
      <c r="F48" s="10" t="inlineStr">
        <is>
          <t>4</t>
        </is>
      </c>
    </row>
    <row r="49">
      <c r="A49" s="18" t="inlineStr">
        <is>
          <t>REQ-IMP-03</t>
        </is>
      </c>
      <c r="B49" s="18" t="inlineStr">
        <is>
          <t>Import/Export</t>
        </is>
      </c>
      <c r="C49" s="17" t="inlineStr">
        <is>
          <t>A blank source workbook template with correct sheet names, headers, value lists and one example row is delivered with the application.</t>
        </is>
      </c>
      <c r="D49" s="18" t="inlineStr">
        <is>
          <t>Must</t>
        </is>
      </c>
      <c r="E49" s="18" t="inlineStr">
        <is>
          <t>Derived</t>
        </is>
      </c>
      <c r="F49" s="18" t="inlineStr">
        <is>
          <t>4</t>
        </is>
      </c>
    </row>
    <row r="50">
      <c r="A50" s="10" t="inlineStr">
        <is>
          <t>REQ-IMP-04</t>
        </is>
      </c>
      <c r="B50" s="10" t="inlineStr">
        <is>
          <t>Import/Export</t>
        </is>
      </c>
      <c r="C50" s="11" t="inlineStr">
        <is>
          <t>The user can export current data back to .xlsx, preserving the template layout so the export can be re-imported.</t>
        </is>
      </c>
      <c r="D50" s="10" t="inlineStr">
        <is>
          <t>Must</t>
        </is>
      </c>
      <c r="E50" s="10" t="inlineStr">
        <is>
          <t>Derived</t>
        </is>
      </c>
      <c r="F50" s="10" t="inlineStr">
        <is>
          <t>4</t>
        </is>
      </c>
    </row>
    <row r="51">
      <c r="A51" s="8" t="inlineStr">
        <is>
          <t>REQ-IMP-05</t>
        </is>
      </c>
      <c r="B51" s="8" t="inlineStr">
        <is>
          <t>Import/Export</t>
        </is>
      </c>
      <c r="C51" s="9" t="inlineStr">
        <is>
          <t>The application records which file was loaded, and when, and shows it on screen.</t>
        </is>
      </c>
      <c r="D51" s="8" t="inlineStr">
        <is>
          <t>Should</t>
        </is>
      </c>
      <c r="E51" s="8" t="inlineStr">
        <is>
          <t>Derived</t>
        </is>
      </c>
      <c r="F51" s="8" t="inlineStr">
        <is>
          <t>4</t>
        </is>
      </c>
    </row>
    <row r="52">
      <c r="A52" s="10" t="inlineStr">
        <is>
          <t>REQ-IMP-06</t>
        </is>
      </c>
      <c r="B52" s="10" t="inlineStr">
        <is>
          <t>Import/Export</t>
        </is>
      </c>
      <c r="C52" s="11" t="inlineStr">
        <is>
          <t>Loaded data may be cached in the browser so re-opening the page does not force a re-import; the cache never replaces the workbook as the record.</t>
        </is>
      </c>
      <c r="D52" s="10" t="inlineStr">
        <is>
          <t>Could</t>
        </is>
      </c>
      <c r="E52" s="10" t="inlineStr">
        <is>
          <t>Derived</t>
        </is>
      </c>
      <c r="F52" s="10" t="inlineStr">
        <is>
          <t>4</t>
        </is>
      </c>
    </row>
    <row r="53">
      <c r="A53" s="20" t="inlineStr">
        <is>
          <t>REQ-IMP-07</t>
        </is>
      </c>
      <c r="B53" s="20" t="inlineStr">
        <is>
          <t>Import/Export</t>
        </is>
      </c>
      <c r="C53" s="19" t="inlineStr">
        <is>
          <t>After import, the application lets the user update the data on screen, and those updates are carried into the file produced on export.</t>
        </is>
      </c>
      <c r="D53" s="20" t="inlineStr">
        <is>
          <t>Must</t>
        </is>
      </c>
      <c r="E53" s="20" t="inlineStr">
        <is>
          <t>Reviewer v0.11</t>
        </is>
      </c>
      <c r="F53" s="20" t="inlineStr">
        <is>
          <t>4</t>
        </is>
      </c>
    </row>
    <row r="54">
      <c r="A54" s="20" t="inlineStr">
        <is>
          <t>REQ-IMP-08</t>
        </is>
      </c>
      <c r="B54" s="20" t="inlineStr">
        <is>
          <t>Import/Export</t>
        </is>
      </c>
      <c r="C54" s="19" t="inlineStr">
        <is>
          <t>Unsaved edits are visible as such, and the user is warned before any action that would discard them (closing the page, loading another file).</t>
        </is>
      </c>
      <c r="D54" s="20" t="inlineStr">
        <is>
          <t>Must</t>
        </is>
      </c>
      <c r="E54" s="20" t="inlineStr">
        <is>
          <t>Derived from REQ-IMP-07</t>
        </is>
      </c>
      <c r="F54" s="20" t="inlineStr">
        <is>
          <t>4</t>
        </is>
      </c>
    </row>
    <row r="55">
      <c r="A55" s="18" t="inlineStr">
        <is>
          <t>REQ-IMP-09</t>
        </is>
      </c>
      <c r="B55" s="18" t="inlineStr">
        <is>
          <t>Import/Export</t>
        </is>
      </c>
      <c r="C55" s="17" t="inlineStr">
        <is>
          <t>Every field is editable, including identifiers. An on-screen edit is re-validated against the same rules as an imported value, so editing cannot introduce data the import would have rejected.</t>
        </is>
      </c>
      <c r="D55" s="18" t="inlineStr">
        <is>
          <t>Must</t>
        </is>
      </c>
      <c r="E55" s="18" t="inlineStr">
        <is>
          <t>Q-20</t>
        </is>
      </c>
      <c r="F55" s="18" t="inlineStr">
        <is>
          <t>4</t>
        </is>
      </c>
    </row>
    <row r="56">
      <c r="A56" s="20" t="inlineStr">
        <is>
          <t>REQ-IMP-10</t>
        </is>
      </c>
      <c r="B56" s="20" t="inlineStr">
        <is>
          <t>Import/Export</t>
        </is>
      </c>
      <c r="C56" s="19" t="inlineStr">
        <is>
          <t>Editing an identifier that other sheets reference cascades to every referencing row, after showing how many rows will change. Deleting a referenced row is refused, naming what still points at it.</t>
        </is>
      </c>
      <c r="D56" s="20" t="inlineStr">
        <is>
          <t>Must</t>
        </is>
      </c>
      <c r="E56" s="20" t="inlineStr">
        <is>
          <t>Q-20</t>
        </is>
      </c>
      <c r="F56" s="20" t="inlineStr">
        <is>
          <t>4</t>
        </is>
      </c>
    </row>
    <row r="57">
      <c r="A57" s="8" t="inlineStr">
        <is>
          <t>REQ-VC-01</t>
        </is>
      </c>
      <c r="B57" s="8" t="inlineStr">
        <is>
          <t>Version control</t>
        </is>
      </c>
      <c r="C57" s="9" t="inlineStr">
        <is>
          <t>Development plan, programming specification and output files are version-controlled together and their versions are cross-referenced.</t>
        </is>
      </c>
      <c r="D57" s="8" t="inlineStr">
        <is>
          <t>Must</t>
        </is>
      </c>
      <c r="E57" s="8" t="inlineStr">
        <is>
          <t>Requester</t>
        </is>
      </c>
      <c r="F57" s="8" t="inlineStr">
        <is>
          <t>1-5</t>
        </is>
      </c>
    </row>
    <row r="58">
      <c r="A58" s="10" t="inlineStr">
        <is>
          <t>REQ-VC-02</t>
        </is>
      </c>
      <c r="B58" s="10" t="inlineStr">
        <is>
          <t>Version control</t>
        </is>
      </c>
      <c r="C58" s="11" t="inlineStr">
        <is>
          <t>The application displays its own version, and the version of the source data schema it expects.</t>
        </is>
      </c>
      <c r="D58" s="10" t="inlineStr">
        <is>
          <t>Must</t>
        </is>
      </c>
      <c r="E58" s="10" t="inlineStr">
        <is>
          <t>Requester</t>
        </is>
      </c>
      <c r="F58" s="10" t="inlineStr">
        <is>
          <t>4</t>
        </is>
      </c>
    </row>
    <row r="59">
      <c r="A59" s="8" t="inlineStr">
        <is>
          <t>REQ-VC-03</t>
        </is>
      </c>
      <c r="B59" s="8" t="inlineStr">
        <is>
          <t>Version control</t>
        </is>
      </c>
      <c r="C59" s="9" t="inlineStr">
        <is>
          <t>Loading a source file whose schema version is newer or older than the application expects produces a clear warning.</t>
        </is>
      </c>
      <c r="D59" s="8" t="inlineStr">
        <is>
          <t>Should</t>
        </is>
      </c>
      <c r="E59" s="8" t="inlineStr">
        <is>
          <t>Derived</t>
        </is>
      </c>
      <c r="F59" s="8" t="inlineStr">
        <is>
          <t>4</t>
        </is>
      </c>
    </row>
    <row r="60">
      <c r="A60" s="10" t="inlineStr">
        <is>
          <t>REQ-VC-04</t>
        </is>
      </c>
      <c r="B60" s="10" t="inlineStr">
        <is>
          <t>Version control</t>
        </is>
      </c>
      <c r="C60" s="11" t="inlineStr">
        <is>
          <t>Every document re-issue adds a version-history row stating what changed and why.</t>
        </is>
      </c>
      <c r="D60" s="10" t="inlineStr">
        <is>
          <t>Must</t>
        </is>
      </c>
      <c r="E60" s="10" t="inlineStr">
        <is>
          <t>Requester</t>
        </is>
      </c>
      <c r="F60" s="10" t="inlineStr">
        <is>
          <t>1-5</t>
        </is>
      </c>
    </row>
    <row r="61">
      <c r="A61" s="8" t="inlineStr">
        <is>
          <t>REQ-NFR-01</t>
        </is>
      </c>
      <c r="B61" s="8" t="inlineStr">
        <is>
          <t>Non-functional</t>
        </is>
      </c>
      <c r="C61" s="9" t="inlineStr">
        <is>
          <t>The application is built so later requirements can be added without restructuring: parsing, calculation and presentation are separated.</t>
        </is>
      </c>
      <c r="D61" s="8" t="inlineStr">
        <is>
          <t>Must</t>
        </is>
      </c>
      <c r="E61" s="8" t="inlineStr">
        <is>
          <t>Requester</t>
        </is>
      </c>
      <c r="F61" s="8" t="inlineStr">
        <is>
          <t>4</t>
        </is>
      </c>
    </row>
    <row r="62">
      <c r="A62" s="10" t="inlineStr">
        <is>
          <t>REQ-NFR-02</t>
        </is>
      </c>
      <c r="B62" s="10" t="inlineStr">
        <is>
          <t>Non-functional</t>
        </is>
      </c>
      <c r="C62" s="11" t="inlineStr">
        <is>
          <t>Works in Microsoft Edge and Google Chrome on Windows 10/11, offline.</t>
        </is>
      </c>
      <c r="D62" s="10" t="inlineStr">
        <is>
          <t>Must</t>
        </is>
      </c>
      <c r="E62" s="10" t="inlineStr">
        <is>
          <t>Q-05</t>
        </is>
      </c>
      <c r="F62" s="10" t="inlineStr">
        <is>
          <t>4</t>
        </is>
      </c>
    </row>
    <row r="63">
      <c r="A63" s="18" t="inlineStr">
        <is>
          <t>REQ-NFR-03</t>
        </is>
      </c>
      <c r="B63" s="18" t="inlineStr">
        <is>
          <t>Non-functional</t>
        </is>
      </c>
      <c r="C63" s="17" t="inlineStr">
        <is>
          <t>Handles the working data volume - 20 projects, 30 people - with headroom to 50 projects, 100 people, 500 assignments and a 60-month horizon, redrawing in under about 1 second.</t>
        </is>
      </c>
      <c r="D63" s="18" t="inlineStr">
        <is>
          <t>Should</t>
        </is>
      </c>
      <c r="E63" s="18" t="inlineStr">
        <is>
          <t>Q-06</t>
        </is>
      </c>
      <c r="F63" s="18" t="inlineStr">
        <is>
          <t>4</t>
        </is>
      </c>
    </row>
    <row r="64">
      <c r="A64" s="10" t="inlineStr">
        <is>
          <t>REQ-NFR-04</t>
        </is>
      </c>
      <c r="B64" s="10" t="inlineStr">
        <is>
          <t>Non-functional</t>
        </is>
      </c>
      <c r="C64" s="11" t="inlineStr">
        <is>
          <t>No data leaves the PC: no network calls, no external CDN, no telemetry.</t>
        </is>
      </c>
      <c r="D64" s="10" t="inlineStr">
        <is>
          <t>Must</t>
        </is>
      </c>
      <c r="E64" s="10" t="inlineStr">
        <is>
          <t>Derived</t>
        </is>
      </c>
      <c r="F64" s="10" t="inlineStr">
        <is>
          <t>4</t>
        </is>
      </c>
    </row>
    <row r="65">
      <c r="A65" s="8" t="inlineStr">
        <is>
          <t>REQ-NFR-05</t>
        </is>
      </c>
      <c r="B65" s="8" t="inlineStr">
        <is>
          <t>Non-functional</t>
        </is>
      </c>
      <c r="C65" s="9" t="inlineStr">
        <is>
          <t>Dates are handled unambiguously (ISO yyyy-mm-dd internally) regardless of Windows regional settings.</t>
        </is>
      </c>
      <c r="D65" s="8" t="inlineStr">
        <is>
          <t>Must</t>
        </is>
      </c>
      <c r="E65" s="8" t="inlineStr">
        <is>
          <t>Derived</t>
        </is>
      </c>
      <c r="F65" s="8" t="inlineStr">
        <is>
          <t>4</t>
        </is>
      </c>
    </row>
    <row r="67">
      <c r="A67" s="5" t="inlineStr">
        <is>
          <t>Requirement count by priority</t>
        </is>
      </c>
    </row>
    <row r="68" ht="28" customHeight="1">
      <c r="A68" s="7" t="inlineStr">
        <is>
          <t>Priority</t>
        </is>
      </c>
      <c r="B68" s="7" t="inlineStr">
        <is>
          <t>Count</t>
        </is>
      </c>
    </row>
    <row r="69">
      <c r="A69" s="8" t="inlineStr">
        <is>
          <t>Must</t>
        </is>
      </c>
      <c r="B69" s="8">
        <f>COUNTIF(D5:D65,"Must")</f>
        <v/>
      </c>
    </row>
    <row r="70">
      <c r="A70" s="10" t="inlineStr">
        <is>
          <t>Should</t>
        </is>
      </c>
      <c r="B70" s="10">
        <f>COUNTIF(D5:D65,"Should")</f>
        <v/>
      </c>
    </row>
    <row r="71">
      <c r="A71" s="8" t="inlineStr">
        <is>
          <t>Could</t>
        </is>
      </c>
      <c r="B71" s="8">
        <f>COUNTIF(D5:D65,"Could")</f>
        <v/>
      </c>
    </row>
    <row r="72">
      <c r="A72" s="10" t="inlineStr">
        <is>
          <t>Total</t>
        </is>
      </c>
      <c r="B72" s="10">
        <f>COUNTA(A5:A65)</f>
        <v/>
      </c>
    </row>
    <row r="74">
      <c r="A74" s="16" t="inlineStr">
        <is>
          <t>v0.1 held 47 requirements, v0.2 held 58. v0.3 adds 4 and rewords 6.</t>
        </is>
      </c>
    </row>
    <row r="75">
      <c r="A75" s="16" t="inlineStr">
        <is>
          <t>'Source' = Requester (in the original request), a Q-number (answered at v0.11 review), 'Reviewer v0.11' (added by the reviewer directly), Derived (engineering consequence), or a Decision ID from 07_Architecture.</t>
        </is>
      </c>
    </row>
    <row r="76">
      <c r="A76" s="3" t="inlineStr">
        <is>
          <t>Legend</t>
        </is>
      </c>
    </row>
    <row r="77">
      <c r="A77" s="12" t="inlineStr">
        <is>
          <t>Green = new in v0.2, added from your review answers.</t>
        </is>
      </c>
    </row>
    <row r="78">
      <c r="A78" s="13" t="inlineStr">
        <is>
          <t>Orange = changed in v0.2 as a consequence of your review.</t>
        </is>
      </c>
    </row>
    <row r="79">
      <c r="A79" s="14" t="inlineStr">
        <is>
          <t>Yellow = still needs your input.</t>
        </is>
      </c>
    </row>
  </sheetData>
  <dataValidations count="1">
    <dataValidation sqref="D5:D65"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7"/>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20" t="inlineStr">
        <is>
          <t>ProjectPeriod</t>
        </is>
      </c>
      <c r="B8" s="19" t="inlineStr">
        <is>
          <t>The four standard periods per project, with their start/end and weight.</t>
        </is>
      </c>
      <c r="C8" s="20" t="inlineStr">
        <is>
          <t>Child of Project</t>
        </is>
      </c>
    </row>
    <row r="9">
      <c r="A9" s="20" t="inlineStr">
        <is>
          <t>PeriodWeightStandard</t>
        </is>
      </c>
      <c r="B9" s="19" t="inlineStr">
        <is>
          <t>Default weight per project category x period. Seeds ProjectPeriod.</t>
        </is>
      </c>
      <c r="C9" s="20" t="inlineStr">
        <is>
          <t>Reference</t>
        </is>
      </c>
    </row>
    <row r="10">
      <c r="A10" s="8" t="inlineStr">
        <is>
          <t>RoleFactor</t>
        </is>
      </c>
      <c r="B10" s="9" t="inlineStr">
        <is>
          <t>Role list and burden factor, per project type.</t>
        </is>
      </c>
      <c r="C10" s="8"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20" t="inlineStr">
        <is>
          <t>Lists</t>
        </is>
      </c>
      <c r="B14" s="19" t="inlineStr">
        <is>
          <t>Value lists for every data-driven dropdown, so lists change without code.</t>
        </is>
      </c>
      <c r="C14" s="20"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8" t="inlineStr">
        <is>
          <t>project_type</t>
        </is>
      </c>
      <c r="B21" s="8" t="inlineStr">
        <is>
          <t>List</t>
        </is>
      </c>
      <c r="C21" s="8" t="inlineStr">
        <is>
          <t>Yes</t>
        </is>
      </c>
      <c r="D21" s="9" t="inlineStr">
        <is>
          <t>'Clinical Trial' or 'Others'.</t>
        </is>
      </c>
      <c r="E21" s="8" t="inlineStr">
        <is>
          <t>REQ-PRJ-01</t>
        </is>
      </c>
    </row>
    <row r="22">
      <c r="A22" s="10" t="inlineStr">
        <is>
          <t>project_category</t>
        </is>
      </c>
      <c r="B22" s="10" t="inlineStr">
        <is>
          <t>Text</t>
        </is>
      </c>
      <c r="C22" s="10" t="inlineStr">
        <is>
          <t>Conditional</t>
        </is>
      </c>
      <c r="D22" s="11" t="inlineStr">
        <is>
          <t>Product name. Required when project_type = 'Clinical Trial'.</t>
        </is>
      </c>
      <c r="E22" s="10" t="inlineStr">
        <is>
          <t>REQ-PRJ-02</t>
        </is>
      </c>
    </row>
    <row r="23">
      <c r="A23" s="20" t="inlineStr">
        <is>
          <t>clinical_phase</t>
        </is>
      </c>
      <c r="B23" s="20" t="inlineStr">
        <is>
          <t>List</t>
        </is>
      </c>
      <c r="C23" s="20" t="inlineStr">
        <is>
          <t>Conditional</t>
        </is>
      </c>
      <c r="D23" s="19" t="inlineStr">
        <is>
          <t>'Phase 1' / 'Phase 2' / 'Phase 3' / 'Phase 4'. Required when project_type = 'Clinical Trial'.</t>
        </is>
      </c>
      <c r="E23" s="20" t="inlineStr">
        <is>
          <t>REQ-PRJ-09</t>
        </is>
      </c>
    </row>
    <row r="24">
      <c r="A24" s="18" t="inlineStr">
        <is>
          <t>outsourcing_type</t>
        </is>
      </c>
      <c r="B24" s="18" t="inlineStr">
        <is>
          <t>List</t>
        </is>
      </c>
      <c r="C24" s="18" t="inlineStr">
        <is>
          <t>Yes</t>
        </is>
      </c>
      <c r="D24" s="17" t="inlineStr">
        <is>
          <t>'Full outsourcing' / 'Partial outsourcing' / 'Full In-house'. Three values, fixed at Q-14.</t>
        </is>
      </c>
      <c r="E24" s="18" t="inlineStr">
        <is>
          <t>REQ-PRJ-04</t>
        </is>
      </c>
    </row>
    <row r="25">
      <c r="A25" s="20" t="inlineStr">
        <is>
          <t>EDC_setup</t>
        </is>
      </c>
      <c r="B25" s="20" t="inlineStr">
        <is>
          <t>List</t>
        </is>
      </c>
      <c r="C25" s="20" t="inlineStr">
        <is>
          <t>Conditional</t>
        </is>
      </c>
      <c r="D25" s="19" t="inlineStr">
        <is>
          <t>Who sets up the EDC system. 'by CRO' / 'by SB'. Required when project_type = 'Clinical Trial'.</t>
        </is>
      </c>
      <c r="E25" s="20" t="inlineStr">
        <is>
          <t>REQ-PRJ-10</t>
        </is>
      </c>
    </row>
    <row r="26">
      <c r="A26" s="20" t="inlineStr">
        <is>
          <t>DataReviewSystem_setup</t>
        </is>
      </c>
      <c r="B26" s="20" t="inlineStr">
        <is>
          <t>List</t>
        </is>
      </c>
      <c r="C26" s="20" t="inlineStr">
        <is>
          <t>Conditional</t>
        </is>
      </c>
      <c r="D26" s="19" t="inlineStr">
        <is>
          <t>Who sets up the data review system. 'by CRO' / 'by SB'.</t>
        </is>
      </c>
      <c r="E26" s="20" t="inlineStr">
        <is>
          <t>REQ-PRJ-10</t>
        </is>
      </c>
    </row>
    <row r="27">
      <c r="A27" s="20" t="inlineStr">
        <is>
          <t>RBQM_setup</t>
        </is>
      </c>
      <c r="B27" s="20" t="inlineStr">
        <is>
          <t>List</t>
        </is>
      </c>
      <c r="C27" s="20" t="inlineStr">
        <is>
          <t>Conditional</t>
        </is>
      </c>
      <c r="D27" s="19" t="inlineStr">
        <is>
          <t>Who sets up the RBQM system. 'by CRO' / 'by SB'.</t>
        </is>
      </c>
      <c r="E27" s="20" t="inlineStr">
        <is>
          <t>REQ-PRJ-10</t>
        </is>
      </c>
    </row>
    <row r="28">
      <c r="A28" s="20" t="inlineStr">
        <is>
          <t>DM_conduct</t>
        </is>
      </c>
      <c r="B28" s="20" t="inlineStr">
        <is>
          <t>List</t>
        </is>
      </c>
      <c r="C28" s="20" t="inlineStr">
        <is>
          <t>Conditional</t>
        </is>
      </c>
      <c r="D28" s="19" t="inlineStr">
        <is>
          <t>Who reviews the clinical trial data. 'by CRO' / 'by SB'.</t>
        </is>
      </c>
      <c r="E28" s="20" t="inlineStr">
        <is>
          <t>REQ-PRJ-10</t>
        </is>
      </c>
    </row>
    <row r="29">
      <c r="A29" s="20" t="inlineStr">
        <is>
          <t>EDC_system</t>
        </is>
      </c>
      <c r="B29" s="20" t="inlineStr">
        <is>
          <t>List</t>
        </is>
      </c>
      <c r="C29" s="20" t="inlineStr">
        <is>
          <t>Conditional</t>
        </is>
      </c>
      <c r="D29" s="19" t="inlineStr">
        <is>
          <t>EDC system name, e.g. 'Veeva EDC' / 'Rave' / 'eSOURCE'. Data-driven list.</t>
        </is>
      </c>
      <c r="E29" s="20" t="inlineStr">
        <is>
          <t>REQ-PRJ-11</t>
        </is>
      </c>
    </row>
    <row r="30">
      <c r="A30" s="20" t="inlineStr">
        <is>
          <t>DataReviewSystem</t>
        </is>
      </c>
      <c r="B30" s="20" t="inlineStr">
        <is>
          <t>List</t>
        </is>
      </c>
      <c r="C30" s="20" t="inlineStr">
        <is>
          <t>Conditional</t>
        </is>
      </c>
      <c r="D30" s="19" t="inlineStr">
        <is>
          <t>e.g. 'Veeva DQS' / 'Medidata CDS' / 'No system (manual)'. Data-driven list.</t>
        </is>
      </c>
      <c r="E30" s="20" t="inlineStr">
        <is>
          <t>REQ-PRJ-11</t>
        </is>
      </c>
    </row>
    <row r="31">
      <c r="A31" s="20" t="inlineStr">
        <is>
          <t>RBQM_system</t>
        </is>
      </c>
      <c r="B31" s="20" t="inlineStr">
        <is>
          <t>List</t>
        </is>
      </c>
      <c r="C31" s="20" t="inlineStr">
        <is>
          <t>Conditional</t>
        </is>
      </c>
      <c r="D31" s="19" t="inlineStr">
        <is>
          <t>e.g. 'CluePoints' / 'Medidata CDS' / 'No system (manual)'. Data-driven list.</t>
        </is>
      </c>
      <c r="E31" s="20"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20" t="inlineStr">
        <is>
          <t>project_name</t>
        </is>
      </c>
      <c r="B43" s="20" t="inlineStr">
        <is>
          <t>Text</t>
        </is>
      </c>
      <c r="C43" s="20" t="inlineStr">
        <is>
          <t>No</t>
        </is>
      </c>
      <c r="D43" s="19" t="inlineStr">
        <is>
          <t>Display convenience added at v0.11. Not authoritative: checked against Project on import and refreshed from it, so a mismatch cannot corrupt the link.</t>
        </is>
      </c>
      <c r="E43" s="20" t="inlineStr">
        <is>
          <t>REQ-PRJ-05</t>
        </is>
      </c>
    </row>
    <row r="44">
      <c r="A44" s="18" t="inlineStr">
        <is>
          <t>milestone_name</t>
        </is>
      </c>
      <c r="B44" s="18" t="inlineStr">
        <is>
          <t>List</t>
        </is>
      </c>
      <c r="C44" s="18" t="inlineStr">
        <is>
          <t>Yes</t>
        </is>
      </c>
      <c r="D44" s="17" t="inlineStr">
        <is>
          <t>Standard list replaced at Q-15: 'CTA submission', 'First SIV', 'LPI', 'interim DB lock cut-off', 'interim DB lock', 'final DB lock cut-off', 'final DB lock'. FPI is no longer standard. Held in Lists, not fixed in code, so a project may add its own.</t>
        </is>
      </c>
      <c r="E44" s="18" t="inlineStr">
        <is>
          <t>REQ-PRJ-05</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8">
      <c r="A48" s="16" t="inlineStr">
        <is>
          <t>The Q-15 answer says 'Standard milestones (8)' but names seven. Listed as given; the eighth is asked for at Q-24.</t>
        </is>
      </c>
    </row>
    <row r="49">
      <c r="A49" s="5" t="inlineStr">
        <is>
          <t>Sheet: ProjectPeriod  [was ProjectPeriodWeight]</t>
        </is>
      </c>
    </row>
    <row r="50" ht="28" customHeight="1">
      <c r="A50" s="7" t="inlineStr">
        <is>
          <t>Column</t>
        </is>
      </c>
      <c r="B50" s="7" t="inlineStr">
        <is>
          <t>Type</t>
        </is>
      </c>
      <c r="C50" s="7" t="inlineStr">
        <is>
          <t>Required</t>
        </is>
      </c>
      <c r="D50" s="7" t="inlineStr">
        <is>
          <t>Definition / rule</t>
        </is>
      </c>
      <c r="E50" s="7" t="inlineStr">
        <is>
          <t>REQ-ID</t>
        </is>
      </c>
    </row>
    <row r="51">
      <c r="A51" s="8" t="inlineStr">
        <is>
          <t>project_id</t>
        </is>
      </c>
      <c r="B51" s="8" t="inlineStr">
        <is>
          <t>Text</t>
        </is>
      </c>
      <c r="C51" s="8" t="inlineStr">
        <is>
          <t>Yes</t>
        </is>
      </c>
      <c r="D51" s="9" t="inlineStr">
        <is>
          <t>Foreign key to Project.</t>
        </is>
      </c>
      <c r="E51" s="8" t="inlineStr">
        <is>
          <t>REQ-PRJ-06</t>
        </is>
      </c>
    </row>
    <row r="52">
      <c r="A52" s="18" t="inlineStr">
        <is>
          <t>period_name</t>
        </is>
      </c>
      <c r="B52" s="18" t="inlineStr">
        <is>
          <t>List</t>
        </is>
      </c>
      <c r="C52" s="18" t="inlineStr">
        <is>
          <t>Yes</t>
        </is>
      </c>
      <c r="D52" s="17" t="inlineStr">
        <is>
          <t>From the period set for the project's TYPE - see the two sets below. A period name from the wrong set is rejected.</t>
        </is>
      </c>
      <c r="E52" s="18" t="inlineStr">
        <is>
          <t>REQ-PRJ-12</t>
        </is>
      </c>
    </row>
    <row r="53">
      <c r="A53" s="18" t="inlineStr">
        <is>
          <t>period_start</t>
        </is>
      </c>
      <c r="B53" s="18" t="inlineStr">
        <is>
          <t>Date</t>
        </is>
      </c>
      <c r="C53" s="18" t="inlineStr">
        <is>
          <t>Yes</t>
        </is>
      </c>
      <c r="D53" s="17" t="inlineStr">
        <is>
          <t>Inclusive. For Clinical Trial, computed from milestones (sheet 05) and then editable. For Others, entered directly.</t>
        </is>
      </c>
      <c r="E53" s="18" t="inlineStr">
        <is>
          <t>REQ-CAL-09</t>
        </is>
      </c>
    </row>
    <row r="54">
      <c r="A54" s="18" t="inlineStr">
        <is>
          <t>period_end</t>
        </is>
      </c>
      <c r="B54" s="18" t="inlineStr">
        <is>
          <t>Date</t>
        </is>
      </c>
      <c r="C54" s="18" t="inlineStr">
        <is>
          <t>Yes</t>
        </is>
      </c>
      <c r="D54" s="17" t="inlineStr">
        <is>
          <t>Inclusive. Periods for one project must not overlap and must leave no gap (REQ-CAL-10).</t>
        </is>
      </c>
      <c r="E54" s="18" t="inlineStr">
        <is>
          <t>REQ-CAL-09</t>
        </is>
      </c>
    </row>
    <row r="55">
      <c r="A55" s="18" t="inlineStr">
        <is>
          <t>weight</t>
        </is>
      </c>
      <c r="B55" s="18" t="inlineStr">
        <is>
          <t>Decimal</t>
        </is>
      </c>
      <c r="C55" s="18" t="inlineStr">
        <is>
          <t>Yes</t>
        </is>
      </c>
      <c r="D55" s="17" t="inlineStr">
        <is>
          <t>Effort multiplier for this period. Seeded from PeriodWeightStandard, then editable per project. Values are supplied as data (Q-17), not fixed in this plan.</t>
        </is>
      </c>
      <c r="E55" s="18" t="inlineStr">
        <is>
          <t>REQ-PRJ-06</t>
        </is>
      </c>
    </row>
    <row r="57">
      <c r="A57" s="16" t="inlineStr">
        <is>
          <t>Period sets are type-specific (Q-18). The derivation itself is on sheet 05.</t>
        </is>
      </c>
    </row>
    <row r="58" ht="28" customHeight="1">
      <c r="A58" s="7" t="inlineStr">
        <is>
          <t>project_type</t>
        </is>
      </c>
      <c r="B58" s="7" t="inlineStr">
        <is>
          <t>Period set</t>
        </is>
      </c>
      <c r="C58" s="7" t="inlineStr">
        <is>
          <t>How boundaries are set</t>
        </is>
      </c>
    </row>
    <row r="59">
      <c r="A59" s="8" t="inlineStr">
        <is>
          <t>Clinical Trial</t>
        </is>
      </c>
      <c r="B59" s="9" t="inlineStr">
        <is>
          <t>Before-Start-up, Start-up, Conduct, Close-out</t>
        </is>
      </c>
      <c r="C59" s="9" t="inlineStr">
        <is>
          <t>Computed from milestone dates plus month offsets</t>
        </is>
      </c>
    </row>
    <row r="60">
      <c r="A60" s="10" t="inlineStr">
        <is>
          <t>Others</t>
        </is>
      </c>
      <c r="B60" s="11" t="inlineStr">
        <is>
          <t>Planning, Develop, Close</t>
        </is>
      </c>
      <c r="C60" s="11" t="inlineStr">
        <is>
          <t>Entered directly - 'Others' projects carry no clinical milestones to derive from (Q-25)</t>
        </is>
      </c>
    </row>
    <row r="62">
      <c r="A62" s="5" t="inlineStr">
        <is>
          <t>Sheet: PeriodWeightStandard</t>
        </is>
      </c>
    </row>
    <row r="63" ht="28" customHeight="1">
      <c r="A63" s="7" t="inlineStr">
        <is>
          <t>Column</t>
        </is>
      </c>
      <c r="B63" s="7" t="inlineStr">
        <is>
          <t>Type</t>
        </is>
      </c>
      <c r="C63" s="7" t="inlineStr">
        <is>
          <t>Required</t>
        </is>
      </c>
      <c r="D63" s="7" t="inlineStr">
        <is>
          <t>Definition / rule</t>
        </is>
      </c>
      <c r="E63" s="7" t="inlineStr">
        <is>
          <t>Basis</t>
        </is>
      </c>
    </row>
    <row r="64">
      <c r="A64" s="20" t="inlineStr">
        <is>
          <t>project_type</t>
        </is>
      </c>
      <c r="B64" s="20" t="inlineStr">
        <is>
          <t>List</t>
        </is>
      </c>
      <c r="C64" s="20" t="inlineStr">
        <is>
          <t>Yes</t>
        </is>
      </c>
      <c r="D64" s="19" t="inlineStr">
        <is>
          <t>'Clinical Trial' or 'Others'. Determines which period set the row may use.</t>
        </is>
      </c>
      <c r="E64" s="20" t="inlineStr">
        <is>
          <t>Q-18</t>
        </is>
      </c>
    </row>
    <row r="65">
      <c r="A65" s="18" t="inlineStr">
        <is>
          <t>project_category</t>
        </is>
      </c>
      <c r="B65" s="18" t="inlineStr">
        <is>
          <t>Text</t>
        </is>
      </c>
      <c r="C65" s="18" t="inlineStr">
        <is>
          <t>Yes</t>
        </is>
      </c>
      <c r="D65" s="17" t="inlineStr">
        <is>
          <t>The category the standard applies to. Use '*' as a catch-all so a type-wide default can be given without naming every product.</t>
        </is>
      </c>
      <c r="E65" s="18" t="inlineStr">
        <is>
          <t>Q-01</t>
        </is>
      </c>
    </row>
    <row r="66">
      <c r="A66" s="8" t="inlineStr">
        <is>
          <t>period_name</t>
        </is>
      </c>
      <c r="B66" s="8" t="inlineStr">
        <is>
          <t>List</t>
        </is>
      </c>
      <c r="C66" s="8" t="inlineStr">
        <is>
          <t>Yes</t>
        </is>
      </c>
      <c r="D66" s="9" t="inlineStr">
        <is>
          <t>A period from that type's set.</t>
        </is>
      </c>
      <c r="E66" s="8" t="inlineStr">
        <is>
          <t>Q-04, Q-18</t>
        </is>
      </c>
    </row>
    <row r="67">
      <c r="A67" s="18" t="inlineStr">
        <is>
          <t>weight</t>
        </is>
      </c>
      <c r="B67" s="18" t="inlineStr">
        <is>
          <t>Decimal</t>
        </is>
      </c>
      <c r="C67" s="18" t="inlineStr">
        <is>
          <t>Yes</t>
        </is>
      </c>
      <c r="D67" s="17" t="inlineStr">
        <is>
          <t>Default multiplier. You fill these in the source workbook (Q-17); the plan fixes only where they live.</t>
        </is>
      </c>
      <c r="E67" s="18" t="inlineStr">
        <is>
          <t>Q-01</t>
        </is>
      </c>
    </row>
    <row r="69">
      <c r="A69" s="16" t="inlineStr">
        <is>
          <t>Most-specific match wins: an exact project_category row beats a '*' row for the same type and period. The key carries both type and category because Q-17 did not say which of the two 'category of project' means - filling only the '*' rows makes the weight type-wide, filling named rows makes it per product. Either reading works without a schema change. Raised as Q-26.</t>
        </is>
      </c>
    </row>
    <row r="70">
      <c r="A70" s="5" t="inlineStr">
        <is>
          <t>Sheet: RoleFactor</t>
        </is>
      </c>
    </row>
    <row r="71" ht="28" customHeight="1">
      <c r="A71" s="7" t="inlineStr">
        <is>
          <t>Column</t>
        </is>
      </c>
      <c r="B71" s="7" t="inlineStr">
        <is>
          <t>Type</t>
        </is>
      </c>
      <c r="C71" s="7" t="inlineStr">
        <is>
          <t>Required</t>
        </is>
      </c>
      <c r="D71" s="7" t="inlineStr">
        <is>
          <t>Definition / rule</t>
        </is>
      </c>
      <c r="E71" s="7" t="inlineStr">
        <is>
          <t>Basis</t>
        </is>
      </c>
    </row>
    <row r="72">
      <c r="A72" s="20" t="inlineStr">
        <is>
          <t>project_type</t>
        </is>
      </c>
      <c r="B72" s="20" t="inlineStr">
        <is>
          <t>List</t>
        </is>
      </c>
      <c r="C72" s="20" t="inlineStr">
        <is>
          <t>Yes</t>
        </is>
      </c>
      <c r="D72" s="19" t="inlineStr">
        <is>
          <t>'Clinical Trial' or 'Others'. Roles differ by type, so the same role name cannot leak across types.</t>
        </is>
      </c>
      <c r="E72" s="20" t="inlineStr">
        <is>
          <t>Q-03</t>
        </is>
      </c>
    </row>
    <row r="73">
      <c r="A73" s="18" t="inlineStr">
        <is>
          <t>role_name</t>
        </is>
      </c>
      <c r="B73" s="18" t="inlineStr">
        <is>
          <t>Text</t>
        </is>
      </c>
      <c r="C73" s="18" t="inlineStr">
        <is>
          <t>Yes</t>
        </is>
      </c>
      <c r="D73" s="17" t="inlineStr">
        <is>
          <t>Clinical Trial: 'Project oversight', 'Lead data manager', 'Clinical Data Associator', 'Clinical Database Programmer', 'Data Analyst'. Others: 'Project lead', 'Main staff', 'Other staff'.</t>
        </is>
      </c>
      <c r="E73" s="18" t="inlineStr">
        <is>
          <t>Q-03</t>
        </is>
      </c>
    </row>
    <row r="74">
      <c r="A74" s="18" t="inlineStr">
        <is>
          <t>role_factor</t>
        </is>
      </c>
      <c r="B74" s="18" t="inlineStr">
        <is>
          <t>Decimal</t>
        </is>
      </c>
      <c r="C74" s="18" t="inlineStr">
        <is>
          <t>Yes</t>
        </is>
      </c>
      <c r="D74" s="17" t="inlineStr">
        <is>
          <t>Relative burden of the role, the same for everyone holding it. Values still to be supplied - see Q-17.</t>
        </is>
      </c>
      <c r="E74" s="18" t="inlineStr">
        <is>
          <t>Q-01</t>
        </is>
      </c>
    </row>
    <row r="75">
      <c r="A75" s="10" t="inlineStr">
        <is>
          <t>role_note</t>
        </is>
      </c>
      <c r="B75" s="10" t="inlineStr">
        <is>
          <t>Text</t>
        </is>
      </c>
      <c r="C75" s="10" t="inlineStr">
        <is>
          <t>No</t>
        </is>
      </c>
      <c r="D75" s="11" t="inlineStr">
        <is>
          <t>Basis for the factor.</t>
        </is>
      </c>
      <c r="E75" s="10" t="inlineStr">
        <is>
          <t>REQ-CAL-06</t>
        </is>
      </c>
    </row>
    <row r="77">
      <c r="A77" s="5" t="inlineStr">
        <is>
          <t>Sheet: Person</t>
        </is>
      </c>
    </row>
    <row r="78" ht="28" customHeight="1">
      <c r="A78" s="7" t="inlineStr">
        <is>
          <t>Column</t>
        </is>
      </c>
      <c r="B78" s="7" t="inlineStr">
        <is>
          <t>Type</t>
        </is>
      </c>
      <c r="C78" s="7" t="inlineStr">
        <is>
          <t>Required</t>
        </is>
      </c>
      <c r="D78" s="7" t="inlineStr">
        <is>
          <t>Definition / rule</t>
        </is>
      </c>
      <c r="E78" s="7" t="inlineStr">
        <is>
          <t>REQ-ID</t>
        </is>
      </c>
    </row>
    <row r="79">
      <c r="A79" s="8" t="inlineStr">
        <is>
          <t>person_id</t>
        </is>
      </c>
      <c r="B79" s="8" t="inlineStr">
        <is>
          <t>Text</t>
        </is>
      </c>
      <c r="C79" s="8" t="inlineStr">
        <is>
          <t>Yes</t>
        </is>
      </c>
      <c r="D79" s="9" t="inlineStr">
        <is>
          <t>Unique key, e.g. PSN-001.</t>
        </is>
      </c>
      <c r="E79" s="8" t="inlineStr">
        <is>
          <t>REQ-PSN-01</t>
        </is>
      </c>
    </row>
    <row r="80">
      <c r="A80" s="10" t="inlineStr">
        <is>
          <t>person_name</t>
        </is>
      </c>
      <c r="B80" s="10" t="inlineStr">
        <is>
          <t>Text</t>
        </is>
      </c>
      <c r="C80" s="10" t="inlineStr">
        <is>
          <t>Yes</t>
        </is>
      </c>
      <c r="D80" s="11" t="inlineStr">
        <is>
          <t>Display name.</t>
        </is>
      </c>
      <c r="E80" s="10" t="inlineStr">
        <is>
          <t>REQ-PSN-01</t>
        </is>
      </c>
    </row>
    <row r="81">
      <c r="A81" s="8" t="inlineStr">
        <is>
          <t>department</t>
        </is>
      </c>
      <c r="B81" s="8" t="inlineStr">
        <is>
          <t>Text</t>
        </is>
      </c>
      <c r="C81" s="8" t="inlineStr">
        <is>
          <t>No</t>
        </is>
      </c>
      <c r="D81" s="9" t="inlineStr">
        <is>
          <t>Grouping for the dashboard.</t>
        </is>
      </c>
      <c r="E81" s="8" t="inlineStr">
        <is>
          <t>REQ-PSN-06</t>
        </is>
      </c>
    </row>
    <row r="82">
      <c r="A82" s="10" t="inlineStr">
        <is>
          <t>primary_role</t>
        </is>
      </c>
      <c r="B82" s="10" t="inlineStr">
        <is>
          <t>Text</t>
        </is>
      </c>
      <c r="C82" s="10" t="inlineStr">
        <is>
          <t>No</t>
        </is>
      </c>
      <c r="D82" s="11" t="inlineStr">
        <is>
          <t>Usual role; an assignment can override it.</t>
        </is>
      </c>
      <c r="E82" s="10" t="inlineStr">
        <is>
          <t>REQ-PSN-03</t>
        </is>
      </c>
    </row>
    <row r="83">
      <c r="A83" s="18" t="inlineStr">
        <is>
          <t>capacity_fte</t>
        </is>
      </c>
      <c r="B83" s="18" t="inlineStr">
        <is>
          <t>Decimal</t>
        </is>
      </c>
      <c r="C83" s="18" t="inlineStr">
        <is>
          <t>No</t>
        </is>
      </c>
      <c r="D83" s="17" t="inlineStr">
        <is>
          <t>Available capacity in FTE, default 1.00 (= 160 h/month). Lower it for a part-timer.</t>
        </is>
      </c>
      <c r="E83" s="18" t="inlineStr">
        <is>
          <t>REQ-CAL-08</t>
        </is>
      </c>
    </row>
    <row r="84">
      <c r="A84" s="10" t="inlineStr">
        <is>
          <t>employment_start / employment_end</t>
        </is>
      </c>
      <c r="B84" s="10" t="inlineStr">
        <is>
          <t>Date</t>
        </is>
      </c>
      <c r="C84" s="10" t="inlineStr">
        <is>
          <t>No</t>
        </is>
      </c>
      <c r="D84" s="11" t="inlineStr">
        <is>
          <t>Bounds availability; blank end = open.</t>
        </is>
      </c>
      <c r="E84" s="10" t="inlineStr">
        <is>
          <t>REQ-PSN-04</t>
        </is>
      </c>
    </row>
    <row r="85">
      <c r="A85" s="8" t="inlineStr">
        <is>
          <t>note_1 .. note_5</t>
        </is>
      </c>
      <c r="B85" s="8" t="inlineStr">
        <is>
          <t>Text</t>
        </is>
      </c>
      <c r="C85" s="8" t="inlineStr">
        <is>
          <t>No</t>
        </is>
      </c>
      <c r="D85" s="9" t="inlineStr">
        <is>
          <t>Free extension columns.</t>
        </is>
      </c>
      <c r="E85" s="8" t="inlineStr">
        <is>
          <t>REQ-PSN-06</t>
        </is>
      </c>
    </row>
    <row r="87">
      <c r="A87" s="5" t="inlineStr">
        <is>
          <t>Sheet: Assignment</t>
        </is>
      </c>
    </row>
    <row r="88" ht="28" customHeight="1">
      <c r="A88" s="7" t="inlineStr">
        <is>
          <t>Column</t>
        </is>
      </c>
      <c r="B88" s="7" t="inlineStr">
        <is>
          <t>Type</t>
        </is>
      </c>
      <c r="C88" s="7" t="inlineStr">
        <is>
          <t>Required</t>
        </is>
      </c>
      <c r="D88" s="7" t="inlineStr">
        <is>
          <t>Definition / rule</t>
        </is>
      </c>
      <c r="E88" s="7" t="inlineStr">
        <is>
          <t>REQ-ID</t>
        </is>
      </c>
    </row>
    <row r="89">
      <c r="A89" s="8" t="inlineStr">
        <is>
          <t>assignment_id</t>
        </is>
      </c>
      <c r="B89" s="8" t="inlineStr">
        <is>
          <t>Text</t>
        </is>
      </c>
      <c r="C89" s="8" t="inlineStr">
        <is>
          <t>Yes</t>
        </is>
      </c>
      <c r="D89" s="9" t="inlineStr">
        <is>
          <t>Unique key. One row per person + project + role.</t>
        </is>
      </c>
      <c r="E89" s="8" t="inlineStr">
        <is>
          <t>REQ-PSN-07</t>
        </is>
      </c>
    </row>
    <row r="90">
      <c r="A90" s="10" t="inlineStr">
        <is>
          <t>person_id</t>
        </is>
      </c>
      <c r="B90" s="10" t="inlineStr">
        <is>
          <t>Text</t>
        </is>
      </c>
      <c r="C90" s="10" t="inlineStr">
        <is>
          <t>Yes</t>
        </is>
      </c>
      <c r="D90" s="11" t="inlineStr">
        <is>
          <t>Foreign key to Person.</t>
        </is>
      </c>
      <c r="E90" s="10" t="inlineStr">
        <is>
          <t>REQ-PSN-01</t>
        </is>
      </c>
    </row>
    <row r="91">
      <c r="A91" s="20" t="inlineStr">
        <is>
          <t>person_name</t>
        </is>
      </c>
      <c r="B91" s="20" t="inlineStr">
        <is>
          <t>Text</t>
        </is>
      </c>
      <c r="C91" s="20" t="inlineStr">
        <is>
          <t>No</t>
        </is>
      </c>
      <c r="D91" s="19" t="inlineStr">
        <is>
          <t>Display convenience added at v0.11. Not authoritative: checked against Person on import and refreshed from it.</t>
        </is>
      </c>
      <c r="E91" s="20" t="inlineStr">
        <is>
          <t>REQ-PSN-01</t>
        </is>
      </c>
    </row>
    <row r="92">
      <c r="A92" s="10" t="inlineStr">
        <is>
          <t>project_id</t>
        </is>
      </c>
      <c r="B92" s="10" t="inlineStr">
        <is>
          <t>Text</t>
        </is>
      </c>
      <c r="C92" s="10" t="inlineStr">
        <is>
          <t>Yes</t>
        </is>
      </c>
      <c r="D92" s="11" t="inlineStr">
        <is>
          <t>Foreign key to Project.</t>
        </is>
      </c>
      <c r="E92" s="10" t="inlineStr">
        <is>
          <t>REQ-PSN-02</t>
        </is>
      </c>
    </row>
    <row r="93">
      <c r="A93" s="18" t="inlineStr">
        <is>
          <t>role_name</t>
        </is>
      </c>
      <c r="B93" s="18" t="inlineStr">
        <is>
          <t>Text</t>
        </is>
      </c>
      <c r="C93" s="18" t="inlineStr">
        <is>
          <t>Yes</t>
        </is>
      </c>
      <c r="D93" s="17" t="inlineStr">
        <is>
          <t>Foreign key to RoleFactor, matched on (project's type, role_name). Several rows = several roles on one project.</t>
        </is>
      </c>
      <c r="E93" s="18" t="inlineStr">
        <is>
          <t>REQ-PSN-03</t>
        </is>
      </c>
    </row>
    <row r="94">
      <c r="A94" s="10" t="inlineStr">
        <is>
          <t>assign_start_date</t>
        </is>
      </c>
      <c r="B94" s="10" t="inlineStr">
        <is>
          <t>Date</t>
        </is>
      </c>
      <c r="C94" s="10" t="inlineStr">
        <is>
          <t>Yes</t>
        </is>
      </c>
      <c r="D94" s="11" t="inlineStr">
        <is>
          <t>Date the person joins the study.</t>
        </is>
      </c>
      <c r="E94" s="10" t="inlineStr">
        <is>
          <t>REQ-PSN-04</t>
        </is>
      </c>
    </row>
    <row r="95">
      <c r="A95" s="8" t="inlineStr">
        <is>
          <t>assign_end_date</t>
        </is>
      </c>
      <c r="B95" s="8" t="inlineStr">
        <is>
          <t>Date</t>
        </is>
      </c>
      <c r="C95" s="8" t="inlineStr">
        <is>
          <t>Yes</t>
        </is>
      </c>
      <c r="D95" s="9" t="inlineStr">
        <is>
          <t>Date the person leaves the study. Blank = runs to project end.</t>
        </is>
      </c>
      <c r="E95" s="8" t="inlineStr">
        <is>
          <t>REQ-PSN-04</t>
        </is>
      </c>
    </row>
    <row r="96">
      <c r="A96" s="18" t="inlineStr">
        <is>
          <t>person_weight</t>
        </is>
      </c>
      <c r="B96" s="18" t="inlineStr">
        <is>
          <t>Decimal</t>
        </is>
      </c>
      <c r="C96" s="18" t="inlineStr">
        <is>
          <t>Yes</t>
        </is>
      </c>
      <c r="D96" s="17" t="inlineStr">
        <is>
          <t>RENAMED from base_allocation. How much this person works on this project, e.g. 0.40. Q-01 folded the two former fields into this one.</t>
        </is>
      </c>
      <c r="E96" s="18" t="inlineStr">
        <is>
          <t>REQ-CAL-02</t>
        </is>
      </c>
    </row>
    <row r="97">
      <c r="A97" s="8" t="inlineStr">
        <is>
          <t>note_1 .. note_3</t>
        </is>
      </c>
      <c r="B97" s="8" t="inlineStr">
        <is>
          <t>Text</t>
        </is>
      </c>
      <c r="C97" s="8" t="inlineStr">
        <is>
          <t>No</t>
        </is>
      </c>
      <c r="D97" s="9" t="inlineStr">
        <is>
          <t>Free extension columns.</t>
        </is>
      </c>
      <c r="E97" s="8" t="inlineStr">
        <is>
          <t>REQ-PSN-06</t>
        </is>
      </c>
    </row>
    <row r="99">
      <c r="A99" s="5" t="inlineStr">
        <is>
          <t>Sheet: PersonPeriodWeight</t>
        </is>
      </c>
    </row>
    <row r="100" ht="28" customHeight="1">
      <c r="A100" s="7" t="inlineStr">
        <is>
          <t>Column</t>
        </is>
      </c>
      <c r="B100" s="7" t="inlineStr">
        <is>
          <t>Type</t>
        </is>
      </c>
      <c r="C100" s="7" t="inlineStr">
        <is>
          <t>Required</t>
        </is>
      </c>
      <c r="D100" s="7" t="inlineStr">
        <is>
          <t>Definition / rule</t>
        </is>
      </c>
      <c r="E100" s="7" t="inlineStr">
        <is>
          <t>REQ-ID</t>
        </is>
      </c>
    </row>
    <row r="101">
      <c r="A101" s="8" t="inlineStr">
        <is>
          <t>assignment_id</t>
        </is>
      </c>
      <c r="B101" s="8" t="inlineStr">
        <is>
          <t>Text</t>
        </is>
      </c>
      <c r="C101" s="8" t="inlineStr">
        <is>
          <t>Yes</t>
        </is>
      </c>
      <c r="D101" s="9" t="inlineStr">
        <is>
          <t>Foreign key to Assignment.</t>
        </is>
      </c>
      <c r="E101" s="8" t="inlineStr">
        <is>
          <t>REQ-PSN-05</t>
        </is>
      </c>
    </row>
    <row r="102">
      <c r="A102" s="10" t="inlineStr">
        <is>
          <t>period_start</t>
        </is>
      </c>
      <c r="B102" s="10" t="inlineStr">
        <is>
          <t>Date</t>
        </is>
      </c>
      <c r="C102" s="10" t="inlineStr">
        <is>
          <t>Yes</t>
        </is>
      </c>
      <c r="D102" s="11" t="inlineStr">
        <is>
          <t>Inclusive.</t>
        </is>
      </c>
      <c r="E102" s="10" t="inlineStr">
        <is>
          <t>REQ-PSN-05</t>
        </is>
      </c>
    </row>
    <row r="103">
      <c r="A103" s="8" t="inlineStr">
        <is>
          <t>period_end</t>
        </is>
      </c>
      <c r="B103" s="8" t="inlineStr">
        <is>
          <t>Date</t>
        </is>
      </c>
      <c r="C103" s="8" t="inlineStr">
        <is>
          <t>Yes</t>
        </is>
      </c>
      <c r="D103" s="9" t="inlineStr">
        <is>
          <t>Inclusive. Periods within one assignment must not overlap.</t>
        </is>
      </c>
      <c r="E103" s="8" t="inlineStr">
        <is>
          <t>REQ-PSN-05</t>
        </is>
      </c>
    </row>
    <row r="104">
      <c r="A104" s="18" t="inlineStr">
        <is>
          <t>weight_override</t>
        </is>
      </c>
      <c r="B104" s="18" t="inlineStr">
        <is>
          <t>Decimal</t>
        </is>
      </c>
      <c r="C104" s="18" t="inlineStr">
        <is>
          <t>Yes</t>
        </is>
      </c>
      <c r="D104" s="17" t="inlineStr">
        <is>
          <t>REPLACES person_weight for months inside this window - it no longer multiplies it. Where no row covers a month, person_weight applies unchanged.</t>
        </is>
      </c>
      <c r="E104" s="18" t="inlineStr">
        <is>
          <t>REQ-PSN-05</t>
        </is>
      </c>
    </row>
    <row r="105">
      <c r="A105" s="8" t="inlineStr">
        <is>
          <t>reason</t>
        </is>
      </c>
      <c r="B105" s="8" t="inlineStr">
        <is>
          <t>Text</t>
        </is>
      </c>
      <c r="C105" s="8" t="inlineStr">
        <is>
          <t>No</t>
        </is>
      </c>
      <c r="D105" s="9" t="inlineStr">
        <is>
          <t>Why the weight differs, e.g. 'part-time', 'covering start-up peak'.</t>
        </is>
      </c>
      <c r="E105" s="8" t="inlineStr">
        <is>
          <t>REQ-PSN-05</t>
        </is>
      </c>
    </row>
    <row r="107">
      <c r="A107"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08">
      <c r="A108" s="5" t="inlineStr">
        <is>
          <t>Sheet: Config</t>
        </is>
      </c>
    </row>
    <row r="109" ht="28" customHeight="1">
      <c r="A109" s="7" t="inlineStr">
        <is>
          <t>parameter</t>
        </is>
      </c>
      <c r="B109" s="7" t="inlineStr">
        <is>
          <t>Meaning</t>
        </is>
      </c>
      <c r="C109" s="7" t="inlineStr">
        <is>
          <t>Default value</t>
        </is>
      </c>
      <c r="D109" s="7" t="inlineStr">
        <is>
          <t>REQ-ID</t>
        </is>
      </c>
    </row>
    <row r="110">
      <c r="A110" s="8" t="inlineStr">
        <is>
          <t>schema_version</t>
        </is>
      </c>
      <c r="B110" s="9" t="inlineStr">
        <is>
          <t>Version of this workbook structure; checked on import.</t>
        </is>
      </c>
      <c r="C110" s="8" t="inlineStr">
        <is>
          <t>1</t>
        </is>
      </c>
      <c r="D110" s="8" t="inlineStr">
        <is>
          <t>REQ-VC-02</t>
        </is>
      </c>
    </row>
    <row r="111">
      <c r="A111" s="20" t="inlineStr">
        <is>
          <t>fte_hours_per_month</t>
        </is>
      </c>
      <c r="B111" s="19" t="inlineStr">
        <is>
          <t>Hours equal to 1.00 FTE.</t>
        </is>
      </c>
      <c r="C111" s="20" t="inlineStr">
        <is>
          <t>160</t>
        </is>
      </c>
      <c r="D111" s="20" t="inlineStr">
        <is>
          <t>REQ-CAL-08</t>
        </is>
      </c>
    </row>
    <row r="112">
      <c r="A112" s="20" t="inlineStr">
        <is>
          <t>over_allocation_fte</t>
        </is>
      </c>
      <c r="B112" s="19" t="inlineStr">
        <is>
          <t>Person-month total above this is over-allocated.</t>
        </is>
      </c>
      <c r="C112" s="20" t="inlineStr">
        <is>
          <t>1.50</t>
        </is>
      </c>
      <c r="D112" s="20" t="inlineStr">
        <is>
          <t>REQ-CAL-04</t>
        </is>
      </c>
    </row>
    <row r="113">
      <c r="A113" s="20" t="inlineStr">
        <is>
          <t>under_allocation_fte</t>
        </is>
      </c>
      <c r="B113" s="19" t="inlineStr">
        <is>
          <t>Person-month total below this counts toward an under-allocated run.</t>
        </is>
      </c>
      <c r="C113" s="20" t="inlineStr">
        <is>
          <t>0.80</t>
        </is>
      </c>
      <c r="D113" s="20" t="inlineStr">
        <is>
          <t>REQ-CAL-07</t>
        </is>
      </c>
    </row>
    <row r="114">
      <c r="A114" s="20" t="inlineStr">
        <is>
          <t>under_allocation_min_months</t>
        </is>
      </c>
      <c r="B114" s="19" t="inlineStr">
        <is>
          <t>Consecutive months below the threshold before flagging.</t>
        </is>
      </c>
      <c r="C114" s="20" t="inlineStr">
        <is>
          <t>3</t>
        </is>
      </c>
      <c r="D114" s="20" t="inlineStr">
        <is>
          <t>REQ-CAL-07</t>
        </is>
      </c>
    </row>
    <row r="115">
      <c r="A115" s="18" t="inlineStr">
        <is>
          <t>default_horizon_months</t>
        </is>
      </c>
      <c r="B115" s="17" t="inlineStr">
        <is>
          <t>Months shown on opening.</t>
        </is>
      </c>
      <c r="C115" s="18" t="inlineStr">
        <is>
          <t>24</t>
        </is>
      </c>
      <c r="D115" s="18" t="inlineStr">
        <is>
          <t>REQ-CAL-01</t>
        </is>
      </c>
    </row>
    <row r="116">
      <c r="A116" s="18" t="inlineStr">
        <is>
          <t>capacity_unit</t>
        </is>
      </c>
      <c r="B116" s="17" t="inlineStr">
        <is>
          <t>Display unit: 'FTE' or 'percent'.</t>
        </is>
      </c>
      <c r="C116" s="18" t="inlineStr">
        <is>
          <t>FTE</t>
        </is>
      </c>
      <c r="D116" s="18" t="inlineStr">
        <is>
          <t>REQ-CAL-08</t>
        </is>
      </c>
    </row>
    <row r="118">
      <c r="A118" s="5" t="inlineStr">
        <is>
          <t>Sheet: Lists   [new]</t>
        </is>
      </c>
    </row>
    <row r="119">
      <c r="A119" s="6" t="inlineStr">
        <is>
          <t>Two columns - list_name, value - holding every data-driven dropdown: outsourcing_type, clinical_phase,</t>
        </is>
      </c>
    </row>
    <row r="120">
      <c r="A120" s="6" t="inlineStr">
        <is>
          <t>milestone_name, period_name, EDC_system, DataReviewSystem, RBQM_system, setup_party, project_status.</t>
        </is>
      </c>
    </row>
    <row r="121">
      <c r="A121" s="6" t="inlineStr">
        <is>
          <t>Adding a permitted value is a data edit, never a code change (REQ-CAL-06).</t>
        </is>
      </c>
    </row>
    <row r="123">
      <c r="A123" s="5" t="inlineStr">
        <is>
          <t>Referential rules checked on import</t>
        </is>
      </c>
    </row>
    <row r="124" ht="28" customHeight="1">
      <c r="A124" s="7" t="inlineStr">
        <is>
          <t>ID</t>
        </is>
      </c>
      <c r="B124" s="7" t="inlineStr">
        <is>
          <t>Rule</t>
        </is>
      </c>
      <c r="C124" s="7" t="inlineStr">
        <is>
          <t>On failure</t>
        </is>
      </c>
    </row>
    <row r="125">
      <c r="A125" s="8" t="inlineStr">
        <is>
          <t>V-01</t>
        </is>
      </c>
      <c r="B125" s="9" t="inlineStr">
        <is>
          <t>Every Assignment.project_id exists in Project.</t>
        </is>
      </c>
      <c r="C125" s="9" t="inlineStr">
        <is>
          <t>Error - row rejected, reported with its row number.</t>
        </is>
      </c>
    </row>
    <row r="126">
      <c r="A126" s="10" t="inlineStr">
        <is>
          <t>V-02</t>
        </is>
      </c>
      <c r="B126" s="11" t="inlineStr">
        <is>
          <t>Every Assignment.person_id exists in Person.</t>
        </is>
      </c>
      <c r="C126" s="11" t="inlineStr">
        <is>
          <t>Error - row rejected.</t>
        </is>
      </c>
    </row>
    <row r="127">
      <c r="A127" s="18" t="inlineStr">
        <is>
          <t>V-03</t>
        </is>
      </c>
      <c r="B127" s="17" t="inlineStr">
        <is>
          <t>Every Assignment.role_name exists in RoleFactor FOR THAT PROJECT'S TYPE.</t>
        </is>
      </c>
      <c r="C127" s="17" t="inlineStr">
        <is>
          <t>Error - row rejected. Was a warning in v0.1; roles are now type-specific, so a mismatch is a real error.</t>
        </is>
      </c>
    </row>
    <row r="128">
      <c r="A128" s="10" t="inlineStr">
        <is>
          <t>V-04</t>
        </is>
      </c>
      <c r="B128" s="11" t="inlineStr">
        <is>
          <t>project_category is present when project_type = 'Clinical Trial'.</t>
        </is>
      </c>
      <c r="C128" s="11" t="inlineStr">
        <is>
          <t>Warning - shown as blank in the dashboard.</t>
        </is>
      </c>
    </row>
    <row r="129">
      <c r="A129" s="8" t="inlineStr">
        <is>
          <t>V-05</t>
        </is>
      </c>
      <c r="B129" s="9" t="inlineStr">
        <is>
          <t>end_date is on or after start_date, for projects, assignments and all weight periods.</t>
        </is>
      </c>
      <c r="C129" s="9" t="inlineStr">
        <is>
          <t>Error - row rejected.</t>
        </is>
      </c>
    </row>
    <row r="130">
      <c r="A130" s="10" t="inlineStr">
        <is>
          <t>V-06</t>
        </is>
      </c>
      <c r="B130" s="11" t="inlineStr">
        <is>
          <t>Periods within one project, and within one assignment, do not overlap.</t>
        </is>
      </c>
      <c r="C130" s="11" t="inlineStr">
        <is>
          <t>Error - overlapping pair reported.</t>
        </is>
      </c>
    </row>
    <row r="131">
      <c r="A131" s="8" t="inlineStr">
        <is>
          <t>V-07</t>
        </is>
      </c>
      <c r="B131" s="9" t="inlineStr">
        <is>
          <t>Assignment dates fall inside the project's own start and end dates.</t>
        </is>
      </c>
      <c r="C131" s="9" t="inlineStr">
        <is>
          <t>Warning - kept, but listed for review.</t>
        </is>
      </c>
    </row>
    <row r="132">
      <c r="A132" s="10" t="inlineStr">
        <is>
          <t>V-08</t>
        </is>
      </c>
      <c r="B132" s="11" t="inlineStr">
        <is>
          <t>project_id, person_id and assignment_id are unique in their sheet.</t>
        </is>
      </c>
      <c r="C132" s="11" t="inlineStr">
        <is>
          <t>Error - duplicate rejected.</t>
        </is>
      </c>
    </row>
    <row r="133">
      <c r="A133" s="8" t="inlineStr">
        <is>
          <t>V-09</t>
        </is>
      </c>
      <c r="B133" s="9" t="inlineStr">
        <is>
          <t>schema_version in Config matches the version the application expects.</t>
        </is>
      </c>
      <c r="C133" s="9" t="inlineStr">
        <is>
          <t>Warning - proceeds, banner shown.</t>
        </is>
      </c>
    </row>
    <row r="134">
      <c r="A134" s="20" t="inlineStr">
        <is>
          <t>V-10</t>
        </is>
      </c>
      <c r="B134" s="19" t="inlineStr">
        <is>
          <t>Clinical-trial projects carry clinical_phase and the four *_setup values.</t>
        </is>
      </c>
      <c r="C134" s="19" t="inlineStr">
        <is>
          <t>Warning - the project still simulates; the gap is listed.</t>
        </is>
      </c>
    </row>
    <row r="135">
      <c r="A135" s="20" t="inlineStr">
        <is>
          <t>V-11</t>
        </is>
      </c>
      <c r="B135" s="19" t="inlineStr">
        <is>
          <t>Every list-typed value appears in the Lists sheet for its list.</t>
        </is>
      </c>
      <c r="C135" s="19" t="inlineStr">
        <is>
          <t>Warning - value kept, reported as unrecognised.</t>
        </is>
      </c>
    </row>
    <row r="136">
      <c r="A136" s="18" t="inlineStr">
        <is>
          <t>V-12</t>
        </is>
      </c>
      <c r="B136" s="17" t="inlineStr">
        <is>
          <t>Every project carries the full period set for its type, and those periods leave no gap in its timeline.</t>
        </is>
      </c>
      <c r="C136" s="17" t="inlineStr">
        <is>
          <t>Warning - months with no period use weight 1.00 and are listed (REQ-CAL-10).</t>
        </is>
      </c>
    </row>
    <row r="137">
      <c r="A137" s="20" t="inlineStr">
        <is>
          <t>V-13</t>
        </is>
      </c>
      <c r="B137" s="19" t="inlineStr">
        <is>
          <t>Denormalised project_name / person_name match their master row.</t>
        </is>
      </c>
      <c r="C137" s="19" t="inlineStr">
        <is>
          <t>Warning - the master value wins and the copy is refreshed.</t>
        </is>
      </c>
    </row>
    <row r="138">
      <c r="A138" s="20" t="inlineStr">
        <is>
          <t>V-14</t>
        </is>
      </c>
      <c r="B138" s="19" t="inlineStr">
        <is>
          <t>A milestone date falls inside its project's start..end window, and the standard milestones appear in chronological order.</t>
        </is>
      </c>
      <c r="C138" s="19" t="inlineStr">
        <is>
          <t>Error for period-defining milestones - the derivation cannot run. Warning for markers.</t>
        </is>
      </c>
    </row>
    <row r="139">
      <c r="A139" s="20" t="inlineStr">
        <is>
          <t>V-15</t>
        </is>
      </c>
      <c r="B139" s="19" t="inlineStr">
        <is>
          <t>A period_name belongs to the period set of its project's type.</t>
        </is>
      </c>
      <c r="C139" s="19" t="inlineStr">
        <is>
          <t>Error - a 'Planning' period on a clinical trial is a category mistake, not a typo.</t>
        </is>
      </c>
    </row>
    <row r="140">
      <c r="A140" s="20" t="inlineStr">
        <is>
          <t>V-16</t>
        </is>
      </c>
      <c r="B140" s="19" t="inlineStr">
        <is>
          <t>A clinical trial carries the milestones the derivation needs: CTA submission, and at least one DB lock.</t>
        </is>
      </c>
      <c r="C140" s="19" t="inlineStr">
        <is>
          <t>Error - without them no period boundary can be computed.</t>
        </is>
      </c>
    </row>
    <row r="141">
      <c r="A141" s="20" t="inlineStr">
        <is>
          <t>V-17</t>
        </is>
      </c>
      <c r="B141" s="19" t="inlineStr">
        <is>
          <t>On editing an identifier, every referencing row is updated; on deleting a row, nothing may still reference it.</t>
        </is>
      </c>
      <c r="C141" s="19" t="inlineStr">
        <is>
          <t>Cascade after confirmation / deletion refused (REQ-IMP-10).</t>
        </is>
      </c>
    </row>
    <row r="143">
      <c r="A143" s="16" t="inlineStr">
        <is>
          <t>Import never stops at the first problem: it collects every finding and presents one report (REQ-IMP-02). Under REQ-IMP-09 the same rules run again on any value edited on screen.</t>
        </is>
      </c>
    </row>
    <row r="144">
      <c r="A144" s="3" t="inlineStr">
        <is>
          <t>Legend</t>
        </is>
      </c>
    </row>
    <row r="145">
      <c r="A145" s="12" t="inlineStr">
        <is>
          <t>Green = new in v0.2, added from your review answers.</t>
        </is>
      </c>
    </row>
    <row r="146">
      <c r="A146" s="13" t="inlineStr">
        <is>
          <t>Orange = changed in v0.2 as a consequence of your review.</t>
        </is>
      </c>
    </row>
    <row r="147">
      <c r="A147"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1"/>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identical for everyone holding it.</t>
        </is>
      </c>
    </row>
    <row r="15">
      <c r="A15" s="21" t="inlineStr">
        <is>
          <t xml:space="preserve">                       Roles are drawn from the list valid for the project's type.</t>
        </is>
      </c>
    </row>
    <row r="16">
      <c r="A16" s="6" t="inlineStr">
        <is>
          <t>person_weight          is how much this person works on this project, given per assignment;</t>
        </is>
      </c>
    </row>
    <row r="17">
      <c r="A17" s="21" t="inlineStr">
        <is>
          <t xml:space="preserve">                       a PersonPeriodWeight row replaces it for the months it covers.</t>
        </is>
      </c>
    </row>
    <row r="18">
      <c r="A18" s="6" t="inlineStr">
        <is>
          <t>coverage               = calendar days worked in the month / calendar days in the month.</t>
        </is>
      </c>
    </row>
    <row r="19">
      <c r="A19" s="21" t="inlineStr">
        <is>
          <t xml:space="preserve">                       1.00 for a full month, a fraction in the joining and leaving months.</t>
        </is>
      </c>
    </row>
    <row r="21">
      <c r="A21" s="16" t="inlineStr">
        <is>
          <t>Changed from v0.1: base_allocation is gone. Q-01 named three factors, and base_allocation was a fourth that would have silently scaled all of them. person_weight now carries that meaning alone.</t>
        </is>
      </c>
    </row>
    <row r="23">
      <c r="A23" s="5" t="inlineStr">
        <is>
          <t>Aggregation</t>
        </is>
      </c>
    </row>
    <row r="24" ht="28" customHeight="1">
      <c r="A24" s="7" t="inlineStr">
        <is>
          <t>Output</t>
        </is>
      </c>
      <c r="B24" s="7" t="inlineStr">
        <is>
          <t>How it is computed</t>
        </is>
      </c>
      <c r="C24" s="7" t="inlineStr">
        <is>
          <t>Where it appears</t>
        </is>
      </c>
      <c r="D24" s="7" t="inlineStr">
        <is>
          <t>REQ-ID</t>
        </is>
      </c>
    </row>
    <row r="25">
      <c r="A25" s="8" t="inlineStr">
        <is>
          <t>Per project, per month</t>
        </is>
      </c>
      <c r="B25" s="9" t="inlineStr">
        <is>
          <t>Sum of load over every assignment on that project.</t>
        </is>
      </c>
      <c r="C25" s="9" t="inlineStr">
        <is>
          <t>Overall tab, project table + stacked graph</t>
        </is>
      </c>
      <c r="D25" s="8" t="inlineStr">
        <is>
          <t>REQ-CAL-03</t>
        </is>
      </c>
    </row>
    <row r="26">
      <c r="A26" s="10" t="inlineStr">
        <is>
          <t>Per person, per month</t>
        </is>
      </c>
      <c r="B26" s="11" t="inlineStr">
        <is>
          <t>Sum of load over every assignment that person holds, across all projects.</t>
        </is>
      </c>
      <c r="C26" s="11" t="inlineStr">
        <is>
          <t>Overall tab, person table + graph</t>
        </is>
      </c>
      <c r="D26" s="10" t="inlineStr">
        <is>
          <t>REQ-CAL-03</t>
        </is>
      </c>
    </row>
    <row r="27">
      <c r="A27" s="8" t="inlineStr">
        <is>
          <t>Per person, per project, per month</t>
        </is>
      </c>
      <c r="B27" s="9" t="inlineStr">
        <is>
          <t>The individual load value.</t>
        </is>
      </c>
      <c r="C27" s="9" t="inlineStr">
        <is>
          <t>Drill-down when a person row is expanded</t>
        </is>
      </c>
      <c r="D27" s="8" t="inlineStr">
        <is>
          <t>REQ-CAL-03</t>
        </is>
      </c>
    </row>
    <row r="28">
      <c r="A28" s="18" t="inlineStr">
        <is>
          <t>Over-allocation flag</t>
        </is>
      </c>
      <c r="B28" s="17" t="inlineStr">
        <is>
          <t>Person-month total &gt; over_allocation_fte (1.50).</t>
        </is>
      </c>
      <c r="C28" s="17" t="inlineStr">
        <is>
          <t>Red cell + count in summary tiles</t>
        </is>
      </c>
      <c r="D28" s="18" t="inlineStr">
        <is>
          <t>REQ-CAL-04</t>
        </is>
      </c>
    </row>
    <row r="29">
      <c r="A29" s="20" t="inlineStr">
        <is>
          <t>Under-allocation run</t>
        </is>
      </c>
      <c r="B29" s="19" t="inlineStr">
        <is>
          <t>Person-month total &lt; under_allocation_fte (0.80) for &gt;= under_allocation_min_months (3) consecutive months. Reported as a run with its start month and length.</t>
        </is>
      </c>
      <c r="C29" s="19" t="inlineStr">
        <is>
          <t>Amber cells across the run + count in summary tiles</t>
        </is>
      </c>
      <c r="D29" s="20" t="inlineStr">
        <is>
          <t>REQ-CAL-07</t>
        </is>
      </c>
    </row>
    <row r="30">
      <c r="A30" s="20" t="inlineStr">
        <is>
          <t>Hours view</t>
        </is>
      </c>
      <c r="B30" s="19" t="inlineStr">
        <is>
          <t>load x fte_hours_per_month.</t>
        </is>
      </c>
      <c r="C30" s="19" t="inlineStr">
        <is>
          <t>Alternative display unit</t>
        </is>
      </c>
      <c r="D30" s="20" t="inlineStr">
        <is>
          <t>REQ-CAL-08</t>
        </is>
      </c>
    </row>
    <row r="31">
      <c r="A31" s="8" t="inlineStr">
        <is>
          <t>Head-count per project, per month</t>
        </is>
      </c>
      <c r="B31" s="9" t="inlineStr">
        <is>
          <t>Count of assignments with load &gt; 0 that month.</t>
        </is>
      </c>
      <c r="C31" s="9" t="inlineStr">
        <is>
          <t>Compared against planned_member_count</t>
        </is>
      </c>
      <c r="D31" s="8" t="inlineStr">
        <is>
          <t>REQ-PRJ-04</t>
        </is>
      </c>
    </row>
    <row r="33">
      <c r="A33" s="16" t="inlineStr">
        <is>
          <t>Under-allocation needs a rolling window, not a per-month test: a single quiet month is normal, three in a row is a signal. A run is reported once, at its start, rather than as three separate flags.</t>
        </is>
      </c>
    </row>
    <row r="35">
      <c r="A35" s="5" t="inlineStr">
        <is>
          <t>Period derivation for a 'Clinical Trial' project   [Q-16]</t>
        </is>
      </c>
    </row>
    <row r="36">
      <c r="A36" s="6" t="inlineStr">
        <is>
          <t>Boundaries come from milestone dates plus month offsets, so moving a milestone re-shapes the periods.</t>
        </is>
      </c>
    </row>
    <row r="37">
      <c r="A37" s="6" t="inlineStr">
        <is>
          <t>DBL below means the interim DB lock where one exists, otherwise the final DB lock.</t>
        </is>
      </c>
    </row>
    <row r="39" ht="28" customHeight="1">
      <c r="A39" s="7" t="inlineStr">
        <is>
          <t>Period</t>
        </is>
      </c>
      <c r="B39" s="7" t="inlineStr">
        <is>
          <t>Starts</t>
        </is>
      </c>
      <c r="C39" s="7" t="inlineStr">
        <is>
          <t>Ends</t>
        </is>
      </c>
      <c r="D39" s="7" t="inlineStr">
        <is>
          <t>Note</t>
        </is>
      </c>
    </row>
    <row r="40">
      <c r="A40" s="20" t="inlineStr">
        <is>
          <t>Before-Start-up</t>
        </is>
      </c>
      <c r="B40" s="19" t="inlineStr">
        <is>
          <t>project start_date</t>
        </is>
      </c>
      <c r="C40" s="19" t="inlineStr">
        <is>
          <t>day before Start-up begins</t>
        </is>
      </c>
      <c r="D40" s="19" t="inlineStr">
        <is>
          <t>Not defined in the Q-16 answer. Filled in so the months before Start-up are not left without a weight - Q-21.</t>
        </is>
      </c>
    </row>
    <row r="41">
      <c r="A41" s="10" t="inlineStr">
        <is>
          <t>Start-up</t>
        </is>
      </c>
      <c r="B41" s="11" t="inlineStr">
        <is>
          <t>one month before 'CTA submission'</t>
        </is>
      </c>
      <c r="C41" s="11" t="inlineStr">
        <is>
          <t>start + 4 months - 1 day</t>
        </is>
      </c>
      <c r="D41" s="11" t="inlineStr">
        <is>
          <t>As given: a fixed four-month window, not milestone-bounded at its end.</t>
        </is>
      </c>
    </row>
    <row r="42">
      <c r="A42" s="18" t="inlineStr">
        <is>
          <t>Conduct</t>
        </is>
      </c>
      <c r="B42" s="17" t="inlineStr">
        <is>
          <t>day after Start-up ends</t>
        </is>
      </c>
      <c r="C42" s="17" t="inlineStr">
        <is>
          <t>day before Close-out begins</t>
        </is>
      </c>
      <c r="D42" s="17" t="inlineStr">
        <is>
          <t>The answer said 'up to 3 months prior to DBL', but Close-out starts 2 months prior - which leaves one month uncovered. Ending Conduct where Close-out starts closes it - Q-22.</t>
        </is>
      </c>
    </row>
    <row r="43">
      <c r="A43" s="18" t="inlineStr">
        <is>
          <t>Close-out</t>
        </is>
      </c>
      <c r="B43" s="17" t="inlineStr">
        <is>
          <t>2 months before DBL</t>
        </is>
      </c>
      <c r="C43" s="17" t="inlineStr">
        <is>
          <t>the project's LAST DB lock (final where present, else interim)</t>
        </is>
      </c>
      <c r="D43" s="17" t="inlineStr">
        <is>
          <t>The answer said 'to DB lock' without saying which. Ending at the interim lock would leave everything after it uncovered - Q-23.</t>
        </is>
      </c>
    </row>
    <row r="45">
      <c r="A45" s="16" t="inlineStr">
        <is>
          <t>Worked through against a test project (start 2026-01-01, CTA submission 2026-04-01, interim DB lock 2027-10-01, final DB lock 2028-04-01), the mapping exactly as written leaves three stretches with no period: 59 days before Start-up, 30 days between Conduct and Close-out, and 183 days after the interim lock. v0.3 adopts the no-gap reading above so the plan stays buildable. If any of the three is wrong, only this table changes - the engine reads it as data.</t>
        </is>
      </c>
    </row>
    <row r="47">
      <c r="A47" s="16" t="inlineStr">
        <is>
          <t>'First SIV' and 'LPI' are not boundaries under this mapping; they are markers shown on the timeline. For an 'Others' project there is nothing to derive from, so its three periods are entered directly.</t>
        </is>
      </c>
    </row>
    <row r="49">
      <c r="A49" s="5" t="inlineStr">
        <is>
          <t>Worked example - the acceptance test for the calculation engine</t>
        </is>
      </c>
    </row>
    <row r="50" ht="28" customHeight="1">
      <c r="A50" s="7" t="inlineStr">
        <is>
          <t>Element</t>
        </is>
      </c>
      <c r="B50" s="7" t="inlineStr">
        <is>
          <t>Value</t>
        </is>
      </c>
      <c r="C50" s="7" t="inlineStr">
        <is>
          <t>Note</t>
        </is>
      </c>
    </row>
    <row r="51">
      <c r="A51" s="8" t="inlineStr">
        <is>
          <t>Assignment</t>
        </is>
      </c>
      <c r="B51" s="9" t="inlineStr">
        <is>
          <t>PSN-001 on PRJ-001 (Clinical Trial), role = Lead data manager</t>
        </is>
      </c>
      <c r="C51" s="9" t="inlineStr"/>
    </row>
    <row r="52">
      <c r="A52" s="10" t="inlineStr">
        <is>
          <t>person_weight</t>
        </is>
      </c>
      <c r="B52" s="11" t="inlineStr">
        <is>
          <t>0.40</t>
        </is>
      </c>
      <c r="C52" s="11" t="inlineStr">
        <is>
          <t>How much this person works on this project</t>
        </is>
      </c>
    </row>
    <row r="53">
      <c r="A53" s="8" t="inlineStr">
        <is>
          <t>Assignment window</t>
        </is>
      </c>
      <c r="B53" s="9" t="inlineStr">
        <is>
          <t>2026-03-10 to 2026-12-31</t>
        </is>
      </c>
      <c r="C53" s="9" t="inlineStr">
        <is>
          <t>Joins part-way through March</t>
        </is>
      </c>
    </row>
    <row r="54">
      <c r="A54" s="10" t="inlineStr">
        <is>
          <t>Project periods</t>
        </is>
      </c>
      <c r="B54" s="11" t="inlineStr">
        <is>
          <t>Start-up 2026-01-01..2026-06-30 weight 1.50; Conduct from 2026-07-01 weight 1.00</t>
        </is>
      </c>
      <c r="C54" s="11" t="inlineStr">
        <is>
          <t>Seeded from the project's category</t>
        </is>
      </c>
    </row>
    <row r="55">
      <c r="A55" s="8" t="inlineStr">
        <is>
          <t>role_factor</t>
        </is>
      </c>
      <c r="B55" s="9" t="inlineStr">
        <is>
          <t>1.20 for Lead data manager</t>
        </is>
      </c>
      <c r="C55" s="9" t="inlineStr">
        <is>
          <t>Illustrative - real values still needed (Q-17)</t>
        </is>
      </c>
    </row>
    <row r="56">
      <c r="A56" s="10" t="inlineStr">
        <is>
          <t>Coverage, March 2026</t>
        </is>
      </c>
      <c r="B56" s="11" t="inlineStr">
        <is>
          <t>22 / 31 = 0.7097</t>
        </is>
      </c>
      <c r="C56" s="11" t="inlineStr">
        <is>
          <t>10 Mar to 31 Mar inclusive = 22 days</t>
        </is>
      </c>
    </row>
    <row r="57">
      <c r="A57" s="8" t="inlineStr">
        <is>
          <t>Load, March 2026</t>
        </is>
      </c>
      <c r="B57" s="9" t="inlineStr">
        <is>
          <t>1.50 x 1.20 x 0.40 x 0.7097 = 0.511 FTE</t>
        </is>
      </c>
      <c r="C57" s="9" t="inlineStr">
        <is>
          <t>81.8 hours</t>
        </is>
      </c>
    </row>
    <row r="58">
      <c r="A58" s="10" t="inlineStr">
        <is>
          <t>Load, April 2026</t>
        </is>
      </c>
      <c r="B58" s="11" t="inlineStr">
        <is>
          <t>1.50 x 1.20 x 0.40 x 1.0000 = 0.720 FTE</t>
        </is>
      </c>
      <c r="C58" s="11" t="inlineStr">
        <is>
          <t>115.2 hours. Full month inside Start-up</t>
        </is>
      </c>
    </row>
    <row r="59">
      <c r="A59" s="8" t="inlineStr">
        <is>
          <t>Load, July 2026</t>
        </is>
      </c>
      <c r="B59" s="9" t="inlineStr">
        <is>
          <t>1.00 x 1.20 x 0.40 x 1.0000 = 0.480 FTE</t>
        </is>
      </c>
      <c r="C59" s="9" t="inlineStr">
        <is>
          <t>76.8 hours. Conduct weight applies</t>
        </is>
      </c>
    </row>
    <row r="60">
      <c r="A60" s="10" t="inlineStr">
        <is>
          <t>Over-allocated?</t>
        </is>
      </c>
      <c r="B60" s="11" t="inlineStr">
        <is>
          <t>No - 0.720 is below the 1.50 threshold</t>
        </is>
      </c>
      <c r="C60" s="11" t="inlineStr">
        <is>
          <t>This person would need other assignments to breach it</t>
        </is>
      </c>
    </row>
    <row r="61">
      <c r="A61" s="8" t="inlineStr">
        <is>
          <t>Under-allocated?</t>
        </is>
      </c>
      <c r="B61" s="9" t="inlineStr">
        <is>
          <t>Only if their total across ALL projects stays below 0.80 for 3 months running</t>
        </is>
      </c>
      <c r="C61" s="9" t="inlineStr">
        <is>
          <t>Judged on the person total, never on one assignment</t>
        </is>
      </c>
    </row>
    <row r="63">
      <c r="A63" s="16" t="inlineStr">
        <is>
          <t>Please confirm these numbers at Step 2. The role_factor of 1.20 is a placeholder: the arithmetic is the thing being agreed, not that particular value.</t>
        </is>
      </c>
    </row>
    <row r="65">
      <c r="A65" s="5" t="inlineStr">
        <is>
          <t>Design decisions inside the calculation</t>
        </is>
      </c>
    </row>
    <row r="66" ht="28" customHeight="1">
      <c r="A66" s="7" t="inlineStr">
        <is>
          <t>ID</t>
        </is>
      </c>
      <c r="B66" s="7" t="inlineStr">
        <is>
          <t>Decision</t>
        </is>
      </c>
      <c r="C66" s="7" t="inlineStr">
        <is>
          <t>Rationale</t>
        </is>
      </c>
      <c r="D66" s="7" t="inlineStr">
        <is>
          <t>Status</t>
        </is>
      </c>
    </row>
    <row r="67">
      <c r="A67" s="8" t="inlineStr">
        <is>
          <t>C-01</t>
        </is>
      </c>
      <c r="B67" s="9" t="inlineStr">
        <is>
          <t>Weights multiply rather than add.</t>
        </is>
      </c>
      <c r="C67" s="9" t="inlineStr">
        <is>
          <t>Confirmed at Q-01: project weight x role factor x person weight.</t>
        </is>
      </c>
      <c r="D67" s="8" t="inlineStr">
        <is>
          <t>CONFIRMED</t>
        </is>
      </c>
    </row>
    <row r="68">
      <c r="A68" s="10" t="inlineStr">
        <is>
          <t>C-02</t>
        </is>
      </c>
      <c r="B68" s="11" t="inlineStr">
        <is>
          <t>Partial months are pro-rated by calendar days.</t>
        </is>
      </c>
      <c r="C68" s="11" t="inlineStr">
        <is>
          <t>Confirmed at Q-02: work is expected in proportion to calendar days from the joined date to the end date.</t>
        </is>
      </c>
      <c r="D68" s="10" t="inlineStr">
        <is>
          <t>CONFIRMED</t>
        </is>
      </c>
    </row>
    <row r="69">
      <c r="A69" s="18" t="inlineStr">
        <is>
          <t>C-03</t>
        </is>
      </c>
      <c r="B69" s="17" t="inlineStr">
        <is>
          <t>A missing PersonPeriodWeight row means person_weight applies unchanged.</t>
        </is>
      </c>
      <c r="C69" s="17" t="inlineStr">
        <is>
          <t>Follows from the override semantics. No row is the normal case, not an exception.</t>
        </is>
      </c>
      <c r="D69" s="18" t="inlineStr">
        <is>
          <t>CONFIRMED</t>
        </is>
      </c>
    </row>
    <row r="70">
      <c r="A70" s="18" t="inlineStr">
        <is>
          <t>C-04</t>
        </is>
      </c>
      <c r="B70" s="17" t="inlineStr">
        <is>
          <t>Capacity is FTE. 1.00 FTE = 160 h/month.</t>
        </is>
      </c>
      <c r="C70" s="17" t="inlineStr">
        <is>
          <t>Confirmed at Q-08. Note the flag is NOT at 1.00 - over-allocation begins above 1.50.</t>
        </is>
      </c>
      <c r="D70" s="18" t="inlineStr">
        <is>
          <t>CONFIRMED</t>
        </is>
      </c>
    </row>
    <row r="71">
      <c r="A71" s="18" t="inlineStr">
        <is>
          <t>C-05</t>
        </is>
      </c>
      <c r="B71" s="17" t="inlineStr">
        <is>
          <t>The unit shown on screen is FTE, with hours available.</t>
        </is>
      </c>
      <c r="C71" s="17" t="inlineStr">
        <is>
          <t>Q-08 was expressed in FTE and hours, so FTE is now the default rather than percent.</t>
        </is>
      </c>
      <c r="D71" s="18" t="inlineStr">
        <is>
          <t>CONFIRMED</t>
        </is>
      </c>
    </row>
    <row r="72">
      <c r="A72" s="20" t="inlineStr">
        <is>
          <t>C-06</t>
        </is>
      </c>
      <c r="B72" s="19" t="inlineStr">
        <is>
          <t>Over- and under-allocation are judged on the person's total across all projects.</t>
        </is>
      </c>
      <c r="C72" s="19" t="inlineStr">
        <is>
          <t>The question 'is this person over-committed' is only meaningful across their whole workload.</t>
        </is>
      </c>
      <c r="D72" s="20" t="inlineStr">
        <is>
          <t>Confirm</t>
        </is>
      </c>
    </row>
    <row r="73">
      <c r="A73" s="20" t="inlineStr">
        <is>
          <t>C-07</t>
        </is>
      </c>
      <c r="B73" s="19" t="inlineStr">
        <is>
          <t>Period weights are seeded from the category standard, then editable per project.</t>
        </is>
      </c>
      <c r="C73" s="19" t="inlineStr">
        <is>
          <t>Q-01 ties weight to category; real projects still deviate. Seeding keeps them consistent without freezing them.</t>
        </is>
      </c>
      <c r="D73" s="20" t="inlineStr">
        <is>
          <t>Confirm</t>
        </is>
      </c>
    </row>
    <row r="74">
      <c r="A74" s="20" t="inlineStr">
        <is>
          <t>C-08</t>
        </is>
      </c>
      <c r="B74" s="19" t="inlineStr">
        <is>
          <t>A month is attributed to the period containing its first day.</t>
        </is>
      </c>
      <c r="C74" s="19" t="inlineStr">
        <is>
          <t>Avoids splitting a month across two weights. Simpler to explain and to check by hand.</t>
        </is>
      </c>
      <c r="D74" s="20" t="inlineStr">
        <is>
          <t>Confirm</t>
        </is>
      </c>
    </row>
    <row r="75">
      <c r="A75" s="20" t="inlineStr">
        <is>
          <t>C-09</t>
        </is>
      </c>
      <c r="B75" s="19" t="inlineStr">
        <is>
          <t>Editing an identifier cascades to every row referencing it; deleting a referenced row is refused.</t>
        </is>
      </c>
      <c r="C75" s="19" t="inlineStr">
        <is>
          <t>Q-20 asked for every field to be editable with rules preventing inconsistency. Cascading is what makes an editable ID safe - blocking the edit instead would make the field read-only in all but name.</t>
        </is>
      </c>
      <c r="D75" s="20" t="inlineStr">
        <is>
          <t>Confirm</t>
        </is>
      </c>
    </row>
    <row r="76">
      <c r="A76" s="20" t="inlineStr">
        <is>
          <t>C-10</t>
        </is>
      </c>
      <c r="B76" s="19" t="inlineStr">
        <is>
          <t>Period boundaries are recomputed whenever a milestone date changes, unless the period dates were edited by hand.</t>
        </is>
      </c>
      <c r="C76" s="19" t="inlineStr">
        <is>
          <t>Keeps derived dates true to the timeline - the frequent-change problem this tool exists for - without silently discarding a deliberate manual override.</t>
        </is>
      </c>
      <c r="D76" s="20" t="inlineStr">
        <is>
          <t>Confirm</t>
        </is>
      </c>
    </row>
    <row r="78">
      <c r="A78" s="3" t="inlineStr">
        <is>
          <t>Legend</t>
        </is>
      </c>
    </row>
    <row r="79">
      <c r="A79" s="12" t="inlineStr">
        <is>
          <t>Green = new in v0.2, added from your review answers.</t>
        </is>
      </c>
    </row>
    <row r="80">
      <c r="A80" s="13" t="inlineStr">
        <is>
          <t>Orange = changed in v0.2 as a consequence of your review.</t>
        </is>
      </c>
    </row>
    <row r="81">
      <c r="A81"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Three tabs as specified. Detailed layout is fixed at the Step 3 UI review.</t>
        </is>
      </c>
    </row>
    <row r="4">
      <c r="A4" s="5" t="inlineStr">
        <is>
          <t>Tab 1 - Overall</t>
        </is>
      </c>
    </row>
    <row r="5" ht="28" customHeight="1">
      <c r="A5" s="7" t="inlineStr">
        <is>
          <t>Component</t>
        </is>
      </c>
      <c r="B5" s="7" t="inlineStr">
        <is>
          <t>Content</t>
        </is>
      </c>
      <c r="C5" s="7" t="inlineStr">
        <is>
          <t>REQ-ID</t>
        </is>
      </c>
    </row>
    <row r="6">
      <c r="A6" s="18" t="inlineStr">
        <is>
          <t>Control bar</t>
        </is>
      </c>
      <c r="B6" s="17" t="inlineStr">
        <is>
          <t>Horizon (default 24 months, one click to expand to the latest project end date), project type, project, person, role, department. Plus 'Load workbook', 'Export', unit toggle FTE/hours, and the loaded-file name and time.</t>
        </is>
      </c>
      <c r="C6" s="18" t="inlineStr">
        <is>
          <t>REQ-DSH-05, REQ-DSH-07</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8" t="inlineStr">
        <is>
          <t>Table B - resource by person</t>
        </is>
      </c>
      <c r="B8" s="17" t="inlineStr">
        <is>
          <t>Rows = person, columns = months, cells = FTE summed across projects. Over-allocated cells red, under-allocated runs amber. Expanding a person reveals their projects.</t>
        </is>
      </c>
      <c r="C8" s="18"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8" t="inlineStr">
        <is>
          <t>Graph 2 - grouped bar, by person</t>
        </is>
      </c>
      <c r="B10" s="17" t="inlineStr">
        <is>
          <t>Monthly FTE per person with reference lines at 1.50 and 0.80, so both thresholds are visible.</t>
        </is>
      </c>
      <c r="C10" s="18"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8" t="inlineStr">
        <is>
          <t>Summary tiles</t>
        </is>
      </c>
      <c r="B12" s="17" t="inlineStr">
        <is>
          <t>Active projects, people assigned, total FTE in the horizon, over-allocated person-months, under-allocated runs.</t>
        </is>
      </c>
      <c r="C12" s="18" t="inlineStr">
        <is>
          <t>REQ-DSH-08</t>
        </is>
      </c>
    </row>
    <row r="14">
      <c r="A14" s="5" t="inlineStr">
        <is>
          <t>Tab 2 - Source data (project)</t>
        </is>
      </c>
    </row>
    <row r="15" ht="28" customHeight="1">
      <c r="A15" s="7" t="inlineStr">
        <is>
          <t>Component</t>
        </is>
      </c>
      <c r="B15" s="7" t="inlineStr">
        <is>
          <t>Content</t>
        </is>
      </c>
      <c r="C15" s="7" t="inlineStr">
        <is>
          <t>REQ-ID</t>
        </is>
      </c>
    </row>
    <row r="16">
      <c r="A16" s="18" t="inlineStr">
        <is>
          <t>Project table</t>
        </is>
      </c>
      <c r="B16" s="17" t="inlineStr">
        <is>
          <t>Every Project column from sheet 04, sortable and filterable, with derived total period. Editable under REQ-IMP-07.</t>
        </is>
      </c>
      <c r="C16" s="18" t="inlineStr">
        <is>
          <t>REQ-DSH-03</t>
        </is>
      </c>
    </row>
    <row r="17">
      <c r="A17" s="10" t="inlineStr">
        <is>
          <t>Milestone sub-table</t>
        </is>
      </c>
      <c r="B17" s="11" t="inlineStr">
        <is>
          <t>Milestones of the selected project, in sequence.</t>
        </is>
      </c>
      <c r="C17" s="10" t="inlineStr">
        <is>
          <t>REQ-PRJ-05</t>
        </is>
      </c>
    </row>
    <row r="18">
      <c r="A18" s="18" t="inlineStr">
        <is>
          <t>Period sub-table</t>
        </is>
      </c>
      <c r="B18" s="17" t="inlineStr">
        <is>
          <t>The selected project's four periods, their derived dates and their weights.</t>
        </is>
      </c>
      <c r="C18" s="18"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8" t="inlineStr">
        <is>
          <t>Person table</t>
        </is>
      </c>
      <c r="B23" s="17" t="inlineStr">
        <is>
          <t>Every Person column from sheet 04, sortable and filterable. Editable under REQ-IMP-07.</t>
        </is>
      </c>
      <c r="C23" s="18" t="inlineStr">
        <is>
          <t>REQ-DSH-04</t>
        </is>
      </c>
    </row>
    <row r="24">
      <c r="A24" s="18" t="inlineStr">
        <is>
          <t>Assignment sub-table</t>
        </is>
      </c>
      <c r="B24" s="17" t="inlineStr">
        <is>
          <t>The selected person's assignments: project, role, start, end, person weight.</t>
        </is>
      </c>
      <c r="C24" s="18"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7" t="inlineStr">
        <is>
          <t>The v0.1 rule 'nothing on screen is editable' is withdrawn. Imported data can be edited in the application.</t>
        </is>
      </c>
      <c r="B30" s="18"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7" t="inlineStr">
        <is>
          <t>Every field is editable, identifiers included (Q-20). Consistency is protected by rule, not by locking fields.</t>
        </is>
      </c>
      <c r="B33" s="18" t="inlineStr">
        <is>
          <t>REQ-IMP-09</t>
        </is>
      </c>
    </row>
    <row r="34">
      <c r="A34" s="9" t="inlineStr">
        <is>
          <t>An edited value is validated exactly as an imported one would be; a rejected edit is refused at the point of entry, not at export.</t>
        </is>
      </c>
      <c r="B34" s="8" t="inlineStr">
        <is>
          <t>REQ-IMP-09</t>
        </is>
      </c>
    </row>
    <row r="35">
      <c r="A35" s="19" t="inlineStr">
        <is>
          <t>Changing an identifier updates every row that references it, after showing how many will change. Deleting a row that is still referenced is refused, naming what points at it.</t>
        </is>
      </c>
      <c r="B35" s="20" t="inlineStr">
        <is>
          <t>REQ-IMP-10, V-17</t>
        </is>
      </c>
    </row>
    <row r="36">
      <c r="A36" s="19" t="inlineStr">
        <is>
          <t>Editing a milestone date re-computes that project's derived periods, unless its period dates were set by hand.</t>
        </is>
      </c>
      <c r="B36" s="20"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V-01..V-17,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20" t="inlineStr">
        <is>
          <t>4. Edit buffer</t>
        </is>
      </c>
      <c r="B27" s="19" t="inlineStr">
        <is>
          <t>Holds on-screen changes, tracks which rows are dirty, re-runs validation per edit, and feeds export.</t>
        </is>
      </c>
      <c r="C27" s="19" t="inlineStr">
        <is>
          <t>Added for REQ-IMP-07. Keeping edits out of the model layer means the calculation never has to care whether a value came from the file or the screen.</t>
        </is>
      </c>
    </row>
    <row r="28">
      <c r="A28" s="18" t="inlineStr">
        <is>
          <t>5. Calculation layer</t>
        </is>
      </c>
      <c r="B28" s="17" t="inlineStr">
        <is>
          <t>The monthly engine above. Pure functions - no DOM, no file access.</t>
        </is>
      </c>
      <c r="C28" s="17" t="inlineStr">
        <is>
          <t>Directly unit-testable, and the piece most likely to be refined once you see real output.</t>
        </is>
      </c>
    </row>
    <row r="29">
      <c r="A29" s="18" t="inlineStr">
        <is>
          <t>6. Presentation layer</t>
        </is>
      </c>
      <c r="B29" s="17" t="inlineStr">
        <is>
          <t>Tabs, tables, graphs, filters, editing controls, export buttons.</t>
        </is>
      </c>
      <c r="C29" s="17"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7"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 - issued for review</t>
        </is>
      </c>
    </row>
    <row r="10">
      <c r="A10" s="10" t="inlineStr">
        <is>
          <t>1</t>
        </is>
      </c>
      <c r="B10" s="10" t="inlineStr">
        <is>
          <t>1.6</t>
        </is>
      </c>
      <c r="C10" s="11" t="inlineStr">
        <is>
          <t>Settle the period-boundary questions Q-21..Q-26.</t>
        </is>
      </c>
      <c r="D10" s="11" t="inlineStr">
        <is>
          <t>Answers on sheet 11</t>
        </is>
      </c>
      <c r="E10" s="10" t="inlineStr">
        <is>
          <t>Pending you</t>
        </is>
      </c>
    </row>
    <row r="11">
      <c r="A11" s="8" t="inlineStr">
        <is>
          <t>1</t>
        </is>
      </c>
      <c r="B11" s="8" t="inlineStr">
        <is>
          <t>1.7</t>
        </is>
      </c>
      <c r="C11" s="9" t="inlineStr">
        <is>
          <t>Final plan issue.</t>
        </is>
      </c>
      <c r="D11" s="9" t="inlineStr">
        <is>
          <t>PRAP_Development_Plan_v1.0.xlsx</t>
        </is>
      </c>
      <c r="E11" s="8" t="inlineStr">
        <is>
          <t>Not started</t>
        </is>
      </c>
    </row>
    <row r="12">
      <c r="A12" s="10" t="inlineStr">
        <is>
          <t>1</t>
        </is>
      </c>
      <c r="B12" s="10" t="inlineStr">
        <is>
          <t>G1</t>
        </is>
      </c>
      <c r="C12" s="11" t="inlineStr">
        <is>
          <t>GATE 1 - development plan approved.</t>
        </is>
      </c>
      <c r="D12" s="11" t="inlineStr">
        <is>
          <t>Approval recorded on 12_Review_Log</t>
        </is>
      </c>
      <c r="E12" s="10" t="inlineStr">
        <is>
          <t>Not started</t>
        </is>
      </c>
    </row>
    <row r="13">
      <c r="A13" s="8" t="inlineStr">
        <is>
          <t>2</t>
        </is>
      </c>
      <c r="B13" s="8" t="inlineStr">
        <is>
          <t>2.1</t>
        </is>
      </c>
      <c r="C13" s="9" t="inlineStr">
        <is>
          <t>Fix the source workbook schema: exact sheet names, column headers, types, value lists.</t>
        </is>
      </c>
      <c r="D13" s="9" t="inlineStr">
        <is>
          <t>Specification sheet 'Data schema'</t>
        </is>
      </c>
      <c r="E13" s="8" t="inlineStr">
        <is>
          <t>Not started</t>
        </is>
      </c>
    </row>
    <row r="14">
      <c r="A14" s="10" t="inlineStr">
        <is>
          <t>2</t>
        </is>
      </c>
      <c r="B14" s="10" t="inlineStr">
        <is>
          <t>2.2</t>
        </is>
      </c>
      <c r="C14" s="11" t="inlineStr">
        <is>
          <t>Specify the calculation engine as pseudocode plus the worked example as an acceptance test.</t>
        </is>
      </c>
      <c r="D14" s="11" t="inlineStr">
        <is>
          <t>Specification sheet 'Calculation'</t>
        </is>
      </c>
      <c r="E14" s="10" t="inlineStr">
        <is>
          <t>Not started</t>
        </is>
      </c>
    </row>
    <row r="15">
      <c r="A15" s="8" t="inlineStr">
        <is>
          <t>2</t>
        </is>
      </c>
      <c r="B15" s="8" t="inlineStr">
        <is>
          <t>2.3</t>
        </is>
      </c>
      <c r="C15" s="9" t="inlineStr">
        <is>
          <t>Specify period derivation per project type, and the over/under-allocation detection.</t>
        </is>
      </c>
      <c r="D15" s="9" t="inlineStr">
        <is>
          <t>Specification sheet 'Calculation'</t>
        </is>
      </c>
      <c r="E15" s="8" t="inlineStr">
        <is>
          <t>Not started</t>
        </is>
      </c>
    </row>
    <row r="16">
      <c r="A16" s="10" t="inlineStr">
        <is>
          <t>2</t>
        </is>
      </c>
      <c r="B16" s="10" t="inlineStr">
        <is>
          <t>2.4</t>
        </is>
      </c>
      <c r="C16" s="11" t="inlineStr">
        <is>
          <t>Specify import validation rules V-01..V-17 and the findings report.</t>
        </is>
      </c>
      <c r="D16" s="11" t="inlineStr">
        <is>
          <t>Specification sheet 'Validation'</t>
        </is>
      </c>
      <c r="E16" s="10" t="inlineStr">
        <is>
          <t>Not started</t>
        </is>
      </c>
    </row>
    <row r="17">
      <c r="A17" s="8" t="inlineStr">
        <is>
          <t>2</t>
        </is>
      </c>
      <c r="B17" s="8" t="inlineStr">
        <is>
          <t>2.5</t>
        </is>
      </c>
      <c r="C17" s="9" t="inlineStr">
        <is>
          <t>Specify each dashboard tab: every table, column, graph, filter and interaction.</t>
        </is>
      </c>
      <c r="D17" s="9" t="inlineStr">
        <is>
          <t>Specification sheet 'UI spec'</t>
        </is>
      </c>
      <c r="E17" s="8" t="inlineStr">
        <is>
          <t>Not started</t>
        </is>
      </c>
    </row>
    <row r="18">
      <c r="A18" s="10" t="inlineStr">
        <is>
          <t>2</t>
        </is>
      </c>
      <c r="B18" s="10" t="inlineStr">
        <is>
          <t>2.6</t>
        </is>
      </c>
      <c r="C18" s="11" t="inlineStr">
        <is>
          <t>Specify on-screen editing, the dirty-state model and export round-tripping.</t>
        </is>
      </c>
      <c r="D18" s="11" t="inlineStr">
        <is>
          <t>Specification sheet 'Editing &amp; IO'</t>
        </is>
      </c>
      <c r="E18" s="10" t="inlineStr">
        <is>
          <t>Not started</t>
        </is>
      </c>
    </row>
    <row r="19">
      <c r="A19" s="8" t="inlineStr">
        <is>
          <t>2</t>
        </is>
      </c>
      <c r="B19" s="8" t="inlineStr">
        <is>
          <t>2.7</t>
        </is>
      </c>
      <c r="C19" s="9" t="inlineStr">
        <is>
          <t>Specify the version/compatibility check.</t>
        </is>
      </c>
      <c r="D19" s="9" t="inlineStr">
        <is>
          <t>Specification sheet 'IO &amp; versioning'</t>
        </is>
      </c>
      <c r="E19" s="8" t="inlineStr">
        <is>
          <t>Not started</t>
        </is>
      </c>
    </row>
    <row r="20">
      <c r="A20" s="10" t="inlineStr">
        <is>
          <t>2</t>
        </is>
      </c>
      <c r="B20" s="10" t="inlineStr">
        <is>
          <t>2.8</t>
        </is>
      </c>
      <c r="C20" s="11" t="inlineStr">
        <is>
          <t>Build the requirement-to-specification traceability matrix.</t>
        </is>
      </c>
      <c r="D20" s="11" t="inlineStr">
        <is>
          <t>Specification sheet 'Traceability'</t>
        </is>
      </c>
      <c r="E20" s="10" t="inlineStr">
        <is>
          <t>Not started</t>
        </is>
      </c>
    </row>
    <row r="21">
      <c r="A21" s="8" t="inlineStr">
        <is>
          <t>2</t>
        </is>
      </c>
      <c r="B21" s="8" t="inlineStr">
        <is>
          <t>G2</t>
        </is>
      </c>
      <c r="C21" s="9" t="inlineStr">
        <is>
          <t>GATE 2 - programming specification approved.</t>
        </is>
      </c>
      <c r="D21" s="9" t="inlineStr">
        <is>
          <t>PRAP_Programming_Specification_v1.0.xlsx</t>
        </is>
      </c>
      <c r="E21" s="8" t="inlineStr">
        <is>
          <t>Not started</t>
        </is>
      </c>
    </row>
    <row r="22">
      <c r="A22" s="10" t="inlineStr">
        <is>
          <t>3</t>
        </is>
      </c>
      <c r="B22" s="10" t="inlineStr">
        <is>
          <t>3.1</t>
        </is>
      </c>
      <c r="C22" s="11" t="inlineStr">
        <is>
          <t>High-level UI design: tab structure, page regions, navigation. No code behind it.</t>
        </is>
      </c>
      <c r="D22" s="11" t="inlineStr">
        <is>
          <t>Prototype HTML (UI only)</t>
        </is>
      </c>
      <c r="E22" s="10" t="inlineStr">
        <is>
          <t>Not started</t>
        </is>
      </c>
    </row>
    <row r="23">
      <c r="A23" s="8" t="inlineStr">
        <is>
          <t>3</t>
        </is>
      </c>
      <c r="B23" s="8" t="inlineStr">
        <is>
          <t>3.2</t>
        </is>
      </c>
      <c r="C23" s="9" t="inlineStr">
        <is>
          <t>Requester reviews the high-level component design.</t>
        </is>
      </c>
      <c r="D23" s="9" t="inlineStr">
        <is>
          <t>Review comments</t>
        </is>
      </c>
      <c r="E23" s="8" t="inlineStr">
        <is>
          <t>Not started</t>
        </is>
      </c>
    </row>
    <row r="24">
      <c r="A24" s="10" t="inlineStr">
        <is>
          <t>3</t>
        </is>
      </c>
      <c r="B24" s="10" t="inlineStr">
        <is>
          <t>3.3</t>
        </is>
      </c>
      <c r="C24" s="11" t="inlineStr">
        <is>
          <t>Final UI design with clear per-component requirements.</t>
        </is>
      </c>
      <c r="D24" s="11" t="inlineStr">
        <is>
          <t>Prototype HTML v1.0 + component list</t>
        </is>
      </c>
      <c r="E24" s="10" t="inlineStr">
        <is>
          <t>Not started</t>
        </is>
      </c>
    </row>
    <row r="25">
      <c r="A25" s="8" t="inlineStr">
        <is>
          <t>3</t>
        </is>
      </c>
      <c r="B25" s="8" t="inlineStr">
        <is>
          <t>G3</t>
        </is>
      </c>
      <c r="C25" s="9" t="inlineStr">
        <is>
          <t>GATE 3 - final design and component list approved. Code generation starts only for approved components.</t>
        </is>
      </c>
      <c r="D25" s="9" t="inlineStr">
        <is>
          <t>Approved component list</t>
        </is>
      </c>
      <c r="E25" s="8" t="inlineStr">
        <is>
          <t>Not started</t>
        </is>
      </c>
    </row>
    <row r="26">
      <c r="A26" s="10" t="inlineStr">
        <is>
          <t>4</t>
        </is>
      </c>
      <c r="B26" s="10" t="inlineStr">
        <is>
          <t>4.1</t>
        </is>
      </c>
      <c r="C26" s="11" t="inlineStr">
        <is>
          <t>IO layer: workbook load, sheet/column mapping, export.</t>
        </is>
      </c>
      <c r="D26" s="11" t="inlineStr">
        <is>
          <t>Application code</t>
        </is>
      </c>
      <c r="E26" s="10" t="inlineStr">
        <is>
          <t>Not started</t>
        </is>
      </c>
    </row>
    <row r="27">
      <c r="A27" s="8" t="inlineStr">
        <is>
          <t>4</t>
        </is>
      </c>
      <c r="B27" s="8" t="inlineStr">
        <is>
          <t>4.2</t>
        </is>
      </c>
      <c r="C27" s="9" t="inlineStr">
        <is>
          <t>Validation layer: rules V-01..V-17 and the findings report.</t>
        </is>
      </c>
      <c r="D27" s="9" t="inlineStr">
        <is>
          <t>Application code</t>
        </is>
      </c>
      <c r="E27" s="8" t="inlineStr">
        <is>
          <t>Not started</t>
        </is>
      </c>
    </row>
    <row r="28">
      <c r="A28" s="10" t="inlineStr">
        <is>
          <t>4</t>
        </is>
      </c>
      <c r="B28" s="10" t="inlineStr">
        <is>
          <t>4.3</t>
        </is>
      </c>
      <c r="C28" s="11" t="inlineStr">
        <is>
          <t>Model layer, Lists and Config handling.</t>
        </is>
      </c>
      <c r="D28" s="11" t="inlineStr">
        <is>
          <t>Application code</t>
        </is>
      </c>
      <c r="E28" s="10" t="inlineStr">
        <is>
          <t>Not started</t>
        </is>
      </c>
    </row>
    <row r="29">
      <c r="A29" s="8" t="inlineStr">
        <is>
          <t>4</t>
        </is>
      </c>
      <c r="B29" s="8" t="inlineStr">
        <is>
          <t>4.4</t>
        </is>
      </c>
      <c r="C29" s="9" t="inlineStr">
        <is>
          <t>Edit buffer: on-screen editing, dirty state, per-edit validation.</t>
        </is>
      </c>
      <c r="D29" s="9" t="inlineStr">
        <is>
          <t>Application code</t>
        </is>
      </c>
      <c r="E29" s="8" t="inlineStr">
        <is>
          <t>Not started</t>
        </is>
      </c>
    </row>
    <row r="30">
      <c r="A30" s="10" t="inlineStr">
        <is>
          <t>4</t>
        </is>
      </c>
      <c r="B30" s="10" t="inlineStr">
        <is>
          <t>4.5</t>
        </is>
      </c>
      <c r="C30" s="11" t="inlineStr">
        <is>
          <t>Calculation engine, verified against the worked example.</t>
        </is>
      </c>
      <c r="D30" s="11" t="inlineStr">
        <is>
          <t>Application code + test evidence</t>
        </is>
      </c>
      <c r="E30" s="10" t="inlineStr">
        <is>
          <t>Not started</t>
        </is>
      </c>
    </row>
    <row r="31">
      <c r="A31" s="8" t="inlineStr">
        <is>
          <t>4</t>
        </is>
      </c>
      <c r="B31" s="8" t="inlineStr">
        <is>
          <t>4.6</t>
        </is>
      </c>
      <c r="C31" s="9" t="inlineStr">
        <is>
          <t>Overall tab: tables, graphs, filters, over/under-allocation flagging.</t>
        </is>
      </c>
      <c r="D31" s="9" t="inlineStr">
        <is>
          <t>Application code</t>
        </is>
      </c>
      <c r="E31" s="8" t="inlineStr">
        <is>
          <t>Not started</t>
        </is>
      </c>
    </row>
    <row r="32">
      <c r="A32" s="10" t="inlineStr">
        <is>
          <t>4</t>
        </is>
      </c>
      <c r="B32" s="10" t="inlineStr">
        <is>
          <t>4.7</t>
        </is>
      </c>
      <c r="C32" s="11" t="inlineStr">
        <is>
          <t>Source data (project) and Source data (person) tabs.</t>
        </is>
      </c>
      <c r="D32" s="11" t="inlineStr">
        <is>
          <t>Application code</t>
        </is>
      </c>
      <c r="E32" s="10" t="inlineStr">
        <is>
          <t>Not started</t>
        </is>
      </c>
    </row>
    <row r="33">
      <c r="A33" s="8" t="inlineStr">
        <is>
          <t>4</t>
        </is>
      </c>
      <c r="B33" s="8" t="inlineStr">
        <is>
          <t>4.8</t>
        </is>
      </c>
      <c r="C33" s="9" t="inlineStr">
        <is>
          <t>Blank source workbook template with value lists and example rows.</t>
        </is>
      </c>
      <c r="D33" s="9" t="inlineStr">
        <is>
          <t>PRAP_SourceData template</t>
        </is>
      </c>
      <c r="E33" s="8" t="inlineStr">
        <is>
          <t>Not started</t>
        </is>
      </c>
    </row>
    <row r="34">
      <c r="A34" s="10" t="inlineStr">
        <is>
          <t>4</t>
        </is>
      </c>
      <c r="B34" s="10" t="inlineStr">
        <is>
          <t>4.9</t>
        </is>
      </c>
      <c r="C34" s="11" t="inlineStr">
        <is>
          <t>Requester reviews output against real data; refinements folded in.</t>
        </is>
      </c>
      <c r="D34" s="11" t="inlineStr">
        <is>
          <t>Updated code</t>
        </is>
      </c>
      <c r="E34" s="10" t="inlineStr">
        <is>
          <t>Not started</t>
        </is>
      </c>
    </row>
    <row r="35">
      <c r="A35" s="8" t="inlineStr">
        <is>
          <t>4</t>
        </is>
      </c>
      <c r="B35" s="8" t="inlineStr">
        <is>
          <t>G4</t>
        </is>
      </c>
      <c r="C35" s="9" t="inlineStr">
        <is>
          <t>GATE 4 - application functionally complete.</t>
        </is>
      </c>
      <c r="D35" s="9" t="inlineStr">
        <is>
          <t>PRAP_Application_v0.9.html</t>
        </is>
      </c>
      <c r="E35" s="8" t="inlineStr">
        <is>
          <t>Not started</t>
        </is>
      </c>
    </row>
    <row r="36">
      <c r="A36" s="10" t="inlineStr">
        <is>
          <t>5</t>
        </is>
      </c>
      <c r="B36" s="10" t="inlineStr">
        <is>
          <t>5.1</t>
        </is>
      </c>
      <c r="C36" s="11" t="inlineStr">
        <is>
          <t>Full pass over the traceability matrix: every Must requirement demonstrated.</t>
        </is>
      </c>
      <c r="D36" s="11" t="inlineStr">
        <is>
          <t>Completed traceability matrix</t>
        </is>
      </c>
      <c r="E36" s="10" t="inlineStr">
        <is>
          <t>Not started</t>
        </is>
      </c>
    </row>
    <row r="37">
      <c r="A37" s="8" t="inlineStr">
        <is>
          <t>5</t>
        </is>
      </c>
      <c r="B37" s="8" t="inlineStr">
        <is>
          <t>5.2</t>
        </is>
      </c>
      <c r="C37" s="9" t="inlineStr">
        <is>
          <t>Test on a clean Windows PC in Edge and Chrome, offline.</t>
        </is>
      </c>
      <c r="D37" s="9" t="inlineStr">
        <is>
          <t>Test evidence</t>
        </is>
      </c>
      <c r="E37" s="8" t="inlineStr">
        <is>
          <t>Not started</t>
        </is>
      </c>
    </row>
    <row r="38">
      <c r="A38" s="10" t="inlineStr">
        <is>
          <t>5</t>
        </is>
      </c>
      <c r="B38" s="10" t="inlineStr">
        <is>
          <t>5.3</t>
        </is>
      </c>
      <c r="C38" s="11" t="inlineStr">
        <is>
          <t>Write the user guide: folder layout, how to load, how to maintain source data.</t>
        </is>
      </c>
      <c r="D38" s="11" t="inlineStr">
        <is>
          <t>User guide</t>
        </is>
      </c>
      <c r="E38" s="10" t="inlineStr">
        <is>
          <t>Not started</t>
        </is>
      </c>
    </row>
    <row r="39">
      <c r="A39" s="8" t="inlineStr">
        <is>
          <t>5</t>
        </is>
      </c>
      <c r="B39" s="8" t="inlineStr">
        <is>
          <t>5.4</t>
        </is>
      </c>
      <c r="C39" s="9" t="inlineStr">
        <is>
          <t>Final version alignment across plan, specification and application.</t>
        </is>
      </c>
      <c r="D39" s="9" t="inlineStr">
        <is>
          <t>Version alignment table (sheet 09)</t>
        </is>
      </c>
      <c r="E39" s="8" t="inlineStr">
        <is>
          <t>Not started</t>
        </is>
      </c>
    </row>
    <row r="40">
      <c r="A40" s="10" t="inlineStr">
        <is>
          <t>5</t>
        </is>
      </c>
      <c r="B40" s="10" t="inlineStr">
        <is>
          <t>G5</t>
        </is>
      </c>
      <c r="C40" s="11" t="inlineStr">
        <is>
          <t>GATE 5 - release.</t>
        </is>
      </c>
      <c r="D40" s="11" t="inlineStr">
        <is>
          <t>PRAP_Application_v1.0.html</t>
        </is>
      </c>
      <c r="E40" s="10" t="inlineStr">
        <is>
          <t>Not started</t>
        </is>
      </c>
    </row>
    <row r="42">
      <c r="A42" s="5" t="inlineStr">
        <is>
          <t>Progress</t>
        </is>
      </c>
    </row>
    <row r="43" ht="28" customHeight="1">
      <c r="A43" s="7" t="inlineStr">
        <is>
          <t>Measure</t>
        </is>
      </c>
      <c r="B43" s="7" t="inlineStr">
        <is>
          <t>Count</t>
        </is>
      </c>
    </row>
    <row r="44">
      <c r="A44" s="8" t="inlineStr">
        <is>
          <t>Tasks total</t>
        </is>
      </c>
      <c r="B44" s="8">
        <f>COUNTA(B5:B40)</f>
        <v/>
      </c>
    </row>
    <row r="45">
      <c r="A45" s="10" t="inlineStr">
        <is>
          <t>Complete</t>
        </is>
      </c>
      <c r="B45" s="10">
        <f>COUNTIF(E5:E40,"Complete")+COUNTIF(E5:E40,"Complete - issued for review")</f>
        <v/>
      </c>
    </row>
    <row r="46">
      <c r="A46" s="8" t="inlineStr">
        <is>
          <t>Awaiting the requester</t>
        </is>
      </c>
      <c r="B46" s="8">
        <f>COUNTIF(E5:E40,"Pending you")</f>
        <v/>
      </c>
    </row>
    <row r="47">
      <c r="A47" s="10" t="inlineStr">
        <is>
          <t>Not started</t>
        </is>
      </c>
      <c r="B47" s="10">
        <f>COUNTIF(E5:E40,"Not started")</f>
        <v/>
      </c>
    </row>
    <row r="49">
      <c r="A49" s="16" t="inlineStr">
        <is>
          <t>No duration estimates: the pace is set by review turnaround at each gate, not by build effort.</t>
        </is>
      </c>
    </row>
  </sheetData>
  <dataValidations count="1">
    <dataValidation sqref="E5:E4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4"/>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8" t="inlineStr">
        <is>
          <t>Source data template</t>
        </is>
      </c>
      <c r="B8" s="17" t="inlineStr">
        <is>
          <t>PRAP_SourceData_v&lt;ver&gt;.xlsx  (one workbook, was two)</t>
        </is>
      </c>
      <c r="C8" s="18" t="inlineStr">
        <is>
          <t>templates/</t>
        </is>
      </c>
      <c r="D8" s="17"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c r="B25" s="10" t="inlineStr"/>
      <c r="C25" s="10" t="inlineStr"/>
      <c r="D25" s="10" t="inlineStr"/>
      <c r="E25" s="10" t="inlineStr"/>
      <c r="F25" s="11" t="inlineStr"/>
    </row>
    <row r="27">
      <c r="A27" s="16" t="inlineStr">
        <is>
          <t>One row per release. Answers 'which specification produced this .html, and which source template does it expect?'.</t>
        </is>
      </c>
    </row>
    <row r="28">
      <c r="A28" s="5" t="inlineStr">
        <is>
          <t>Repository rules</t>
        </is>
      </c>
    </row>
    <row r="29" ht="28" customHeight="1">
      <c r="A29" s="7" t="inlineStr">
        <is>
          <t>Rule</t>
        </is>
      </c>
    </row>
    <row r="30">
      <c r="A30" s="9" t="inlineStr">
        <is>
          <t>All work is committed to branch claude/project-resource-assignment-app-1vjdzh.</t>
        </is>
      </c>
    </row>
    <row r="31">
      <c r="A31" s="11" t="inlineStr">
        <is>
          <t>Documents are generated from scripts in tools/ so their content is reviewable as a text diff, not only as a binary.</t>
        </is>
      </c>
    </row>
    <row r="32">
      <c r="A32" s="9" t="inlineStr">
        <is>
          <t>One commit per meaningful change, with a message naming the step and the affected REQ-IDs.</t>
        </is>
      </c>
    </row>
    <row r="33">
      <c r="A33" s="11" t="inlineStr">
        <is>
          <t>A released version is tagged, so any release can be reproduced exactly.</t>
        </is>
      </c>
    </row>
    <row r="34">
      <c r="A34" s="19"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8" t="inlineStr">
        <is>
          <t>R-01</t>
        </is>
      </c>
      <c r="B5" s="17" t="inlineStr">
        <is>
          <t>The resource formula does not match how burden is actually judged, so output looks wrong.</t>
        </is>
      </c>
      <c r="C5" s="18" t="inlineStr">
        <is>
          <t>Medium</t>
        </is>
      </c>
      <c r="D5" s="18" t="inlineStr">
        <is>
          <t>High</t>
        </is>
      </c>
      <c r="E5" s="17"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8" t="inlineStr">
        <is>
          <t>R-03</t>
        </is>
      </c>
      <c r="B7" s="17" t="inlineStr">
        <is>
          <t>Corporate policy blocks local .html files or restricts the browser.</t>
        </is>
      </c>
      <c r="C7" s="18" t="inlineStr">
        <is>
          <t>-</t>
        </is>
      </c>
      <c r="D7" s="18" t="inlineStr">
        <is>
          <t>-</t>
        </is>
      </c>
      <c r="E7" s="17"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8" t="inlineStr">
        <is>
          <t>R-05</t>
        </is>
      </c>
      <c r="B9" s="17" t="inlineStr">
        <is>
          <t>Data volume grows beyond what a browser handles comfortably.</t>
        </is>
      </c>
      <c r="C9" s="18" t="inlineStr">
        <is>
          <t>Low</t>
        </is>
      </c>
      <c r="D9" s="18" t="inlineStr">
        <is>
          <t>Low</t>
        </is>
      </c>
      <c r="E9" s="17"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20" t="inlineStr">
        <is>
          <t>R-08</t>
        </is>
      </c>
      <c r="B12" s="19" t="inlineStr">
        <is>
          <t>On-screen edits are lost because the user closes the page without exporting.</t>
        </is>
      </c>
      <c r="C12" s="20" t="inlineStr">
        <is>
          <t>High</t>
        </is>
      </c>
      <c r="D12" s="20" t="inlineStr">
        <is>
          <t>High</t>
        </is>
      </c>
      <c r="E12" s="19" t="inlineStr">
        <is>
          <t>The direct cost of REQ-IMP-07. Mitigated by REQ-IMP-08: a visible unsaved-edit count and a warning before any action that discards them. The browser cache (REQ-IMP-06) becomes more valuable here as a second net.</t>
        </is>
      </c>
    </row>
    <row r="13">
      <c r="A13" s="18" t="inlineStr">
        <is>
          <t>R-09</t>
        </is>
      </c>
      <c r="B13" s="17" t="inlineStr">
        <is>
          <t>Milestone-derived periods break for a project with missing or out-of-order milestones.</t>
        </is>
      </c>
      <c r="C13" s="18" t="inlineStr">
        <is>
          <t>Medium</t>
        </is>
      </c>
      <c r="D13" s="18" t="inlineStr">
        <is>
          <t>High</t>
        </is>
      </c>
      <c r="E13" s="17"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8" t="inlineStr">
        <is>
          <t>R-10</t>
        </is>
      </c>
      <c r="B14" s="17" t="inlineStr">
        <is>
          <t>The weight and role-factor values are unknown to the plan, so output cannot be checked against reality until they are entered.</t>
        </is>
      </c>
      <c r="C14" s="18" t="inlineStr">
        <is>
          <t>Medium</t>
        </is>
      </c>
      <c r="D14" s="18" t="inlineStr">
        <is>
          <t>Medium</t>
        </is>
      </c>
      <c r="E14" s="17"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supplied period mapping leaves parts of a project with no period, so months silently carry a default weight.</t>
        </is>
      </c>
      <c r="C15" s="20" t="inlineStr">
        <is>
          <t>High</t>
        </is>
      </c>
      <c r="D15" s="20" t="inlineStr">
        <is>
          <t>Medium</t>
        </is>
      </c>
      <c r="E15" s="19" t="inlineStr">
        <is>
          <t>Found by working the Q-16 mapping through a test project: three uncovered stretches. v0.3 adopts a no-gap reading and raises Q-21 to Q-23. REQ-CAL-10 makes any residual gap visible rather than silent.</t>
        </is>
      </c>
    </row>
    <row r="16">
      <c r="A16" s="20" t="inlineStr">
        <is>
          <t>R-12</t>
        </is>
      </c>
      <c r="B16" s="19" t="inlineStr">
        <is>
          <t>Fully editable identifiers let a user break the links between sheets.</t>
        </is>
      </c>
      <c r="C16" s="20" t="inlineStr">
        <is>
          <t>Medium</t>
        </is>
      </c>
      <c r="D16" s="20" t="inlineStr">
        <is>
          <t>High</t>
        </is>
      </c>
      <c r="E16" s="19"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8" t="inlineStr">
        <is>
          <t>A-01</t>
        </is>
      </c>
      <c r="B20" s="17" t="inlineStr">
        <is>
          <t>Data volume is under 20 projects and 30 people.</t>
        </is>
      </c>
      <c r="C20" s="18" t="inlineStr">
        <is>
          <t>CONFIRMED Q-06</t>
        </is>
      </c>
    </row>
    <row r="21">
      <c r="A21" s="18" t="inlineStr">
        <is>
          <t>A-02</t>
        </is>
      </c>
      <c r="B21" s="17" t="inlineStr">
        <is>
          <t>One person's capacity is 1.00 FTE = 160 hours per month; part-timers carry a lower capacity_fte.</t>
        </is>
      </c>
      <c r="C21" s="18"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8" t="inlineStr">
        <is>
          <t>A-05</t>
        </is>
      </c>
      <c r="B24" s="17" t="inlineStr">
        <is>
          <t>Windows 10 or 11 with Edge or Chrome, and local .html files open.</t>
        </is>
      </c>
      <c r="C24" s="18" t="inlineStr">
        <is>
          <t>CONFIRMED Q-05</t>
        </is>
      </c>
    </row>
    <row r="25">
      <c r="A25" s="10" t="inlineStr">
        <is>
          <t>A-06</t>
        </is>
      </c>
      <c r="B25" s="11" t="inlineStr">
        <is>
          <t>Only one person maintains the workbook at a time - no concurrent editing to reconcile.</t>
        </is>
      </c>
      <c r="C25" s="10" t="inlineStr">
        <is>
          <t>Standing</t>
        </is>
      </c>
    </row>
    <row r="26">
      <c r="A26" s="18" t="inlineStr">
        <is>
          <t>A-07</t>
        </is>
      </c>
      <c r="B26" s="17" t="inlineStr">
        <is>
          <t>Milestone dates now DRIVE period boundaries (REQ-CAL-09); they are no longer merely informational.</t>
        </is>
      </c>
      <c r="C26" s="18" t="inlineStr">
        <is>
          <t>Changed by Q-01/Q-04</t>
        </is>
      </c>
    </row>
    <row r="27">
      <c r="A27" s="18" t="inlineStr">
        <is>
          <t>A-08</t>
        </is>
      </c>
      <c r="B27" s="17" t="inlineStr">
        <is>
          <t>Period sets are type-specific: four for Clinical Trial, three for 'Others'.</t>
        </is>
      </c>
      <c r="C27" s="18" t="inlineStr">
        <is>
          <t>CONFIRMED Q-18</t>
        </is>
      </c>
    </row>
    <row r="28">
      <c r="A28" s="18" t="inlineStr">
        <is>
          <t>A-09</t>
        </is>
      </c>
      <c r="B28" s="17" t="inlineStr">
        <is>
          <t>'Category of project' may mean either project_type or project_category. The weight table is keyed on both, so either reading works without a schema change.</t>
        </is>
      </c>
      <c r="C28" s="18" t="inlineStr">
        <is>
          <t>Handled by design - Q-26</t>
        </is>
      </c>
    </row>
    <row r="29">
      <c r="A29" s="20" t="inlineStr">
        <is>
          <t>A-10</t>
        </is>
      </c>
      <c r="B29" s="19" t="inlineStr">
        <is>
          <t>'Others' projects have no derivable milestones, so their three periods are entered by hand.</t>
        </is>
      </c>
      <c r="C29" s="20" t="inlineStr">
        <is>
          <t>To confirm - Q-25</t>
        </is>
      </c>
    </row>
    <row r="30">
      <c r="A30" s="20" t="inlineStr">
        <is>
          <t>A-11</t>
        </is>
      </c>
      <c r="B30" s="19" t="inlineStr">
        <is>
          <t>No example source file is coming; the structure in this plan is taken as matching the existing one.</t>
        </is>
      </c>
      <c r="C30" s="20"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0"/>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96" customWidth="1" min="3" max="3"/>
    <col width="13" customWidth="1" min="4" max="4"/>
    <col width="42" customWidth="1" min="5" max="5"/>
  </cols>
  <sheetData>
    <row r="1">
      <c r="A1" s="15" t="inlineStr">
        <is>
          <t>Open questions</t>
        </is>
      </c>
    </row>
    <row r="2">
      <c r="A2" s="16" t="inlineStr">
        <is>
          <t>Q-01..Q-20 are answered and closed. Q-21..Q-26 are new. Please answer in the YELLOW cells.</t>
        </is>
      </c>
    </row>
    <row r="4">
      <c r="A4" s="5" t="inlineStr">
        <is>
          <t>Answered at the v0.2 review  [round 2]</t>
        </is>
      </c>
    </row>
    <row r="5" ht="28" customHeight="1">
      <c r="A5" s="7" t="inlineStr">
        <is>
          <t>ID</t>
        </is>
      </c>
      <c r="B5" s="7" t="inlineStr">
        <is>
          <t>Topic</t>
        </is>
      </c>
      <c r="C5" s="7" t="inlineStr">
        <is>
          <t>Question (short)</t>
        </is>
      </c>
      <c r="D5" s="7" t="inlineStr">
        <is>
          <t>Your answer</t>
        </is>
      </c>
      <c r="E5" s="7" t="inlineStr">
        <is>
          <t>How it was applied in v0.3</t>
        </is>
      </c>
    </row>
    <row r="6">
      <c r="A6" s="8" t="inlineStr">
        <is>
          <t>Q-13</t>
        </is>
      </c>
      <c r="B6" s="8" t="inlineStr">
        <is>
          <t>Blocker</t>
        </is>
      </c>
      <c r="C6" s="9" t="inlineStr">
        <is>
          <t>The '13_Templete_example' sheet is missing.</t>
        </is>
      </c>
      <c r="D6" s="9" t="inlineStr">
        <is>
          <t>Structure already provided is similar to the existing one. No example file coming. Close this.</t>
        </is>
      </c>
      <c r="E6" s="9" t="inlineStr">
        <is>
          <t>CLOSED. WBS task 1.5 removed; assumption A-11 records that the schema in this plan is taken as matching yours.</t>
        </is>
      </c>
    </row>
    <row r="7">
      <c r="A7" s="10" t="inlineStr">
        <is>
          <t>Q-14</t>
        </is>
      </c>
      <c r="B7" s="10" t="inlineStr">
        <is>
          <t>Data model</t>
        </is>
      </c>
      <c r="C7" s="11" t="inlineStr">
        <is>
          <t>outsourcing_type listed a value twice.</t>
        </is>
      </c>
      <c r="D7" s="11" t="inlineStr">
        <is>
          <t>'Full outsourcing' / 'Partial outsourcing' / 'Full In-house'.</t>
        </is>
      </c>
      <c r="E7" s="11" t="inlineStr">
        <is>
          <t>Applied - three values, REQ-PRJ-04 and the Lists sheet.</t>
        </is>
      </c>
    </row>
    <row r="8">
      <c r="A8" s="8" t="inlineStr">
        <is>
          <t>Q-15</t>
        </is>
      </c>
      <c r="B8" s="8" t="inlineStr">
        <is>
          <t>Data model</t>
        </is>
      </c>
      <c r="C8" s="9" t="inlineStr">
        <is>
          <t>Which milestone set is standard?</t>
        </is>
      </c>
      <c r="D8" s="9" t="inlineStr">
        <is>
          <t>'CTA submission', 'First SIV', 'LPI', 'interim DB lock cut-off', 'interim DB lock', 'final DB lock cut-off', 'final DB lock'.</t>
        </is>
      </c>
      <c r="E8" s="9" t="inlineStr">
        <is>
          <t>Applied - list replaced; FPI dropped. The answer says eight but names seven, so the count is queried at Q-24.</t>
        </is>
      </c>
    </row>
    <row r="9">
      <c r="A9" s="10" t="inlineStr">
        <is>
          <t>Q-16</t>
        </is>
      </c>
      <c r="B9" s="10" t="inlineStr">
        <is>
          <t>Calculation</t>
        </is>
      </c>
      <c r="C9" s="11" t="inlineStr">
        <is>
          <t>Confirm the milestone-to-period mapping.</t>
        </is>
      </c>
      <c r="D9" s="11" t="inlineStr">
        <is>
          <t>Start-up = 1 month before CTA submission, 4 months long. Conduct = after Start-up to 3 months before interim DB lock (final if no interim). Close-out = 2 months before that DB lock, to DB lock.</t>
        </is>
      </c>
      <c r="E9" s="11" t="inlineStr">
        <is>
          <t>Applied with three corrections - the mapping as written leaves gaps. See sheet 05 and Q-21, Q-22, Q-23.</t>
        </is>
      </c>
    </row>
    <row r="10">
      <c r="A10" s="8" t="inlineStr">
        <is>
          <t>Q-17</t>
        </is>
      </c>
      <c r="B10" s="8" t="inlineStr">
        <is>
          <t>Calculation</t>
        </is>
      </c>
      <c r="C10" s="9" t="inlineStr">
        <is>
          <t>The weight and role-factor values.</t>
        </is>
      </c>
      <c r="D10" s="9" t="inlineStr">
        <is>
          <t>Actual numbers to be filled into the source file (excel).</t>
        </is>
      </c>
      <c r="E10" s="9" t="inlineStr">
        <is>
          <t>CLOSED. The plan fixes where the values live, not what they are - which is what REQ-CAL-06 always required. Risk R-10 downgraded. Part (c) of the question is handled by design and re-asked lightly at Q-26.</t>
        </is>
      </c>
    </row>
    <row r="11">
      <c r="A11" s="10" t="inlineStr">
        <is>
          <t>Q-18</t>
        </is>
      </c>
      <c r="B11" s="10" t="inlineStr">
        <is>
          <t>Calculation</t>
        </is>
      </c>
      <c r="C11" s="11" t="inlineStr">
        <is>
          <t>Do 'Others' projects share the same periods?</t>
        </is>
      </c>
      <c r="D11" s="11" t="inlineStr">
        <is>
          <t>No - 'Others' uses 'Planning' / 'Develop' / 'Close'.</t>
        </is>
      </c>
      <c r="E11" s="11" t="inlineStr">
        <is>
          <t>Applied - REQ-PRJ-12, type-specific period sets, V-15. Raises Q-25: those periods have no milestones to derive from.</t>
        </is>
      </c>
    </row>
    <row r="12">
      <c r="A12" s="8" t="inlineStr">
        <is>
          <t>Q-19</t>
        </is>
      </c>
      <c r="B12" s="8" t="inlineStr">
        <is>
          <t>Data model</t>
        </is>
      </c>
      <c r="C12" s="9" t="inlineStr">
        <is>
          <t>Can system_prepared_by be dropped?</t>
        </is>
      </c>
      <c r="D12" s="9" t="inlineStr">
        <is>
          <t>Yes - replaced by the EDC_setup .. DM_conduct fields.</t>
        </is>
      </c>
      <c r="E12" s="9" t="inlineStr">
        <is>
          <t>Applied - column removed from the Project sheet.</t>
        </is>
      </c>
    </row>
    <row r="13">
      <c r="A13" s="10" t="inlineStr">
        <is>
          <t>Q-20</t>
        </is>
      </c>
      <c r="B13" s="10" t="inlineStr">
        <is>
          <t>Editing</t>
        </is>
      </c>
      <c r="C13" s="11" t="inlineStr">
        <is>
          <t>Which fields should be editable?</t>
        </is>
      </c>
      <c r="D13" s="11" t="inlineStr">
        <is>
          <t>Every field. Validation rules prevent inconsistency between sheets instead.</t>
        </is>
      </c>
      <c r="E13" s="11" t="inlineStr">
        <is>
          <t>Applied - REQ-IMP-09 widened, REQ-IMP-10 and V-17 added, decision C-09, risk R-12.</t>
        </is>
      </c>
    </row>
    <row r="15">
      <c r="A15" s="5" t="inlineStr">
        <is>
          <t>Answered at the v0.11 review  [round 1]</t>
        </is>
      </c>
    </row>
    <row r="16" ht="28" customHeight="1">
      <c r="A16" s="7" t="inlineStr">
        <is>
          <t>ID</t>
        </is>
      </c>
      <c r="B16" s="7" t="inlineStr">
        <is>
          <t>Topic</t>
        </is>
      </c>
      <c r="C16" s="7" t="inlineStr">
        <is>
          <t>Question (short)</t>
        </is>
      </c>
      <c r="D16" s="7" t="inlineStr">
        <is>
          <t>Your answer</t>
        </is>
      </c>
      <c r="E16" s="7" t="inlineStr">
        <is>
          <t>How it was applied in v0.2</t>
        </is>
      </c>
    </row>
    <row r="17">
      <c r="A17" s="8" t="inlineStr">
        <is>
          <t>Q-01</t>
        </is>
      </c>
      <c r="B17" s="8" t="inlineStr">
        <is>
          <t>Calculation</t>
        </is>
      </c>
      <c r="C17" s="9" t="inlineStr">
        <is>
          <t>Do weights multiply?</t>
        </is>
      </c>
      <c r="D17"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17" s="9" t="inlineStr">
        <is>
          <t>Applied - sheet 05. base_allocation removed; PersonPeriodWeight became an override.</t>
        </is>
      </c>
    </row>
    <row r="18">
      <c r="A18" s="10" t="inlineStr">
        <is>
          <t>Q-02</t>
        </is>
      </c>
      <c r="B18" s="10" t="inlineStr">
        <is>
          <t>Calculation</t>
        </is>
      </c>
      <c r="C18" s="11" t="inlineStr">
        <is>
          <t>Pro-rate partial months by calendar days?</t>
        </is>
      </c>
      <c r="D18" s="11" t="inlineStr">
        <is>
          <t>Yes - expected work follows the calendar days worked between the joined date and the end date.</t>
        </is>
      </c>
      <c r="E18" s="11" t="inlineStr">
        <is>
          <t>Applied - C-02 confirmed; REQ-CAL-05 raised to Must.</t>
        </is>
      </c>
    </row>
    <row r="19">
      <c r="A19" s="8" t="inlineStr">
        <is>
          <t>Q-03</t>
        </is>
      </c>
      <c r="B19" s="8" t="inlineStr">
        <is>
          <t>Roles</t>
        </is>
      </c>
      <c r="C19" s="9" t="inlineStr">
        <is>
          <t>Which roles, and do they differ in burden?</t>
        </is>
      </c>
      <c r="D19" s="9" t="inlineStr">
        <is>
          <t>Clinical Trial: Project oversight, Lead data manager, Clinical Data Associator, Clinical Database Programmer, Data Analyst. Others: Project lead, Main staff, Other staff.</t>
        </is>
      </c>
      <c r="E19" s="9" t="inlineStr">
        <is>
          <t>Applied - RoleFactor gains a project_type column; V-03 raised to an error.</t>
        </is>
      </c>
    </row>
    <row r="20">
      <c r="A20" s="10" t="inlineStr">
        <is>
          <t>Q-04</t>
        </is>
      </c>
      <c r="B20" s="10" t="inlineStr">
        <is>
          <t>Project periods</t>
        </is>
      </c>
      <c r="C20" s="11" t="inlineStr">
        <is>
          <t>Standard period names and weights?</t>
        </is>
      </c>
      <c r="D20" s="11" t="inlineStr">
        <is>
          <t>Before-Start-up, Start-up, Conduct, Close-out.</t>
        </is>
      </c>
      <c r="E20" s="11" t="inlineStr">
        <is>
          <t>Applied - sheet 04 ProjectPeriod. Weight VALUES still needed - Q-17.</t>
        </is>
      </c>
    </row>
    <row r="21">
      <c r="A21" s="8" t="inlineStr">
        <is>
          <t>Q-05</t>
        </is>
      </c>
      <c r="B21" s="8" t="inlineStr">
        <is>
          <t>Environment</t>
        </is>
      </c>
      <c r="C21" s="9" t="inlineStr">
        <is>
          <t>Can you open a local .html file?</t>
        </is>
      </c>
      <c r="D21" s="9" t="inlineStr">
        <is>
          <t>Yes.</t>
        </is>
      </c>
      <c r="E21" s="9" t="inlineStr">
        <is>
          <t>Applied - risk R-03 closed.</t>
        </is>
      </c>
    </row>
    <row r="22">
      <c r="A22" s="10" t="inlineStr">
        <is>
          <t>Q-06</t>
        </is>
      </c>
      <c r="B22" s="10" t="inlineStr">
        <is>
          <t>Data volume</t>
        </is>
      </c>
      <c r="C22" s="11" t="inlineStr">
        <is>
          <t>How many projects and people?</t>
        </is>
      </c>
      <c r="D22" s="11" t="inlineStr">
        <is>
          <t>Under 20 projects and 30 people.</t>
        </is>
      </c>
      <c r="E22" s="11" t="inlineStr">
        <is>
          <t>Applied - REQ-NFR-03 target reduced; R-05 downgraded.</t>
        </is>
      </c>
    </row>
    <row r="23">
      <c r="A23" s="8" t="inlineStr">
        <is>
          <t>Q-07</t>
        </is>
      </c>
      <c r="B23" s="8" t="inlineStr">
        <is>
          <t>Milestones</t>
        </is>
      </c>
      <c r="C23" s="9" t="inlineStr">
        <is>
          <t>Which milestones?</t>
        </is>
      </c>
      <c r="D23" s="9" t="inlineStr">
        <is>
          <t>CTA submission, FPI, LPI, DB lock cut-off, DB lock.</t>
        </is>
      </c>
      <c r="E23" s="9" t="inlineStr">
        <is>
          <t>Applied - Milestone list. Conflicts with the v0.11 mark-up in sheet 04 - see Q-15.</t>
        </is>
      </c>
    </row>
    <row r="24">
      <c r="A24" s="10" t="inlineStr">
        <is>
          <t>Q-08</t>
        </is>
      </c>
      <c r="B24" s="10" t="inlineStr">
        <is>
          <t>Capacity</t>
        </is>
      </c>
      <c r="C24" s="11" t="inlineStr">
        <is>
          <t>Capacity and thresholds?</t>
        </is>
      </c>
      <c r="D24" s="11" t="inlineStr">
        <is>
          <t>1 FTE = 160 h/month (8 h/day, 5 days/week, 20 days/month). Over-allocation: total above 1.5 FTE in a month. Under-allocation: below 0.8 FTE for 3 months or longer.</t>
        </is>
      </c>
      <c r="E24" s="11" t="inlineStr">
        <is>
          <t>Applied - REQ-CAL-04, REQ-CAL-07, REQ-CAL-08; Config parameters; sheet 06 flagging.</t>
        </is>
      </c>
    </row>
    <row r="25">
      <c r="A25" s="8" t="inlineStr">
        <is>
          <t>Q-09</t>
        </is>
      </c>
      <c r="B25" s="8" t="inlineStr">
        <is>
          <t>Source files</t>
        </is>
      </c>
      <c r="C25" s="9" t="inlineStr">
        <is>
          <t>One workbook or two?</t>
        </is>
      </c>
      <c r="D25" s="9" t="inlineStr">
        <is>
          <t>One single workbook with all sheets.</t>
        </is>
      </c>
      <c r="E25" s="9" t="inlineStr">
        <is>
          <t>Applied - sheet 04 restructured; REQ-OUT-03 reworded; architecture and deployment updated.</t>
        </is>
      </c>
    </row>
    <row r="26">
      <c r="A26" s="10" t="inlineStr">
        <is>
          <t>Q-10</t>
        </is>
      </c>
      <c r="B26" s="10" t="inlineStr">
        <is>
          <t>Existing data</t>
        </is>
      </c>
      <c r="C26" s="11" t="inlineStr">
        <is>
          <t>Existing spreadsheet structure?</t>
        </is>
      </c>
      <c r="D26" s="11" t="inlineStr">
        <is>
          <t>Refer to '13_Templete_example'.</t>
        </is>
      </c>
      <c r="E26" s="11" t="inlineStr">
        <is>
          <t>NOT APPLIED - that sheet is not in the returned file. See Q-13.</t>
        </is>
      </c>
    </row>
    <row r="27">
      <c r="A27" s="8" t="inlineStr">
        <is>
          <t>Q-11</t>
        </is>
      </c>
      <c r="B27" s="8" t="inlineStr">
        <is>
          <t>Horizon</t>
        </is>
      </c>
      <c r="C27" s="9" t="inlineStr">
        <is>
          <t>Planning horizon?</t>
        </is>
      </c>
      <c r="D27" s="9" t="inlineStr">
        <is>
          <t>24 months default, expandable to the latest project end date.</t>
        </is>
      </c>
      <c r="E27" s="9" t="inlineStr">
        <is>
          <t>Applied - REQ-CAL-01, REQ-DSH-07, Config default_horizon_months.</t>
        </is>
      </c>
    </row>
    <row r="28">
      <c r="A28" s="10" t="inlineStr">
        <is>
          <t>Q-12</t>
        </is>
      </c>
      <c r="B28" s="10" t="inlineStr">
        <is>
          <t>Scope check</t>
        </is>
      </c>
      <c r="C28" s="11" t="inlineStr">
        <is>
          <t>Anything wrongly out of scope?</t>
        </is>
      </c>
      <c r="D28" s="11" t="inlineStr">
        <is>
          <t>Fine.</t>
        </is>
      </c>
      <c r="E28" s="11" t="inlineStr">
        <is>
          <t>Applied - exclusions confirmed on sheet 02.</t>
        </is>
      </c>
    </row>
    <row r="30">
      <c r="A30" s="5" t="inlineStr">
        <is>
          <t>Open - raised by the round-2 answers</t>
        </is>
      </c>
    </row>
    <row r="31">
      <c r="A31" s="16" t="inlineStr">
        <is>
          <t>Q-21 to Q-23 all come from one place: the Q-16 mapping, applied literally, leaves three stretches of a project with no period and therefore no weight. v0.3 adopts a reading that closes each gap so the plan stays buildable - these ask whether that reading is right.</t>
        </is>
      </c>
    </row>
    <row r="32" ht="28" customHeight="1">
      <c r="A32" s="7" t="inlineStr">
        <is>
          <t>ID</t>
        </is>
      </c>
      <c r="B32" s="7" t="inlineStr">
        <is>
          <t>Topic</t>
        </is>
      </c>
      <c r="C32" s="7" t="inlineStr">
        <is>
          <t>Question</t>
        </is>
      </c>
      <c r="D32" s="7" t="inlineStr">
        <is>
          <t>Needed by step</t>
        </is>
      </c>
      <c r="E32" s="7" t="inlineStr">
        <is>
          <t>Your answer</t>
        </is>
      </c>
    </row>
    <row r="33">
      <c r="A33" s="8" t="inlineStr">
        <is>
          <t>Q-21</t>
        </is>
      </c>
      <c r="B33" s="8" t="inlineStr">
        <is>
          <t>Calculation</t>
        </is>
      </c>
      <c r="C33" s="9" t="inlineStr">
        <is>
          <t>The mapping defines Start-up, Conduct and Close-out, but not 'Before-Start-up' - so the months from project start until one month before CTA submission have no period. v0.3 assumes Before-Start-up covers exactly that stretch. Correct, or should the project simply not start until Start-up?</t>
        </is>
      </c>
      <c r="D33" s="8" t="inlineStr">
        <is>
          <t>2</t>
        </is>
      </c>
      <c r="E33" s="22" t="inlineStr"/>
    </row>
    <row r="34">
      <c r="A34" s="10" t="inlineStr">
        <is>
          <t>Q-22</t>
        </is>
      </c>
      <c r="B34" s="10" t="inlineStr">
        <is>
          <t>Calculation</t>
        </is>
      </c>
      <c r="C34" s="11" t="inlineStr">
        <is>
          <t>Conduct is said to run 'up to 3 months prior' to the DB lock, but Close-out starts '2 months prior' - leaving one month belonging to neither. v0.3 ends Conduct the day before Close-out begins, making Close-out two months long. Alternatively Close-out could start 3 months prior and run three months. Which?</t>
        </is>
      </c>
      <c r="D34" s="10" t="inlineStr">
        <is>
          <t>2</t>
        </is>
      </c>
      <c r="E34" s="22" t="inlineStr"/>
    </row>
    <row r="35">
      <c r="A35" s="8" t="inlineStr">
        <is>
          <t>Q-23</t>
        </is>
      </c>
      <c r="B35" s="8" t="inlineStr">
        <is>
          <t>Calculation</t>
        </is>
      </c>
      <c r="C35" s="9" t="inlineStr">
        <is>
          <t>Close-out is said to end at 'DB lock', but where a trial has both an interim and a final lock it is not clear which. Ending at the interim lock would leave everything between interim and final with no period - 6 months in the test case. v0.3 ends Close-out at the project's LAST DB lock. Correct, or does a separate period cover interim-to-final?</t>
        </is>
      </c>
      <c r="D35" s="8" t="inlineStr">
        <is>
          <t>2</t>
        </is>
      </c>
      <c r="E35" s="22" t="inlineStr"/>
    </row>
    <row r="36">
      <c r="A36" s="10" t="inlineStr">
        <is>
          <t>Q-24</t>
        </is>
      </c>
      <c r="B36" s="10" t="inlineStr">
        <is>
          <t>Data model</t>
        </is>
      </c>
      <c r="C36" s="11" t="inlineStr">
        <is>
          <t>The milestone answer says 'Standard milestones (8)' but names seven: CTA submission, First SIV, LPI, interim DB lock cut-off, interim DB lock, final DB lock cut-off, final DB lock. Which is the eighth? (FPI, dropped from the earlier list, would be the obvious candidate.)</t>
        </is>
      </c>
      <c r="D36" s="10" t="inlineStr">
        <is>
          <t>2</t>
        </is>
      </c>
      <c r="E36" s="22" t="inlineStr"/>
    </row>
    <row r="37">
      <c r="A37" s="8" t="inlineStr">
        <is>
          <t>Q-25</t>
        </is>
      </c>
      <c r="B37" s="8" t="inlineStr">
        <is>
          <t>Data model</t>
        </is>
      </c>
      <c r="C37" s="9" t="inlineStr">
        <is>
          <t>'Others' projects use Planning / Develop / Close, but carry none of the clinical milestones the derivation needs. v0.3 has their period dates entered by hand. Is that right, or should they derive from something - project start and end split by a fixed ratio, say?</t>
        </is>
      </c>
      <c r="D37" s="8" t="inlineStr">
        <is>
          <t>2</t>
        </is>
      </c>
      <c r="E37" s="22" t="inlineStr"/>
    </row>
    <row r="38">
      <c r="A38" s="10" t="inlineStr">
        <is>
          <t>Q-26</t>
        </is>
      </c>
      <c r="B38" s="10" t="inlineStr">
        <is>
          <t>Calculation</t>
        </is>
      </c>
      <c r="C38" s="11" t="inlineStr">
        <is>
          <t>Low priority - the design already covers both readings. When you said project weight is given by 'category of project', did you mean project_type (Clinical Trial vs Others) or project_category (the product name)? Filling only the '*' rows of PeriodWeightStandard gives the first; naming products gives the second.</t>
        </is>
      </c>
      <c r="D38" s="10" t="inlineStr">
        <is>
          <t>2</t>
        </is>
      </c>
      <c r="E38" s="22" t="inlineStr"/>
    </row>
    <row r="40">
      <c r="A40" s="16" t="inlineStr">
        <is>
          <t>None of these blocks Step 2 - each affects one row of one table, and the engine reads that table as data. They do need settling before the calculation can be trusted against a real project.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9"/>
  <sheetViews>
    <sheetView showGridLines="0" workbookViewId="0">
      <pane ySplit="4" topLeftCell="A5" activePane="bottomLeft" state="frozen"/>
      <selection pane="bottomLeft" activeCell="A1" sqref="A1"/>
    </sheetView>
  </sheetViews>
  <sheetFormatPr baseColWidth="8" defaultRowHeight="15"/>
  <cols>
    <col width="30" customWidth="1" min="1" max="1"/>
    <col width="26" customWidth="1" min="2" max="2"/>
    <col width="16" customWidth="1" min="3" max="3"/>
    <col width="46"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answer says eight and names seven; queried at Q-24 rather than guessed.</t>
        </is>
      </c>
      <c r="F22" s="10" t="inlineStr">
        <is>
          <t>Open</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is adopted on sheet 05 and the three points raised as Q-21..Q-23. REQ-CAL-10 and risk R-11 added so any residual gap is reported rather than silent.</t>
        </is>
      </c>
      <c r="F23" s="8" t="inlineStr">
        <is>
          <t>Open</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Raises Q-25 - those periods have no milestones to derive from.</t>
        </is>
      </c>
      <c r="F25" s="8" t="inlineStr">
        <is>
          <t>Open</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9">
      <c r="A29" s="5" t="inlineStr">
        <is>
          <t>Disposition summary</t>
        </is>
      </c>
    </row>
    <row r="30" ht="28" customHeight="1">
      <c r="A30" s="7" t="inlineStr">
        <is>
          <t>Measure</t>
        </is>
      </c>
      <c r="B30" s="7" t="inlineStr">
        <is>
          <t>Count</t>
        </is>
      </c>
    </row>
    <row r="31">
      <c r="A31" s="8" t="inlineStr">
        <is>
          <t>Closed in v0.2</t>
        </is>
      </c>
      <c r="B31" s="8">
        <f>COUNTIF(F5:F27,"Closed")</f>
        <v/>
      </c>
    </row>
    <row r="32">
      <c r="A32" s="10" t="inlineStr">
        <is>
          <t>Open - awaiting your answer</t>
        </is>
      </c>
      <c r="B32" s="10">
        <f>COUNTIF(F5:F27,"Open")</f>
        <v/>
      </c>
    </row>
    <row r="33">
      <c r="A33" s="8" t="inlineStr">
        <is>
          <t>Total items</t>
        </is>
      </c>
      <c r="B33" s="8">
        <f>COUNTA(A5:A27)</f>
        <v/>
      </c>
    </row>
    <row r="35">
      <c r="A35" s="5" t="inlineStr">
        <is>
          <t>Approval - Gate 1</t>
        </is>
      </c>
    </row>
    <row r="36" ht="28" customHeight="1">
      <c r="A36" s="7" t="inlineStr">
        <is>
          <t>Document</t>
        </is>
      </c>
      <c r="B36" s="7" t="inlineStr">
        <is>
          <t>Approver</t>
        </is>
      </c>
      <c r="C36" s="7" t="inlineStr">
        <is>
          <t>Date</t>
        </is>
      </c>
      <c r="D36" s="7" t="inlineStr">
        <is>
          <t>Decision</t>
        </is>
      </c>
    </row>
    <row r="37">
      <c r="A37" s="8" t="inlineStr">
        <is>
          <t>Development plan v___</t>
        </is>
      </c>
      <c r="B37" s="23" t="inlineStr"/>
      <c r="C37" s="23" t="inlineStr"/>
      <c r="D37" s="22" t="inlineStr">
        <is>
          <t>Approved / Approved with comments / Not approved</t>
        </is>
      </c>
    </row>
    <row r="39">
      <c r="A39" s="16" t="inlineStr">
        <is>
          <t>Step 2 begins only once this gate is recorded as approved.</t>
        </is>
      </c>
    </row>
  </sheetData>
  <dataValidations count="1">
    <dataValidation sqref="F5:F27"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2026-07-31T15:14:02Z</dcterms:created>
  <dcterms:modified xsi:type="dcterms:W3CDTF">2026-07-31T15:14:02Z</dcterms:modified>
</cp:coreProperties>
</file>