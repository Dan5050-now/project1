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Architecture" sheetId="5" state="visible" r:id="rId5"/>
    <sheet name="05_Data_Flow" sheetId="6" state="visible" r:id="rId6"/>
    <sheet name="06_Decisions" sheetId="7" state="visible" r:id="rId7"/>
    <sheet name="07_WBS_Schedule" sheetId="8" state="visible" r:id="rId8"/>
    <sheet name="08_Verification"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Consolas"/>
      <sz val="10"/>
    </font>
    <font>
      <name val="Arial"/>
      <i val="1"/>
      <color rgb="00808080"/>
      <sz val="9"/>
    </font>
    <font>
      <name val="Arial"/>
      <b val="1"/>
      <color rgb="001F3864"/>
      <sz val="16"/>
    </font>
    <font>
      <name val="Arial"/>
      <b val="1"/>
      <color rgb="00FFFFFF"/>
      <sz val="10"/>
    </font>
  </fonts>
  <fills count="7">
    <fill>
      <patternFill/>
    </fill>
    <fill>
      <patternFill patternType="gray125"/>
    </fill>
    <fill>
      <patternFill patternType="solid">
        <fgColor rgb="002F5597"/>
      </patternFill>
    </fill>
    <fill>
      <patternFill patternType="solid">
        <fgColor rgb="00C6E0B4"/>
      </patternFill>
    </fill>
    <fill>
      <patternFill patternType="solid">
        <fgColor rgb="00F2F5FB"/>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0" pivotButton="0" quotePrefix="0" xfId="0"/>
    <xf numFmtId="0" fontId="4" fillId="5" borderId="0" pivotButton="0" quotePrefix="0" xfId="0"/>
    <xf numFmtId="0" fontId="4" fillId="6" borderId="0" pivotButton="0" quotePrefix="0" xfId="0"/>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showGridLines="0" workbookViewId="0">
      <selection activeCell="A1" sqref="A1"/>
    </sheetView>
  </sheetViews>
  <sheetFormatPr baseColWidth="8" defaultRowHeight="15"/>
  <cols>
    <col width="36" customWidth="1" min="1" max="1"/>
    <col width="110" customWidth="1" min="2" max="2"/>
  </cols>
  <sheetData>
    <row r="1">
      <c r="A1" s="1" t="inlineStr">
        <is>
          <t>Project Resource Assignment Program (PRAP)</t>
        </is>
      </c>
    </row>
    <row r="2">
      <c r="A2" s="2" t="inlineStr">
        <is>
          <t>Desktop Application - Development Plan</t>
        </is>
      </c>
    </row>
    <row r="4" ht="30" customHeight="1">
      <c r="A4" s="3" t="inlineStr">
        <is>
          <t>Document ID</t>
        </is>
      </c>
      <c r="B4" s="4" t="inlineStr">
        <is>
          <t>PRAP-NAPP-PLAN-001</t>
        </is>
      </c>
    </row>
    <row r="5" ht="30" customHeight="1">
      <c r="A5" s="3" t="inlineStr">
        <is>
          <t>Document type</t>
        </is>
      </c>
      <c r="B5" s="4" t="inlineStr">
        <is>
          <t>Development plan (Step 1 deliverable) for a SECOND application</t>
        </is>
      </c>
    </row>
    <row r="6" ht="30" customHeight="1">
      <c r="A6" s="3" t="inlineStr">
        <is>
          <t>Version</t>
        </is>
      </c>
      <c r="B6" s="4" t="inlineStr">
        <is>
          <t>v0.3</t>
        </is>
      </c>
    </row>
    <row r="7" ht="30" customHeight="1">
      <c r="A7" s="3" t="inlineStr">
        <is>
          <t>Status</t>
        </is>
      </c>
      <c r="B7" s="4" t="inlineStr">
        <is>
          <t>DRAFT - issued for review round 3. Step 1 of 5. Windows-only, non-installed, and shareable from a network folder. Nothing is built until Gate N1 is passed.</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rounds 1 and 2 answered 2026-08-13; round 3 pending</t>
        </is>
      </c>
    </row>
    <row r="11" ht="30" customHeight="1">
      <c r="A11" s="3" t="inlineStr">
        <is>
          <t>Fixed constraints</t>
        </is>
      </c>
      <c r="B11" s="4" t="inlineStr">
        <is>
          <t>WINDOWS ONLY, and NON-INSTALLED. Instructed 2026-08-13. The application is copied as a folder and run from it - no installer, no administrator rights, no registry, nothing written outside its own folder. See sheet 04 for what this changes and sheet 10 for what it does not fix.</t>
        </is>
      </c>
    </row>
    <row r="12" ht="30" customHeight="1">
      <c r="A12" s="3" t="inlineStr">
        <is>
          <t>Under consideration</t>
        </is>
      </c>
      <c r="B12" s="4" t="inlineStr">
        <is>
          <t>The application folder MAY sit on a SHARED NETWORK FOLDER (Q-N12, round 2). Planned for as though it will: several people running one copy is designed for on sheet 05, and it is what makes workspace locking (NR-STO-10) necessary rather than optional.</t>
        </is>
      </c>
    </row>
    <row r="13" ht="30" customHeight="1">
      <c r="A13" s="3" t="inlineStr">
        <is>
          <t>Relationship to the web application</t>
        </is>
      </c>
      <c r="B13" s="4" t="inlineStr">
        <is>
          <t>PARALLEL, NOT SUCCESSOR. The web application and its documents are complete and stay in service. This plan does not supersede, amend or retire any of them.</t>
        </is>
      </c>
    </row>
    <row r="14" ht="30" customHeight="1">
      <c r="A14" s="3" t="inlineStr">
        <is>
          <t>Governs</t>
        </is>
      </c>
      <c r="B14" s="4" t="inlineStr">
        <is>
          <t>A packaged desktop application built on the same calculation engine</t>
        </is>
      </c>
    </row>
    <row r="15" ht="30" customHeight="1">
      <c r="A15" s="3" t="inlineStr">
        <is>
          <t>Does NOT govern</t>
        </is>
      </c>
      <c r="B15" s="4" t="inlineStr">
        <is>
          <t>app/PRAP.html (application v1.24), which remains under PRAP_Development_Plan_v2.26.xlsx</t>
        </is>
      </c>
    </row>
    <row r="16" ht="30" customHeight="1">
      <c r="A16" s="3" t="inlineStr">
        <is>
          <t>Repository</t>
        </is>
      </c>
      <c r="B16" s="4" t="inlineStr">
        <is>
          <t>Dan5050-now/project1</t>
        </is>
      </c>
    </row>
    <row r="17" ht="30" customHeight="1">
      <c r="A17" s="3" t="inlineStr">
        <is>
          <t>Branch</t>
        </is>
      </c>
      <c r="B17" s="4" t="inlineStr">
        <is>
          <t>claude/project-resource-assignment-app-1vjdzh</t>
        </is>
      </c>
    </row>
    <row r="18" ht="30" customHeight="1">
      <c r="A18" s="3" t="inlineStr">
        <is>
          <t>Supersedes</t>
        </is>
      </c>
      <c r="B18" s="4" t="inlineStr">
        <is>
          <t>Nothing. This is a new document line, numbered from v0.1</t>
        </is>
      </c>
    </row>
    <row r="20">
      <c r="A20" s="5" t="inlineStr">
        <is>
          <t>Why a second plan rather than a new version of the first</t>
        </is>
      </c>
    </row>
    <row r="21">
      <c r="A21" s="6" t="inlineStr">
        <is>
          <t>The web application is finished, verified and about to be used. Folding a desktop rewrite into its plan would</t>
        </is>
      </c>
    </row>
    <row r="22">
      <c r="A22" s="6" t="inlineStr">
        <is>
          <t>put a completed, approved document back into draft, and would make it impossible to tell which requirements</t>
        </is>
      </c>
    </row>
    <row r="23">
      <c r="A23" s="6" t="inlineStr">
        <is>
          <t>the finished tool actually satisfies. Two plans keep both answers clean:</t>
        </is>
      </c>
    </row>
    <row r="24">
      <c r="A24" s="6" t="inlineStr"/>
    </row>
    <row r="25">
      <c r="A25" s="7" t="inlineStr">
        <is>
          <t xml:space="preserve">    PRAP_Development_Plan_v2.26.xlsx          the web application - CLOSED at Gate 4, going to Gate 5</t>
        </is>
      </c>
    </row>
    <row r="26">
      <c r="A26" s="7" t="inlineStr">
        <is>
          <t xml:space="preserve">    PRAP_NewApp_Development_Plan_v0.3.xlsx      the desktop application - OPEN at Step 1</t>
        </is>
      </c>
    </row>
    <row r="27">
      <c r="A27" s="6" t="inlineStr"/>
    </row>
    <row r="28">
      <c r="A28" s="6" t="inlineStr">
        <is>
          <t>They share one calculation engine and one data contract, and sheet 02 states exactly how that sharing is</t>
        </is>
      </c>
    </row>
    <row r="29">
      <c r="A29" s="6" t="inlineStr">
        <is>
          <t>kept honest. Everything else about them is independent: their own versions, their own gates, their own</t>
        </is>
      </c>
    </row>
    <row r="30">
      <c r="A30" s="6" t="inlineStr">
        <is>
          <t>approvals, their own release cycles.</t>
        </is>
      </c>
    </row>
    <row r="32">
      <c r="A32" s="8" t="inlineStr">
        <is>
          <t>File naming follows the repository convention already in use - no spaces, version suffix, one generator script per document. The generator for this plan is tools/build_newapp_plan.py.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showGridLines="0" workbookViewId="0">
      <pane ySplit="4" topLeftCell="A5" activePane="bottomLeft" state="frozen"/>
      <selection pane="bottomLeft" activeCell="A1" sqref="A1"/>
    </sheetView>
  </sheetViews>
  <sheetFormatPr baseColWidth="8" defaultRowHeight="15"/>
  <cols>
    <col width="12" customWidth="1" min="1" max="1"/>
    <col width="110" customWidth="1" min="2" max="2"/>
    <col width="15" customWidth="1" min="3" max="3"/>
    <col width="13" customWidth="1" min="4" max="4"/>
    <col width="108" customWidth="1" min="5" max="5"/>
  </cols>
  <sheetData>
    <row r="1">
      <c r="A1" s="9" t="inlineStr">
        <is>
          <t>Version history</t>
        </is>
      </c>
    </row>
    <row r="2">
      <c r="A2" s="8" t="inlineStr">
        <is>
          <t>This document's own line. It does not continue the web application plan's numbering.</t>
        </is>
      </c>
    </row>
    <row r="4" ht="28" customHeight="1">
      <c r="A4" s="10" t="inlineStr">
        <is>
          <t>Version</t>
        </is>
      </c>
      <c r="B4" s="10" t="inlineStr">
        <is>
          <t>Date</t>
        </is>
      </c>
      <c r="C4" s="10" t="inlineStr">
        <is>
          <t>Author</t>
        </is>
      </c>
      <c r="D4" s="10" t="inlineStr">
        <is>
          <t>Reviewer</t>
        </is>
      </c>
      <c r="E4" s="10" t="inlineStr">
        <is>
          <t>Summary of change</t>
        </is>
      </c>
    </row>
    <row r="5">
      <c r="A5" s="11" t="inlineStr">
        <is>
          <t>0.3</t>
        </is>
      </c>
      <c r="B5" s="11" t="inlineStr">
        <is>
          <t>2026-08-13</t>
        </is>
      </c>
      <c r="C5" s="11" t="inlineStr">
        <is>
          <t>Claude Code</t>
        </is>
      </c>
      <c r="D5" s="11" t="inlineStr">
        <is>
          <t>Pending</t>
        </is>
      </c>
      <c r="E5" s="12" t="inlineStr">
        <is>
          <t>REVIEW ROUND 2 APPLIED. Q-N13 closed - no file association is wanted, so NR-IMP-04 stands as reduced and decision N-15 is unchallenged. Q-N12 answered 'a shared network folder could be considered', which is the larger change: one application folder that several people run means their settings would collide, and two of them could edit one plan at once and lose each other's work. Planned for rather than deferred. NR-DEP-06 amended to permit the places the USER designates; NR-DEP-09 raised from Should to Must; NR-DEP-10..13 and NR-STO-10 added, covering where data goes, per-user separation, the personal shortcut that carries it, and workspace locking. Decisions N-16, N-17 and N-18. Risks R-N12 (running from a UNC path) and R-N13 (a stale lock) added. Q-N06 is superseded - concurrent use is now designed for whether or not it happens. Two new questions, Q-N14 and Q-N15, both about how the share would actually be used.</t>
        </is>
      </c>
    </row>
    <row r="6">
      <c r="A6" s="13" t="inlineStr">
        <is>
          <t>0.2</t>
        </is>
      </c>
      <c r="B6" s="13" t="inlineStr">
        <is>
          <t>2026-08-13</t>
        </is>
      </c>
      <c r="C6" s="13" t="inlineStr">
        <is>
          <t>Claude Code</t>
        </is>
      </c>
      <c r="D6" s="13" t="inlineStr">
        <is>
          <t>Superseded</t>
        </is>
      </c>
      <c r="E6" s="14" t="inlineStr">
        <is>
          <t>REVIEW ROUND 1 APPLIED. Two instructions, both narrowing the product: it must run on Windows, and it must NOT be installed. Q-N01 is closed (Windows 10/11 only; macOS and Linux out of scope). Q-N02 is narrowed - no installer means no administrator rights are needed at all, so what remains to check with IT is execution policy, SmartScreen and anti-virus, not installation rights. NR-DEP-01..04 rewritten and NR-DEP-05..08 added; NR-IMP-04 reduced, because a file association would need a registry write the portable rule forbids. Decisions N-13, N-14 and N-15 added, and N-14 rejects the single self-extracting executable in favour of a plain folder. Sheet 05 gains the folder layout, which had to be settled here because putting workspaces inside the application folder would make an update delete them. Risks R-N09 (SmartScreen and anti-virus), R-N10 (Windows path length) and R-N11 (read-only network share) added; R-N01 re-scoped. Two new questions, Q-N12 and Q-N13.</t>
        </is>
      </c>
    </row>
    <row r="7">
      <c r="A7" s="15" t="inlineStr">
        <is>
          <t>0.1</t>
        </is>
      </c>
      <c r="B7" s="15" t="inlineStr">
        <is>
          <t>2026-08-13</t>
        </is>
      </c>
      <c r="C7" s="15" t="inlineStr">
        <is>
          <t>Claude Code</t>
        </is>
      </c>
      <c r="D7" s="15" t="inlineStr">
        <is>
          <t>Superseded</t>
        </is>
      </c>
      <c r="E7" s="16" t="inlineStr">
        <is>
          <t>FIRST ISSUE. Raised on your instruction of 2026-08-13: build the requested application as a separate program type, keep imported data across sessions, and plan it apart from the web application under its own document name. Contains 33 requirements (sheet 03), the layer split that makes one engine serve two applications (sheet 04), the workspace persistence model (sheet 05), 12 decisions (sheet 06) and 11 open questions (sheet 11). Distribution size is recorded as unconstrained on your instruction, which is what makes decision N-01 affordable.</t>
        </is>
      </c>
    </row>
    <row r="9">
      <c r="A9" s="5" t="inlineStr">
        <is>
          <t>Numbering rules for this document line</t>
        </is>
      </c>
    </row>
    <row r="10" ht="28" customHeight="1">
      <c r="A10" s="10" t="inlineStr">
        <is>
          <t>Version</t>
        </is>
      </c>
      <c r="B10" s="10" t="inlineStr">
        <is>
          <t>Meaning</t>
        </is>
      </c>
    </row>
    <row r="11">
      <c r="A11" s="15" t="inlineStr">
        <is>
          <t>v0.x</t>
        </is>
      </c>
      <c r="B11" s="16" t="inlineStr">
        <is>
          <t>Draft issues during Step 1 review rounds.</t>
        </is>
      </c>
    </row>
    <row r="12">
      <c r="A12" s="13" t="inlineStr">
        <is>
          <t>v1.0</t>
        </is>
      </c>
      <c r="B12" s="14" t="inlineStr">
        <is>
          <t>The approved baseline, set at Gate N1.</t>
        </is>
      </c>
    </row>
    <row r="13">
      <c r="A13" s="15" t="inlineStr">
        <is>
          <t>v1.x</t>
        </is>
      </c>
      <c r="B13" s="16" t="inlineStr">
        <is>
          <t>Approved changes against that baseline, each separately approved.</t>
        </is>
      </c>
    </row>
    <row r="14">
      <c r="A14" s="13" t="inlineStr">
        <is>
          <t>v2.0</t>
        </is>
      </c>
      <c r="B14" s="14" t="inlineStr">
        <is>
          <t>Reserved for a structural change, on the same rule the web plan used.</t>
        </is>
      </c>
    </row>
    <row r="16">
      <c r="A16" s="8" t="inlineStr">
        <is>
          <t>Gate prefixes are N1..N5 throughout this document, so a reference such as 'G4' can never be confused between the two plans.</t>
        </is>
      </c>
    </row>
    <row r="17">
      <c r="A17" s="3" t="inlineStr">
        <is>
          <t>Legend</t>
        </is>
      </c>
    </row>
    <row r="18">
      <c r="A18" s="17" t="inlineStr">
        <is>
          <t>Green = new to the desktop application; nothing in the web application corresponds to it.</t>
        </is>
      </c>
    </row>
    <row r="19">
      <c r="A19" s="18" t="inlineStr">
        <is>
          <t>Orange = inherited from the web application but deliberately changed here.</t>
        </is>
      </c>
    </row>
    <row r="20">
      <c r="A20" s="19" t="inlineStr">
        <is>
          <t>Yellow = needs your decision before the work can proceed.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showGridLines="0" workbookViewId="0">
      <pane ySplit="4" topLeftCell="A5" activePane="bottomLeft" state="frozen"/>
      <selection pane="bottomLeft" activeCell="A1" sqref="A1"/>
    </sheetView>
  </sheetViews>
  <sheetFormatPr baseColWidth="8" defaultRowHeight="15"/>
  <cols>
    <col width="66" customWidth="1" min="1" max="1"/>
    <col width="80" customWidth="1" min="2" max="2"/>
    <col width="56" customWidth="1" min="3" max="3"/>
    <col width="14" customWidth="1" min="4" max="4"/>
  </cols>
  <sheetData>
    <row r="1">
      <c r="A1" s="9" t="inlineStr">
        <is>
          <t>Scope - two applications, one engine</t>
        </is>
      </c>
    </row>
    <row r="2">
      <c r="A2" s="8" t="inlineStr">
        <is>
          <t>What the desktop application is for, what it inherits, and what is explicitly out of scope.</t>
        </is>
      </c>
    </row>
    <row r="4">
      <c r="A4" s="5" t="inlineStr">
        <is>
          <t>Objective</t>
        </is>
      </c>
    </row>
    <row r="5">
      <c r="A5" s="6" t="inlineStr">
        <is>
          <t>Deliver the same resource simulation as a conventional installed program: an application with its own icon,</t>
        </is>
      </c>
    </row>
    <row r="6">
      <c r="A6" s="6" t="inlineStr">
        <is>
          <t>its own window and its own files, which remembers the data it was given and opens showing the plan the user</t>
        </is>
      </c>
    </row>
    <row r="7">
      <c r="A7" s="6" t="inlineStr">
        <is>
          <t>was last working on. The simulation itself - the load formula, the period derivation, the validation rules -</t>
        </is>
      </c>
    </row>
    <row r="8">
      <c r="A8" s="6" t="inlineStr">
        <is>
          <t>does not change at all, and must not.</t>
        </is>
      </c>
    </row>
    <row r="10">
      <c r="A10" s="5" t="inlineStr">
        <is>
          <t>The two applications side by side</t>
        </is>
      </c>
    </row>
    <row r="11" ht="28" customHeight="1">
      <c r="A11" s="10" t="inlineStr">
        <is>
          <t>Aspect</t>
        </is>
      </c>
      <c r="B11" s="10" t="inlineStr">
        <is>
          <t>Web application</t>
        </is>
      </c>
      <c r="C11" s="10" t="inlineStr">
        <is>
          <t>Desktop application</t>
        </is>
      </c>
      <c r="D11" s="10" t="inlineStr">
        <is>
          <t>Requirement</t>
        </is>
      </c>
    </row>
    <row r="12">
      <c r="A12" s="20" t="inlineStr">
        <is>
          <t>Form</t>
        </is>
      </c>
      <c r="B12" s="21" t="inlineStr">
        <is>
          <t>One HTML file, opened in a browser</t>
        </is>
      </c>
      <c r="C12" s="21" t="inlineStr">
        <is>
          <t>Program with its own window and icon, run from a copied folder - NOT installed</t>
        </is>
      </c>
      <c r="D12" s="20" t="inlineStr">
        <is>
          <t>NR-APP-01, NR-DEP-05</t>
        </is>
      </c>
    </row>
    <row r="13">
      <c r="A13" s="20" t="inlineStr">
        <is>
          <t>Platform</t>
        </is>
      </c>
      <c r="B13" s="21" t="inlineStr">
        <is>
          <t>Any browser on any OS</t>
        </is>
      </c>
      <c r="C13" s="21" t="inlineStr">
        <is>
          <t>Windows 10 / 11 only</t>
        </is>
      </c>
      <c r="D13" s="20" t="inlineStr">
        <is>
          <t>NR-DEP-01</t>
        </is>
      </c>
    </row>
    <row r="14">
      <c r="A14" s="20" t="inlineStr">
        <is>
          <t>Data after closing</t>
        </is>
      </c>
      <c r="B14" s="21" t="inlineStr">
        <is>
          <t>Lost - the file must be re-imported each session</t>
        </is>
      </c>
      <c r="C14" s="21" t="inlineStr">
        <is>
          <t>KEPT - the workspace reopens as it was left</t>
        </is>
      </c>
      <c r="D14" s="20" t="inlineStr">
        <is>
          <t>NR-STO-01</t>
        </is>
      </c>
    </row>
    <row r="15">
      <c r="A15" s="20" t="inlineStr">
        <is>
          <t>Source of truth</t>
        </is>
      </c>
      <c r="B15" s="21" t="inlineStr">
        <is>
          <t>The Excel workbook outside the application</t>
        </is>
      </c>
      <c r="C15" s="21" t="inlineStr">
        <is>
          <t>The workspace file the application owns; Excel becomes exchange</t>
        </is>
      </c>
      <c r="D15" s="20" t="inlineStr">
        <is>
          <t>NR-STO-02</t>
        </is>
      </c>
    </row>
    <row r="16">
      <c r="A16" s="15" t="inlineStr">
        <is>
          <t>Calculation engine</t>
        </is>
      </c>
      <c r="B16" s="16" t="inlineStr">
        <is>
          <t>Shared - one implementation</t>
        </is>
      </c>
      <c r="C16" s="16" t="inlineStr">
        <is>
          <t>Shared - the same implementation, not a copy</t>
        </is>
      </c>
      <c r="D16" s="15" t="inlineStr">
        <is>
          <t>NR-PAR-01</t>
        </is>
      </c>
    </row>
    <row r="17">
      <c r="A17" s="13" t="inlineStr">
        <is>
          <t>Data contract</t>
        </is>
      </c>
      <c r="B17" s="14" t="inlineStr">
        <is>
          <t>Schema version 5, ten sheets</t>
        </is>
      </c>
      <c r="C17" s="14" t="inlineStr">
        <is>
          <t>Identical, unchanged</t>
        </is>
      </c>
      <c r="D17" s="13" t="inlineStr">
        <is>
          <t>NR-PAR-02</t>
        </is>
      </c>
    </row>
    <row r="18">
      <c r="A18" s="15" t="inlineStr">
        <is>
          <t>AI agent interoperability</t>
        </is>
      </c>
      <c r="B18" s="16" t="inlineStr">
        <is>
          <t>prap-source-data JSON, format_version 1</t>
        </is>
      </c>
      <c r="C18" s="16" t="inlineStr">
        <is>
          <t>Identical, and now also the on-disk format</t>
        </is>
      </c>
      <c r="D18" s="15" t="inlineStr">
        <is>
          <t>NR-STO-03</t>
        </is>
      </c>
    </row>
    <row r="19">
      <c r="A19" s="20" t="inlineStr">
        <is>
          <t>Distribution</t>
        </is>
      </c>
      <c r="B19" s="21" t="inlineStr">
        <is>
          <t>Copy one file</t>
        </is>
      </c>
      <c r="C19" s="21" t="inlineStr">
        <is>
          <t>Copy one folder. No installer, no administrator rights, no registry. Size unconstrained</t>
        </is>
      </c>
      <c r="D19" s="20" t="inlineStr">
        <is>
          <t>NR-DEP-02, NR-DEP-05</t>
        </is>
      </c>
    </row>
    <row r="20">
      <c r="A20" s="11" t="inlineStr">
        <is>
          <t>Removal</t>
        </is>
      </c>
      <c r="B20" s="12" t="inlineStr">
        <is>
          <t>Delete the file</t>
        </is>
      </c>
      <c r="C20" s="12" t="inlineStr">
        <is>
          <t>Delete the folder. Nothing is left behind anywhere on the machine</t>
        </is>
      </c>
      <c r="D20" s="11" t="inlineStr">
        <is>
          <t>NR-DEP-07</t>
        </is>
      </c>
    </row>
    <row r="21">
      <c r="A21" s="13" t="inlineStr">
        <is>
          <t>Network use</t>
        </is>
      </c>
      <c r="B21" s="14" t="inlineStr">
        <is>
          <t>None</t>
        </is>
      </c>
      <c r="C21" s="14" t="inlineStr">
        <is>
          <t>None</t>
        </is>
      </c>
      <c r="D21" s="13" t="inlineStr">
        <is>
          <t>NR-SEC-01</t>
        </is>
      </c>
    </row>
    <row r="22">
      <c r="A22" s="15" t="inlineStr">
        <is>
          <t>Status</t>
        </is>
      </c>
      <c r="B22" s="16" t="inlineStr">
        <is>
          <t>Complete, in service, frozen at Gate 5</t>
        </is>
      </c>
      <c r="C22" s="16" t="inlineStr">
        <is>
          <t>Not started - this plan is Step 1</t>
        </is>
      </c>
      <c r="D22" s="15" t="inlineStr">
        <is>
          <t>-</t>
        </is>
      </c>
    </row>
    <row r="25">
      <c r="A25" s="5" t="inlineStr">
        <is>
          <t>What the web application keeps - not touched by this plan</t>
        </is>
      </c>
    </row>
    <row r="26" ht="28" customHeight="1">
      <c r="A26" s="10" t="inlineStr">
        <is>
          <t>Point</t>
        </is>
      </c>
    </row>
    <row r="27">
      <c r="A27" s="16" t="inlineStr">
        <is>
          <t>app/PRAP.html (application v1.24) continues in service, unchanged, and is released as v1.0 under its own Gate 5.</t>
        </is>
      </c>
    </row>
    <row r="28">
      <c r="A28" s="14" t="inlineStr">
        <is>
          <t>PRAP_Development_Plan_v2.26.xlsx, the programming specification v1.0 and the UI component list v1.0 stay approved as they are.</t>
        </is>
      </c>
    </row>
    <row r="29">
      <c r="A29" s="16" t="inlineStr">
        <is>
          <t>The source workbook template, the dummy datasets and the AI agent guide serve BOTH applications and are not forked.</t>
        </is>
      </c>
    </row>
    <row r="30">
      <c r="A30" s="14" t="inlineStr">
        <is>
          <t>The 13 verification suites under tools/ keep running against the HTML build after every change, which is how a regression in the shared engine is caught before it can reach either application.</t>
        </is>
      </c>
    </row>
    <row r="31">
      <c r="A31" s="16" t="inlineStr">
        <is>
          <t>Any engine fix found while building the desktop application is made in the shared engine, re-verified against both, and released to the HTML build as a point version. Fixes flow to both; features do not flow backwards without their own approval.</t>
        </is>
      </c>
    </row>
    <row r="34">
      <c r="A34" s="5" t="inlineStr">
        <is>
          <t>In scope</t>
        </is>
      </c>
    </row>
    <row r="35" ht="28" customHeight="1">
      <c r="A35" s="10" t="inlineStr">
        <is>
          <t>Item</t>
        </is>
      </c>
    </row>
    <row r="36">
      <c r="A36" s="16" t="inlineStr">
        <is>
          <t>A desktop application for Windows 10 / 11, launched from an icon, no browser involved.</t>
        </is>
      </c>
    </row>
    <row r="37">
      <c r="A37" s="14" t="inlineStr">
        <is>
          <t>Portable operation: the whole application is one folder that is copied where the user wants it and run from there, with everything it needs and everything it writes kept inside that folder.</t>
        </is>
      </c>
    </row>
    <row r="38">
      <c r="A38" s="16" t="inlineStr">
        <is>
          <t>Persistent storage: a workspace the application owns, written on every Save and reopened at launch.</t>
        </is>
      </c>
    </row>
    <row r="39">
      <c r="A39" s="14" t="inlineStr">
        <is>
          <t>Import from the Excel source workbook and from prap-source-data JSON, as today - but as an INGEST into the workspace rather than as the session's only data.</t>
        </is>
      </c>
    </row>
    <row r="40">
      <c r="A40" s="16" t="inlineStr">
        <is>
          <t>Export to Excel and JSON, as today, for sharing and archiving.</t>
        </is>
      </c>
    </row>
    <row r="41">
      <c r="A41" s="14" t="inlineStr">
        <is>
          <t>Desktop conventions the web version cannot offer: native Open/Save dialogs, a recent-workspaces list, a menu bar, window state remembered between sessions.</t>
        </is>
      </c>
    </row>
    <row r="42">
      <c r="A42" s="16" t="inlineStr">
        <is>
          <t>Crash and power-loss recovery, including edits that were pending when the application stopped.</t>
        </is>
      </c>
    </row>
    <row r="43">
      <c r="A43" s="14" t="inlineStr">
        <is>
          <t>The refactor that makes one engine serve both applications, with the HTML build proven unchanged by it.</t>
        </is>
      </c>
    </row>
    <row r="46">
      <c r="A46" s="5" t="inlineStr">
        <is>
          <t>Out of scope for v1.0</t>
        </is>
      </c>
    </row>
    <row r="47" ht="28" customHeight="1">
      <c r="A47" s="10" t="inlineStr">
        <is>
          <t>Excluded</t>
        </is>
      </c>
      <c r="B47" s="10" t="inlineStr">
        <is>
          <t>Why</t>
        </is>
      </c>
    </row>
    <row r="48">
      <c r="A48" s="16" t="inlineStr">
        <is>
          <t>Any change to the load formula, the period derivation, the validation rules or the data schema.</t>
        </is>
      </c>
      <c r="B48" s="16" t="inlineStr">
        <is>
          <t>The engine is shared. Changing it here would change the finished web application too.</t>
        </is>
      </c>
    </row>
    <row r="49">
      <c r="A49" s="14" t="inlineStr">
        <is>
          <t>Multi-user or concurrent editing of one workspace.</t>
        </is>
      </c>
      <c r="B49" s="14" t="inlineStr">
        <is>
          <t>Assumption A-06 of the web plan still holds - one person maintains a plan at a time. Q-N06 asks whether that is still true.</t>
        </is>
      </c>
    </row>
    <row r="50">
      <c r="A50" s="16" t="inlineStr">
        <is>
          <t>A server, a database service, or any network feature.</t>
        </is>
      </c>
      <c r="B50" s="16" t="inlineStr">
        <is>
          <t>The tool is offline by requirement, and that is a property worth keeping rather than an accident.</t>
        </is>
      </c>
    </row>
    <row r="51">
      <c r="A51" s="14" t="inlineStr">
        <is>
          <t>macOS and Linux builds.</t>
        </is>
      </c>
      <c r="B51" s="14" t="inlineStr">
        <is>
          <t>CLOSED at review round 1: Windows only. The same source would build for them, but they are neither verified nor supported.</t>
        </is>
      </c>
    </row>
    <row r="52">
      <c r="A52" s="16" t="inlineStr">
        <is>
          <t>An installer, a Start-menu entry, a file association, or any registry entry.</t>
        </is>
      </c>
      <c r="B52" s="16" t="inlineStr">
        <is>
          <t>CLOSED at review round 1: the application is non-installed. Each of these would write outside its own folder, which NR-DEP-06 forbids. The cost is recorded honestly at NR-IMP-04 and decision N-15.</t>
        </is>
      </c>
    </row>
    <row r="53">
      <c r="A53" s="14" t="inlineStr">
        <is>
          <t>Automatic update over the network.</t>
        </is>
      </c>
      <c r="B53" s="14" t="inlineStr">
        <is>
          <t>It would be the only thing in the product that needs a network. Updates are distributed as a new package.</t>
        </is>
      </c>
    </row>
    <row r="54">
      <c r="A54" s="16" t="inlineStr">
        <is>
          <t>Migrating the web application onto the desktop shell, or retiring it.</t>
        </is>
      </c>
      <c r="B54" s="16" t="inlineStr">
        <is>
          <t>Explicitly excluded on your instruction: both applications stay.</t>
        </is>
      </c>
    </row>
    <row r="56">
      <c r="A56" s="3" t="inlineStr">
        <is>
          <t>Legend</t>
        </is>
      </c>
    </row>
    <row r="57">
      <c r="A57" s="17" t="inlineStr">
        <is>
          <t>Green = new to the desktop application; nothing in the web application corresponds to it.</t>
        </is>
      </c>
    </row>
    <row r="58">
      <c r="A58" s="18" t="inlineStr">
        <is>
          <t>Orange = inherited from the web application but deliberately changed here.</t>
        </is>
      </c>
    </row>
    <row r="59">
      <c r="A59" s="19" t="inlineStr">
        <is>
          <t>Yellow = needs your decision before the work can proceed.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7"/>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2" customWidth="1" min="3" max="3"/>
    <col width="9" customWidth="1" min="4" max="4"/>
    <col width="30" customWidth="1" min="5" max="5"/>
    <col width="7" customWidth="1" min="6" max="6"/>
  </cols>
  <sheetData>
    <row r="1">
      <c r="A1" s="9" t="inlineStr">
        <is>
          <t>Requirement register - desktop application</t>
        </is>
      </c>
    </row>
    <row r="2">
      <c r="A2" s="8" t="inlineStr">
        <is>
          <t>NR-ids belong to this plan. REQ-ids referenced in the last column belong to the web application plan and are inherited unchanged.</t>
        </is>
      </c>
    </row>
    <row r="4">
      <c r="A4" s="5" t="inlineStr">
        <is>
          <t>Inheritance rule</t>
        </is>
      </c>
    </row>
    <row r="5">
      <c r="A5" s="6" t="inlineStr">
        <is>
          <t>Every requirement of the web application plan that concerns DATA or CALCULATION is inherited by this</t>
        </is>
      </c>
    </row>
    <row r="6">
      <c r="A6" s="6" t="inlineStr">
        <is>
          <t>application unchanged, and is not restated here. This register holds only what is new or deliberately</t>
        </is>
      </c>
    </row>
    <row r="7">
      <c r="A7" s="6" t="inlineStr">
        <is>
          <t>different. Where a requirement here replaces an inherited one, the inherited ID is named so the</t>
        </is>
      </c>
    </row>
    <row r="8">
      <c r="A8" s="6" t="inlineStr">
        <is>
          <t>contradiction is visible rather than buried.</t>
        </is>
      </c>
    </row>
    <row r="10" ht="28" customHeight="1">
      <c r="A10" s="10" t="inlineStr">
        <is>
          <t>ID</t>
        </is>
      </c>
      <c r="B10" s="10" t="inlineStr">
        <is>
          <t>Area</t>
        </is>
      </c>
      <c r="C10" s="10" t="inlineStr">
        <is>
          <t>Requirement</t>
        </is>
      </c>
      <c r="D10" s="10" t="inlineStr">
        <is>
          <t>Priority</t>
        </is>
      </c>
      <c r="E10" s="10" t="inlineStr">
        <is>
          <t>Source</t>
        </is>
      </c>
      <c r="F10" s="10" t="inlineStr">
        <is>
          <t>Gate</t>
        </is>
      </c>
    </row>
    <row r="11">
      <c r="A11" s="20" t="inlineStr">
        <is>
          <t>NR-APP-01</t>
        </is>
      </c>
      <c r="B11" s="20" t="inlineStr">
        <is>
          <t>Application form</t>
        </is>
      </c>
      <c r="C11" s="21" t="inlineStr">
        <is>
          <t>The application is a desktop program with its own window, icon and menu bar. No browser is visible to the user at any point.</t>
        </is>
      </c>
      <c r="D11" s="20" t="inlineStr">
        <is>
          <t>Must</t>
        </is>
      </c>
      <c r="E11" s="21" t="inlineStr">
        <is>
          <t>Your instruction</t>
        </is>
      </c>
      <c r="F11" s="20" t="inlineStr">
        <is>
          <t>N4</t>
        </is>
      </c>
    </row>
    <row r="12">
      <c r="A12" s="11" t="inlineStr">
        <is>
          <t>NR-APP-02</t>
        </is>
      </c>
      <c r="B12" s="11" t="inlineStr">
        <is>
          <t>Application form</t>
        </is>
      </c>
      <c r="C12" s="12" t="inlineStr">
        <is>
          <t>It runs fully offline. It makes no network request of any kind, including on first launch.</t>
        </is>
      </c>
      <c r="D12" s="11" t="inlineStr">
        <is>
          <t>Must</t>
        </is>
      </c>
      <c r="E12" s="12" t="inlineStr">
        <is>
          <t>Inherited intent</t>
        </is>
      </c>
      <c r="F12" s="11" t="inlineStr">
        <is>
          <t>N4</t>
        </is>
      </c>
    </row>
    <row r="13">
      <c r="A13" s="11" t="inlineStr">
        <is>
          <t>NR-APP-03</t>
        </is>
      </c>
      <c r="B13" s="11" t="inlineStr">
        <is>
          <t>Application form</t>
        </is>
      </c>
      <c r="C13" s="12" t="inlineStr">
        <is>
          <t>It launches to the plan the user last had open, without asking for a file.</t>
        </is>
      </c>
      <c r="D13" s="11" t="inlineStr">
        <is>
          <t>Must</t>
        </is>
      </c>
      <c r="E13" s="12" t="inlineStr">
        <is>
          <t>Your instruction</t>
        </is>
      </c>
      <c r="F13" s="11" t="inlineStr">
        <is>
          <t>N4</t>
        </is>
      </c>
    </row>
    <row r="14">
      <c r="A14" s="11" t="inlineStr">
        <is>
          <t>NR-APP-04</t>
        </is>
      </c>
      <c r="B14" s="11" t="inlineStr">
        <is>
          <t>Application form</t>
        </is>
      </c>
      <c r="C14" s="12" t="inlineStr">
        <is>
          <t>Window size, position and the active tab are remembered between sessions.</t>
        </is>
      </c>
      <c r="D14" s="11" t="inlineStr">
        <is>
          <t>Should</t>
        </is>
      </c>
      <c r="E14" s="12" t="inlineStr">
        <is>
          <t>Desktop convention</t>
        </is>
      </c>
      <c r="F14" s="11" t="inlineStr">
        <is>
          <t>N4</t>
        </is>
      </c>
    </row>
    <row r="15">
      <c r="A15" s="11" t="inlineStr">
        <is>
          <t>NR-APP-05</t>
        </is>
      </c>
      <c r="B15" s="11" t="inlineStr">
        <is>
          <t>Application form</t>
        </is>
      </c>
      <c r="C15" s="12" t="inlineStr">
        <is>
          <t>Native Open, Save, Save As, Import and Export dialogs are used, not browser download prompts.</t>
        </is>
      </c>
      <c r="D15" s="11" t="inlineStr">
        <is>
          <t>Must</t>
        </is>
      </c>
      <c r="E15" s="12" t="inlineStr">
        <is>
          <t>Desktop convention</t>
        </is>
      </c>
      <c r="F15" s="11" t="inlineStr">
        <is>
          <t>N4</t>
        </is>
      </c>
    </row>
    <row r="16">
      <c r="A16" s="20" t="inlineStr">
        <is>
          <t>NR-APP-06</t>
        </is>
      </c>
      <c r="B16" s="20" t="inlineStr">
        <is>
          <t>Application form</t>
        </is>
      </c>
      <c r="C16" s="21" t="inlineStr">
        <is>
          <t>A recent-workspaces list of at least ten entries is available from the menu. It is stored in the application's own data folder, not in the registry or in the user profile.</t>
        </is>
      </c>
      <c r="D16" s="20" t="inlineStr">
        <is>
          <t>Should</t>
        </is>
      </c>
      <c r="E16" s="21" t="inlineStr">
        <is>
          <t>Desktop convention + NR-DEP-06</t>
        </is>
      </c>
      <c r="F16" s="20" t="inlineStr">
        <is>
          <t>N4</t>
        </is>
      </c>
    </row>
    <row r="17">
      <c r="A17" s="11" t="inlineStr">
        <is>
          <t>NR-APP-07</t>
        </is>
      </c>
      <c r="B17" s="11" t="inlineStr">
        <is>
          <t>Application form</t>
        </is>
      </c>
      <c r="C17" s="12" t="inlineStr">
        <is>
          <t>The application version is visible in an About dialog and in the window title alongside the open workspace name.</t>
        </is>
      </c>
      <c r="D17" s="11" t="inlineStr">
        <is>
          <t>Must</t>
        </is>
      </c>
      <c r="E17" s="12" t="inlineStr">
        <is>
          <t>Version control</t>
        </is>
      </c>
      <c r="F17" s="11" t="inlineStr">
        <is>
          <t>N4</t>
        </is>
      </c>
    </row>
    <row r="18">
      <c r="A18" s="11" t="inlineStr">
        <is>
          <t>NR-STO-01</t>
        </is>
      </c>
      <c r="B18" s="11" t="inlineStr">
        <is>
          <t>Storage</t>
        </is>
      </c>
      <c r="C18" s="12" t="inlineStr">
        <is>
          <t>Imported and hand-entered data survives closing the application. Reopening shows the same plan, with the same figures, without re-importing anything.</t>
        </is>
      </c>
      <c r="D18" s="11" t="inlineStr">
        <is>
          <t>Must</t>
        </is>
      </c>
      <c r="E18" s="12" t="inlineStr">
        <is>
          <t>Your instruction</t>
        </is>
      </c>
      <c r="F18" s="11" t="inlineStr">
        <is>
          <t>N4</t>
        </is>
      </c>
    </row>
    <row r="19">
      <c r="A19" s="11" t="inlineStr">
        <is>
          <t>NR-STO-02</t>
        </is>
      </c>
      <c r="B19" s="11" t="inlineStr">
        <is>
          <t>Storage</t>
        </is>
      </c>
      <c r="C19" s="12" t="inlineStr">
        <is>
          <t>The application owns a workspace file on disk. That file, not the source Excel workbook, is the working store from the moment data is imported into it.</t>
        </is>
      </c>
      <c r="D19" s="11" t="inlineStr">
        <is>
          <t>Must</t>
        </is>
      </c>
      <c r="E19" s="12" t="inlineStr">
        <is>
          <t>Derived from NR-STO-01</t>
        </is>
      </c>
      <c r="F19" s="11" t="inlineStr">
        <is>
          <t>N4</t>
        </is>
      </c>
    </row>
    <row r="20">
      <c r="A20" s="11" t="inlineStr">
        <is>
          <t>NR-STO-03</t>
        </is>
      </c>
      <c r="B20" s="11" t="inlineStr">
        <is>
          <t>Storage</t>
        </is>
      </c>
      <c r="C20" s="12" t="inlineStr">
        <is>
          <t>The workspace file is prap-source-data JSON - the same format the AI agent guide already documents - so a workspace can be read, written or generated by an AI agent with no new contract.</t>
        </is>
      </c>
      <c r="D20" s="11" t="inlineStr">
        <is>
          <t>Must</t>
        </is>
      </c>
      <c r="E20" s="12" t="inlineStr">
        <is>
          <t>Interoperability</t>
        </is>
      </c>
      <c r="F20" s="11" t="inlineStr">
        <is>
          <t>N4</t>
        </is>
      </c>
    </row>
    <row r="21">
      <c r="A21" s="11" t="inlineStr">
        <is>
          <t>NR-STO-04</t>
        </is>
      </c>
      <c r="B21" s="11" t="inlineStr">
        <is>
          <t>Storage</t>
        </is>
      </c>
      <c r="C21" s="12" t="inlineStr">
        <is>
          <t>A committed Save is written to disk before the application reports it as saved. A save that did not reach the disk is never reported as done.</t>
        </is>
      </c>
      <c r="D21" s="11" t="inlineStr">
        <is>
          <t>Must</t>
        </is>
      </c>
      <c r="E21" s="12" t="inlineStr">
        <is>
          <t>Data safety</t>
        </is>
      </c>
      <c r="F21" s="11" t="inlineStr">
        <is>
          <t>N4</t>
        </is>
      </c>
    </row>
    <row r="22">
      <c r="A22" s="11" t="inlineStr">
        <is>
          <t>NR-STO-05</t>
        </is>
      </c>
      <c r="B22" s="11" t="inlineStr">
        <is>
          <t>Storage</t>
        </is>
      </c>
      <c r="C22" s="12" t="inlineStr">
        <is>
          <t>Workspace writes are atomic: an interrupted write can never leave a workspace file that is neither the old contents nor the new.</t>
        </is>
      </c>
      <c r="D22" s="11" t="inlineStr">
        <is>
          <t>Must</t>
        </is>
      </c>
      <c r="E22" s="12" t="inlineStr">
        <is>
          <t>Data safety</t>
        </is>
      </c>
      <c r="F22" s="11" t="inlineStr">
        <is>
          <t>N4</t>
        </is>
      </c>
    </row>
    <row r="23">
      <c r="A23" s="11" t="inlineStr">
        <is>
          <t>NR-STO-06</t>
        </is>
      </c>
      <c r="B23" s="11" t="inlineStr">
        <is>
          <t>Storage</t>
        </is>
      </c>
      <c r="C23" s="12" t="inlineStr">
        <is>
          <t>The last N committed versions of a workspace are retained and can be restored from within the application. N is a setting, default 10.</t>
        </is>
      </c>
      <c r="D23" s="11" t="inlineStr">
        <is>
          <t>Should</t>
        </is>
      </c>
      <c r="E23" s="12" t="inlineStr">
        <is>
          <t>Data safety</t>
        </is>
      </c>
      <c r="F23" s="11" t="inlineStr">
        <is>
          <t>N4</t>
        </is>
      </c>
    </row>
    <row r="24">
      <c r="A24" s="11" t="inlineStr">
        <is>
          <t>NR-STO-07</t>
        </is>
      </c>
      <c r="B24" s="11" t="inlineStr">
        <is>
          <t>Storage</t>
        </is>
      </c>
      <c r="C24" s="12" t="inlineStr">
        <is>
          <t>Edits pending at the moment of a crash or power loss are recovered on the next launch, and the user is asked whether to keep or discard them.</t>
        </is>
      </c>
      <c r="D24" s="11" t="inlineStr">
        <is>
          <t>Should</t>
        </is>
      </c>
      <c r="E24" s="12" t="inlineStr">
        <is>
          <t>Data safety</t>
        </is>
      </c>
      <c r="F24" s="11" t="inlineStr">
        <is>
          <t>N4</t>
        </is>
      </c>
    </row>
    <row r="25">
      <c r="A25" s="11" t="inlineStr">
        <is>
          <t>NR-STO-08</t>
        </is>
      </c>
      <c r="B25" s="11" t="inlineStr">
        <is>
          <t>Storage</t>
        </is>
      </c>
      <c r="C25" s="12" t="inlineStr">
        <is>
          <t>Several workspaces may exist. The user chooses which to open, and may create a new empty one at any time.</t>
        </is>
      </c>
      <c r="D25" s="11" t="inlineStr">
        <is>
          <t>Must</t>
        </is>
      </c>
      <c r="E25" s="12" t="inlineStr">
        <is>
          <t>Scenario planning</t>
        </is>
      </c>
      <c r="F25" s="11" t="inlineStr">
        <is>
          <t>N4</t>
        </is>
      </c>
    </row>
    <row r="26">
      <c r="A26" s="11" t="inlineStr">
        <is>
          <t>NR-STO-09</t>
        </is>
      </c>
      <c r="B26" s="11" t="inlineStr">
        <is>
          <t>Storage</t>
        </is>
      </c>
      <c r="C26" s="12" t="inlineStr">
        <is>
          <t>A workspace records which source file it was imported from, when, and by which application version.</t>
        </is>
      </c>
      <c r="D26" s="11" t="inlineStr">
        <is>
          <t>Should</t>
        </is>
      </c>
      <c r="E26" s="12" t="inlineStr">
        <is>
          <t>Traceability</t>
        </is>
      </c>
      <c r="F26" s="11" t="inlineStr">
        <is>
          <t>N4</t>
        </is>
      </c>
    </row>
    <row r="27">
      <c r="A27" s="11" t="inlineStr">
        <is>
          <t>NR-STO-10</t>
        </is>
      </c>
      <c r="B27" s="11" t="inlineStr">
        <is>
          <t>Storage</t>
        </is>
      </c>
      <c r="C27" s="12" t="inlineStr">
        <is>
          <t>A workspace open for editing is marked as such. A second person opening it is told who holds it and since when, and is given it read-only rather than being allowed to overwrite their work. A mark left behind by a crash can be cleared, with the risk stated.</t>
        </is>
      </c>
      <c r="D27" s="11" t="inlineStr">
        <is>
          <t>Must</t>
        </is>
      </c>
      <c r="E27" s="12" t="inlineStr">
        <is>
          <t>Q-N12 - shared folder</t>
        </is>
      </c>
      <c r="F27" s="11" t="inlineStr">
        <is>
          <t>N4</t>
        </is>
      </c>
    </row>
    <row r="28">
      <c r="A28" s="11" t="inlineStr">
        <is>
          <t>NR-STO-11</t>
        </is>
      </c>
      <c r="B28" s="11" t="inlineStr">
        <is>
          <t>Storage</t>
        </is>
      </c>
      <c r="C28" s="12" t="inlineStr">
        <is>
          <t>Read-only is a real working mode, not a refusal: every figure, table and graph is available, and only saving is withheld.</t>
        </is>
      </c>
      <c r="D28" s="11" t="inlineStr">
        <is>
          <t>Must</t>
        </is>
      </c>
      <c r="E28" s="12" t="inlineStr">
        <is>
          <t>Consequence of NR-STO-10</t>
        </is>
      </c>
      <c r="F28" s="11" t="inlineStr">
        <is>
          <t>N4</t>
        </is>
      </c>
    </row>
    <row r="29">
      <c r="A29" s="20" t="inlineStr">
        <is>
          <t>NR-IMP-01</t>
        </is>
      </c>
      <c r="B29" s="20" t="inlineStr">
        <is>
          <t>Import / export</t>
        </is>
      </c>
      <c r="C29" s="21" t="inlineStr">
        <is>
          <t>Import reads the Excel source workbook and prap-source-data JSON exactly as the web application does, using the same reader and reporting the same findings.</t>
        </is>
      </c>
      <c r="D29" s="20" t="inlineStr">
        <is>
          <t>Must</t>
        </is>
      </c>
      <c r="E29" s="21" t="inlineStr">
        <is>
          <t>Replaces nothing - REQ-IMP-01 inherited</t>
        </is>
      </c>
      <c r="F29" s="20" t="inlineStr">
        <is>
          <t>N4</t>
        </is>
      </c>
    </row>
    <row r="30">
      <c r="A30" s="20" t="inlineStr">
        <is>
          <t>NR-IMP-02</t>
        </is>
      </c>
      <c r="B30" s="20" t="inlineStr">
        <is>
          <t>Import / export</t>
        </is>
      </c>
      <c r="C30" s="21" t="inlineStr">
        <is>
          <t>Importing into a workspace that already holds data presents the differences and lets the user decide, per sheet, whether to replace, merge or skip. It never overwrites silently.</t>
        </is>
      </c>
      <c r="D30" s="20" t="inlineStr">
        <is>
          <t>Must</t>
        </is>
      </c>
      <c r="E30" s="21" t="inlineStr">
        <is>
          <t>New consequence of NR-STO-02</t>
        </is>
      </c>
      <c r="F30" s="20" t="inlineStr">
        <is>
          <t>N4</t>
        </is>
      </c>
    </row>
    <row r="31">
      <c r="A31" s="20" t="inlineStr">
        <is>
          <t>NR-IMP-03</t>
        </is>
      </c>
      <c r="B31" s="20" t="inlineStr">
        <is>
          <t>Import / export</t>
        </is>
      </c>
      <c r="C31" s="21" t="inlineStr">
        <is>
          <t>Export to Excel and to JSON produces byte-for-byte the same content the web application would produce from the same data.</t>
        </is>
      </c>
      <c r="D31" s="20" t="inlineStr">
        <is>
          <t>Must</t>
        </is>
      </c>
      <c r="E31" s="21" t="inlineStr">
        <is>
          <t>Parity</t>
        </is>
      </c>
      <c r="F31" s="20" t="inlineStr">
        <is>
          <t>N4</t>
        </is>
      </c>
    </row>
    <row r="32">
      <c r="A32" s="20" t="inlineStr">
        <is>
          <t>NR-IMP-04</t>
        </is>
      </c>
      <c r="B32" s="20" t="inlineStr">
        <is>
          <t>Import / export</t>
        </is>
      </c>
      <c r="C32" s="21" t="inlineStr">
        <is>
          <t>A workspace can be opened by dragging it onto the running application's window. Double-clicking a workspace file in Explorer does NOT open it, because a file association would require a registry entry that NR-DEP-06 forbids.</t>
        </is>
      </c>
      <c r="D32" s="20" t="inlineStr">
        <is>
          <t>Could</t>
        </is>
      </c>
      <c r="E32" s="21" t="inlineStr">
        <is>
          <t>Reduced by the non-installed rule</t>
        </is>
      </c>
      <c r="F32" s="20" t="inlineStr">
        <is>
          <t>N4</t>
        </is>
      </c>
    </row>
    <row r="33">
      <c r="A33" s="11" t="inlineStr">
        <is>
          <t>NR-PAR-01</t>
        </is>
      </c>
      <c r="B33" s="11" t="inlineStr">
        <is>
          <t>Parity</t>
        </is>
      </c>
      <c r="C33" s="12" t="inlineStr">
        <is>
          <t>The calculation engine, the validation rules and the period derivation are ONE implementation shared by both applications, not two copies kept in step by hand.</t>
        </is>
      </c>
      <c r="D33" s="11" t="inlineStr">
        <is>
          <t>Must</t>
        </is>
      </c>
      <c r="E33" s="12" t="inlineStr">
        <is>
          <t>Your instruction to keep both</t>
        </is>
      </c>
      <c r="F33" s="11" t="inlineStr">
        <is>
          <t>N2</t>
        </is>
      </c>
    </row>
    <row r="34">
      <c r="A34" s="11" t="inlineStr">
        <is>
          <t>NR-PAR-02</t>
        </is>
      </c>
      <c r="B34" s="11" t="inlineStr">
        <is>
          <t>Parity</t>
        </is>
      </c>
      <c r="C34" s="12" t="inlineStr">
        <is>
          <t>Given identical input, both applications produce identical figures, identical findings and identical exports. This is proven by an automated test, not asserted.</t>
        </is>
      </c>
      <c r="D34" s="11" t="inlineStr">
        <is>
          <t>Must</t>
        </is>
      </c>
      <c r="E34" s="12" t="inlineStr">
        <is>
          <t>Derived from NR-PAR-01</t>
        </is>
      </c>
      <c r="F34" s="11" t="inlineStr">
        <is>
          <t>N4</t>
        </is>
      </c>
    </row>
    <row r="35">
      <c r="A35" s="11" t="inlineStr">
        <is>
          <t>NR-PAR-03</t>
        </is>
      </c>
      <c r="B35" s="11" t="inlineStr">
        <is>
          <t>Parity</t>
        </is>
      </c>
      <c r="C35" s="12" t="inlineStr">
        <is>
          <t>The HTML application continues to be built from the shared engine and its behaviour is unchanged by the refactor, proven by the existing 13 suites passing unmodified.</t>
        </is>
      </c>
      <c r="D35" s="11" t="inlineStr">
        <is>
          <t>Must</t>
        </is>
      </c>
      <c r="E35" s="12" t="inlineStr">
        <is>
          <t>Protects the finished product</t>
        </is>
      </c>
      <c r="F35" s="11" t="inlineStr">
        <is>
          <t>N2</t>
        </is>
      </c>
    </row>
    <row r="36">
      <c r="A36" s="11" t="inlineStr">
        <is>
          <t>NR-PAR-04</t>
        </is>
      </c>
      <c r="B36" s="11" t="inlineStr">
        <is>
          <t>Parity</t>
        </is>
      </c>
      <c r="C36" s="12" t="inlineStr">
        <is>
          <t>Screen layout, wording and interaction match the web application except where a desktop convention requires otherwise, and every such difference is listed.</t>
        </is>
      </c>
      <c r="D36" s="11" t="inlineStr">
        <is>
          <t>Should</t>
        </is>
      </c>
      <c r="E36" s="12" t="inlineStr">
        <is>
          <t>Two tools, one habit</t>
        </is>
      </c>
      <c r="F36" s="11" t="inlineStr">
        <is>
          <t>N3</t>
        </is>
      </c>
    </row>
    <row r="37">
      <c r="A37" s="20" t="inlineStr">
        <is>
          <t>NR-DEP-01</t>
        </is>
      </c>
      <c r="B37" s="20" t="inlineStr">
        <is>
          <t>Deployment</t>
        </is>
      </c>
      <c r="C37" s="21" t="inlineStr">
        <is>
          <t>The application runs on Windows 10 and Windows 11, 64-bit. No other operating system is supported or tested.</t>
        </is>
      </c>
      <c r="D37" s="20" t="inlineStr">
        <is>
          <t>Must</t>
        </is>
      </c>
      <c r="E37" s="21" t="inlineStr">
        <is>
          <t>Your instruction</t>
        </is>
      </c>
      <c r="F37" s="20" t="inlineStr">
        <is>
          <t>N5</t>
        </is>
      </c>
    </row>
    <row r="38">
      <c r="A38" s="20" t="inlineStr">
        <is>
          <t>NR-DEP-02</t>
        </is>
      </c>
      <c r="B38" s="20" t="inlineStr">
        <is>
          <t>Deployment</t>
        </is>
      </c>
      <c r="C38" s="21" t="inlineStr">
        <is>
          <t>There is NO INSTALLER. The application is a folder that is copied to wherever the user wants it and run from there. It requires no administrator rights, at any point, for any purpose.</t>
        </is>
      </c>
      <c r="D38" s="20" t="inlineStr">
        <is>
          <t>Must</t>
        </is>
      </c>
      <c r="E38" s="21" t="inlineStr">
        <is>
          <t>Your instruction</t>
        </is>
      </c>
      <c r="F38" s="20" t="inlineStr">
        <is>
          <t>N5</t>
        </is>
      </c>
    </row>
    <row r="39">
      <c r="A39" s="20" t="inlineStr">
        <is>
          <t>NR-DEP-03</t>
        </is>
      </c>
      <c r="B39" s="20" t="inlineStr">
        <is>
          <t>Deployment</t>
        </is>
      </c>
      <c r="C39" s="21" t="inlineStr">
        <is>
          <t>Updating means replacing the application files inside that folder. No workspace, setting or recent-file entry is touched by an update, and a workspace written by an older version opens in a newer one.</t>
        </is>
      </c>
      <c r="D39" s="20" t="inlineStr">
        <is>
          <t>Must</t>
        </is>
      </c>
      <c r="E39" s="21" t="inlineStr">
        <is>
          <t>Data safety</t>
        </is>
      </c>
      <c r="F39" s="20" t="inlineStr">
        <is>
          <t>N5</t>
        </is>
      </c>
    </row>
    <row r="40">
      <c r="A40" s="11" t="inlineStr">
        <is>
          <t>NR-DEP-04</t>
        </is>
      </c>
      <c r="B40" s="11" t="inlineStr">
        <is>
          <t>Deployment</t>
        </is>
      </c>
      <c r="C40" s="12" t="inlineStr">
        <is>
          <t>A workspace written by a NEWER version than the running one is refused with a clear message rather than partially read.</t>
        </is>
      </c>
      <c r="D40" s="11" t="inlineStr">
        <is>
          <t>Must</t>
        </is>
      </c>
      <c r="E40" s="12" t="inlineStr">
        <is>
          <t>Data safety</t>
        </is>
      </c>
      <c r="F40" s="11" t="inlineStr">
        <is>
          <t>N4</t>
        </is>
      </c>
    </row>
    <row r="41">
      <c r="A41" s="11" t="inlineStr">
        <is>
          <t>NR-DEP-05</t>
        </is>
      </c>
      <c r="B41" s="11" t="inlineStr">
        <is>
          <t>Deployment</t>
        </is>
      </c>
      <c r="C41" s="12" t="inlineStr">
        <is>
          <t>The application folder is self-contained: it carries its own browser engine and every other dependency, and requires nothing to be present on the machine beyond Windows itself. Package size is not constrained.</t>
        </is>
      </c>
      <c r="D41" s="11" t="inlineStr">
        <is>
          <t>Must</t>
        </is>
      </c>
      <c r="E41" s="12" t="inlineStr">
        <is>
          <t>Your instruction</t>
        </is>
      </c>
      <c r="F41" s="11" t="inlineStr">
        <is>
          <t>N5</t>
        </is>
      </c>
    </row>
    <row r="42">
      <c r="A42" s="20" t="inlineStr">
        <is>
          <t>NR-DEP-06</t>
        </is>
      </c>
      <c r="B42" s="20" t="inlineStr">
        <is>
          <t>Deployment</t>
        </is>
      </c>
      <c r="C42" s="21" t="inlineStr">
        <is>
          <t>The application writes nothing outside its own folder EXCEPT where the user has explicitly designated somewhere else - a chosen data folder, an exported file, or a shortcut created at their request. No registry key, no file association, no Start-menu entry, no AppData directory, and no hidden state anywhere.</t>
        </is>
      </c>
      <c r="D42" s="20" t="inlineStr">
        <is>
          <t>Must</t>
        </is>
      </c>
      <c r="E42" s="21" t="inlineStr">
        <is>
          <t>Non-installed rule, amended for the shared folder</t>
        </is>
      </c>
      <c r="F42" s="20" t="inlineStr">
        <is>
          <t>N5</t>
        </is>
      </c>
    </row>
    <row r="43">
      <c r="A43" s="11" t="inlineStr">
        <is>
          <t>NR-DEP-07</t>
        </is>
      </c>
      <c r="B43" s="11" t="inlineStr">
        <is>
          <t>Deployment</t>
        </is>
      </c>
      <c r="C43" s="12" t="inlineStr">
        <is>
          <t>Deleting the folder removes the application completely, leaving no trace on the machine.</t>
        </is>
      </c>
      <c r="D43" s="11" t="inlineStr">
        <is>
          <t>Must</t>
        </is>
      </c>
      <c r="E43" s="12" t="inlineStr">
        <is>
          <t>Non-installed rule</t>
        </is>
      </c>
      <c r="F43" s="11" t="inlineStr">
        <is>
          <t>N5</t>
        </is>
      </c>
    </row>
    <row r="44">
      <c r="A44" s="11" t="inlineStr">
        <is>
          <t>NR-DEP-08</t>
        </is>
      </c>
      <c r="B44" s="11" t="inlineStr">
        <is>
          <t>Deployment</t>
        </is>
      </c>
      <c r="C44" s="12" t="inlineStr">
        <is>
          <t>The folder can be copied to another Windows PC, or moved to a different path on the same PC, and works unchanged - including its recent-workspaces list where those workspaces travelled with it. No path is recorded absolutely where a relative one would do.</t>
        </is>
      </c>
      <c r="D44" s="11" t="inlineStr">
        <is>
          <t>Must</t>
        </is>
      </c>
      <c r="E44" s="12" t="inlineStr">
        <is>
          <t>Non-installed rule</t>
        </is>
      </c>
      <c r="F44" s="11" t="inlineStr">
        <is>
          <t>N5</t>
        </is>
      </c>
    </row>
    <row r="45">
      <c r="A45" s="20" t="inlineStr">
        <is>
          <t>NR-DEP-09</t>
        </is>
      </c>
      <c r="B45" s="20" t="inlineStr">
        <is>
          <t>Deployment</t>
        </is>
      </c>
      <c r="C45" s="21" t="inlineStr">
        <is>
          <t>Where the application folder is read-only or shared - typically on a network folder - the application still runs, tells the user plainly that it cannot keep data beside itself, and keeps that data in a folder the user chooses instead.</t>
        </is>
      </c>
      <c r="D45" s="20" t="inlineStr">
        <is>
          <t>Must</t>
        </is>
      </c>
      <c r="E45" s="21" t="inlineStr">
        <is>
          <t>Raised from Should at round 2 - Q-N12</t>
        </is>
      </c>
      <c r="F45" s="20" t="inlineStr">
        <is>
          <t>N4</t>
        </is>
      </c>
    </row>
    <row r="46">
      <c r="A46" s="11" t="inlineStr">
        <is>
          <t>NR-DEP-10</t>
        </is>
      </c>
      <c r="B46" s="11" t="inlineStr">
        <is>
          <t>Deployment</t>
        </is>
      </c>
      <c r="C46" s="12" t="inlineStr">
        <is>
          <t>Where the application keeps its data is resolved in one fixed, documented order, and the answer is shown in the About dialog so it is never a mystery: a --data command-line argument, then a PRAP_DATA environment variable, then a writable data folder beside the application, and failing all of those the application asks.</t>
        </is>
      </c>
      <c r="D46" s="11" t="inlineStr">
        <is>
          <t>Must</t>
        </is>
      </c>
      <c r="E46" s="12" t="inlineStr">
        <is>
          <t>Q-N12</t>
        </is>
      </c>
      <c r="F46" s="11" t="inlineStr">
        <is>
          <t>N4</t>
        </is>
      </c>
    </row>
    <row r="47">
      <c r="A47" s="11" t="inlineStr">
        <is>
          <t>NR-DEP-11</t>
        </is>
      </c>
      <c r="B47" s="11" t="inlineStr">
        <is>
          <t>Deployment</t>
        </is>
      </c>
      <c r="C47" s="12" t="inlineStr">
        <is>
          <t>Where several people run one shared copy, each has their own settings, recent list, backups and default workspace folder. No user can see, overwrite or lock out another through the application.</t>
        </is>
      </c>
      <c r="D47" s="11" t="inlineStr">
        <is>
          <t>Must</t>
        </is>
      </c>
      <c r="E47" s="12" t="inlineStr">
        <is>
          <t>Q-N12</t>
        </is>
      </c>
      <c r="F47" s="11" t="inlineStr">
        <is>
          <t>N4</t>
        </is>
      </c>
    </row>
    <row r="48">
      <c r="A48" s="11" t="inlineStr">
        <is>
          <t>NR-DEP-12</t>
        </is>
      </c>
      <c r="B48" s="11" t="inlineStr">
        <is>
          <t>Deployment</t>
        </is>
      </c>
      <c r="C48" s="12" t="inlineStr">
        <is>
          <t>The application can create a personal desktop shortcut, at the user's request, that carries their own --data path. This is how a shared copy is used day to day without being asked anything at launch.</t>
        </is>
      </c>
      <c r="D48" s="11" t="inlineStr">
        <is>
          <t>Should</t>
        </is>
      </c>
      <c r="E48" s="12" t="inlineStr">
        <is>
          <t>Q-N12</t>
        </is>
      </c>
      <c r="F48" s="11" t="inlineStr">
        <is>
          <t>N4</t>
        </is>
      </c>
    </row>
    <row r="49">
      <c r="A49" s="11" t="inlineStr">
        <is>
          <t>NR-DEP-13</t>
        </is>
      </c>
      <c r="B49" s="11" t="inlineStr">
        <is>
          <t>Deployment</t>
        </is>
      </c>
      <c r="C49" s="12" t="inlineStr">
        <is>
          <t>The application runs correctly when launched from a UNC path (\\server\share\PRAP) as well as from a mapped drive letter.</t>
        </is>
      </c>
      <c r="D49" s="11" t="inlineStr">
        <is>
          <t>Must</t>
        </is>
      </c>
      <c r="E49" s="12" t="inlineStr">
        <is>
          <t>Q-N12</t>
        </is>
      </c>
      <c r="F49" s="11" t="inlineStr">
        <is>
          <t>N5</t>
        </is>
      </c>
    </row>
    <row r="50">
      <c r="A50" s="11" t="inlineStr">
        <is>
          <t>NR-SEC-01</t>
        </is>
      </c>
      <c r="B50" s="11" t="inlineStr">
        <is>
          <t>Security</t>
        </is>
      </c>
      <c r="C50" s="12" t="inlineStr">
        <is>
          <t>No telemetry, no crash reporting to any server, no automatic update check, no font or script loaded from a remote host. Verified by observing that the packaged application opens no socket.</t>
        </is>
      </c>
      <c r="D50" s="11" t="inlineStr">
        <is>
          <t>Must</t>
        </is>
      </c>
      <c r="E50" s="12" t="inlineStr">
        <is>
          <t>Offline by requirement</t>
        </is>
      </c>
      <c r="F50" s="11" t="inlineStr">
        <is>
          <t>N5</t>
        </is>
      </c>
    </row>
    <row r="51">
      <c r="A51" s="11" t="inlineStr">
        <is>
          <t>NR-SEC-02</t>
        </is>
      </c>
      <c r="B51" s="11" t="inlineStr">
        <is>
          <t>Security</t>
        </is>
      </c>
      <c r="C51" s="12" t="inlineStr">
        <is>
          <t>The embedded browser engine runs with remote content disabled and Node integration off in the renderer, so a crafted workspace file cannot execute code.</t>
        </is>
      </c>
      <c r="D51" s="11" t="inlineStr">
        <is>
          <t>Must</t>
        </is>
      </c>
      <c r="E51" s="12" t="inlineStr">
        <is>
          <t>Standard hardening</t>
        </is>
      </c>
      <c r="F51" s="11" t="inlineStr">
        <is>
          <t>N4</t>
        </is>
      </c>
    </row>
    <row r="52">
      <c r="A52" s="11" t="inlineStr">
        <is>
          <t>NR-SEC-03</t>
        </is>
      </c>
      <c r="B52" s="11" t="inlineStr">
        <is>
          <t>Security</t>
        </is>
      </c>
      <c r="C52" s="12" t="inlineStr">
        <is>
          <t>Workspace files contain business data only - no credentials, no connection strings, nothing that would be sensitive if the file were mailed to a colleague.</t>
        </is>
      </c>
      <c r="D52" s="11" t="inlineStr">
        <is>
          <t>Must</t>
        </is>
      </c>
      <c r="E52" s="12" t="inlineStr">
        <is>
          <t>Data hygiene</t>
        </is>
      </c>
      <c r="F52" s="11" t="inlineStr">
        <is>
          <t>N2</t>
        </is>
      </c>
    </row>
    <row r="53">
      <c r="A53" s="20" t="inlineStr">
        <is>
          <t>NR-NFR-01</t>
        </is>
      </c>
      <c r="B53" s="20" t="inlineStr">
        <is>
          <t>Performance</t>
        </is>
      </c>
      <c r="C53" s="21" t="inlineStr">
        <is>
          <t>Launch to a usable window in under 5 seconds from a local disk, and reopening the last workspace adds no more than 2 seconds on the volumes in A-N01. Launch from a network folder is measured and stated rather than promised - see R-N12.</t>
        </is>
      </c>
      <c r="D53" s="20" t="inlineStr">
        <is>
          <t>Should</t>
        </is>
      </c>
      <c r="E53" s="21" t="inlineStr">
        <is>
          <t>Usability</t>
        </is>
      </c>
      <c r="F53" s="20" t="inlineStr">
        <is>
          <t>N4</t>
        </is>
      </c>
    </row>
    <row r="54">
      <c r="A54" s="11" t="inlineStr">
        <is>
          <t>NR-NFR-02</t>
        </is>
      </c>
      <c r="B54" s="11" t="inlineStr">
        <is>
          <t>Performance</t>
        </is>
      </c>
      <c r="C54" s="12" t="inlineStr">
        <is>
          <t>A Save completes in under 1 second at those volumes, so autosave is never felt.</t>
        </is>
      </c>
      <c r="D54" s="11" t="inlineStr">
        <is>
          <t>Should</t>
        </is>
      </c>
      <c r="E54" s="12" t="inlineStr">
        <is>
          <t>Usability</t>
        </is>
      </c>
      <c r="F54" s="11" t="inlineStr">
        <is>
          <t>N4</t>
        </is>
      </c>
    </row>
    <row r="56">
      <c r="A56" s="5" t="inlineStr">
        <is>
          <t>Count</t>
        </is>
      </c>
    </row>
    <row r="57" ht="28" customHeight="1">
      <c r="A57" s="10" t="inlineStr">
        <is>
          <t>Measure</t>
        </is>
      </c>
      <c r="B57" s="10" t="inlineStr">
        <is>
          <t>Count</t>
        </is>
      </c>
    </row>
    <row r="58">
      <c r="A58" s="15" t="inlineStr">
        <is>
          <t>Total requirements</t>
        </is>
      </c>
      <c r="B58" s="15">
        <f>COUNTA(A11:A54)</f>
        <v/>
      </c>
    </row>
    <row r="59">
      <c r="A59" s="13" t="inlineStr">
        <is>
          <t>Must</t>
        </is>
      </c>
      <c r="B59" s="13">
        <f>COUNTIF(D11:D54,"Must")</f>
        <v/>
      </c>
    </row>
    <row r="60">
      <c r="A60" s="15" t="inlineStr">
        <is>
          <t>Should</t>
        </is>
      </c>
      <c r="B60" s="15">
        <f>COUNTIF(D11:D54,"Should")</f>
        <v/>
      </c>
    </row>
    <row r="61">
      <c r="A61" s="13" t="inlineStr">
        <is>
          <t>Could</t>
        </is>
      </c>
      <c r="B61" s="13">
        <f>COUNTIF(D11:D54,"Could")</f>
        <v/>
      </c>
    </row>
    <row r="63">
      <c r="A63" s="8" t="inlineStr">
        <is>
          <t>Please mark any requirement you disagree with in the Priority column, or strike it out. The register is the contract for Steps 2 to 5, exactly as sheet 03 of the web plan was.</t>
        </is>
      </c>
    </row>
    <row r="64">
      <c r="A64" s="3" t="inlineStr">
        <is>
          <t>Legend</t>
        </is>
      </c>
    </row>
    <row r="65">
      <c r="A65" s="17" t="inlineStr">
        <is>
          <t>Green = new to the desktop application; nothing in the web application corresponds to it.</t>
        </is>
      </c>
    </row>
    <row r="66">
      <c r="A66" s="18" t="inlineStr">
        <is>
          <t>Orange = inherited from the web application but deliberately changed here.</t>
        </is>
      </c>
    </row>
    <row r="67">
      <c r="A67" s="19" t="inlineStr">
        <is>
          <t>Yellow = needs your decision before the work can proceed.</t>
        </is>
      </c>
    </row>
  </sheetData>
  <dataValidations count="1">
    <dataValidation sqref="D11:D54"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4"/>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96" customWidth="1" min="3" max="3"/>
    <col width="50" customWidth="1" min="4" max="4"/>
  </cols>
  <sheetData>
    <row r="1">
      <c r="A1" s="9" t="inlineStr">
        <is>
          <t>Architecture - one engine, two shells</t>
        </is>
      </c>
    </row>
    <row r="2">
      <c r="A2" s="8" t="inlineStr">
        <is>
          <t>The single decision that makes two applications affordable to maintain.</t>
        </is>
      </c>
    </row>
    <row r="4">
      <c r="A4" s="5" t="inlineStr">
        <is>
          <t>The problem this solves</t>
        </is>
      </c>
    </row>
    <row r="5">
      <c r="A5" s="6" t="inlineStr">
        <is>
          <t>Two applications doing the same arithmetic will drift apart. The month one of them reports 3.4 FTE and the</t>
        </is>
      </c>
    </row>
    <row r="6">
      <c r="A6" s="6" t="inlineStr">
        <is>
          <t>other 3.6 for the same person, both become untrustworthy - and nobody will know which to believe. The only</t>
        </is>
      </c>
    </row>
    <row r="7">
      <c r="A7" s="6" t="inlineStr">
        <is>
          <t>durable answer is that there are not two implementations to drift.</t>
        </is>
      </c>
    </row>
    <row r="8">
      <c r="A8" s="6" t="inlineStr"/>
    </row>
    <row r="9">
      <c r="A9" s="6" t="inlineStr">
        <is>
          <t>app/PRAP.html (application v1.24) is 4,865 lines, of which about 4,160 are script. Only 69 of those script lines touch the DOM</t>
        </is>
      </c>
    </row>
    <row r="10">
      <c r="A10" s="6" t="inlineStr">
        <is>
          <t>at all. The engine is therefore already almost separable; this is a lift, not a rewrite.</t>
        </is>
      </c>
    </row>
    <row r="12">
      <c r="A12" s="5" t="inlineStr">
        <is>
          <t>Layers</t>
        </is>
      </c>
    </row>
    <row r="13" ht="28" customHeight="1">
      <c r="A13" s="10" t="inlineStr">
        <is>
          <t>Layer</t>
        </is>
      </c>
      <c r="B13" s="10" t="inlineStr">
        <is>
          <t>Responsibility</t>
        </is>
      </c>
      <c r="C13" s="10" t="inlineStr">
        <is>
          <t>Shared?</t>
        </is>
      </c>
      <c r="D13" s="10" t="inlineStr">
        <is>
          <t>Why the boundary is there</t>
        </is>
      </c>
    </row>
    <row r="14">
      <c r="A14" s="15" t="inlineStr">
        <is>
          <t>core/</t>
        </is>
      </c>
      <c r="B14" s="16" t="inlineStr">
        <is>
          <t>Parse, validate, derive periods, calculate load, read and write xlsx, read and write JSON. No DOM, no filesystem, no dialogs.</t>
        </is>
      </c>
      <c r="C14" s="16" t="inlineStr">
        <is>
          <t>Shared, identical</t>
        </is>
      </c>
      <c r="D14" s="16" t="inlineStr">
        <is>
          <t>The whole of the trust in both products sits here.</t>
        </is>
      </c>
    </row>
    <row r="15">
      <c r="A15" s="13" t="inlineStr">
        <is>
          <t>ui/</t>
        </is>
      </c>
      <c r="B15" s="14" t="inlineStr">
        <is>
          <t>Tabs, tables, charts, filters, the provisional-edit model, the change log.</t>
        </is>
      </c>
      <c r="C15" s="14" t="inlineStr">
        <is>
          <t>Shared, identical</t>
        </is>
      </c>
      <c r="D15" s="14" t="inlineStr">
        <is>
          <t>Renders into a DOM; indifferent to which shell provides it.</t>
        </is>
      </c>
    </row>
    <row r="16">
      <c r="A16" s="15" t="inlineStr">
        <is>
          <t>storage/</t>
        </is>
      </c>
      <c r="B16" s="16" t="inlineStr">
        <is>
          <t>An interface: open, save, listWorkspaces, restoreVersion, recoverPending.</t>
        </is>
      </c>
      <c r="C16" s="16" t="inlineStr">
        <is>
          <t>Interface shared, implementation per shell</t>
        </is>
      </c>
      <c r="D16" s="16" t="inlineStr">
        <is>
          <t>The whole of the difference between the two products sits here.</t>
        </is>
      </c>
    </row>
    <row r="17">
      <c r="A17" s="13" t="inlineStr">
        <is>
          <t>shell/web/</t>
        </is>
      </c>
      <c r="B17" s="14" t="inlineStr">
        <is>
          <t>Storage over the browser's own storage; the build step that emits the single HTML file.</t>
        </is>
      </c>
      <c r="C17" s="14" t="inlineStr">
        <is>
          <t>Web only</t>
        </is>
      </c>
      <c r="D17" s="14" t="inlineStr">
        <is>
          <t>Keeps the finished product buildable and unchanged.</t>
        </is>
      </c>
    </row>
    <row r="18">
      <c r="A18" s="11" t="inlineStr">
        <is>
          <t>shell/desktop/</t>
        </is>
      </c>
      <c r="B18" s="12" t="inlineStr">
        <is>
          <t>Application window, menu bar, native dialogs, storage over the filesystem, recent files, window state.</t>
        </is>
      </c>
      <c r="C18" s="12" t="inlineStr">
        <is>
          <t>Desktop only</t>
        </is>
      </c>
      <c r="D18" s="12" t="inlineStr">
        <is>
          <t>New code, and the only genuinely new code in the product.</t>
        </is>
      </c>
    </row>
    <row r="19">
      <c r="A19" s="13" t="inlineStr">
        <is>
          <t>tools/</t>
        </is>
      </c>
      <c r="B19" s="14" t="inlineStr">
        <is>
          <t>The 13 verification suites, the document generators, the Python reference implementation.</t>
        </is>
      </c>
      <c r="C19" s="14" t="inlineStr">
        <is>
          <t>Shared</t>
        </is>
      </c>
      <c r="D19" s="14" t="inlineStr">
        <is>
          <t>Runs against both shells after the refactor.</t>
        </is>
      </c>
    </row>
    <row r="22">
      <c r="A22" s="8" t="inlineStr">
        <is>
          <t>Read the table by its third column. Everything that decides a number is shared; everything that differs is about where bytes are kept and which dialog opens. That is the whole architecture.</t>
        </is>
      </c>
    </row>
    <row r="24">
      <c r="A24" s="5" t="inlineStr">
        <is>
          <t>Build targets from one source tree</t>
        </is>
      </c>
    </row>
    <row r="25">
      <c r="A25" s="7" t="inlineStr">
        <is>
          <t xml:space="preserve">    core/ + ui/ + shell/web/       --build--&gt;   app/PRAP.html          one file, unchanged, still supported</t>
        </is>
      </c>
    </row>
    <row r="26">
      <c r="A26" s="7" t="inlineStr">
        <is>
          <t xml:space="preserve">    core/ + ui/ + shell/desktop/   --build--&gt;   PRAP Desktop package   new</t>
        </is>
      </c>
    </row>
    <row r="27">
      <c r="A27" s="7" t="inlineStr">
        <is>
          <t xml:space="preserve">    core/                          --used by--&gt; tools/ test suites     unchanged</t>
        </is>
      </c>
    </row>
    <row r="29">
      <c r="A29" s="8" t="inlineStr">
        <is>
          <t>The HTML file stops being hand-written and becomes a build output. Its content is identical - task N2.1 requires the rebuilt file to pass all 13 suites before anything else starts.</t>
        </is>
      </c>
    </row>
    <row r="31">
      <c r="A31" s="5" t="inlineStr">
        <is>
          <t>Shell technology - the choice, and why</t>
        </is>
      </c>
    </row>
    <row r="32" ht="28" customHeight="1">
      <c r="A32" s="10" t="inlineStr">
        <is>
          <t>Option</t>
        </is>
      </c>
      <c r="B32" s="10" t="inlineStr">
        <is>
          <t>Status</t>
        </is>
      </c>
      <c r="C32" s="10" t="inlineStr">
        <is>
          <t>For</t>
        </is>
      </c>
      <c r="D32" s="10" t="inlineStr">
        <is>
          <t>Against</t>
        </is>
      </c>
    </row>
    <row r="33">
      <c r="A33" s="11" t="inlineStr">
        <is>
          <t>Electron</t>
        </is>
      </c>
      <c r="B33" s="11" t="inlineStr">
        <is>
          <t>RECOMMENDED</t>
        </is>
      </c>
      <c r="C33" s="12" t="inlineStr">
        <is>
          <t>Reuses the engine and the UI unchanged. Filesystem access is direct. Testable in this repository today - Playwright drives an Electron application natively, so all 13 suites plus new desktop suites run before you ever see a build.</t>
        </is>
      </c>
      <c r="D33" s="12" t="inlineStr">
        <is>
          <t>Package around 180 MB. Chromium security updates mean rebuilding periodically.</t>
        </is>
      </c>
    </row>
    <row r="34">
      <c r="A34" s="13" t="inlineStr">
        <is>
          <t>Tauri</t>
        </is>
      </c>
      <c r="B34" s="13" t="inlineStr">
        <is>
          <t>Later option</t>
        </is>
      </c>
      <c r="C34" s="14" t="inlineStr">
        <is>
          <t>Package around 10 MB, single executable. Same engine reuse.</t>
        </is>
      </c>
      <c r="D34" s="14" t="inlineStr">
        <is>
          <t>Needs a Rust toolchain and a Windows build host; cannot be verified from the current environment. Automated UI testing needs a WebDriver setup that is not available here.</t>
        </is>
      </c>
    </row>
    <row r="35">
      <c r="A35" s="15" t="inlineStr">
        <is>
          <t>Native rewrite (C# / .NET, Java)</t>
        </is>
      </c>
      <c r="B35" s="15" t="inlineStr">
        <is>
          <t>Rejected</t>
        </is>
      </c>
      <c r="C35" s="16" t="inlineStr">
        <is>
          <t>Smallest package, best desktop integration.</t>
        </is>
      </c>
      <c r="D35" s="16" t="inlineStr">
        <is>
          <t>Discards a verified engine and a verified UI, and creates the second implementation that NR-PAR-01 exists to prevent. Months of work to reach where the product already is.</t>
        </is>
      </c>
    </row>
    <row r="36">
      <c r="A36" s="13" t="inlineStr">
        <is>
          <t>Progressive web app</t>
        </is>
      </c>
      <c r="B36" s="13" t="inlineStr">
        <is>
          <t>Rejected</t>
        </is>
      </c>
      <c r="C36" s="14" t="inlineStr">
        <is>
          <t>No packaging at all.</t>
        </is>
      </c>
      <c r="D36" s="14" t="inlineStr">
        <is>
          <t>Does not meet NR-APP-01 - it is still the browser, with the browser's storage rules.</t>
        </is>
      </c>
    </row>
    <row r="38">
      <c r="A38" s="8" t="inlineStr">
        <is>
          <t>Size was the strongest argument for Tauri, and your instruction removes it. What remains is verifiability: an Electron build can be tested here, before delivery, by the same means every other claim in this project has been tested. Recorded as decision N-01, and it is reversible - the shell layer is the only code that would change.</t>
        </is>
      </c>
    </row>
    <row r="40">
      <c r="A40" s="5" t="inlineStr">
        <is>
          <t>Portable packaging   [round 1: non-installed]</t>
        </is>
      </c>
    </row>
    <row r="41">
      <c r="A41" s="6" t="inlineStr">
        <is>
          <t>'Non-installed' is a stronger constraint than 'no administrator rights', and it rules out two shapes of</t>
        </is>
      </c>
    </row>
    <row r="42">
      <c r="A42" s="6" t="inlineStr">
        <is>
          <t>package that are otherwise normal on Windows. The two that remain differ in a way the user feels:</t>
        </is>
      </c>
    </row>
    <row r="44" ht="28" customHeight="1">
      <c r="A44" s="10" t="inlineStr">
        <is>
          <t>Shape</t>
        </is>
      </c>
      <c r="B44" s="10" t="inlineStr">
        <is>
          <t>Status</t>
        </is>
      </c>
      <c r="C44" s="10" t="inlineStr">
        <is>
          <t>Assessment</t>
        </is>
      </c>
    </row>
    <row r="45">
      <c r="A45" s="15" t="inlineStr">
        <is>
          <t>Installer (MSI / NSIS / MSIX)</t>
        </is>
      </c>
      <c r="B45" s="15" t="inlineStr">
        <is>
          <t>REJECTED</t>
        </is>
      </c>
      <c r="C45" s="16" t="inlineStr">
        <is>
          <t>Writes to Program Files and the registry, creates Start-menu entries and an uninstall record. This is precisely what 'non-installed' excludes.</t>
        </is>
      </c>
    </row>
    <row r="46">
      <c r="A46" s="13" t="inlineStr">
        <is>
          <t>Single self-extracting .exe</t>
        </is>
      </c>
      <c r="B46" s="13" t="inlineStr">
        <is>
          <t>REJECTED</t>
        </is>
      </c>
      <c r="C46" s="14" t="inlineStr">
        <is>
          <t>Looks the most portable, and behaves the least. Each launch unpacks around 180 MB into the Windows temporary folder before the window appears - slow to start (against NR-NFR-01), it writes outside its own folder (against NR-DEP-06), and anti-virus scans the freshly written files every time.</t>
        </is>
      </c>
    </row>
    <row r="47">
      <c r="A47" s="11" t="inlineStr">
        <is>
          <t>Plain folder, run in place</t>
        </is>
      </c>
      <c r="B47" s="11" t="inlineStr">
        <is>
          <t>SELECTED - N-14</t>
        </is>
      </c>
      <c r="C47" s="12" t="inlineStr">
        <is>
          <t>PRAP.exe sits in a folder with its engine and resources beside it. Copy the folder, double-click the exe, it runs. Nothing is unpacked, nothing is registered, launch is as fast as the disk. The folder is large and visibly full of files, which is the only real cost.</t>
        </is>
      </c>
    </row>
    <row r="48">
      <c r="A48" s="13" t="inlineStr">
        <is>
          <t>ZIP of that folder</t>
        </is>
      </c>
      <c r="B48" s="13" t="inlineStr">
        <is>
          <t>How it is delivered</t>
        </is>
      </c>
      <c r="C48" s="14" t="inlineStr">
        <is>
          <t>The delivered artifact is a .zip of the folder above. The user extracts it once, wherever they like, and that extracted folder IS the application.</t>
        </is>
      </c>
    </row>
    <row r="51">
      <c r="A51" s="8" t="inlineStr">
        <is>
          <t>Worth being explicit, because the single .exe is what most people picture when they hear 'portable': it is the worse option here on three of this plan's own requirements. A folder is less elegant and behaves better.</t>
        </is>
      </c>
    </row>
    <row r="53">
      <c r="A53" s="5" t="inlineStr">
        <is>
          <t>What the non-installed rule costs</t>
        </is>
      </c>
    </row>
    <row r="54" ht="28" customHeight="1">
      <c r="A54" s="10" t="inlineStr">
        <is>
          <t>Cost</t>
        </is>
      </c>
      <c r="B54" s="10" t="inlineStr">
        <is>
          <t>What is done about it</t>
        </is>
      </c>
    </row>
    <row r="55">
      <c r="A55" s="16" t="inlineStr">
        <is>
          <t>Double-clicking a .prap file in Explorer will not open it.</t>
        </is>
      </c>
      <c r="B55" s="16" t="inlineStr">
        <is>
          <t>A file association is a registry entry. Mitigated by drag-and-drop onto the window, and by the recent-workspaces list (NR-IMP-04, NR-APP-06).</t>
        </is>
      </c>
    </row>
    <row r="56">
      <c r="A56" s="14" t="inlineStr">
        <is>
          <t>No Start-menu or taskbar entry appears by itself.</t>
        </is>
      </c>
      <c r="B56" s="14" t="inlineStr">
        <is>
          <t>The user can pin the exe by hand - which is a user action, not something the application does. The user guide will say how.</t>
        </is>
      </c>
    </row>
    <row r="57">
      <c r="A57" s="16" t="inlineStr">
        <is>
          <t>Windows will not treat the application as known software.</t>
        </is>
      </c>
      <c r="B57" s="16" t="inlineStr">
        <is>
          <t>SmartScreen and anti-virus judge an unsigned, unregistered executable more harshly, not less. See risks R-N01 and R-N09 - this is the one place where 'non-installed' makes a problem harder rather than easier.</t>
        </is>
      </c>
    </row>
    <row r="58">
      <c r="A58" s="14" t="inlineStr">
        <is>
          <t>The folder must not be nested too deeply.</t>
        </is>
      </c>
      <c r="B58" s="14" t="inlineStr">
        <is>
          <t>Windows path-length limits. See R-N10.</t>
        </is>
      </c>
    </row>
    <row r="60">
      <c r="A60" s="8" t="inlineStr">
        <is>
          <t>None of these is a reason to reconsider - they are the price of the constraint, listed so that nobody is surprised by them at Gate N5.</t>
        </is>
      </c>
    </row>
    <row r="61">
      <c r="A61" s="3" t="inlineStr">
        <is>
          <t>Legend</t>
        </is>
      </c>
    </row>
    <row r="62">
      <c r="A62" s="17" t="inlineStr">
        <is>
          <t>Green = new to the desktop application; nothing in the web application corresponds to it.</t>
        </is>
      </c>
    </row>
    <row r="63">
      <c r="A63" s="18" t="inlineStr">
        <is>
          <t>Orange = inherited from the web application but deliberately changed here.</t>
        </is>
      </c>
    </row>
    <row r="64">
      <c r="A64" s="19" t="inlineStr">
        <is>
          <t>Yellow = needs your decision before the work can proceed.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3"/>
  <sheetViews>
    <sheetView showGridLines="0" workbookViewId="0">
      <pane ySplit="4" topLeftCell="A5" activePane="bottomLeft" state="frozen"/>
      <selection pane="bottomLeft" activeCell="A1" sqref="A1"/>
    </sheetView>
  </sheetViews>
  <sheetFormatPr baseColWidth="8" defaultRowHeight="15"/>
  <cols>
    <col width="40" customWidth="1" min="1" max="1"/>
    <col width="44" customWidth="1" min="2" max="2"/>
    <col width="44" customWidth="1" min="3" max="3"/>
    <col width="22" customWidth="1" min="4" max="4"/>
  </cols>
  <sheetData>
    <row r="1">
      <c r="A1" s="9" t="inlineStr">
        <is>
          <t>Data flow and persistence</t>
        </is>
      </c>
    </row>
    <row r="2">
      <c r="A2" s="8" t="inlineStr">
        <is>
          <t>The second of the two requirements: data that survives closing the application.</t>
        </is>
      </c>
    </row>
    <row r="4">
      <c r="A4" s="5" t="inlineStr">
        <is>
          <t>Today, and what changes</t>
        </is>
      </c>
    </row>
    <row r="5">
      <c r="A5" s="7" t="inlineStr">
        <is>
          <t xml:space="preserve">  WEB APPLICATION      Excel  --import--&gt;  memory  --export--&gt;  Excel</t>
        </is>
      </c>
    </row>
    <row r="6">
      <c r="A6" s="7" t="inlineStr">
        <is>
          <t xml:space="preserve">                                             |</t>
        </is>
      </c>
    </row>
    <row r="7">
      <c r="A7" s="7" t="inlineStr">
        <is>
          <t xml:space="preserve">                                          closing the tab loses everything</t>
        </is>
      </c>
    </row>
    <row r="8">
      <c r="A8" s="6" t="inlineStr"/>
    </row>
    <row r="9">
      <c r="A9" s="7" t="inlineStr">
        <is>
          <t xml:space="preserve">  DESKTOP APPLICATION  Excel / JSON  --import--&gt;  WORKSPACE (on disk)  --export--&gt;  Excel / JSON</t>
        </is>
      </c>
    </row>
    <row r="10">
      <c r="A10" s="7" t="inlineStr">
        <is>
          <t xml:space="preserve">                                                       ^   |</t>
        </is>
      </c>
    </row>
    <row r="11">
      <c r="A11" s="7" t="inlineStr">
        <is>
          <t xml:space="preserve">                                                       |   +--&gt; reopened automatically at launch</t>
        </is>
      </c>
    </row>
    <row r="12">
      <c r="A12" s="7" t="inlineStr">
        <is>
          <t xml:space="preserve">                                                       +------- written on every committed Save</t>
        </is>
      </c>
    </row>
    <row r="14">
      <c r="A14" s="8" t="inlineStr">
        <is>
          <t>The consequential change is not the file - it is that the workspace becomes the source of truth. After the first import, the Excel workbook is an exchange format: something you export FOR somebody, or import FROM somebody, not the thing the application reads every morning.</t>
        </is>
      </c>
    </row>
    <row r="16">
      <c r="A16" s="5" t="inlineStr">
        <is>
          <t>The workspace file</t>
        </is>
      </c>
    </row>
    <row r="17" ht="28" customHeight="1">
      <c r="A17" s="10" t="inlineStr">
        <is>
          <t>Aspect</t>
        </is>
      </c>
      <c r="B17" s="10" t="inlineStr">
        <is>
          <t>Decision</t>
        </is>
      </c>
      <c r="C17" s="10" t="inlineStr">
        <is>
          <t>Ref</t>
        </is>
      </c>
    </row>
    <row r="18">
      <c r="A18" s="15" t="inlineStr">
        <is>
          <t>Format</t>
        </is>
      </c>
      <c r="B18" s="16" t="inlineStr">
        <is>
          <t>prap-source-data JSON, format_version 1 - the format the AI agent guide already documents.</t>
        </is>
      </c>
      <c r="C18" s="15" t="inlineStr">
        <is>
          <t>NR-STO-03</t>
        </is>
      </c>
    </row>
    <row r="19">
      <c r="A19" s="13" t="inlineStr">
        <is>
          <t>Why not SQLite</t>
        </is>
      </c>
      <c r="B19" s="14" t="inlineStr">
        <is>
          <t>The data is small - tens of projects, hundreds of people, low thousands of rows. SQLite buys concurrency and query power that nothing here needs, and costs the property that an AI agent can read a workspace with no new contract. Revisit only if Q-N06 turns out to need multi-user access.</t>
        </is>
      </c>
      <c r="C19" s="13" t="inlineStr">
        <is>
          <t>N-02</t>
        </is>
      </c>
    </row>
    <row r="20">
      <c r="A20" s="15" t="inlineStr">
        <is>
          <t>Why not the Excel workbook itself</t>
        </is>
      </c>
      <c r="B20" s="16" t="inlineStr">
        <is>
          <t>Writing xlsx on every Save would be slow, would lose the provisional-edit state, and would make an interrupted write corrupt the user's own archive file.</t>
        </is>
      </c>
      <c r="C20" s="15" t="inlineStr">
        <is>
          <t>N-02</t>
        </is>
      </c>
    </row>
    <row r="21">
      <c r="A21" s="13" t="inlineStr">
        <is>
          <t>Extension</t>
        </is>
      </c>
      <c r="B21" s="14" t="inlineStr">
        <is>
          <t>.prap - but NOT registered with Windows, because that would need a registry entry the non-installed rule forbids. Workspaces are opened from within the application, or dragged onto its window.</t>
        </is>
      </c>
      <c r="C21" s="13" t="inlineStr">
        <is>
          <t>NR-IMP-04</t>
        </is>
      </c>
    </row>
    <row r="22">
      <c r="A22" s="15" t="inlineStr">
        <is>
          <t>Contents</t>
        </is>
      </c>
      <c r="B22" s="16" t="inlineStr">
        <is>
          <t>The ten sheets exactly as imported, plus a small header: application version, schema version, source file name and import timestamp, and the retained version history.</t>
        </is>
      </c>
      <c r="C22" s="15" t="inlineStr">
        <is>
          <t>NR-STO-09</t>
        </is>
      </c>
    </row>
    <row r="23">
      <c r="A23" s="13" t="inlineStr">
        <is>
          <t>Readable</t>
        </is>
      </c>
      <c r="B23" s="14" t="inlineStr">
        <is>
          <t>Yes - it is JSON. A workspace can be inspected, diffed, version-controlled, or handed to an AI agent as-is.</t>
        </is>
      </c>
      <c r="C23" s="13" t="inlineStr">
        <is>
          <t>NR-STO-03</t>
        </is>
      </c>
    </row>
    <row r="26">
      <c r="A26" s="5" t="inlineStr">
        <is>
          <t>Where things live   [round 1: non-installed]</t>
        </is>
      </c>
    </row>
    <row r="27">
      <c r="A27" s="6" t="inlineStr">
        <is>
          <t>The portable rule says everything lives in one folder. Data safety says an update must not be able to</t>
        </is>
      </c>
    </row>
    <row r="28">
      <c r="A28" s="6" t="inlineStr">
        <is>
          <t>delete a plan. Those two pull against each other, and the layout below is what resolves them:</t>
        </is>
      </c>
    </row>
    <row r="29">
      <c r="A29" s="6" t="inlineStr"/>
    </row>
    <row r="30">
      <c r="A30" s="7" t="inlineStr">
        <is>
          <t xml:space="preserve">    PRAP\                        &lt;- copy THIS folder anywhere; delete it to remove the application</t>
        </is>
      </c>
    </row>
    <row r="31">
      <c r="A31" s="7" t="inlineStr">
        <is>
          <t xml:space="preserve">      PRAP.exe                    &lt;- \</t>
        </is>
      </c>
    </row>
    <row r="32">
      <c r="A32" s="7" t="inlineStr">
        <is>
          <t xml:space="preserve">      resources\                  &lt;-  |  replaced wholesale by an update</t>
        </is>
      </c>
    </row>
    <row r="33">
      <c r="A33" s="7" t="inlineStr">
        <is>
          <t xml:space="preserve">      version.txt                 &lt;- /</t>
        </is>
      </c>
    </row>
    <row r="34">
      <c r="A34" s="7" t="inlineStr">
        <is>
          <t xml:space="preserve">      data\                       &lt;- NEVER touched by an update</t>
        </is>
      </c>
    </row>
    <row r="35">
      <c r="A35" s="7" t="inlineStr">
        <is>
          <t xml:space="preserve">        settings.json             &lt;- window state, recent workspaces, preferences</t>
        </is>
      </c>
    </row>
    <row r="36">
      <c r="A36" s="7" t="inlineStr">
        <is>
          <t xml:space="preserve">        workspaces\               &lt;- the default home for .prap files</t>
        </is>
      </c>
    </row>
    <row r="37">
      <c r="A37" s="7" t="inlineStr">
        <is>
          <t xml:space="preserve">        backups\                  &lt;- the retained previous versions (NR-STO-06)</t>
        </is>
      </c>
    </row>
    <row r="39" ht="28" customHeight="1">
      <c r="A39" s="10" t="inlineStr">
        <is>
          <t>Rule</t>
        </is>
      </c>
      <c r="B39" s="10" t="inlineStr">
        <is>
          <t>How it is upheld</t>
        </is>
      </c>
    </row>
    <row r="40">
      <c r="A40" s="16" t="inlineStr">
        <is>
          <t>An update replaces the application files and leaves data\ alone.</t>
        </is>
      </c>
      <c r="B40" s="16" t="inlineStr">
        <is>
          <t>Stated as a rule in the user guide AND enforced by the updater instructions: the delivered zip contains no data\ folder, so extracting it over an existing installation cannot overwrite one.</t>
        </is>
      </c>
    </row>
    <row r="41">
      <c r="A41" s="14" t="inlineStr">
        <is>
          <t>Workspaces default into data\workspaces\ but are not confined there.</t>
        </is>
      </c>
      <c r="B41" s="14" t="inlineStr">
        <is>
          <t>The user may save a workspace anywhere - a project folder, a network drive. The default simply means the application always has somewhere sensible to put one.</t>
        </is>
      </c>
    </row>
    <row r="42">
      <c r="A42" s="16" t="inlineStr">
        <is>
          <t>Paths in settings.json are relative wherever they can be.</t>
        </is>
      </c>
      <c r="B42" s="16" t="inlineStr">
        <is>
          <t>So copying the folder to another PC, or to a different drive letter, does not break the recent list (NR-DEP-08).</t>
        </is>
      </c>
    </row>
    <row r="43">
      <c r="A43" s="14" t="inlineStr">
        <is>
          <t>If the application folder is read-only, data\ cannot be created.</t>
        </is>
      </c>
      <c r="B43" s="14" t="inlineStr">
        <is>
          <t>The application says so plainly at first launch and asks the user where to keep data instead, remembering the answer next to nothing else - see R-N11 and NR-DEP-09.</t>
        </is>
      </c>
    </row>
    <row r="45">
      <c r="A45" s="8" t="inlineStr">
        <is>
          <t>The one arrangement that must NOT be used is workspaces inside resources\, or anywhere else among the application files: an update would silently delete the user's plans. It is an easy mistake to make and an unrecoverable one to ship, which is why it is written down here at Step 1 rather than discovered at Step 4.</t>
        </is>
      </c>
    </row>
    <row r="47">
      <c r="A47" s="5" t="inlineStr">
        <is>
          <t>When the folder is shared   [round 2: Q-N12]</t>
        </is>
      </c>
    </row>
    <row r="48">
      <c r="A48" s="6" t="inlineStr">
        <is>
          <t>One copy on a network folder, several people running it, is a sensible way to distribute a portable</t>
        </is>
      </c>
    </row>
    <row r="49">
      <c r="A49" s="6" t="inlineStr">
        <is>
          <t>application - and it breaks the simple layout above in two places. Both are cheap to solve now and</t>
        </is>
      </c>
    </row>
    <row r="50">
      <c r="A50" s="6" t="inlineStr">
        <is>
          <t>expensive to solve after somebody has lost an afternoon's work.</t>
        </is>
      </c>
    </row>
    <row r="51">
      <c r="A51" s="6" t="inlineStr"/>
    </row>
    <row r="52">
      <c r="A52" s="6" t="inlineStr">
        <is>
          <t xml:space="preserve">    1. SETTINGS COLLIDE.  One data\settings.json cannot hold two people's window sizes and recent lists.</t>
        </is>
      </c>
    </row>
    <row r="53">
      <c r="A53" s="6" t="inlineStr">
        <is>
          <t xml:space="preserve">    2. TWO WRITERS.       Two people open the same .prap file; the second Save silently discards the first.</t>
        </is>
      </c>
    </row>
    <row r="55">
      <c r="A55" s="8" t="inlineStr">
        <is>
          <t>Note that problem 2 exists as soon as workspaces are reachable by two people - which a shared folder makes likely even if the application itself is copied locally. So it is solved unconditionally, not only in the shared case.</t>
        </is>
      </c>
    </row>
    <row r="57">
      <c r="A57" s="5" t="inlineStr">
        <is>
          <t>Where the data folder is - resolved in one fixed order   [NR-DEP-10]</t>
        </is>
      </c>
    </row>
    <row r="58" ht="28" customHeight="1">
      <c r="A58" s="10" t="inlineStr">
        <is>
          <t>Order</t>
        </is>
      </c>
      <c r="B58" s="10" t="inlineStr">
        <is>
          <t>Source</t>
        </is>
      </c>
      <c r="C58" s="10" t="inlineStr">
        <is>
          <t>Why it is there</t>
        </is>
      </c>
      <c r="D58" s="10" t="inlineStr">
        <is>
          <t>Applies</t>
        </is>
      </c>
    </row>
    <row r="59">
      <c r="A59" s="15" t="inlineStr">
        <is>
          <t>1</t>
        </is>
      </c>
      <c r="B59" s="15" t="inlineStr">
        <is>
          <t>--data=&lt;path&gt; on the command line</t>
        </is>
      </c>
      <c r="C59" s="16" t="inlineStr">
        <is>
          <t>How a personal shortcut carries it. Explicit, visible, and belongs to the user rather than to the application.</t>
        </is>
      </c>
      <c r="D59" s="15" t="inlineStr">
        <is>
          <t>Always wins</t>
        </is>
      </c>
    </row>
    <row r="60">
      <c r="A60" s="13" t="inlineStr">
        <is>
          <t>2</t>
        </is>
      </c>
      <c r="B60" s="13" t="inlineStr">
        <is>
          <t>The PRAP_DATA environment variable</t>
        </is>
      </c>
      <c r="C60" s="14" t="inlineStr">
        <is>
          <t>For a site that wants to set it centrally, by login script or group policy.</t>
        </is>
      </c>
      <c r="D60" s="13" t="inlineStr">
        <is>
          <t>If no argument</t>
        </is>
      </c>
    </row>
    <row r="61">
      <c r="A61" s="15" t="inlineStr">
        <is>
          <t>3</t>
        </is>
      </c>
      <c r="B61" s="15" t="inlineStr">
        <is>
          <t>data\ beside the application</t>
        </is>
      </c>
      <c r="C61" s="16" t="inlineStr">
        <is>
          <t>The ordinary single-user case, and the reason a copied folder simply works.</t>
        </is>
      </c>
      <c r="D61" s="15" t="inlineStr">
        <is>
          <t>If writable, and not shared</t>
        </is>
      </c>
    </row>
    <row r="62">
      <c r="A62" s="13" t="inlineStr">
        <is>
          <t>4</t>
        </is>
      </c>
      <c r="B62" s="13" t="inlineStr">
        <is>
          <t>Ask the user, once</t>
        </is>
      </c>
      <c r="C62" s="14" t="inlineStr">
        <is>
          <t>The shared or read-only case. The answer is not written to a hidden file - the application offers to create a desktop shortcut carrying --data, so the choice lives somewhere the user can see, move and delete.</t>
        </is>
      </c>
      <c r="D62" s="13" t="inlineStr">
        <is>
          <t>Last resort</t>
        </is>
      </c>
    </row>
    <row r="64">
      <c r="A64" s="8" t="inlineStr">
        <is>
          <t>There is a chicken-and-egg problem hiding here: if the application cannot write beside itself, where does it remember the answer? The usual solution - a file in the user profile - is exactly the hidden state the non-installed rule forbids. A shortcut the user owns solves it honestly: it is visible, it is theirs, and deleting it undoes the decision. The About dialog always shows which of the four rules applied (NR-DEP-10).</t>
        </is>
      </c>
    </row>
    <row r="66">
      <c r="A66" s="5" t="inlineStr">
        <is>
          <t>Two people, one workspace   [NR-STO-10]</t>
        </is>
      </c>
    </row>
    <row r="67" ht="28" customHeight="1">
      <c r="A67" s="10" t="inlineStr">
        <is>
          <t>Rule</t>
        </is>
      </c>
      <c r="B67" s="10" t="inlineStr">
        <is>
          <t>Why</t>
        </is>
      </c>
    </row>
    <row r="68">
      <c r="A68" s="16" t="inlineStr">
        <is>
          <t>Opening a workspace writes a small marker beside it: user name, machine name, time.</t>
        </is>
      </c>
      <c r="B68" s="16" t="inlineStr">
        <is>
          <t>It is advisory, not an operating-system lock - a share may not support real locking, and a lock nobody can clear is worse than none.</t>
        </is>
      </c>
    </row>
    <row r="69">
      <c r="A69" s="14" t="inlineStr">
        <is>
          <t>A second person opening it sees who holds it and since when, and gets it read-only.</t>
        </is>
      </c>
      <c r="B69" s="14" t="inlineStr">
        <is>
          <t>Read-only is a full working mode - every figure, table and graph (NR-STO-11). Only saving is withheld. Looking at a plan somebody else is editing is a reasonable thing to want.</t>
        </is>
      </c>
    </row>
    <row r="70">
      <c r="A70" s="16" t="inlineStr">
        <is>
          <t>Closing removes the marker.</t>
        </is>
      </c>
      <c r="B70" s="16" t="inlineStr">
        <is>
          <t>The normal path leaves nothing behind.</t>
        </is>
      </c>
    </row>
    <row r="71">
      <c r="A71" s="14" t="inlineStr">
        <is>
          <t>A marker left by a crash can be cleared, with the consequence spelled out.</t>
        </is>
      </c>
      <c r="B71" s="14" t="inlineStr">
        <is>
          <t>The alternative - a plan nobody can open until IT deletes a file - is worse. The message names the holder and the time so the user can judge.</t>
        </is>
      </c>
    </row>
    <row r="72">
      <c r="A72" s="16" t="inlineStr">
        <is>
          <t>Saving re-checks the marker first.</t>
        </is>
      </c>
      <c r="B72" s="16" t="inlineStr">
        <is>
          <t>Catches the case where somebody cleared it while the file was open. A refused save that explains itself beats a silent overwrite.</t>
        </is>
      </c>
    </row>
    <row r="74">
      <c r="A74" s="8" t="inlineStr">
        <is>
          <t>This is deliberately modest. Real multi-user editing - merging two people's changes to one plan - is out of scope and would change the storage format. What is in scope is that nobody's work disappears without them being told, which is the failure that actually matters.</t>
        </is>
      </c>
    </row>
    <row r="76">
      <c r="A76" s="5" t="inlineStr">
        <is>
          <t>Writing safely</t>
        </is>
      </c>
    </row>
    <row r="77" ht="28" customHeight="1">
      <c r="A77" s="10" t="inlineStr">
        <is>
          <t>Step</t>
        </is>
      </c>
      <c r="B77" s="10" t="inlineStr">
        <is>
          <t>Action</t>
        </is>
      </c>
      <c r="C77" s="10" t="inlineStr">
        <is>
          <t>Why</t>
        </is>
      </c>
    </row>
    <row r="78">
      <c r="A78" s="15" t="inlineStr">
        <is>
          <t>1</t>
        </is>
      </c>
      <c r="B78" s="16" t="inlineStr">
        <is>
          <t>Serialise the committed model to JSON in memory.</t>
        </is>
      </c>
      <c r="C78" s="16" t="inlineStr">
        <is>
          <t>Nothing has touched the disk yet.</t>
        </is>
      </c>
    </row>
    <row r="79">
      <c r="A79" s="13" t="inlineStr">
        <is>
          <t>2</t>
        </is>
      </c>
      <c r="B79" s="14" t="inlineStr">
        <is>
          <t>Write it to a temporary file in the same directory, and flush it to the physical disk.</t>
        </is>
      </c>
      <c r="C79" s="14" t="inlineStr">
        <is>
          <t>Same directory, so the rename in step 4 cannot cross a filesystem boundary.</t>
        </is>
      </c>
    </row>
    <row r="80">
      <c r="A80" s="15" t="inlineStr">
        <is>
          <t>3</t>
        </is>
      </c>
      <c r="B80" s="16" t="inlineStr">
        <is>
          <t>Roll the current workspace file into the version history.</t>
        </is>
      </c>
      <c r="C80" s="16" t="inlineStr">
        <is>
          <t>This is what NR-STO-06 restores from.</t>
        </is>
      </c>
    </row>
    <row r="81">
      <c r="A81" s="13" t="inlineStr">
        <is>
          <t>4</t>
        </is>
      </c>
      <c r="B81" s="14" t="inlineStr">
        <is>
          <t>Rename the temporary file over the workspace file.</t>
        </is>
      </c>
      <c r="C81" s="14" t="inlineStr">
        <is>
          <t>A rename is atomic. The file is either wholly the old contents or wholly the new - never half of each (NR-STO-05).</t>
        </is>
      </c>
    </row>
    <row r="82">
      <c r="A82" s="15" t="inlineStr">
        <is>
          <t>5</t>
        </is>
      </c>
      <c r="B82" s="16" t="inlineStr">
        <is>
          <t>Only now report the save as done.</t>
        </is>
      </c>
      <c r="C82" s="16" t="inlineStr">
        <is>
          <t>NR-STO-04. Reporting a save that has not reached the disk is the one failure that would destroy trust in the whole feature.</t>
        </is>
      </c>
    </row>
    <row r="85">
      <c r="A85" s="8" t="inlineStr">
        <is>
          <t>Power loss at any point leaves a readable workspace: before step 4 the old one, after it the new one. A stray temporary file is detected and removed at the next launch.</t>
        </is>
      </c>
    </row>
    <row r="87">
      <c r="A87" s="5" t="inlineStr">
        <is>
          <t>How this meets the existing edit model</t>
        </is>
      </c>
    </row>
    <row r="88" ht="28" customHeight="1">
      <c r="A88" s="10" t="inlineStr">
        <is>
          <t>Event</t>
        </is>
      </c>
      <c r="B88" s="10" t="inlineStr">
        <is>
          <t>Behaviour</t>
        </is>
      </c>
      <c r="C88" s="10" t="inlineStr">
        <is>
          <t>Note</t>
        </is>
      </c>
    </row>
    <row r="89">
      <c r="A89" s="15" t="inlineStr">
        <is>
          <t>A pending edit</t>
        </is>
      </c>
      <c r="B89" s="16" t="inlineStr">
        <is>
          <t>Held exactly as today - snapshot taken before the first change.</t>
        </is>
      </c>
      <c r="C89" s="16" t="inlineStr">
        <is>
          <t>Nothing written to the workspace.</t>
        </is>
      </c>
    </row>
    <row r="90">
      <c r="A90" s="13" t="inlineStr">
        <is>
          <t>Save</t>
        </is>
      </c>
      <c r="B90" s="14" t="inlineStr">
        <is>
          <t>Commits as today, then writes the workspace.</t>
        </is>
      </c>
      <c r="C90" s="14" t="inlineStr">
        <is>
          <t>The existing Save is already the commit point, so persistence attaches to it with no new state.</t>
        </is>
      </c>
    </row>
    <row r="91">
      <c r="A91" s="15" t="inlineStr">
        <is>
          <t>Leave without change</t>
        </is>
      </c>
      <c r="B91" s="16" t="inlineStr">
        <is>
          <t>Reverts as today.</t>
        </is>
      </c>
      <c r="C91" s="16" t="inlineStr">
        <is>
          <t>Nothing is written, so nothing needs undoing on disk.</t>
        </is>
      </c>
    </row>
    <row r="92">
      <c r="A92" s="11" t="inlineStr">
        <is>
          <t>Autosave of PENDING edits</t>
        </is>
      </c>
      <c r="B92" s="12" t="inlineStr">
        <is>
          <t>Pending edits are journalled separately, not into the workspace.</t>
        </is>
      </c>
      <c r="C92" s="12" t="inlineStr">
        <is>
          <t>So an unexpected close can offer them back (NR-STO-07) without a half-finished edit ever becoming committed data.</t>
        </is>
      </c>
    </row>
    <row r="93">
      <c r="A93" s="11" t="inlineStr">
        <is>
          <t>Recovery</t>
        </is>
      </c>
      <c r="B93" s="12" t="inlineStr">
        <is>
          <t>At launch, a journal newer than the workspace prompts: keep these edits, or discard them.</t>
        </is>
      </c>
      <c r="C93" s="12" t="inlineStr">
        <is>
          <t>The user decides. Silently applying recovered edits would be worse than losing them.</t>
        </is>
      </c>
    </row>
    <row r="96">
      <c r="A96" s="8" t="inlineStr">
        <is>
          <t>The provisional-edit model built for the web application - snapshot, commit on Save, revert on Leave without change - turns out to be exactly the seam persistence needs. No part of it changes.</t>
        </is>
      </c>
    </row>
    <row r="98">
      <c r="A98" s="5" t="inlineStr">
        <is>
          <t>Re-importing over a workspace that already holds data</t>
        </is>
      </c>
    </row>
    <row r="99">
      <c r="A99" s="6" t="inlineStr">
        <is>
          <t>This is the one genuinely new decision the change forces, and it is the one most likely to lose somebody's</t>
        </is>
      </c>
    </row>
    <row r="100">
      <c r="A100" s="6" t="inlineStr">
        <is>
          <t>work if it is decided carelessly. Somebody else maintains the source workbook; you will have hand-entered</t>
        </is>
      </c>
    </row>
    <row r="101">
      <c r="A101" s="6" t="inlineStr">
        <is>
          <t>assignments in the workspace. A silent replace destroys them, and a silent merge hides that it happened.</t>
        </is>
      </c>
    </row>
    <row r="103" ht="28" customHeight="1">
      <c r="A103" s="10" t="inlineStr">
        <is>
          <t>Option</t>
        </is>
      </c>
      <c r="B103" s="10" t="inlineStr">
        <is>
          <t>For</t>
        </is>
      </c>
      <c r="C103" s="10" t="inlineStr">
        <is>
          <t>Against</t>
        </is>
      </c>
      <c r="D103" s="10" t="inlineStr">
        <is>
          <t>Status</t>
        </is>
      </c>
    </row>
    <row r="104">
      <c r="A104" s="15" t="inlineStr">
        <is>
          <t>Replace everything</t>
        </is>
      </c>
      <c r="B104" s="16" t="inlineStr">
        <is>
          <t>Simple.</t>
        </is>
      </c>
      <c r="C104" s="16" t="inlineStr">
        <is>
          <t>Destroys hand-entered data with no warning.</t>
        </is>
      </c>
      <c r="D104" s="15" t="inlineStr">
        <is>
          <t>Rejected</t>
        </is>
      </c>
    </row>
    <row r="105">
      <c r="A105" s="13" t="inlineStr">
        <is>
          <t>Merge by key, source wins</t>
        </is>
      </c>
      <c r="B105" s="14" t="inlineStr">
        <is>
          <t>Keeps rows the import does not mention.</t>
        </is>
      </c>
      <c r="C105" s="14" t="inlineStr">
        <is>
          <t>Silently changes rows you edited deliberately.</t>
        </is>
      </c>
      <c r="D105" s="13" t="inlineStr">
        <is>
          <t>Rejected</t>
        </is>
      </c>
    </row>
    <row r="106">
      <c r="A106" s="11" t="inlineStr">
        <is>
          <t>Show the differences, decide per sheet</t>
        </is>
      </c>
      <c r="B106" s="12" t="inlineStr">
        <is>
          <t>Nothing is lost without being seen. The user keeps authority over their own data.</t>
        </is>
      </c>
      <c r="C106" s="12" t="inlineStr">
        <is>
          <t>One more dialog to build and to pass through.</t>
        </is>
      </c>
      <c r="D106" s="11" t="inlineStr">
        <is>
          <t>PROPOSED - NR-IMP-02, decision N-07</t>
        </is>
      </c>
    </row>
    <row r="107">
      <c r="A107" s="13" t="inlineStr">
        <is>
          <t>Refuse; require a new workspace</t>
        </is>
      </c>
      <c r="B107" s="14" t="inlineStr">
        <is>
          <t>Impossible to lose anything.</t>
        </is>
      </c>
      <c r="C107" s="14" t="inlineStr">
        <is>
          <t>Makes the ordinary case - refreshed project dates - painful.</t>
        </is>
      </c>
      <c r="D107" s="13" t="inlineStr">
        <is>
          <t>Rejected</t>
        </is>
      </c>
    </row>
    <row r="109">
      <c r="A109" s="8" t="inlineStr">
        <is>
          <t>Q-N05 asks you to confirm this. It is worth a moment's thought: it is the one place in the design where the wrong choice quietly loses work.</t>
        </is>
      </c>
    </row>
    <row r="110">
      <c r="A110" s="3" t="inlineStr">
        <is>
          <t>Legend</t>
        </is>
      </c>
    </row>
    <row r="111">
      <c r="A111" s="17" t="inlineStr">
        <is>
          <t>Green = new to the desktop application; nothing in the web application corresponds to it.</t>
        </is>
      </c>
    </row>
    <row r="112">
      <c r="A112" s="18" t="inlineStr">
        <is>
          <t>Orange = inherited from the web application but deliberately changed here.</t>
        </is>
      </c>
    </row>
    <row r="113">
      <c r="A113" s="19" t="inlineStr">
        <is>
          <t>Yellow = needs your decision before the work can proceed.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7"/>
  <sheetViews>
    <sheetView showGridLines="0" workbookViewId="0">
      <pane ySplit="4" topLeftCell="A5" activePane="bottomLeft" state="frozen"/>
      <selection pane="bottomLeft" activeCell="A1" sqref="A1"/>
    </sheetView>
  </sheetViews>
  <sheetFormatPr baseColWidth="8" defaultRowHeight="15"/>
  <cols>
    <col width="8" customWidth="1" min="1" max="1"/>
    <col width="62" customWidth="1" min="2" max="2"/>
    <col width="74" customWidth="1" min="3" max="3"/>
    <col width="14" customWidth="1" min="4" max="4"/>
  </cols>
  <sheetData>
    <row r="1">
      <c r="A1" s="9" t="inlineStr">
        <is>
          <t>Engineering decisions</t>
        </is>
      </c>
    </row>
    <row r="2">
      <c r="A2" s="8" t="inlineStr">
        <is>
          <t>N-ids belong to this plan. C-01..C-11 of the web plan govern the calculation and are inherited unchanged.</t>
        </is>
      </c>
    </row>
    <row r="4" ht="28" customHeight="1">
      <c r="A4" s="10" t="inlineStr">
        <is>
          <t>ID</t>
        </is>
      </c>
      <c r="B4" s="10" t="inlineStr">
        <is>
          <t>Decision</t>
        </is>
      </c>
      <c r="C4" s="10" t="inlineStr">
        <is>
          <t>Rationale</t>
        </is>
      </c>
      <c r="D4" s="10" t="inlineStr">
        <is>
          <t>Status</t>
        </is>
      </c>
    </row>
    <row r="5">
      <c r="A5" s="15" t="inlineStr">
        <is>
          <t>N-01</t>
        </is>
      </c>
      <c r="B5" s="16" t="inlineStr">
        <is>
          <t>The desktop shell is Electron, packaged without an installer requirement.</t>
        </is>
      </c>
      <c r="C5" s="16" t="inlineStr">
        <is>
          <t>Reuses a verified engine and a verified UI whole, and can be tested in this repository before delivery. Size was the argument against it, and your instruction removes that argument. Reversible: only shell/desktop/ would change.</t>
        </is>
      </c>
      <c r="D5" s="22" t="inlineStr">
        <is>
          <t>CONFIRM</t>
        </is>
      </c>
    </row>
    <row r="6">
      <c r="A6" s="13" t="inlineStr">
        <is>
          <t>N-02</t>
        </is>
      </c>
      <c r="B6" s="14" t="inlineStr">
        <is>
          <t>The workspace is prap-source-data JSON, not SQLite and not xlsx.</t>
        </is>
      </c>
      <c r="C6" s="14" t="inlineStr">
        <is>
          <t>Small data, an existing round-trip-tested format, and it keeps a workspace directly readable by an AI agent. See sheet 05.</t>
        </is>
      </c>
      <c r="D6" s="22" t="inlineStr">
        <is>
          <t>CONFIRM</t>
        </is>
      </c>
    </row>
    <row r="7">
      <c r="A7" s="15" t="inlineStr">
        <is>
          <t>N-03</t>
        </is>
      </c>
      <c r="B7" s="16" t="inlineStr">
        <is>
          <t>Workspace writes are atomic, with the previous versions retained.</t>
        </is>
      </c>
      <c r="C7" s="16" t="inlineStr">
        <is>
          <t>The cost of persistence is that a bad write now destroys data that used to live safely in Excel. Atomic rename plus history is the standard answer.</t>
        </is>
      </c>
      <c r="D7" s="22" t="inlineStr">
        <is>
          <t>CONFIRM</t>
        </is>
      </c>
    </row>
    <row r="8">
      <c r="A8" s="13" t="inlineStr">
        <is>
          <t>N-04</t>
        </is>
      </c>
      <c r="B8" s="14" t="inlineStr">
        <is>
          <t>Many workspaces, chosen by the user, with a recent list.</t>
        </is>
      </c>
      <c r="C8" s="14" t="inlineStr">
        <is>
          <t>You plan scenarios. A single implicit workspace would force overwriting one plan to explore another.</t>
        </is>
      </c>
      <c r="D8" s="22" t="inlineStr">
        <is>
          <t>CONFIRM</t>
        </is>
      </c>
    </row>
    <row r="9">
      <c r="A9" s="15" t="inlineStr">
        <is>
          <t>N-05</t>
        </is>
      </c>
      <c r="B9" s="16" t="inlineStr">
        <is>
          <t>One shared engine, two shells - never two implementations.</t>
        </is>
      </c>
      <c r="C9" s="16" t="inlineStr">
        <is>
          <t>Two implementations of the same arithmetic will diverge, and the divergence will be discovered by someone who trusted the wrong number.</t>
        </is>
      </c>
      <c r="D9" s="22" t="inlineStr">
        <is>
          <t>CONFIRM</t>
        </is>
      </c>
    </row>
    <row r="10">
      <c r="A10" s="13" t="inlineStr">
        <is>
          <t>N-06</t>
        </is>
      </c>
      <c r="B10" s="14" t="inlineStr">
        <is>
          <t>The HTML application is frozen in feature terms at its v1.0. Shared-engine fixes reach it; desktop-only features do not.</t>
        </is>
      </c>
      <c r="C10" s="14" t="inlineStr">
        <is>
          <t>It is finished and in service. Keeping it a build target protects it; keeping it feature-frozen keeps it from becoming a second thing to design.</t>
        </is>
      </c>
      <c r="D10" s="22" t="inlineStr">
        <is>
          <t>CONFIRM</t>
        </is>
      </c>
    </row>
    <row r="11">
      <c r="A11" s="15" t="inlineStr">
        <is>
          <t>N-07</t>
        </is>
      </c>
      <c r="B11" s="16" t="inlineStr">
        <is>
          <t>Re-import shows a difference and lets the user decide per sheet.</t>
        </is>
      </c>
      <c r="C11" s="16" t="inlineStr">
        <is>
          <t>The only option that cannot silently lose hand-entered work. See sheet 05.</t>
        </is>
      </c>
      <c r="D11" s="22" t="inlineStr">
        <is>
          <t>CONFIRM</t>
        </is>
      </c>
    </row>
    <row r="12">
      <c r="A12" s="13" t="inlineStr">
        <is>
          <t>N-08</t>
        </is>
      </c>
      <c r="B12" s="14" t="inlineStr">
        <is>
          <t>Pending edits are journalled separately from the committed workspace.</t>
        </is>
      </c>
      <c r="C12" s="14" t="inlineStr">
        <is>
          <t>So recovery can offer them back without a half-typed row ever becoming committed data.</t>
        </is>
      </c>
      <c r="D12" s="22" t="inlineStr">
        <is>
          <t>CONFIRM</t>
        </is>
      </c>
    </row>
    <row r="13">
      <c r="A13" s="15" t="inlineStr">
        <is>
          <t>N-09</t>
        </is>
      </c>
      <c r="B13" s="16" t="inlineStr">
        <is>
          <t>No network access of any kind, including update checks and crash reporting.</t>
        </is>
      </c>
      <c r="C13" s="16" t="inlineStr">
        <is>
          <t>The tool is offline by requirement. Anything that opens a socket makes it a different kind of product in the eyes of corporate IT.</t>
        </is>
      </c>
      <c r="D13" s="22" t="inlineStr">
        <is>
          <t>CONFIRM</t>
        </is>
      </c>
    </row>
    <row r="14">
      <c r="A14" s="13" t="inlineStr">
        <is>
          <t>N-10</t>
        </is>
      </c>
      <c r="B14" s="14" t="inlineStr">
        <is>
          <t>Engine parity between the applications is mandatory and tested; visual parity is best-effort and documented.</t>
        </is>
      </c>
      <c r="C14" s="14" t="inlineStr">
        <is>
          <t>The figures must agree or both tools are worthless. Whether a dialog looks native matters much less.</t>
        </is>
      </c>
      <c r="D14" s="22" t="inlineStr">
        <is>
          <t>CONFIRM</t>
        </is>
      </c>
    </row>
    <row r="15">
      <c r="A15" s="15" t="inlineStr">
        <is>
          <t>N-11</t>
        </is>
      </c>
      <c r="B15" s="16" t="inlineStr">
        <is>
          <t>The desktop application reuses the web UI rather than being redesigned.</t>
        </is>
      </c>
      <c r="C15" s="16" t="inlineStr">
        <is>
          <t>You have reviewed that UI over 25 rounds. Redesigning it would discard that and give you two habits to hold.</t>
        </is>
      </c>
      <c r="D15" s="22" t="inlineStr">
        <is>
          <t>CONFIRM</t>
        </is>
      </c>
    </row>
    <row r="16">
      <c r="A16" s="13" t="inlineStr">
        <is>
          <t>N-12</t>
        </is>
      </c>
      <c r="B16" s="14" t="inlineStr">
        <is>
          <t>A workspace from a newer application version is refused, not partially read.</t>
        </is>
      </c>
      <c r="C16" s="14" t="inlineStr">
        <is>
          <t>Reading unknown fields and writing them back out is how data quietly disappears.</t>
        </is>
      </c>
      <c r="D16" s="22" t="inlineStr">
        <is>
          <t>CONFIRM</t>
        </is>
      </c>
    </row>
    <row r="17">
      <c r="A17" s="15" t="inlineStr">
        <is>
          <t>N-13</t>
        </is>
      </c>
      <c r="B17" s="16" t="inlineStr">
        <is>
          <t>Application files and user data are separate folders under one parent, and an update replaces only the application files.</t>
        </is>
      </c>
      <c r="C17" s="16" t="inlineStr">
        <is>
          <t>Portability wants one folder; data safety forbids an update that can delete a plan. This layout gives both. Putting workspaces among the application files would eventually destroy somebody's work.</t>
        </is>
      </c>
      <c r="D17" s="22" t="inlineStr">
        <is>
          <t>CONFIRM</t>
        </is>
      </c>
    </row>
    <row r="18">
      <c r="A18" s="13" t="inlineStr">
        <is>
          <t>N-14</t>
        </is>
      </c>
      <c r="B18" s="14" t="inlineStr">
        <is>
          <t>The package is a plain folder that runs in place, delivered as a zip - not a single self-extracting executable.</t>
        </is>
      </c>
      <c r="C18" s="14" t="inlineStr">
        <is>
          <t>The single .exe unpacks about 180 MB to the temporary folder on every launch: slow to start, writes outside its own folder, and re-scanned by anti-virus each time. It only looks more portable. See sheet 04.</t>
        </is>
      </c>
      <c r="D18" s="22" t="inlineStr">
        <is>
          <t>CONFIRM</t>
        </is>
      </c>
    </row>
    <row r="19">
      <c r="A19" s="15" t="inlineStr">
        <is>
          <t>N-15</t>
        </is>
      </c>
      <c r="B19" s="16" t="inlineStr">
        <is>
          <t>No registry entry, no file association, no Start-menu entry, no AppData folder - ever.</t>
        </is>
      </c>
      <c r="C19" s="16" t="inlineStr">
        <is>
          <t>'Non-installed' means the machine is unchanged by the application's presence. Each of these would break that, and each is the kind of convenience that gets added without thinking. Stated as a decision so it has to be argued to be undone. CONFIRMED in substance at round 2: Q-N13 says the file association is not wanted.</t>
        </is>
      </c>
      <c r="D19" s="22" t="inlineStr">
        <is>
          <t>CONFIRM</t>
        </is>
      </c>
    </row>
    <row r="20">
      <c r="A20" s="13" t="inlineStr">
        <is>
          <t>N-16</t>
        </is>
      </c>
      <c r="B20" s="14" t="inlineStr">
        <is>
          <t>Where data lives is resolved in one fixed order, and the chosen location is shown in the About dialog.</t>
        </is>
      </c>
      <c r="C20" s="14" t="inlineStr">
        <is>
          <t>A portable application that guesses where its data went is a support problem. Four rules, always in the same order, always visible. The last of them creates a shortcut the user owns rather than hidden state in their profile.</t>
        </is>
      </c>
      <c r="D20" s="22" t="inlineStr">
        <is>
          <t>CONFIRM</t>
        </is>
      </c>
    </row>
    <row r="21">
      <c r="A21" s="15" t="inlineStr">
        <is>
          <t>N-17</t>
        </is>
      </c>
      <c r="B21" s="16" t="inlineStr">
        <is>
          <t>Workspace locking is an advisory marker file, not an operating-system lock.</t>
        </is>
      </c>
      <c r="C21" s="16" t="inlineStr">
        <is>
          <t>A network share may not support real locking, and an OS lock left by a crash can need IT to clear it. A marker anyone can read, and the holder's own machine can clear, fails softer - and the failure that matters is silent overwriting, which a marker prevents.</t>
        </is>
      </c>
      <c r="D21" s="22" t="inlineStr">
        <is>
          <t>CONFIRM</t>
        </is>
      </c>
    </row>
    <row r="22">
      <c r="A22" s="13" t="inlineStr">
        <is>
          <t>N-18</t>
        </is>
      </c>
      <c r="B22" s="14" t="inlineStr">
        <is>
          <t>Concurrent use is designed for unconditionally, not only if the shared folder is adopted.</t>
        </is>
      </c>
      <c r="C22" s="14" t="inlineStr">
        <is>
          <t>Q-N12 says 'could be considered'. The cost of building the marker anyway is one small file; the cost of not building it, and then adopting the share, is somebody's lost afternoon. This also supersedes Q-N06 - it no longer matters what the answer is.</t>
        </is>
      </c>
      <c r="D22" s="22" t="inlineStr">
        <is>
          <t>CONFIRM</t>
        </is>
      </c>
    </row>
    <row r="24">
      <c r="A24" s="8" t="inlineStr">
        <is>
          <t>Each of these is a decision I have taken provisionally so that Step 1 has something concrete to review. Change any of them in the Status column and the plan follows - none is expensive to reverse at this stage, and N-01 and N-02 become expensive after Gate N2.</t>
        </is>
      </c>
    </row>
    <row r="26">
      <c r="A26" s="5" t="inlineStr">
        <is>
          <t>Inherited and unchanged</t>
        </is>
      </c>
    </row>
    <row r="27">
      <c r="A27" s="8" t="inlineStr">
        <is>
          <t>C-01 weights multiply. C-02 partial months pro-rated by calendar days. C-03 a missing override means person_weight applies. C-04 1.00 FTE = 160 h/month. C-05 FTE is the display unit. C-06 over/under-allocation judged on the person total. C-07 weights seeded then editable. C-08 a month belongs to the period containing its first day. C-09 identifier edits cascade. C-10 boundaries recomputed on milestone change unless hand-edited. C-11 ordered clipping, empty periods omitted. None of these is reopened by this plan.</t>
        </is>
      </c>
    </row>
  </sheetData>
  <dataValidations count="1">
    <dataValidation sqref="D5:D22" showDropDown="0" showInputMessage="0" showErrorMessage="0" allowBlank="1" type="list">
      <formula1>"CONFIRM,CONFIRMED,REJECTED,DEFERRED"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4"/>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4" customWidth="1" min="3" max="3"/>
    <col width="40" customWidth="1" min="4" max="4"/>
    <col width="26" customWidth="1" min="5" max="5"/>
  </cols>
  <sheetData>
    <row r="1">
      <c r="A1" s="9" t="inlineStr">
        <is>
          <t>Work breakdown - five steps, five gates</t>
        </is>
      </c>
    </row>
    <row r="2">
      <c r="A2" s="8" t="inlineStr">
        <is>
          <t>The same method as the web application: each step ends at a review gate, and the next starts only after that gate is passed.</t>
        </is>
      </c>
    </row>
    <row r="4" ht="28" customHeight="1">
      <c r="A4" s="10" t="inlineStr">
        <is>
          <t>Step</t>
        </is>
      </c>
      <c r="B4" s="10" t="inlineStr">
        <is>
          <t>Task</t>
        </is>
      </c>
      <c r="C4" s="10" t="inlineStr">
        <is>
          <t>Activity</t>
        </is>
      </c>
      <c r="D4" s="10" t="inlineStr">
        <is>
          <t>Deliverable</t>
        </is>
      </c>
      <c r="E4" s="10" t="inlineStr">
        <is>
          <t>Status</t>
        </is>
      </c>
    </row>
    <row r="5">
      <c r="A5" s="15" t="inlineStr">
        <is>
          <t>N1</t>
        </is>
      </c>
      <c r="B5" s="15" t="inlineStr">
        <is>
          <t>N1.1</t>
        </is>
      </c>
      <c r="C5" s="16" t="inlineStr">
        <is>
          <t>Draft this plan.</t>
        </is>
      </c>
      <c r="D5" s="16" t="inlineStr">
        <is>
          <t>PRAP_NewApp_Development_Plan_v0.3.xlsx</t>
        </is>
      </c>
      <c r="E5" s="15" t="inlineStr">
        <is>
          <t>Complete - issued for review</t>
        </is>
      </c>
    </row>
    <row r="6">
      <c r="A6" s="13" t="inlineStr">
        <is>
          <t>N1</t>
        </is>
      </c>
      <c r="B6" s="13" t="inlineStr">
        <is>
          <t>N1.2</t>
        </is>
      </c>
      <c r="C6" s="14" t="inlineStr">
        <is>
          <t>Requester reviews; answers Q-N01..Q-N11; confirms or changes decisions N-01..N-12.</t>
        </is>
      </c>
      <c r="D6" s="14" t="inlineStr">
        <is>
          <t>Reviewed mark-up</t>
        </is>
      </c>
      <c r="E6" s="13" t="inlineStr">
        <is>
          <t>Pending you</t>
        </is>
      </c>
    </row>
    <row r="7">
      <c r="A7" s="15" t="inlineStr">
        <is>
          <t>N1</t>
        </is>
      </c>
      <c r="B7" s="15" t="inlineStr">
        <is>
          <t>N1.3</t>
        </is>
      </c>
      <c r="C7" s="16" t="inlineStr">
        <is>
          <t>Apply the answers and re-issue.</t>
        </is>
      </c>
      <c r="D7" s="16" t="inlineStr">
        <is>
          <t>Plan v0.2</t>
        </is>
      </c>
      <c r="E7" s="15" t="inlineStr">
        <is>
          <t>Not started</t>
        </is>
      </c>
    </row>
    <row r="8">
      <c r="A8" s="13" t="inlineStr">
        <is>
          <t>N1</t>
        </is>
      </c>
      <c r="B8" s="13" t="inlineStr">
        <is>
          <t>GN1</t>
        </is>
      </c>
      <c r="C8" s="14" t="inlineStr">
        <is>
          <t>GATE N1 - development plan approved as the baseline.</t>
        </is>
      </c>
      <c r="D8" s="14" t="inlineStr">
        <is>
          <t>Plan v1.0</t>
        </is>
      </c>
      <c r="E8" s="13" t="inlineStr">
        <is>
          <t>Not started</t>
        </is>
      </c>
    </row>
    <row r="9">
      <c r="A9" s="15" t="inlineStr">
        <is>
          <t>N2</t>
        </is>
      </c>
      <c r="B9" s="15" t="inlineStr">
        <is>
          <t>N2.1</t>
        </is>
      </c>
      <c r="C9" s="16" t="inlineStr">
        <is>
          <t>Split the source into core / ui / storage / shell-web, with a build step that re-emits app/PRAP.html. NO behaviour change.</t>
        </is>
      </c>
      <c r="D9" s="16" t="inlineStr">
        <is>
          <t>Source tree + rebuilt PRAP.html</t>
        </is>
      </c>
      <c r="E9" s="15" t="inlineStr">
        <is>
          <t>Not started</t>
        </is>
      </c>
    </row>
    <row r="10">
      <c r="A10" s="13" t="inlineStr">
        <is>
          <t>N2</t>
        </is>
      </c>
      <c r="B10" s="13" t="inlineStr">
        <is>
          <t>N2.2</t>
        </is>
      </c>
      <c r="C10" s="14" t="inlineStr">
        <is>
          <t>Prove the refactor changed nothing: all 13 existing suites pass against the rebuilt HTML file, unmodified.</t>
        </is>
      </c>
      <c r="D10" s="14" t="inlineStr">
        <is>
          <t>Test evidence</t>
        </is>
      </c>
      <c r="E10" s="13" t="inlineStr">
        <is>
          <t>Not started</t>
        </is>
      </c>
    </row>
    <row r="11">
      <c r="A11" s="15" t="inlineStr">
        <is>
          <t>N2</t>
        </is>
      </c>
      <c r="B11" s="15" t="inlineStr">
        <is>
          <t>N2.3</t>
        </is>
      </c>
      <c r="C11" s="16" t="inlineStr">
        <is>
          <t>Specify the storage interface and the workspace file format.</t>
        </is>
      </c>
      <c r="D11" s="16" t="inlineStr">
        <is>
          <t>Specification sheet 'Storage'</t>
        </is>
      </c>
      <c r="E11" s="15" t="inlineStr">
        <is>
          <t>Not started</t>
        </is>
      </c>
    </row>
    <row r="12">
      <c r="A12" s="13" t="inlineStr">
        <is>
          <t>N2</t>
        </is>
      </c>
      <c r="B12" s="13" t="inlineStr">
        <is>
          <t>N2.4</t>
        </is>
      </c>
      <c r="C12" s="14" t="inlineStr">
        <is>
          <t>Specify the desktop shell: window, menus, dialogs, recent files, drag-and-drop, About.</t>
        </is>
      </c>
      <c r="D12" s="14" t="inlineStr">
        <is>
          <t>Specification sheet 'Shell'</t>
        </is>
      </c>
      <c r="E12" s="13" t="inlineStr">
        <is>
          <t>Not started</t>
        </is>
      </c>
    </row>
    <row r="13">
      <c r="A13" s="15" t="inlineStr">
        <is>
          <t>N2</t>
        </is>
      </c>
      <c r="B13" s="15" t="inlineStr">
        <is>
          <t>N2.5</t>
        </is>
      </c>
      <c r="C13" s="16" t="inlineStr">
        <is>
          <t>Specify save safety, version retention, journalling and recovery.</t>
        </is>
      </c>
      <c r="D13" s="16" t="inlineStr">
        <is>
          <t>Specification sheet 'Persistence'</t>
        </is>
      </c>
      <c r="E13" s="15" t="inlineStr">
        <is>
          <t>Not started</t>
        </is>
      </c>
    </row>
    <row r="14">
      <c r="A14" s="13" t="inlineStr">
        <is>
          <t>N2</t>
        </is>
      </c>
      <c r="B14" s="13" t="inlineStr">
        <is>
          <t>N2.6</t>
        </is>
      </c>
      <c r="C14" s="14" t="inlineStr">
        <is>
          <t>Specify the re-import difference dialog.</t>
        </is>
      </c>
      <c r="D14" s="14" t="inlineStr">
        <is>
          <t>Specification sheet 'Import'</t>
        </is>
      </c>
      <c r="E14" s="13" t="inlineStr">
        <is>
          <t>Not started</t>
        </is>
      </c>
    </row>
    <row r="15">
      <c r="A15" s="15" t="inlineStr">
        <is>
          <t>N2</t>
        </is>
      </c>
      <c r="B15" s="15" t="inlineStr">
        <is>
          <t>N2.7</t>
        </is>
      </c>
      <c r="C15" s="16" t="inlineStr">
        <is>
          <t>Specify packaging, deployment and update.</t>
        </is>
      </c>
      <c r="D15" s="16" t="inlineStr">
        <is>
          <t>Specification sheet 'Deployment'</t>
        </is>
      </c>
      <c r="E15" s="15" t="inlineStr">
        <is>
          <t>Not started</t>
        </is>
      </c>
    </row>
    <row r="16">
      <c r="A16" s="13" t="inlineStr">
        <is>
          <t>N2</t>
        </is>
      </c>
      <c r="B16" s="13" t="inlineStr">
        <is>
          <t>N2.8</t>
        </is>
      </c>
      <c r="C16" s="14" t="inlineStr">
        <is>
          <t>Traceability matrix: every NR-id to a specification section.</t>
        </is>
      </c>
      <c r="D16" s="14" t="inlineStr">
        <is>
          <t>Specification sheet 'Traceability'</t>
        </is>
      </c>
      <c r="E16" s="13" t="inlineStr">
        <is>
          <t>Not started</t>
        </is>
      </c>
    </row>
    <row r="17">
      <c r="A17" s="15" t="inlineStr">
        <is>
          <t>N2</t>
        </is>
      </c>
      <c r="B17" s="15" t="inlineStr">
        <is>
          <t>GN2</t>
        </is>
      </c>
      <c r="C17" s="16" t="inlineStr">
        <is>
          <t>GATE N2 - programming specification approved.</t>
        </is>
      </c>
      <c r="D17" s="16" t="inlineStr">
        <is>
          <t>PRAP_NewApp_Specification_v1.0.xlsx</t>
        </is>
      </c>
      <c r="E17" s="15" t="inlineStr">
        <is>
          <t>Not started</t>
        </is>
      </c>
    </row>
    <row r="18">
      <c r="A18" s="13" t="inlineStr">
        <is>
          <t>N3</t>
        </is>
      </c>
      <c r="B18" s="13" t="inlineStr">
        <is>
          <t>N3.1</t>
        </is>
      </c>
      <c r="C18" s="14" t="inlineStr">
        <is>
          <t>Desktop-specific UI design: menu structure, dialogs, the workspace-open screen, the recovery prompt, the difference view.</t>
        </is>
      </c>
      <c r="D18" s="14" t="inlineStr">
        <is>
          <t>Component list draft</t>
        </is>
      </c>
      <c r="E18" s="13" t="inlineStr">
        <is>
          <t>Not started</t>
        </is>
      </c>
    </row>
    <row r="19">
      <c r="A19" s="15" t="inlineStr">
        <is>
          <t>N3</t>
        </is>
      </c>
      <c r="B19" s="15" t="inlineStr">
        <is>
          <t>N3.2</t>
        </is>
      </c>
      <c r="C19" s="16" t="inlineStr">
        <is>
          <t>List every deliberate divergence from the web UI, with its reason (NR-PAR-04).</t>
        </is>
      </c>
      <c r="D19" s="16" t="inlineStr">
        <is>
          <t>Divergence list</t>
        </is>
      </c>
      <c r="E19" s="15" t="inlineStr">
        <is>
          <t>Not started</t>
        </is>
      </c>
    </row>
    <row r="20">
      <c r="A20" s="13" t="inlineStr">
        <is>
          <t>N3</t>
        </is>
      </c>
      <c r="B20" s="13" t="inlineStr">
        <is>
          <t>N3.3</t>
        </is>
      </c>
      <c r="C20" s="14" t="inlineStr">
        <is>
          <t>Requester reviews the design.</t>
        </is>
      </c>
      <c r="D20" s="14" t="inlineStr">
        <is>
          <t>Review comments</t>
        </is>
      </c>
      <c r="E20" s="13" t="inlineStr">
        <is>
          <t>Not started</t>
        </is>
      </c>
    </row>
    <row r="21">
      <c r="A21" s="15" t="inlineStr">
        <is>
          <t>N3</t>
        </is>
      </c>
      <c r="B21" s="15" t="inlineStr">
        <is>
          <t>GN3</t>
        </is>
      </c>
      <c r="C21" s="16" t="inlineStr">
        <is>
          <t>GATE N3 - design and component list approved.</t>
        </is>
      </c>
      <c r="D21" s="16" t="inlineStr">
        <is>
          <t>PRAP_NewApp_Component_List_v1.0.xlsx</t>
        </is>
      </c>
      <c r="E21" s="15" t="inlineStr">
        <is>
          <t>Not started</t>
        </is>
      </c>
    </row>
    <row r="22">
      <c r="A22" s="13" t="inlineStr">
        <is>
          <t>N4</t>
        </is>
      </c>
      <c r="B22" s="13" t="inlineStr">
        <is>
          <t>N4.1</t>
        </is>
      </c>
      <c r="C22" s="14" t="inlineStr">
        <is>
          <t>Desktop shell: application window, menu bar, native dialogs, window state.</t>
        </is>
      </c>
      <c r="D22" s="14" t="inlineStr">
        <is>
          <t>shell/desktop/</t>
        </is>
      </c>
      <c r="E22" s="13" t="inlineStr">
        <is>
          <t>Not started</t>
        </is>
      </c>
    </row>
    <row r="23">
      <c r="A23" s="15" t="inlineStr">
        <is>
          <t>N4</t>
        </is>
      </c>
      <c r="B23" s="15" t="inlineStr">
        <is>
          <t>N4.2</t>
        </is>
      </c>
      <c r="C23" s="16" t="inlineStr">
        <is>
          <t>Filesystem storage adapter: open, save, atomic write, version history.</t>
        </is>
      </c>
      <c r="D23" s="16" t="inlineStr">
        <is>
          <t>storage/</t>
        </is>
      </c>
      <c r="E23" s="15" t="inlineStr">
        <is>
          <t>Not started</t>
        </is>
      </c>
    </row>
    <row r="24">
      <c r="A24" s="13" t="inlineStr">
        <is>
          <t>N4</t>
        </is>
      </c>
      <c r="B24" s="13" t="inlineStr">
        <is>
          <t>N4.3</t>
        </is>
      </c>
      <c r="C24" s="14" t="inlineStr">
        <is>
          <t>Workspace lifecycle: new, open, save, save as, recent list, reopen last at launch.</t>
        </is>
      </c>
      <c r="D24" s="14" t="inlineStr">
        <is>
          <t>shell/desktop/</t>
        </is>
      </c>
      <c r="E24" s="13" t="inlineStr">
        <is>
          <t>Not started</t>
        </is>
      </c>
    </row>
    <row r="25">
      <c r="A25" s="15" t="inlineStr">
        <is>
          <t>N4</t>
        </is>
      </c>
      <c r="B25" s="15" t="inlineStr">
        <is>
          <t>N4.4</t>
        </is>
      </c>
      <c r="C25" s="16" t="inlineStr">
        <is>
          <t>Journalling and crash recovery.</t>
        </is>
      </c>
      <c r="D25" s="16" t="inlineStr">
        <is>
          <t>storage/</t>
        </is>
      </c>
      <c r="E25" s="15" t="inlineStr">
        <is>
          <t>Not started</t>
        </is>
      </c>
    </row>
    <row r="26">
      <c r="A26" s="13" t="inlineStr">
        <is>
          <t>N4</t>
        </is>
      </c>
      <c r="B26" s="13" t="inlineStr">
        <is>
          <t>N4.4b</t>
        </is>
      </c>
      <c r="C26" s="14" t="inlineStr">
        <is>
          <t>Data-location resolution, the About dialog that shows it, and the personal shortcut.</t>
        </is>
      </c>
      <c r="D26" s="14" t="inlineStr">
        <is>
          <t>shell/desktop/</t>
        </is>
      </c>
      <c r="E26" s="13" t="inlineStr">
        <is>
          <t>Not started</t>
        </is>
      </c>
    </row>
    <row r="27">
      <c r="A27" s="15" t="inlineStr">
        <is>
          <t>N4</t>
        </is>
      </c>
      <c r="B27" s="15" t="inlineStr">
        <is>
          <t>N4.4c</t>
        </is>
      </c>
      <c r="C27" s="16" t="inlineStr">
        <is>
          <t>Workspace locking: the marker, the read-only mode, clearing a stale marker, re-checking on save.</t>
        </is>
      </c>
      <c r="D27" s="16" t="inlineStr">
        <is>
          <t>storage/ + ui/</t>
        </is>
      </c>
      <c r="E27" s="15" t="inlineStr">
        <is>
          <t>Not started</t>
        </is>
      </c>
    </row>
    <row r="28">
      <c r="A28" s="13" t="inlineStr">
        <is>
          <t>N4</t>
        </is>
      </c>
      <c r="B28" s="13" t="inlineStr">
        <is>
          <t>N4.5</t>
        </is>
      </c>
      <c r="C28" s="14" t="inlineStr">
        <is>
          <t>Import into an occupied workspace: the difference view and the per-sheet decision.</t>
        </is>
      </c>
      <c r="D28" s="14" t="inlineStr">
        <is>
          <t>ui/</t>
        </is>
      </c>
      <c r="E28" s="13" t="inlineStr">
        <is>
          <t>Not started</t>
        </is>
      </c>
    </row>
    <row r="29">
      <c r="A29" s="15" t="inlineStr">
        <is>
          <t>N4</t>
        </is>
      </c>
      <c r="B29" s="15" t="inlineStr">
        <is>
          <t>N4.6</t>
        </is>
      </c>
      <c r="C29" s="16" t="inlineStr">
        <is>
          <t>Parity suite: identical input through both applications, identical figures, findings and exports.</t>
        </is>
      </c>
      <c r="D29" s="16" t="inlineStr">
        <is>
          <t>tools/test_parity.py</t>
        </is>
      </c>
      <c r="E29" s="15" t="inlineStr">
        <is>
          <t>Not started</t>
        </is>
      </c>
    </row>
    <row r="30">
      <c r="A30" s="13" t="inlineStr">
        <is>
          <t>N4</t>
        </is>
      </c>
      <c r="B30" s="13" t="inlineStr">
        <is>
          <t>N4.7</t>
        </is>
      </c>
      <c r="C30" s="14" t="inlineStr">
        <is>
          <t>Persistence suite: save, close, relaunch, verify; kill mid-write, verify; recover pending edits.</t>
        </is>
      </c>
      <c r="D30" s="14" t="inlineStr">
        <is>
          <t>tools/test_persist.py</t>
        </is>
      </c>
      <c r="E30" s="13" t="inlineStr">
        <is>
          <t>Not started</t>
        </is>
      </c>
    </row>
    <row r="31">
      <c r="A31" s="15" t="inlineStr">
        <is>
          <t>N4</t>
        </is>
      </c>
      <c r="B31" s="15" t="inlineStr">
        <is>
          <t>N4.8</t>
        </is>
      </c>
      <c r="C31" s="16" t="inlineStr">
        <is>
          <t>Requester reviews against real data; refinements folded in.</t>
        </is>
      </c>
      <c r="D31" s="16" t="inlineStr">
        <is>
          <t>Updated code</t>
        </is>
      </c>
      <c r="E31" s="15" t="inlineStr">
        <is>
          <t>Not started</t>
        </is>
      </c>
    </row>
    <row r="32">
      <c r="A32" s="13" t="inlineStr">
        <is>
          <t>N4</t>
        </is>
      </c>
      <c r="B32" s="13" t="inlineStr">
        <is>
          <t>GN4</t>
        </is>
      </c>
      <c r="C32" s="14" t="inlineStr">
        <is>
          <t>GATE N4 - application functionally complete.</t>
        </is>
      </c>
      <c r="D32" s="14" t="inlineStr">
        <is>
          <t>PRAP Desktop v0.9</t>
        </is>
      </c>
      <c r="E32" s="13" t="inlineStr">
        <is>
          <t>Not started</t>
        </is>
      </c>
    </row>
    <row r="33">
      <c r="A33" s="15" t="inlineStr">
        <is>
          <t>N5</t>
        </is>
      </c>
      <c r="B33" s="15" t="inlineStr">
        <is>
          <t>N5.1</t>
        </is>
      </c>
      <c r="C33" s="16" t="inlineStr">
        <is>
          <t>Package as a plain Windows folder delivered in a zip; verify it launches with no installation and no administrator rights.</t>
        </is>
      </c>
      <c r="D33" s="16" t="inlineStr">
        <is>
          <t>PRAP_Desktop_v&lt;ver&gt;.zip</t>
        </is>
      </c>
      <c r="E33" s="15" t="inlineStr">
        <is>
          <t>Not started</t>
        </is>
      </c>
    </row>
    <row r="34">
      <c r="A34" s="13" t="inlineStr">
        <is>
          <t>N5</t>
        </is>
      </c>
      <c r="B34" s="13" t="inlineStr">
        <is>
          <t>N5.2</t>
        </is>
      </c>
      <c r="C34" s="14" t="inlineStr">
        <is>
          <t>Verify no socket is opened, offline, for a full session (NR-SEC-01).</t>
        </is>
      </c>
      <c r="D34" s="14" t="inlineStr">
        <is>
          <t>Test evidence</t>
        </is>
      </c>
      <c r="E34" s="13" t="inlineStr">
        <is>
          <t>Not started</t>
        </is>
      </c>
    </row>
    <row r="35">
      <c r="A35" s="15" t="inlineStr">
        <is>
          <t>N5</t>
        </is>
      </c>
      <c r="B35" s="15" t="inlineStr">
        <is>
          <t>N5.3</t>
        </is>
      </c>
      <c r="C35" s="16" t="inlineStr">
        <is>
          <t>Portability suite: run the folder, then copy it to another path and another PC and run it again; verify the recent list and settings survive (NR-DEP-08).</t>
        </is>
      </c>
      <c r="D35" s="16" t="inlineStr">
        <is>
          <t>tools/test_portable.py</t>
        </is>
      </c>
      <c r="E35" s="15" t="inlineStr">
        <is>
          <t>Not started</t>
        </is>
      </c>
    </row>
    <row r="36">
      <c r="A36" s="13" t="inlineStr">
        <is>
          <t>N5</t>
        </is>
      </c>
      <c r="B36" s="13" t="inlineStr">
        <is>
          <t>N5.4</t>
        </is>
      </c>
      <c r="C36" s="14" t="inlineStr">
        <is>
          <t>Cleanliness check: record every file and registry key touched during a full session; verify nothing outside the application folder is written, and that deleting the folder leaves nothing behind (NR-DEP-06, NR-DEP-07).</t>
        </is>
      </c>
      <c r="D36" s="14" t="inlineStr">
        <is>
          <t>Test evidence</t>
        </is>
      </c>
      <c r="E36" s="13" t="inlineStr">
        <is>
          <t>Not started</t>
        </is>
      </c>
    </row>
    <row r="37">
      <c r="A37" s="15" t="inlineStr">
        <is>
          <t>N5</t>
        </is>
      </c>
      <c r="B37" s="15" t="inlineStr">
        <is>
          <t>N5.5</t>
        </is>
      </c>
      <c r="C37" s="16" t="inlineStr">
        <is>
          <t>Update check: extract a newer zip over an existing folder; verify workspaces, backups and settings are untouched (NR-DEP-03).</t>
        </is>
      </c>
      <c r="D37" s="16" t="inlineStr">
        <is>
          <t>Test evidence</t>
        </is>
      </c>
      <c r="E37" s="15" t="inlineStr">
        <is>
          <t>Not started</t>
        </is>
      </c>
    </row>
    <row r="38">
      <c r="A38" s="13" t="inlineStr">
        <is>
          <t>N5</t>
        </is>
      </c>
      <c r="B38" s="13" t="inlineStr">
        <is>
          <t>N5.6</t>
        </is>
      </c>
      <c r="C38" s="14" t="inlineStr">
        <is>
          <t>Awkward-location tests: a deeply nested path (R-N10), a read-only network folder (R-N11), and a UNC path (NR-DEP-13).</t>
        </is>
      </c>
      <c r="D38" s="14" t="inlineStr">
        <is>
          <t>Test evidence</t>
        </is>
      </c>
      <c r="E38" s="13" t="inlineStr">
        <is>
          <t>Not started</t>
        </is>
      </c>
    </row>
    <row r="39">
      <c r="A39" s="15" t="inlineStr">
        <is>
          <t>N5</t>
        </is>
      </c>
      <c r="B39" s="15" t="inlineStr">
        <is>
          <t>N5.6b</t>
        </is>
      </c>
      <c r="C39" s="16" t="inlineStr">
        <is>
          <t>Shared-copy tests: two users running one folder keep separate settings and recent lists; two users opening one workspace - the second gets read-only and neither loses work; a stale marker can be cleared.</t>
        </is>
      </c>
      <c r="D39" s="16" t="inlineStr">
        <is>
          <t>tools/test_shared.py</t>
        </is>
      </c>
      <c r="E39" s="15" t="inlineStr">
        <is>
          <t>Not started</t>
        </is>
      </c>
    </row>
    <row r="40">
      <c r="A40" s="13" t="inlineStr">
        <is>
          <t>N5</t>
        </is>
      </c>
      <c r="B40" s="13" t="inlineStr">
        <is>
          <t>N5.6c</t>
        </is>
      </c>
      <c r="C40" s="14" t="inlineStr">
        <is>
          <t>Measure launch time from a local disk and from a network folder, and state both in the user guide rather than promising one.</t>
        </is>
      </c>
      <c r="D40" s="14" t="inlineStr">
        <is>
          <t>Test evidence</t>
        </is>
      </c>
      <c r="E40" s="13" t="inlineStr">
        <is>
          <t>Not started</t>
        </is>
      </c>
    </row>
    <row r="41">
      <c r="A41" s="15" t="inlineStr">
        <is>
          <t>N5</t>
        </is>
      </c>
      <c r="B41" s="15" t="inlineStr">
        <is>
          <t>N5.7</t>
        </is>
      </c>
      <c r="C41" s="16" t="inlineStr">
        <is>
          <t>Run on a real company PC - the only place execution policy, SmartScreen and anti-virus can be judged.</t>
        </is>
      </c>
      <c r="D41" s="16" t="inlineStr">
        <is>
          <t>Test evidence</t>
        </is>
      </c>
      <c r="E41" s="15" t="inlineStr">
        <is>
          <t>Pending you</t>
        </is>
      </c>
    </row>
    <row r="42">
      <c r="A42" s="13" t="inlineStr">
        <is>
          <t>N5</t>
        </is>
      </c>
      <c r="B42" s="13" t="inlineStr">
        <is>
          <t>N5.8</t>
        </is>
      </c>
      <c r="C42" s="14" t="inlineStr">
        <is>
          <t>User guide: where to extract it, first launch and the SmartScreen prompt, workspaces, import and export, backup, updating, and what to do if it will not start.</t>
        </is>
      </c>
      <c r="D42" s="14" t="inlineStr">
        <is>
          <t>User guide</t>
        </is>
      </c>
      <c r="E42" s="13" t="inlineStr">
        <is>
          <t>Not started</t>
        </is>
      </c>
    </row>
    <row r="43">
      <c r="A43" s="15" t="inlineStr">
        <is>
          <t>N5</t>
        </is>
      </c>
      <c r="B43" s="15" t="inlineStr">
        <is>
          <t>N5.9</t>
        </is>
      </c>
      <c r="C43" s="16" t="inlineStr">
        <is>
          <t>Full pass over the traceability matrix; version alignment across both product lines.</t>
        </is>
      </c>
      <c r="D43" s="16" t="inlineStr">
        <is>
          <t>Traceability matrix</t>
        </is>
      </c>
      <c r="E43" s="15" t="inlineStr">
        <is>
          <t>Not started</t>
        </is>
      </c>
    </row>
    <row r="44">
      <c r="A44" s="13" t="inlineStr">
        <is>
          <t>N5</t>
        </is>
      </c>
      <c r="B44" s="13" t="inlineStr">
        <is>
          <t>GN5</t>
        </is>
      </c>
      <c r="C44" s="14" t="inlineStr">
        <is>
          <t>GATE N5 - release.</t>
        </is>
      </c>
      <c r="D44" s="14" t="inlineStr">
        <is>
          <t>PRAP Desktop v1.0</t>
        </is>
      </c>
      <c r="E44" s="13" t="inlineStr">
        <is>
          <t>Not started</t>
        </is>
      </c>
    </row>
    <row r="46">
      <c r="A46" s="5" t="inlineStr">
        <is>
          <t>Progress</t>
        </is>
      </c>
    </row>
    <row r="47" ht="28" customHeight="1">
      <c r="A47" s="10" t="inlineStr">
        <is>
          <t>Measure</t>
        </is>
      </c>
      <c r="B47" s="10" t="inlineStr">
        <is>
          <t>Count</t>
        </is>
      </c>
    </row>
    <row r="48">
      <c r="A48" s="15" t="inlineStr">
        <is>
          <t>Tasks total</t>
        </is>
      </c>
      <c r="B48" s="15">
        <f>COUNTA(B5:B44)</f>
        <v/>
      </c>
    </row>
    <row r="49">
      <c r="A49" s="13" t="inlineStr">
        <is>
          <t>Complete</t>
        </is>
      </c>
      <c r="B49" s="13">
        <f>COUNTIF(E5:E44,"Complete")+COUNTIF(E5:E44,"Complete - issued for review")</f>
        <v/>
      </c>
    </row>
    <row r="50">
      <c r="A50" s="15" t="inlineStr">
        <is>
          <t>Awaiting the requester</t>
        </is>
      </c>
      <c r="B50" s="15">
        <f>COUNTIF(E5:E44,"Pending you")</f>
        <v/>
      </c>
    </row>
    <row r="51">
      <c r="A51" s="13" t="inlineStr">
        <is>
          <t>Not started</t>
        </is>
      </c>
      <c r="B51" s="13">
        <f>COUNTIF(E5:E44,"Not started")</f>
        <v/>
      </c>
    </row>
    <row r="54">
      <c r="A54" s="8" t="inlineStr">
        <is>
          <t>Task N2.1 is deliberately first and deliberately dull. Until the engine is shared and the HTML file is proven unchanged by the sharing, every later task risks the finished product. No durations: the pace is set by review turnaround, as before.</t>
        </is>
      </c>
    </row>
  </sheetData>
  <dataValidations count="1">
    <dataValidation sqref="E5:E44"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8"/>
  <sheetViews>
    <sheetView showGridLines="0" workbookViewId="0">
      <pane ySplit="4" topLeftCell="A5" activePane="bottomLeft" state="frozen"/>
      <selection pane="bottomLeft" activeCell="A1" sqref="A1"/>
    </sheetView>
  </sheetViews>
  <sheetFormatPr baseColWidth="8" defaultRowHeight="15"/>
  <cols>
    <col width="34" customWidth="1" min="1" max="1"/>
    <col width="66" customWidth="1" min="2" max="2"/>
    <col width="14" customWidth="1" min="3" max="3"/>
    <col width="34" customWidth="1" min="4" max="4"/>
  </cols>
  <sheetData>
    <row r="1">
      <c r="A1" s="9" t="inlineStr">
        <is>
          <t>How each claim will be proven</t>
        </is>
      </c>
    </row>
    <row r="2">
      <c r="A2" s="8" t="inlineStr">
        <is>
          <t>Same standard as the web application: a claim is not made until something demonstrates it.</t>
        </is>
      </c>
    </row>
    <row r="4" ht="28" customHeight="1">
      <c r="A4" s="10" t="inlineStr">
        <is>
          <t>Claim</t>
        </is>
      </c>
      <c r="B4" s="10" t="inlineStr">
        <is>
          <t>How it is proven</t>
        </is>
      </c>
      <c r="C4" s="10" t="inlineStr">
        <is>
          <t>Requirement</t>
        </is>
      </c>
      <c r="D4" s="10" t="inlineStr">
        <is>
          <t>Where</t>
        </is>
      </c>
    </row>
    <row r="5">
      <c r="A5" s="15" t="inlineStr">
        <is>
          <t>The refactor changed nothing</t>
        </is>
      </c>
      <c r="B5" s="16" t="inlineStr">
        <is>
          <t>The 13 existing suites, unmodified, against the rebuilt app/PRAP.html.</t>
        </is>
      </c>
      <c r="C5" s="15" t="inlineStr">
        <is>
          <t>NR-PAR-03</t>
        </is>
      </c>
      <c r="D5" s="16" t="inlineStr">
        <is>
          <t>Automated, in this repository</t>
        </is>
      </c>
    </row>
    <row r="6">
      <c r="A6" s="13" t="inlineStr">
        <is>
          <t>The two applications agree</t>
        </is>
      </c>
      <c r="B6" s="14" t="inlineStr">
        <is>
          <t>tools/test_parity.py - one dataset through both, comparing every person-month figure, every validation finding and both export files.</t>
        </is>
      </c>
      <c r="C6" s="13" t="inlineStr">
        <is>
          <t>NR-PAR-02</t>
        </is>
      </c>
      <c r="D6" s="14" t="inlineStr">
        <is>
          <t>Automated, in this repository</t>
        </is>
      </c>
    </row>
    <row r="7">
      <c r="A7" s="15" t="inlineStr">
        <is>
          <t>Data survives closing</t>
        </is>
      </c>
      <c r="B7" s="16" t="inlineStr">
        <is>
          <t>tools/test_persist.py - import, save, close the application, relaunch, compare the model to what was saved.</t>
        </is>
      </c>
      <c r="C7" s="15" t="inlineStr">
        <is>
          <t>NR-STO-01</t>
        </is>
      </c>
      <c r="D7" s="16" t="inlineStr">
        <is>
          <t>Automated, in this repository</t>
        </is>
      </c>
    </row>
    <row r="8">
      <c r="A8" s="13" t="inlineStr">
        <is>
          <t>A save is never half-written</t>
        </is>
      </c>
      <c r="B8" s="14" t="inlineStr">
        <is>
          <t>Kill the process during a write, relaunch, verify the workspace is wholly old or wholly new. Repeated across many timings.</t>
        </is>
      </c>
      <c r="C8" s="13" t="inlineStr">
        <is>
          <t>NR-STO-05</t>
        </is>
      </c>
      <c r="D8" s="14" t="inlineStr">
        <is>
          <t>Automated, in this repository</t>
        </is>
      </c>
    </row>
    <row r="9">
      <c r="A9" s="15" t="inlineStr">
        <is>
          <t>Pending edits are recovered</t>
        </is>
      </c>
      <c r="B9" s="16" t="inlineStr">
        <is>
          <t>Kill the process with edits pending, relaunch, verify the prompt appears and both answers behave.</t>
        </is>
      </c>
      <c r="C9" s="15" t="inlineStr">
        <is>
          <t>NR-STO-07</t>
        </is>
      </c>
      <c r="D9" s="16" t="inlineStr">
        <is>
          <t>Automated, in this repository</t>
        </is>
      </c>
    </row>
    <row r="10">
      <c r="A10" s="13" t="inlineStr">
        <is>
          <t>Re-import loses nothing</t>
        </is>
      </c>
      <c r="B10" s="14" t="inlineStr">
        <is>
          <t>Import a changed workbook over hand-entered data; verify every difference is shown and nothing changes without a decision.</t>
        </is>
      </c>
      <c r="C10" s="13" t="inlineStr">
        <is>
          <t>NR-IMP-02</t>
        </is>
      </c>
      <c r="D10" s="14" t="inlineStr">
        <is>
          <t>Automated, in this repository</t>
        </is>
      </c>
    </row>
    <row r="11">
      <c r="A11" s="15" t="inlineStr">
        <is>
          <t>An old workspace still opens</t>
        </is>
      </c>
      <c r="B11" s="16" t="inlineStr">
        <is>
          <t>Open a workspace written by an earlier version; verify it loads and reports the upgrade.</t>
        </is>
      </c>
      <c r="C11" s="15" t="inlineStr">
        <is>
          <t>NR-DEP-03</t>
        </is>
      </c>
      <c r="D11" s="16" t="inlineStr">
        <is>
          <t>Automated, in this repository</t>
        </is>
      </c>
    </row>
    <row r="12">
      <c r="A12" s="11" t="inlineStr">
        <is>
          <t>No network access</t>
        </is>
      </c>
      <c r="B12" s="12" t="inlineStr">
        <is>
          <t>Run packaged, offline, with socket activity observed for a full session.</t>
        </is>
      </c>
      <c r="C12" s="11" t="inlineStr">
        <is>
          <t>NR-SEC-01</t>
        </is>
      </c>
      <c r="D12" s="12" t="inlineStr">
        <is>
          <t>Automated on the build machine; repeated on the company PC</t>
        </is>
      </c>
    </row>
    <row r="13">
      <c r="A13" s="20" t="inlineStr">
        <is>
          <t>It needs no installation</t>
        </is>
      </c>
      <c r="B13" s="21" t="inlineStr">
        <is>
          <t>Extract the zip, run the exe, use it, delete the folder - with no administrator rights at any point.</t>
        </is>
      </c>
      <c r="C13" s="20" t="inlineStr">
        <is>
          <t>NR-DEP-02</t>
        </is>
      </c>
      <c r="D13" s="21" t="inlineStr">
        <is>
          <t>Automated on the build machine; repeated by you at N5.7</t>
        </is>
      </c>
    </row>
    <row r="14">
      <c r="A14" s="11" t="inlineStr">
        <is>
          <t>It leaves the machine unchanged</t>
        </is>
      </c>
      <c r="B14" s="12" t="inlineStr">
        <is>
          <t>Record every file and registry key touched during a full session; verify nothing outside the application folder is written and nothing survives deleting it.</t>
        </is>
      </c>
      <c r="C14" s="11" t="inlineStr">
        <is>
          <t>NR-DEP-06, NR-DEP-07</t>
        </is>
      </c>
      <c r="D14" s="12" t="inlineStr">
        <is>
          <t>Automated, at N5.4</t>
        </is>
      </c>
    </row>
    <row r="15">
      <c r="A15" s="11" t="inlineStr">
        <is>
          <t>It survives being moved</t>
        </is>
      </c>
      <c r="B15" s="12" t="inlineStr">
        <is>
          <t>Copy the folder to another path and another PC; verify it runs and its settings and recent list still work.</t>
        </is>
      </c>
      <c r="C15" s="11" t="inlineStr">
        <is>
          <t>NR-DEP-08</t>
        </is>
      </c>
      <c r="D15" s="12" t="inlineStr">
        <is>
          <t>Automated, at N5.3</t>
        </is>
      </c>
    </row>
    <row r="16">
      <c r="A16" s="11" t="inlineStr">
        <is>
          <t>An update cannot delete a plan</t>
        </is>
      </c>
      <c r="B16" s="12" t="inlineStr">
        <is>
          <t>Extract a newer zip over an existing folder; verify workspaces, backups and settings are untouched.</t>
        </is>
      </c>
      <c r="C16" s="11" t="inlineStr">
        <is>
          <t>NR-DEP-03</t>
        </is>
      </c>
      <c r="D16" s="12" t="inlineStr">
        <is>
          <t>Automated, at N5.5</t>
        </is>
      </c>
    </row>
    <row r="17">
      <c r="A17" s="11" t="inlineStr">
        <is>
          <t>One shared copy serves several people</t>
        </is>
      </c>
      <c r="B17" s="12" t="inlineStr">
        <is>
          <t>Two users run one folder with different --data paths; verify their settings, recent lists and backups never meet.</t>
        </is>
      </c>
      <c r="C17" s="11" t="inlineStr">
        <is>
          <t>NR-DEP-11</t>
        </is>
      </c>
      <c r="D17" s="12" t="inlineStr">
        <is>
          <t>Automated, at N5.6b</t>
        </is>
      </c>
    </row>
    <row r="18">
      <c r="A18" s="11" t="inlineStr">
        <is>
          <t>Two people cannot overwrite each other</t>
        </is>
      </c>
      <c r="B18" s="12" t="inlineStr">
        <is>
          <t>Open a workspace as one user, open it again as another; verify the second is told who holds it and gets it read-only, and that neither loses work.</t>
        </is>
      </c>
      <c r="C18" s="11" t="inlineStr">
        <is>
          <t>NR-STO-10</t>
        </is>
      </c>
      <c r="D18" s="12" t="inlineStr">
        <is>
          <t>Automated, at N5.6b</t>
        </is>
      </c>
    </row>
    <row r="19">
      <c r="A19" s="11" t="inlineStr">
        <is>
          <t>A crash does not strand a plan</t>
        </is>
      </c>
      <c r="B19" s="12" t="inlineStr">
        <is>
          <t>Kill the application holding a workspace; verify the marker can be cleared from inside the application and the plan opens again.</t>
        </is>
      </c>
      <c r="C19" s="11" t="inlineStr">
        <is>
          <t>R-N13</t>
        </is>
      </c>
      <c r="D19" s="12" t="inlineStr">
        <is>
          <t>Automated, at N5.6b</t>
        </is>
      </c>
    </row>
    <row r="20">
      <c r="A20" s="11" t="inlineStr">
        <is>
          <t>It is allowed to run at all</t>
        </is>
      </c>
      <c r="B20" s="12" t="inlineStr">
        <is>
          <t>Launch it on a company-managed PC and see whether execution policy, SmartScreen or anti-virus stops it.</t>
        </is>
      </c>
      <c r="C20" s="11" t="inlineStr">
        <is>
          <t>R-N01, R-N09</t>
        </is>
      </c>
      <c r="D20" s="12" t="inlineStr">
        <is>
          <t>ONLY provable by you - see the risk sheet</t>
        </is>
      </c>
    </row>
    <row r="21">
      <c r="A21" s="15" t="inlineStr">
        <is>
          <t>The figures are right</t>
        </is>
      </c>
      <c r="B21" s="16" t="inlineStr">
        <is>
          <t>Inherited: the engine is already proven against the Python reference on all 1,225 person-months of the large dataset and 433 of the 10x10 dataset.</t>
        </is>
      </c>
      <c r="C21" s="15" t="inlineStr">
        <is>
          <t>Inherited</t>
        </is>
      </c>
      <c r="D21" s="16" t="inlineStr">
        <is>
          <t>Already done, and re-run by the parity suite</t>
        </is>
      </c>
    </row>
    <row r="24">
      <c r="A24" s="8" t="inlineStr">
        <is>
          <t>One row says ONLY PROVABLE BY YOU, and round 1 is the reason there is now only one: with no installer, the administrator-rights question answers itself and can be demonstrated here. Whether your machine will EXECUTE an unsigned folder-based application cannot be, from any environment but yours. That single row is why risk R-N01 is rated as it is.</t>
        </is>
      </c>
    </row>
    <row r="25">
      <c r="A25" s="3" t="inlineStr">
        <is>
          <t>Legend</t>
        </is>
      </c>
    </row>
    <row r="26">
      <c r="A26" s="17" t="inlineStr">
        <is>
          <t>Green = new to the desktop application; nothing in the web application corresponds to it.</t>
        </is>
      </c>
    </row>
    <row r="27">
      <c r="A27" s="18" t="inlineStr">
        <is>
          <t>Orange = inherited from the web application but deliberately changed here.</t>
        </is>
      </c>
    </row>
    <row r="28">
      <c r="A28" s="19" t="inlineStr">
        <is>
          <t>Yellow = needs your decision before the work can proceed.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3"/>
  <sheetViews>
    <sheetView showGridLines="0" workbookViewId="0">
      <pane ySplit="3" topLeftCell="A4" activePane="bottomLeft" state="frozen"/>
      <selection pane="bottomLeft" activeCell="A1" sqref="A1"/>
    </sheetView>
  </sheetViews>
  <sheetFormatPr baseColWidth="8" defaultRowHeight="15"/>
  <cols>
    <col width="56" customWidth="1" min="1" max="1"/>
    <col width="90" customWidth="1" min="2" max="2"/>
    <col width="24" customWidth="1" min="3" max="3"/>
    <col width="42" customWidth="1" min="4" max="4"/>
  </cols>
  <sheetData>
    <row r="1">
      <c r="A1" s="9" t="inlineStr">
        <is>
          <t>Version control across two product lines</t>
        </is>
      </c>
    </row>
    <row r="3">
      <c r="A3" s="5" t="inlineStr">
        <is>
          <t>Artifacts</t>
        </is>
      </c>
    </row>
    <row r="4" ht="28" customHeight="1">
      <c r="A4" s="10" t="inlineStr">
        <is>
          <t>Artifact</t>
        </is>
      </c>
      <c r="B4" s="10" t="inlineStr">
        <is>
          <t>Naming</t>
        </is>
      </c>
      <c r="C4" s="10" t="inlineStr">
        <is>
          <t>Folder</t>
        </is>
      </c>
      <c r="D4" s="10" t="inlineStr">
        <is>
          <t>Where its version is recorded</t>
        </is>
      </c>
    </row>
    <row r="5">
      <c r="A5" s="15" t="inlineStr">
        <is>
          <t>Desktop plan</t>
        </is>
      </c>
      <c r="B5" s="16" t="inlineStr">
        <is>
          <t>PRAP_NewApp_Development_Plan_v&lt;ver&gt;.xlsx</t>
        </is>
      </c>
      <c r="C5" s="15" t="inlineStr">
        <is>
          <t>docs/</t>
        </is>
      </c>
      <c r="D5" s="16" t="inlineStr">
        <is>
          <t>Sheet 01 of this document</t>
        </is>
      </c>
    </row>
    <row r="6">
      <c r="A6" s="13" t="inlineStr">
        <is>
          <t>Desktop specification</t>
        </is>
      </c>
      <c r="B6" s="14" t="inlineStr">
        <is>
          <t>PRAP_NewApp_Specification_v&lt;ver&gt;.xlsx</t>
        </is>
      </c>
      <c r="C6" s="13" t="inlineStr">
        <is>
          <t>docs/</t>
        </is>
      </c>
      <c r="D6" s="14" t="inlineStr">
        <is>
          <t>Its own version-history sheet</t>
        </is>
      </c>
    </row>
    <row r="7">
      <c r="A7" s="15" t="inlineStr">
        <is>
          <t>Desktop component list</t>
        </is>
      </c>
      <c r="B7" s="16" t="inlineStr">
        <is>
          <t>PRAP_NewApp_Component_List_v&lt;ver&gt;.xlsx</t>
        </is>
      </c>
      <c r="C7" s="15" t="inlineStr">
        <is>
          <t>docs/</t>
        </is>
      </c>
      <c r="D7" s="16" t="inlineStr">
        <is>
          <t>Its own version-history sheet</t>
        </is>
      </c>
    </row>
    <row r="8">
      <c r="A8" s="13" t="inlineStr">
        <is>
          <t>Desktop application</t>
        </is>
      </c>
      <c r="B8" s="14" t="inlineStr">
        <is>
          <t>PRAP_Desktop_v&lt;ver&gt;.zip, extracting to a PRAP\ folder</t>
        </is>
      </c>
      <c r="C8" s="13" t="inlineStr">
        <is>
          <t>dist/</t>
        </is>
      </c>
      <c r="D8" s="14" t="inlineStr">
        <is>
          <t>version.txt in the folder, plus the About dialog and window title</t>
        </is>
      </c>
    </row>
    <row r="9">
      <c r="A9" s="15" t="inlineStr">
        <is>
          <t>Workspace file</t>
        </is>
      </c>
      <c r="B9" s="16" t="inlineStr">
        <is>
          <t>&lt;user's own name&gt;.prap</t>
        </is>
      </c>
      <c r="C9" s="15" t="inlineStr">
        <is>
          <t>data\workspaces\ by default, or wherever the user chooses</t>
        </is>
      </c>
      <c r="D9" s="16" t="inlineStr">
        <is>
          <t>Header block inside the file</t>
        </is>
      </c>
    </row>
    <row r="10">
      <c r="A10" s="13" t="inlineStr">
        <is>
          <t>User settings</t>
        </is>
      </c>
      <c r="B10" s="14" t="inlineStr">
        <is>
          <t>settings.json</t>
        </is>
      </c>
      <c r="C10" s="13" t="inlineStr">
        <is>
          <t>data\</t>
        </is>
      </c>
      <c r="D10" s="14" t="inlineStr">
        <is>
          <t>Written by the application; never carried in the zip</t>
        </is>
      </c>
    </row>
    <row r="11">
      <c r="A11" s="15" t="inlineStr">
        <is>
          <t>Web plan and its documents</t>
        </is>
      </c>
      <c r="B11" s="16" t="inlineStr">
        <is>
          <t>PRAP_Development_Plan_v&lt;ver&gt;.xlsx and siblings</t>
        </is>
      </c>
      <c r="C11" s="15" t="inlineStr">
        <is>
          <t>docs/</t>
        </is>
      </c>
      <c r="D11" s="16" t="inlineStr">
        <is>
          <t>Unchanged - their own sheets</t>
        </is>
      </c>
    </row>
    <row r="12">
      <c r="A12" s="13" t="inlineStr">
        <is>
          <t>Web application</t>
        </is>
      </c>
      <c r="B12" s="14" t="inlineStr">
        <is>
          <t>app/PRAP.html</t>
        </is>
      </c>
      <c r="C12" s="13" t="inlineStr">
        <is>
          <t>app/</t>
        </is>
      </c>
      <c r="D12" s="14" t="inlineStr">
        <is>
          <t>APP_VERSION constant, shown in the footer</t>
        </is>
      </c>
    </row>
    <row r="13">
      <c r="A13" s="15" t="inlineStr">
        <is>
          <t>Shared source tree</t>
        </is>
      </c>
      <c r="B13" s="16" t="inlineStr">
        <is>
          <t>core/, ui/, storage/, shell/</t>
        </is>
      </c>
      <c r="C13" s="15" t="inlineStr">
        <is>
          <t>repository root</t>
        </is>
      </c>
      <c r="D13" s="16" t="inlineStr">
        <is>
          <t>Git history</t>
        </is>
      </c>
    </row>
    <row r="14">
      <c r="A14" s="13" t="inlineStr">
        <is>
          <t>Shared data contract</t>
        </is>
      </c>
      <c r="B14" s="14" t="inlineStr">
        <is>
          <t>schema_version in the Config sheet; format_version in the JSON</t>
        </is>
      </c>
      <c r="C14" s="13" t="inlineStr">
        <is>
          <t>templates/</t>
        </is>
      </c>
      <c r="D14" s="14" t="inlineStr">
        <is>
          <t>Unchanged at 5 and 1</t>
        </is>
      </c>
    </row>
    <row r="17">
      <c r="A17" s="5" t="inlineStr">
        <is>
          <t>Rules</t>
        </is>
      </c>
    </row>
    <row r="18" ht="28" customHeight="1">
      <c r="A18" s="10" t="inlineStr">
        <is>
          <t>Rule</t>
        </is>
      </c>
      <c r="B18" s="10" t="inlineStr">
        <is>
          <t>Consequence</t>
        </is>
      </c>
    </row>
    <row r="19">
      <c r="A19" s="16" t="inlineStr">
        <is>
          <t>The two product lines version independently.</t>
        </is>
      </c>
      <c r="B19" s="16" t="inlineStr">
        <is>
          <t>Desktop v1.0 and web v1.0 are unrelated numbers. Nothing forces them to move together.</t>
        </is>
      </c>
    </row>
    <row r="20">
      <c r="A20" s="14" t="inlineStr">
        <is>
          <t>The DATA contract versions once, for both.</t>
        </is>
      </c>
      <c r="B20" s="14" t="inlineStr">
        <is>
          <t>Schema version 5 and JSON format_version 1 are shared. A change to either is a change to both products and needs approval on both plans.</t>
        </is>
      </c>
    </row>
    <row r="21">
      <c r="A21" s="16" t="inlineStr">
        <is>
          <t>An engine fix is released to both.</t>
        </is>
      </c>
      <c r="B21" s="16" t="inlineStr">
        <is>
          <t>Fix in core/, re-verify against both, re-issue the HTML file as a point version and the desktop package as a point version. The fix is recorded in both version histories.</t>
        </is>
      </c>
    </row>
    <row r="22">
      <c r="A22" s="14" t="inlineStr">
        <is>
          <t>A desktop feature does not reach the web application.</t>
        </is>
      </c>
      <c r="B22" s="14" t="inlineStr">
        <is>
          <t>Decision N-06. The web application is feature-frozen; adding to it would reopen a closed gate.</t>
        </is>
      </c>
    </row>
    <row r="23">
      <c r="A23" s="16" t="inlineStr">
        <is>
          <t>Neither plan supersedes the other.</t>
        </is>
      </c>
      <c r="B23" s="16" t="inlineStr">
        <is>
          <t>Both remain live documents. The web plan's status stays exactly what it is today.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08" customWidth="1" min="2" max="2"/>
    <col width="26" customWidth="1" min="3" max="3"/>
    <col width="10" customWidth="1" min="4" max="4"/>
    <col width="66" customWidth="1" min="5" max="5"/>
  </cols>
  <sheetData>
    <row r="1">
      <c r="A1" s="9" t="inlineStr">
        <is>
          <t>Risks and assumptions</t>
        </is>
      </c>
    </row>
    <row r="3">
      <c r="A3" s="5" t="inlineStr">
        <is>
          <t>Risks</t>
        </is>
      </c>
    </row>
    <row r="4" ht="28" customHeight="1">
      <c r="A4" s="10" t="inlineStr">
        <is>
          <t>ID</t>
        </is>
      </c>
      <c r="B4" s="10" t="inlineStr">
        <is>
          <t>Risk</t>
        </is>
      </c>
      <c r="C4" s="10" t="inlineStr">
        <is>
          <t>Likelihood</t>
        </is>
      </c>
      <c r="D4" s="10" t="inlineStr">
        <is>
          <t>Impact</t>
        </is>
      </c>
      <c r="E4" s="10" t="inlineStr">
        <is>
          <t>Mitigation</t>
        </is>
      </c>
    </row>
    <row r="5">
      <c r="A5" s="20" t="inlineStr">
        <is>
          <t>R-N01</t>
        </is>
      </c>
      <c r="B5" s="21" t="inlineStr">
        <is>
          <t>Corporate policy blocks the application from running at all - typically application allow-listing, or a rule against executables outside Program Files.</t>
        </is>
      </c>
      <c r="C5" s="20" t="inlineStr">
        <is>
          <t>Medium</t>
        </is>
      </c>
      <c r="D5" s="20" t="inlineStr">
        <is>
          <t>HIGH</t>
        </is>
      </c>
      <c r="E5" s="21" t="inlineStr">
        <is>
          <t>Still the single largest risk, and still untestable from here. Being non-installed removes the administrator-rights half of this risk entirely, but not the execution-policy half: an allow-list judges what is being run, not how it got there. Q-N02 asks you to check with IT BEFORE Gate N1. If it happens, the web application still works and still meets the original need - which is why keeping it, as you instructed, is the right call.</t>
        </is>
      </c>
    </row>
    <row r="6">
      <c r="A6" s="11" t="inlineStr">
        <is>
          <t>R-N02</t>
        </is>
      </c>
      <c r="B6" s="12" t="inlineStr">
        <is>
          <t>The refactor to share the engine breaks the finished web application.</t>
        </is>
      </c>
      <c r="C6" s="11" t="inlineStr">
        <is>
          <t>Medium</t>
        </is>
      </c>
      <c r="D6" s="11" t="inlineStr">
        <is>
          <t>High</t>
        </is>
      </c>
      <c r="E6" s="12" t="inlineStr">
        <is>
          <t>Task N2.2 gates everything else on the 13 existing suites passing unmodified against the rebuilt HTML file. If they do not pass, the refactor is wrong and nothing proceeds. This is why N2.1 is the first task and carries no other change.</t>
        </is>
      </c>
    </row>
    <row r="7">
      <c r="A7" s="11" t="inlineStr">
        <is>
          <t>R-N03</t>
        </is>
      </c>
      <c r="B7" s="12" t="inlineStr">
        <is>
          <t>A workspace file is corrupted and a plan is lost - data that used to be safe in Excel because the application never wrote to it.</t>
        </is>
      </c>
      <c r="C7" s="11" t="inlineStr">
        <is>
          <t>Low</t>
        </is>
      </c>
      <c r="D7" s="11" t="inlineStr">
        <is>
          <t>HIGH</t>
        </is>
      </c>
      <c r="E7" s="12" t="inlineStr">
        <is>
          <t>This risk is CREATED by the persistence requirement. Atomic writes (N-03), retained versions (NR-STO-06) and the fact that Excel export still exists as an independent archive. The user guide will say plainly: export to Excel for anything you cannot afford to lose.</t>
        </is>
      </c>
    </row>
    <row r="8">
      <c r="A8" s="11" t="inlineStr">
        <is>
          <t>R-N04</t>
        </is>
      </c>
      <c r="B8" s="12" t="inlineStr">
        <is>
          <t>The two applications drift apart and disagree about the same data.</t>
        </is>
      </c>
      <c r="C8" s="11" t="inlineStr">
        <is>
          <t>Low</t>
        </is>
      </c>
      <c r="D8" s="11" t="inlineStr">
        <is>
          <t>HIGH</t>
        </is>
      </c>
      <c r="E8" s="12" t="inlineStr">
        <is>
          <t>Prevented structurally by N-05 - there is one engine - and detected by the parity suite at N4.6, which compares figures rather than trusting the structure.</t>
        </is>
      </c>
    </row>
    <row r="9">
      <c r="A9" s="11" t="inlineStr">
        <is>
          <t>R-N05</t>
        </is>
      </c>
      <c r="B9" s="12" t="inlineStr">
        <is>
          <t>Chromium security advisories oblige periodic rebuilds of an application that is otherwise finished.</t>
        </is>
      </c>
      <c r="C9" s="11" t="inlineStr">
        <is>
          <t>High</t>
        </is>
      </c>
      <c r="D9" s="11" t="inlineStr">
        <is>
          <t>Low</t>
        </is>
      </c>
      <c r="E9" s="12" t="inlineStr">
        <is>
          <t>Accepted, and inherent to the option chosen at N-01. The application is offline and opens no remote content (NR-SEC-02), so the realistic exposure is a crafted workspace file. Rebuild when a package update matters; the source does not change.</t>
        </is>
      </c>
    </row>
    <row r="10">
      <c r="A10" s="11" t="inlineStr">
        <is>
          <t>R-N06</t>
        </is>
      </c>
      <c r="B10" s="12" t="inlineStr">
        <is>
          <t>The Windows build cannot be verified in the development environment, which is Linux.</t>
        </is>
      </c>
      <c r="C10" s="11" t="inlineStr">
        <is>
          <t>High</t>
        </is>
      </c>
      <c r="D10" s="11" t="inlineStr">
        <is>
          <t>Medium</t>
        </is>
      </c>
      <c r="E10" s="12" t="inlineStr">
        <is>
          <t>Structural, not incidental. Mitigation: automated tests run against the Linux build of the same source, and N5.3 - your test on a real company PC - is a named, gating task rather than an afterthought. Any claim about Windows behaviour will be labelled as unverified until you verify it.</t>
        </is>
      </c>
    </row>
    <row r="11">
      <c r="A11" s="11" t="inlineStr">
        <is>
          <t>R-N07</t>
        </is>
      </c>
      <c r="B11" s="12" t="inlineStr">
        <is>
          <t>Two products double the maintenance from here on.</t>
        </is>
      </c>
      <c r="C11" s="11" t="inlineStr">
        <is>
          <t>Medium</t>
        </is>
      </c>
      <c r="D11" s="11" t="inlineStr">
        <is>
          <t>Medium</t>
        </is>
      </c>
      <c r="E11" s="12" t="inlineStr">
        <is>
          <t>Reduced by the architecture - most maintenance lands in the shared core and serves both - and by N-06 freezing the web application's feature set. It is not eliminated. It is the price of the bilingual arrangement, and worth stating plainly.</t>
        </is>
      </c>
    </row>
    <row r="12">
      <c r="A12" s="11" t="inlineStr">
        <is>
          <t>R-N08</t>
        </is>
      </c>
      <c r="B12" s="12" t="inlineStr">
        <is>
          <t>Users are unsure which of the two applications to use, or work in both and diverge.</t>
        </is>
      </c>
      <c r="C12" s="11" t="inlineStr">
        <is>
          <t>Medium</t>
        </is>
      </c>
      <c r="D12" s="11" t="inlineStr">
        <is>
          <t>Medium</t>
        </is>
      </c>
      <c r="E12" s="12" t="inlineStr">
        <is>
          <t>A one-page note in the user guide: the desktop application for planning work you keep, the web application for a quick look on a machine where nothing may be installed. A workspace exports to Excel, which imports into either, so no work is trapped.</t>
        </is>
      </c>
    </row>
    <row r="13">
      <c r="A13" s="11" t="inlineStr">
        <is>
          <t>R-N09</t>
        </is>
      </c>
      <c r="B13" s="12" t="inlineStr">
        <is>
          <t>Windows SmartScreen warns about the executable, or anti-virus quarantines it, because it is unsigned and unknown.</t>
        </is>
      </c>
      <c r="C13" s="11" t="inlineStr">
        <is>
          <t>HIGH</t>
        </is>
      </c>
      <c r="D13" s="11" t="inlineStr">
        <is>
          <t>Medium</t>
        </is>
      </c>
      <c r="E13" s="12" t="inlineStr">
        <is>
          <t>Likely rather than possible - an unsigned executable arriving in a zip carries the mark-of-the-web and is treated as untrusted. Usually a one-time 'More info - Run anyway', which the user guide will show with a screenshot. Being non-installed does not help here and may hurt: unregistered software has no reputation. If anti-virus quarantines it outright, only IT can allow it - Q-N02 covers this. A code-signing certificate would remove the warning, and remains an IT purchase rather than a coding task (Q-N03).</t>
        </is>
      </c>
    </row>
    <row r="14">
      <c r="A14" s="11" t="inlineStr">
        <is>
          <t>R-N10</t>
        </is>
      </c>
      <c r="B14" s="12" t="inlineStr">
        <is>
          <t>The application fails in a deeply nested folder because Windows path limits are exceeded.</t>
        </is>
      </c>
      <c r="C14" s="11" t="inlineStr">
        <is>
          <t>Medium</t>
        </is>
      </c>
      <c r="D14" s="11" t="inlineStr">
        <is>
          <t>Medium</t>
        </is>
      </c>
      <c r="E14" s="12" t="inlineStr">
        <is>
          <t>A packaged browser engine carries long nested paths, and the classic 260-character limit bites when a portable folder is extracted somewhere like a synced Documents tree. Mitigations: keep internal paths short by packing resources into an archive rather than loose files, test extraction into a deliberately deep path at N5.6, and state a recommended location in the user guide.</t>
        </is>
      </c>
    </row>
    <row r="15">
      <c r="A15" s="20" t="inlineStr">
        <is>
          <t>R-N11</t>
        </is>
      </c>
      <c r="B15" s="21" t="inlineStr">
        <is>
          <t>The application folder is put on a read-only or shared network folder, so it cannot keep its data beside itself.</t>
        </is>
      </c>
      <c r="C15" s="20" t="inlineStr">
        <is>
          <t>HIGH</t>
        </is>
      </c>
      <c r="D15" s="20" t="inlineStr">
        <is>
          <t>Medium</t>
        </is>
      </c>
      <c r="E15" s="21" t="inlineStr">
        <is>
          <t>Raised from Medium at round 2 - Q-N12 says this is under consideration, so it is now the expected case rather than an edge one. NR-DEP-09 (now Must) and the resolution order at NR-DEP-10 handle it: detected at launch, stated plainly, and the user chooses. Without that it would fail at the first Save, which is the worst possible moment to discover it.</t>
        </is>
      </c>
    </row>
    <row r="16">
      <c r="A16" s="11" t="inlineStr">
        <is>
          <t>R-N12</t>
        </is>
      </c>
      <c r="B16" s="12" t="inlineStr">
        <is>
          <t>Launched from a network folder, the application starts slowly, or Windows treats an executable on a UNC path as untrusted.</t>
        </is>
      </c>
      <c r="C16" s="11" t="inlineStr">
        <is>
          <t>Medium</t>
        </is>
      </c>
      <c r="D16" s="11" t="inlineStr">
        <is>
          <t>Medium</t>
        </is>
      </c>
      <c r="E16" s="12" t="inlineStr">
        <is>
          <t>A packaged browser engine is a lot of bytes to pull across a network at every launch, and Windows applies stricter zone rules to executables on network paths than on local ones. Measured rather than promised (NR-NFR-01), and the user guide will recommend the arrangement that is fastest: use the share to DISTRIBUTE the folder, copy it locally once, run it from there. Q-N14 asks which you intend.</t>
        </is>
      </c>
    </row>
    <row r="17">
      <c r="A17" s="11" t="inlineStr">
        <is>
          <t>R-N13</t>
        </is>
      </c>
      <c r="B17" s="12" t="inlineStr">
        <is>
          <t>A crash leaves a workspace marked as open, and nobody can edit it.</t>
        </is>
      </c>
      <c r="C17" s="11" t="inlineStr">
        <is>
          <t>Medium</t>
        </is>
      </c>
      <c r="D17" s="11" t="inlineStr">
        <is>
          <t>Low</t>
        </is>
      </c>
      <c r="E17" s="12" t="inlineStr">
        <is>
          <t>The direct cost of NR-STO-10. Mitigated by making the marker clearable from inside the application, with the holder and the time shown so the user can judge. Deliberately chosen over an operating-system lock, which would need IT to clear - see decision N-17.</t>
        </is>
      </c>
    </row>
    <row r="19">
      <c r="A19" s="5" t="inlineStr">
        <is>
          <t>Assumptions</t>
        </is>
      </c>
    </row>
    <row r="20" ht="28" customHeight="1">
      <c r="A20" s="10" t="inlineStr">
        <is>
          <t>ID</t>
        </is>
      </c>
      <c r="B20" s="10" t="inlineStr">
        <is>
          <t>Assumption</t>
        </is>
      </c>
      <c r="C20" s="10" t="inlineStr">
        <is>
          <t>Status</t>
        </is>
      </c>
    </row>
    <row r="21">
      <c r="A21" s="15" t="inlineStr">
        <is>
          <t>A-N01</t>
        </is>
      </c>
      <c r="B21" s="16" t="inlineStr">
        <is>
          <t>Data volume stays as assumed by the web plan - up to about 100 projects and 1,000 people.</t>
        </is>
      </c>
      <c r="C21" s="15" t="inlineStr">
        <is>
          <t>Inherited, standing</t>
        </is>
      </c>
    </row>
    <row r="22">
      <c r="A22" s="20" t="inlineStr">
        <is>
          <t>A-N02</t>
        </is>
      </c>
      <c r="B22" s="21" t="inlineStr">
        <is>
          <t>Windows 10 or 11, 64-bit, is the only target. macOS and Linux are out of scope.</t>
        </is>
      </c>
      <c r="C22" s="20" t="inlineStr">
        <is>
          <t>CONFIRMED at review round 1</t>
        </is>
      </c>
    </row>
    <row r="23">
      <c r="A23" s="11" t="inlineStr">
        <is>
          <t>A-N08</t>
        </is>
      </c>
      <c r="B23" s="12" t="inlineStr">
        <is>
          <t>The application is never installed: it is copied as a folder and run in place, and the machine is unchanged by its presence.</t>
        </is>
      </c>
      <c r="C23" s="11" t="inlineStr">
        <is>
          <t>CONFIRMED at review round 1</t>
        </is>
      </c>
    </row>
    <row r="24">
      <c r="A24" s="11" t="inlineStr">
        <is>
          <t>A-N09</t>
        </is>
      </c>
      <c r="B24" s="12" t="inlineStr">
        <is>
          <t>The user can extract a zip and run an executable from their own folder - i.e. no application allow-listing stands in the way.</t>
        </is>
      </c>
      <c r="C24" s="11" t="inlineStr">
        <is>
          <t>To confirm - Q-N02. The one assumption that could invalidate the whole approach</t>
        </is>
      </c>
    </row>
    <row r="25">
      <c r="A25" s="11" t="inlineStr">
        <is>
          <t>A-N10</t>
        </is>
      </c>
      <c r="B25" s="12" t="inlineStr">
        <is>
          <t>If a shared network folder is used, it is reachable whenever the application is needed. A plan kept only on an unreachable share cannot be opened.</t>
        </is>
      </c>
      <c r="C25" s="11" t="inlineStr">
        <is>
          <t>Standing - the user guide will recommend keeping working copies locally</t>
        </is>
      </c>
    </row>
    <row r="26">
      <c r="A26" s="20" t="inlineStr">
        <is>
          <t>A-N03</t>
        </is>
      </c>
      <c r="B26" s="21" t="inlineStr">
        <is>
          <t>One person works on a given workspace at a time - but the application no longer RELIES on it, because a shared folder makes it unsafe to assume.</t>
        </is>
      </c>
      <c r="C26" s="20" t="inlineStr">
        <is>
          <t>WITHDRAWN as an assumption at round 2; enforced by NR-STO-10 instead</t>
        </is>
      </c>
    </row>
    <row r="27">
      <c r="A27" s="15" t="inlineStr">
        <is>
          <t>A-N04</t>
        </is>
      </c>
      <c r="B27" s="16" t="inlineStr">
        <is>
          <t>Package size is unconstrained.</t>
        </is>
      </c>
      <c r="C27" s="15" t="inlineStr">
        <is>
          <t>CONFIRMED by your instruction, 2026-08-13</t>
        </is>
      </c>
    </row>
    <row r="28">
      <c r="A28" s="13" t="inlineStr">
        <is>
          <t>A-N05</t>
        </is>
      </c>
      <c r="B28" s="14" t="inlineStr">
        <is>
          <t>Both applications remain in service indefinitely; neither is a migration path away from the other.</t>
        </is>
      </c>
      <c r="C28" s="13" t="inlineStr">
        <is>
          <t>CONFIRMED by your instruction, 2026-08-13</t>
        </is>
      </c>
    </row>
    <row r="29">
      <c r="A29" s="15" t="inlineStr">
        <is>
          <t>A-N06</t>
        </is>
      </c>
      <c r="B29" s="16" t="inlineStr">
        <is>
          <t>The source Excel workbook continues to be maintained by hand, by someone other than the tool.</t>
        </is>
      </c>
      <c r="C29" s="15" t="inlineStr">
        <is>
          <t>Inherited A-04, standing</t>
        </is>
      </c>
    </row>
    <row r="30">
      <c r="A30" s="13" t="inlineStr">
        <is>
          <t>A-N07</t>
        </is>
      </c>
      <c r="B30" s="14" t="inlineStr">
        <is>
          <t>The user can copy a package into their own profile or a network share and run it from there.</t>
        </is>
      </c>
      <c r="C30" s="13" t="inlineStr">
        <is>
          <t>To confirm - Q-N02</t>
        </is>
      </c>
    </row>
    <row r="32">
      <c r="A32" s="3" t="inlineStr">
        <is>
          <t>Legend</t>
        </is>
      </c>
    </row>
    <row r="33">
      <c r="A33" s="17" t="inlineStr">
        <is>
          <t>Green = new to the desktop application; nothing in the web application corresponds to it.</t>
        </is>
      </c>
    </row>
    <row r="34">
      <c r="A34" s="18" t="inlineStr">
        <is>
          <t>Orange = inherited from the web application but deliberately changed here.</t>
        </is>
      </c>
    </row>
    <row r="35">
      <c r="A35" s="19" t="inlineStr">
        <is>
          <t>Yellow = needs your decision before the work can proceed.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5"/>
  <sheetViews>
    <sheetView showGridLines="0" workbookViewId="0">
      <pane ySplit="4" topLeftCell="A5" activePane="bottomLeft" state="frozen"/>
      <selection pane="bottomLeft" activeCell="A1" sqref="A1"/>
    </sheetView>
  </sheetViews>
  <sheetFormatPr baseColWidth="8" defaultRowHeight="15"/>
  <cols>
    <col width="9" customWidth="1" min="1" max="1"/>
    <col width="15" customWidth="1" min="2" max="2"/>
    <col width="62" customWidth="1" min="3" max="3"/>
    <col width="56" customWidth="1" min="4" max="4"/>
    <col width="40" customWidth="1" min="5" max="5"/>
  </cols>
  <sheetData>
    <row r="1">
      <c r="A1" s="9" t="inlineStr">
        <is>
          <t>Questions for review round 1</t>
        </is>
      </c>
    </row>
    <row r="2">
      <c r="A2" s="8" t="inlineStr">
        <is>
          <t>Please answer in the Answer column. Q-N02 is the one worth asking someone else before you answer.</t>
        </is>
      </c>
    </row>
    <row r="4" ht="28" customHeight="1">
      <c r="A4" s="10" t="inlineStr">
        <is>
          <t>ID</t>
        </is>
      </c>
      <c r="B4" s="10" t="inlineStr">
        <is>
          <t>Area</t>
        </is>
      </c>
      <c r="C4" s="10" t="inlineStr">
        <is>
          <t>Question</t>
        </is>
      </c>
      <c r="D4" s="10" t="inlineStr">
        <is>
          <t>Why it matters</t>
        </is>
      </c>
      <c r="E4" s="10" t="inlineStr">
        <is>
          <t>Answer</t>
        </is>
      </c>
    </row>
    <row r="5">
      <c r="A5" s="20" t="inlineStr">
        <is>
          <t>Q-N01</t>
        </is>
      </c>
      <c r="B5" s="20" t="inlineStr">
        <is>
          <t>Deployment</t>
        </is>
      </c>
      <c r="C5" s="21" t="inlineStr">
        <is>
          <t>Which operating systems must this run on?</t>
        </is>
      </c>
      <c r="D5" s="21" t="inlineStr">
        <is>
          <t>ANSWERED 2026-08-13: Windows only. Closed - A-N02, NR-DEP-01. macOS and Linux are out of scope.</t>
        </is>
      </c>
      <c r="E5" s="23" t="inlineStr">
        <is>
          <t>Windows. CLOSED</t>
        </is>
      </c>
    </row>
    <row r="6">
      <c r="A6" s="20" t="inlineStr">
        <is>
          <t>Q-N02</t>
        </is>
      </c>
      <c r="B6" s="20" t="inlineStr">
        <is>
          <t>Deployment</t>
        </is>
      </c>
      <c r="C6" s="21" t="inlineStr">
        <is>
          <t>Can you extract a zip into your own folder and run the .exe inside it? Specifically: is there application allow-listing, and will anti-virus or SmartScreen let an unsigned executable run after a one-time warning? Worth asking IT rather than assuming.</t>
        </is>
      </c>
      <c r="D6" s="21" t="inlineStr">
        <is>
          <t>STILL THE HIGHEST-VALUE QUESTION, and narrowed by your instruction. Non-installed removes the administrator-rights half of the problem completely - nothing is written to Program Files or the registry. What remains is whether the machine will EXECUTE it. See R-N01 and R-N09.</t>
        </is>
      </c>
      <c r="E6" s="23" t="inlineStr"/>
    </row>
    <row r="7">
      <c r="A7" s="15" t="inlineStr">
        <is>
          <t>Q-N03</t>
        </is>
      </c>
      <c r="B7" s="15" t="inlineStr">
        <is>
          <t>Deployment</t>
        </is>
      </c>
      <c r="C7" s="16" t="inlineStr">
        <is>
          <t>If signing IS required, is a company code-signing certificate obtainable, and by whom?</t>
        </is>
      </c>
      <c r="D7" s="16" t="inlineStr">
        <is>
          <t>An IT purchase with a lead time, not a development task. Better known now than at Gate N5.</t>
        </is>
      </c>
      <c r="E7" s="23" t="inlineStr"/>
    </row>
    <row r="8">
      <c r="A8" s="13" t="inlineStr">
        <is>
          <t>Q-N04</t>
        </is>
      </c>
      <c r="B8" s="13" t="inlineStr">
        <is>
          <t>Storage</t>
        </is>
      </c>
      <c r="C8" s="14" t="inlineStr">
        <is>
          <t>Where should workspaces live by default - your user profile, or a shared network drive?</t>
        </is>
      </c>
      <c r="D8" s="14" t="inlineStr">
        <is>
          <t>A network drive raises file-locking and latency questions that are cheap to design for now and expensive later.</t>
        </is>
      </c>
      <c r="E8" s="23" t="inlineStr"/>
    </row>
    <row r="9">
      <c r="A9" s="15" t="inlineStr">
        <is>
          <t>Q-N05</t>
        </is>
      </c>
      <c r="B9" s="15" t="inlineStr">
        <is>
          <t>Storage</t>
        </is>
      </c>
      <c r="C9" s="16" t="inlineStr">
        <is>
          <t>When you re-import a source workbook over a workspace that already holds your hand-entered data, what should happen? The proposal is to show the differences and let you decide per sheet.</t>
        </is>
      </c>
      <c r="D9" s="16" t="inlineStr">
        <is>
          <t>The one design choice that can silently lose work. See sheet 05.</t>
        </is>
      </c>
      <c r="E9" s="23" t="inlineStr"/>
    </row>
    <row r="10">
      <c r="A10" s="20" t="inlineStr">
        <is>
          <t>Q-N06</t>
        </is>
      </c>
      <c r="B10" s="20" t="inlineStr">
        <is>
          <t>Storage</t>
        </is>
      </c>
      <c r="C10" s="21" t="inlineStr">
        <is>
          <t>Will more than one person ever have the same workspace open at once?</t>
        </is>
      </c>
      <c r="D10" s="21" t="inlineStr">
        <is>
          <t>SUPERSEDED at round 2. Once a shared folder is on the table the safe answer is 'assume yes', and the cost of doing so is one small marker file. Handled by NR-STO-10 and decision N-18 whichever way it turns out. No answer needed.</t>
        </is>
      </c>
      <c r="E10" s="23" t="inlineStr">
        <is>
          <t>Superseded - no longer needs an answer</t>
        </is>
      </c>
    </row>
    <row r="11">
      <c r="A11" s="15" t="inlineStr">
        <is>
          <t>Q-N07</t>
        </is>
      </c>
      <c r="B11" s="15" t="inlineStr">
        <is>
          <t>Storage</t>
        </is>
      </c>
      <c r="C11" s="16" t="inlineStr">
        <is>
          <t>How many previous versions of a workspace should be retained, and for how long?</t>
        </is>
      </c>
      <c r="D11" s="16" t="inlineStr">
        <is>
          <t>Default proposed: the last 10. Retention costs only disk space.</t>
        </is>
      </c>
      <c r="E11" s="23" t="inlineStr"/>
    </row>
    <row r="12">
      <c r="A12" s="13" t="inlineStr">
        <is>
          <t>Q-N08</t>
        </is>
      </c>
      <c r="B12" s="13" t="inlineStr">
        <is>
          <t>Deployment</t>
        </is>
      </c>
      <c r="C12" s="14" t="inlineStr">
        <is>
          <t>How will updates reach you - a file you copy, a shared folder, or a software-distribution system?</t>
        </is>
      </c>
      <c r="D12" s="14" t="inlineStr">
        <is>
          <t>Decides whether the package needs to be distribution-system friendly, which affects how it is built.</t>
        </is>
      </c>
      <c r="E12" s="23" t="inlineStr"/>
    </row>
    <row r="13">
      <c r="A13" s="15" t="inlineStr">
        <is>
          <t>Q-N09</t>
        </is>
      </c>
      <c r="B13" s="15" t="inlineStr">
        <is>
          <t>Governance</t>
        </is>
      </c>
      <c r="C13" s="16" t="inlineStr">
        <is>
          <t>Does this tool fall under any internal validation or record-keeping obligation, given that it will now HOLD data rather than only display it?</t>
        </is>
      </c>
      <c r="D13" s="16" t="inlineStr">
        <is>
          <t>Holding data can change how a tool is treated in a regulated company. Cheaper to know at Step 1 than at release.</t>
        </is>
      </c>
      <c r="E13" s="23" t="inlineStr"/>
    </row>
    <row r="14">
      <c r="A14" s="13" t="inlineStr">
        <is>
          <t>Q-N10</t>
        </is>
      </c>
      <c r="B14" s="13" t="inlineStr">
        <is>
          <t>Scope</t>
        </is>
      </c>
      <c r="C14" s="14" t="inlineStr">
        <is>
          <t>Should the desktop application be able to open the same source workbook read-only, as the web application does, for a quick look without creating a workspace?</t>
        </is>
      </c>
      <c r="D14" s="14" t="inlineStr">
        <is>
          <t>A small feature, but it decides whether the workspace is mandatory or optional.</t>
        </is>
      </c>
      <c r="E14" s="23" t="inlineStr"/>
    </row>
    <row r="15">
      <c r="A15" s="20" t="inlineStr">
        <is>
          <t>Q-N11</t>
        </is>
      </c>
      <c r="B15" s="20" t="inlineStr">
        <is>
          <t>Naming</t>
        </is>
      </c>
      <c r="C15" s="21" t="inlineStr">
        <is>
          <t>What should the application be called on screen? 'PRAP' or something else?</t>
        </is>
      </c>
      <c r="D15" s="21" t="inlineStr">
        <is>
          <t>Cosmetic, but it appears in the folder name, the executable name and the window title. No longer affects a Start-menu entry or a file association, since the non-installed rule removes both.</t>
        </is>
      </c>
      <c r="E15" s="23" t="inlineStr"/>
    </row>
    <row r="16">
      <c r="A16" s="20" t="inlineStr">
        <is>
          <t>Q-N12</t>
        </is>
      </c>
      <c r="B16" s="20" t="inlineStr">
        <is>
          <t>Deployment</t>
        </is>
      </c>
      <c r="C16" s="21" t="inlineStr">
        <is>
          <t>Where will you keep the application folder?</t>
        </is>
      </c>
      <c r="D16" s="21" t="inlineStr">
        <is>
          <t>ANSWERED 2026-08-13: a shared network folder could be considered. Planned for as though it will be - NR-DEP-09..13, NR-STO-10, decisions N-16..N-18, risks R-N11..R-N13. Sheet 05 sets out how data and locking work in that arrangement.</t>
        </is>
      </c>
      <c r="E16" s="23" t="inlineStr">
        <is>
          <t>Shared network folder possible. CLOSED, with Q-N14 and Q-N15 following from it</t>
        </is>
      </c>
    </row>
    <row r="17">
      <c r="A17" s="20" t="inlineStr">
        <is>
          <t>Q-N13</t>
        </is>
      </c>
      <c r="B17" s="20" t="inlineStr">
        <is>
          <t>Deployment</t>
        </is>
      </c>
      <c r="C17" s="21" t="inlineStr">
        <is>
          <t>Is it acceptable that double-clicking a .prap file in Explorer will NOT open the application?</t>
        </is>
      </c>
      <c r="D17" s="21" t="inlineStr">
        <is>
          <t>ANSWERED 2026-08-13: not needed, drag-and-drop is fine. Closed. NR-IMP-04 stands as reduced, decision N-15 is unchallenged, and no registry entry will be written for any reason.</t>
        </is>
      </c>
      <c r="E17" s="23" t="inlineStr">
        <is>
          <t>Not needed. CLOSED</t>
        </is>
      </c>
    </row>
    <row r="18">
      <c r="A18" s="11" t="inlineStr">
        <is>
          <t>Q-N14</t>
        </is>
      </c>
      <c r="B18" s="11" t="inlineStr">
        <is>
          <t>Deployment</t>
        </is>
      </c>
      <c r="C18" s="12" t="inlineStr">
        <is>
          <t>If the folder goes on a share, is that share where people RUN it from, or where they copy it from once and then run it locally?</t>
        </is>
      </c>
      <c r="D18" s="12" t="inlineStr">
        <is>
          <t>Decides how hard the launch-time problem is. Running from the share means pulling the whole application across the network at every launch (R-N12); copying it once means the share is simply distribution, and everything is fast. The plan supports both; the user guide should recommend the one you actually intend.</t>
        </is>
      </c>
      <c r="E18" s="23" t="inlineStr"/>
    </row>
    <row r="19">
      <c r="A19" s="11" t="inlineStr">
        <is>
          <t>Q-N15</t>
        </is>
      </c>
      <c r="B19" s="11" t="inlineStr">
        <is>
          <t>Deployment</t>
        </is>
      </c>
      <c r="C19" s="12" t="inlineStr">
        <is>
          <t>Would that share be writable by the people using it, or read-only?</t>
        </is>
      </c>
      <c r="D19" s="12" t="inlineStr">
        <is>
          <t>If writable, each user's data can sit in a per-user folder on the share and nothing else is needed. If read-only, every user needs their own data folder elsewhere and the shortcut in NR-DEP-12 becomes the normal way to launch, not an extra.</t>
        </is>
      </c>
      <c r="E19" s="23" t="inlineStr"/>
    </row>
    <row r="21">
      <c r="A21" s="8" t="inlineStr">
        <is>
          <t>Nothing here blocks drafting the specification except Q-N02, Q-N05 and Q-N06 - those three change the design rather than fill it in. The rest can be answered while Step 2 proceeds.</t>
        </is>
      </c>
    </row>
    <row r="22">
      <c r="A22" s="3" t="inlineStr">
        <is>
          <t>Legend</t>
        </is>
      </c>
    </row>
    <row r="23">
      <c r="A23" s="17" t="inlineStr">
        <is>
          <t>Green = new to the desktop application; nothing in the web application corresponds to it.</t>
        </is>
      </c>
    </row>
    <row r="24">
      <c r="A24" s="18" t="inlineStr">
        <is>
          <t>Orange = inherited from the web application but deliberately changed here.</t>
        </is>
      </c>
    </row>
    <row r="25">
      <c r="A25" s="19" t="inlineStr">
        <is>
          <t>Yellow = needs your decision before the work can proceed.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5"/>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4" customWidth="1" min="3" max="3"/>
    <col width="84" customWidth="1" min="4" max="4"/>
    <col width="76" customWidth="1" min="5" max="5"/>
    <col width="12" customWidth="1" min="6" max="6"/>
  </cols>
  <sheetData>
    <row r="1">
      <c r="A1" s="9" t="inlineStr">
        <is>
          <t>Review log and approval</t>
        </is>
      </c>
    </row>
    <row r="2">
      <c r="A2" s="8" t="inlineStr">
        <is>
          <t>This document's own log. The web application's review log is unaffected and stays where it is.</t>
        </is>
      </c>
    </row>
    <row r="4" ht="28" customHeight="1">
      <c r="A4" s="10" t="inlineStr">
        <is>
          <t>No.</t>
        </is>
      </c>
      <c r="B4" s="10" t="inlineStr">
        <is>
          <t>Source</t>
        </is>
      </c>
      <c r="C4" s="10" t="inlineStr">
        <is>
          <t>Input</t>
        </is>
      </c>
      <c r="D4" s="10" t="inlineStr">
        <is>
          <t>Response</t>
        </is>
      </c>
      <c r="E4" s="10" t="inlineStr">
        <is>
          <t>Action taken in v0.1</t>
        </is>
      </c>
      <c r="F4" s="10" t="inlineStr">
        <is>
          <t>Status</t>
        </is>
      </c>
    </row>
    <row r="5">
      <c r="A5" s="15" t="inlineStr">
        <is>
          <t>1</t>
        </is>
      </c>
      <c r="B5" s="15" t="inlineStr">
        <is>
          <t>Instruction 2026-08-13</t>
        </is>
      </c>
      <c r="C5" s="16" t="inlineStr">
        <is>
          <t>Change the program from a web application to a separate program type, like other open-source applications.</t>
        </is>
      </c>
      <c r="D5" s="16" t="inlineStr">
        <is>
          <t>Accepted as the purpose of this plan.</t>
        </is>
      </c>
      <c r="E5" s="16" t="inlineStr">
        <is>
          <t>Sheet 02 scope; NR-APP-01..07; decision N-01 selects the shell technology; sheet 04 records why the engine is not rewritten.</t>
        </is>
      </c>
      <c r="F5" s="15" t="inlineStr">
        <is>
          <t>Closed</t>
        </is>
      </c>
    </row>
    <row r="6">
      <c r="A6" s="13" t="inlineStr">
        <is>
          <t>2</t>
        </is>
      </c>
      <c r="B6" s="13" t="inlineStr">
        <is>
          <t>Instruction 2026-08-13</t>
        </is>
      </c>
      <c r="C6" s="14" t="inlineStr">
        <is>
          <t>Change the data flow to keep imported data even after the application closes.</t>
        </is>
      </c>
      <c r="D6" s="14" t="inlineStr">
        <is>
          <t>Accepted.</t>
        </is>
      </c>
      <c r="E6" s="14" t="inlineStr">
        <is>
          <t>NR-STO-01..09; sheet 05 sets out the workspace model, the write protocol and the recovery behaviour; decisions N-02, N-03, N-08; risk R-N03 records the new risk this creates.</t>
        </is>
      </c>
      <c r="F6" s="13" t="inlineStr">
        <is>
          <t>Closed</t>
        </is>
      </c>
    </row>
    <row r="7">
      <c r="A7" s="15" t="inlineStr">
        <is>
          <t>3</t>
        </is>
      </c>
      <c r="B7" s="15" t="inlineStr">
        <is>
          <t>Instruction 2026-08-13</t>
        </is>
      </c>
      <c r="C7" s="16" t="inlineStr">
        <is>
          <t>Use both ways - the web application goes final and stays usable; keep the HTML and its documents.</t>
        </is>
      </c>
      <c r="D7" s="16" t="inlineStr">
        <is>
          <t>Accepted, and it shapes the architecture.</t>
        </is>
      </c>
      <c r="E7" s="16" t="inlineStr">
        <is>
          <t>Sheet 02 states what is kept and untouched. Decisions N-05, N-06 and N-10 make the arrangement maintainable: one engine, the web application feature-frozen, parity tested rather than assumed. Risk R-N07 records the cost.</t>
        </is>
      </c>
      <c r="F7" s="15" t="inlineStr">
        <is>
          <t>Closed</t>
        </is>
      </c>
    </row>
    <row r="8">
      <c r="A8" s="13" t="inlineStr">
        <is>
          <t>4</t>
        </is>
      </c>
      <c r="B8" s="13" t="inlineStr">
        <is>
          <t>Instruction 2026-08-13</t>
        </is>
      </c>
      <c r="C8" s="14" t="inlineStr">
        <is>
          <t>Develop the new application under a separate plan with a different name.</t>
        </is>
      </c>
      <c r="D8" s="14" t="inlineStr">
        <is>
          <t>Accepted.</t>
        </is>
      </c>
      <c r="E8" s="14" t="inlineStr">
        <is>
          <t>This document, PRAP-NAPP-PLAN-001, in its own version line from v0.1 with its own gates N1..N5. The web application plan is not amended.</t>
        </is>
      </c>
      <c r="F8" s="13" t="inlineStr">
        <is>
          <t>Closed</t>
        </is>
      </c>
    </row>
    <row r="9">
      <c r="A9" s="15" t="inlineStr">
        <is>
          <t>5</t>
        </is>
      </c>
      <c r="B9" s="15" t="inlineStr">
        <is>
          <t>Instruction 2026-08-13</t>
        </is>
      </c>
      <c r="C9" s="16" t="inlineStr">
        <is>
          <t>Distribution size would be allowed.</t>
        </is>
      </c>
      <c r="D9" s="16" t="inlineStr">
        <is>
          <t>Accepted - and it decides an open question.</t>
        </is>
      </c>
      <c r="E9" s="16" t="inlineStr">
        <is>
          <t>Recorded as assumption A-N04. It removes the only strong argument against Electron, so decision N-01 selects it on the grounds of verifiability instead. Sheet 04 keeps Tauri as a documented later option.</t>
        </is>
      </c>
      <c r="F9" s="15" t="inlineStr">
        <is>
          <t>Closed</t>
        </is>
      </c>
    </row>
    <row r="10">
      <c r="A10" s="13" t="inlineStr">
        <is>
          <t>6</t>
        </is>
      </c>
      <c r="B10" s="13" t="inlineStr">
        <is>
          <t>-</t>
        </is>
      </c>
      <c r="C10" s="14" t="inlineStr">
        <is>
          <t>Not requester input - raised while drafting.</t>
        </is>
      </c>
      <c r="D10" s="14" t="inlineStr">
        <is>
          <t>Two claims in this plan cannot be verified from the development environment.</t>
        </is>
      </c>
      <c r="E10" s="14" t="inlineStr">
        <is>
          <t>Whether the package is allowed to run on a company PC (R-N01), and whether it installs without administrator rights (NR-DEP-02). Both are marked on sheet 08 as provable only by you, and Q-N02 asks you to check the first before Gate N1 rather than after Gate N5. Round 1 closed the second of the two - see item 8.</t>
        </is>
      </c>
      <c r="F10" s="13" t="inlineStr">
        <is>
          <t>Closed</t>
        </is>
      </c>
    </row>
    <row r="11">
      <c r="A11" s="15" t="inlineStr">
        <is>
          <t>7</t>
        </is>
      </c>
      <c r="B11" s="15" t="inlineStr">
        <is>
          <t>Instruction 2026-08-13 (round 1)</t>
        </is>
      </c>
      <c r="C11" s="16" t="inlineStr">
        <is>
          <t>The new application should work well under Windows OS.</t>
        </is>
      </c>
      <c r="D11" s="16" t="inlineStr">
        <is>
          <t>Accepted - Q-N01 closed.</t>
        </is>
      </c>
      <c r="E11" s="16" t="inlineStr">
        <is>
          <t>Windows 10 / 11, 64-bit, is the only supported target: NR-DEP-01, assumption A-N02 confirmed, macOS and Linux moved to out of scope on sheet 02. Risk R-N06 stands - the development environment is Linux, so Windows behaviour is verified by you at N5.7 and every claim about it is labelled unverified until then.</t>
        </is>
      </c>
      <c r="F11" s="15" t="inlineStr">
        <is>
          <t>Closed</t>
        </is>
      </c>
    </row>
    <row r="12">
      <c r="A12" s="13" t="inlineStr">
        <is>
          <t>8</t>
        </is>
      </c>
      <c r="B12" s="13" t="inlineStr">
        <is>
          <t>Instruction 2026-08-13 (round 1)</t>
        </is>
      </c>
      <c r="C12" s="14" t="inlineStr">
        <is>
          <t>It should be a non-installed application.</t>
        </is>
      </c>
      <c r="D12" s="14" t="inlineStr">
        <is>
          <t>Accepted, and it reaches further than one requirement.</t>
        </is>
      </c>
      <c r="E12" s="14" t="inlineStr">
        <is>
          <t>NR-DEP-02 rewritten from 'no administrator rights' to 'no installer at all'; NR-DEP-05..09 added; NR-APP-06 and NR-IMP-04 amended. Decisions N-13 (data folder separate from application files), N-14 (a plain folder, not a self-extracting exe) and N-15 (no registry, ever). Sheet 04 gains the packaging comparison, sheet 05 the folder layout. Three risks added: R-N09 SmartScreen and anti-virus, R-N10 path length, R-N11 read-only share. Six verification tasks added at Step N5.</t>
        </is>
      </c>
      <c r="F12" s="13" t="inlineStr">
        <is>
          <t>Closed</t>
        </is>
      </c>
    </row>
    <row r="13">
      <c r="A13" s="15" t="inlineStr">
        <is>
          <t>9</t>
        </is>
      </c>
      <c r="B13" s="15" t="inlineStr">
        <is>
          <t>-</t>
        </is>
      </c>
      <c r="C13" s="16" t="inlineStr">
        <is>
          <t>Not requester input - found while applying item 8.</t>
        </is>
      </c>
      <c r="D13" s="16" t="inlineStr">
        <is>
          <t>Two consequences worth your explicit agreement.</t>
        </is>
      </c>
      <c r="E13" s="16" t="inlineStr">
        <is>
          <t>First, an update that extracted over the application folder would delete the user's workspaces if they lived among the application files - resolved by decision N-13 before it could ever be built. Second, no file association is possible without a registry entry, so double-clicking a .prap file will not open the application; raised as Q-N13 rather than decided silently.</t>
        </is>
      </c>
      <c r="F13" s="15" t="inlineStr">
        <is>
          <t>Open</t>
        </is>
      </c>
    </row>
    <row r="14">
      <c r="A14" s="13" t="inlineStr">
        <is>
          <t>10</t>
        </is>
      </c>
      <c r="B14" s="13" t="inlineStr">
        <is>
          <t>-</t>
        </is>
      </c>
      <c r="C14" s="14" t="inlineStr">
        <is>
          <t>Not requester input - found while applying item 8.</t>
        </is>
      </c>
      <c r="D14" s="14" t="inlineStr">
        <is>
          <t>Non-installed makes one thing HARDER, not easier.</t>
        </is>
      </c>
      <c r="E14" s="14" t="inlineStr">
        <is>
          <t>An unsigned, unregistered executable has no reputation with SmartScreen or anti-virus, so it is judged more harshly than installed software would be. Recorded as R-N09 with likelihood HIGH, and folded into Q-N02 so you ask IT the right question - about execution, not about installation rights.</t>
        </is>
      </c>
      <c r="F14" s="13" t="inlineStr">
        <is>
          <t>Open</t>
        </is>
      </c>
    </row>
    <row r="15">
      <c r="A15" s="15" t="inlineStr">
        <is>
          <t>11</t>
        </is>
      </c>
      <c r="B15" s="15" t="inlineStr">
        <is>
          <t>Q-N13 answer (round 2)</t>
        </is>
      </c>
      <c r="C15" s="16" t="inlineStr">
        <is>
          <t>File association not needed; drag-and-drop is fine.</t>
        </is>
      </c>
      <c r="D15" s="16" t="inlineStr">
        <is>
          <t>Accepted - closes the question with no change.</t>
        </is>
      </c>
      <c r="E15" s="16" t="inlineStr">
        <is>
          <t>NR-IMP-04 stands as reduced at v0.2, and decision N-15 is now unchallenged: no registry entry will be written for any purpose. The 'optional associate files action' floated at v0.2 is dropped rather than left hanging.</t>
        </is>
      </c>
      <c r="F15" s="15" t="inlineStr">
        <is>
          <t>Closed</t>
        </is>
      </c>
    </row>
    <row r="16">
      <c r="A16" s="13" t="inlineStr">
        <is>
          <t>12</t>
        </is>
      </c>
      <c r="B16" s="13" t="inlineStr">
        <is>
          <t>Q-N12 answer (round 2)</t>
        </is>
      </c>
      <c r="C16" s="14" t="inlineStr">
        <is>
          <t>A shared network folder could be considered.</t>
        </is>
      </c>
      <c r="D16" s="14" t="inlineStr">
        <is>
          <t>Accepted, and planned for as though it will happen.</t>
        </is>
      </c>
      <c r="E16" s="14" t="inlineStr">
        <is>
          <t>'Could be considered' is enough: the cost of building for it now is one marker file and one resolution rule, and the cost of not building for it and then adopting it is somebody's lost work. NR-DEP-09 raised to Must; NR-DEP-10..13 and NR-STO-10..11 added; decisions N-16..N-18; risks R-N11 raised to HIGH likelihood, R-N12 and R-N13 added; sheet 05 gains two new sections; five verification tasks added at Steps N4 and N5.</t>
        </is>
      </c>
      <c r="F16" s="13" t="inlineStr">
        <is>
          <t>Closed</t>
        </is>
      </c>
    </row>
    <row r="17">
      <c r="A17" s="15" t="inlineStr">
        <is>
          <t>13</t>
        </is>
      </c>
      <c r="B17" s="15" t="inlineStr">
        <is>
          <t>-</t>
        </is>
      </c>
      <c r="C17" s="16" t="inlineStr">
        <is>
          <t>Not requester input - found while applying item 12.</t>
        </is>
      </c>
      <c r="D17" s="16" t="inlineStr">
        <is>
          <t>A shared folder breaks the v0.2 layout in two places, and one of them silently destroys work.</t>
        </is>
      </c>
      <c r="E17" s="16" t="inlineStr">
        <is>
          <t>First, one settings file cannot serve two people - solved by the data-location resolution order at NR-DEP-10. Second, two people editing one workspace means the second Save discards the first, with nothing said - solved by the advisory marker at NR-STO-10. The second is the serious one: it is the only failure in this plan that loses work without anybody being told, which is why it is a Must and why it is built whether or not the share is adopted (N-18).</t>
        </is>
      </c>
      <c r="F17" s="15" t="inlineStr">
        <is>
          <t>Closed</t>
        </is>
      </c>
    </row>
    <row r="18">
      <c r="A18" s="13" t="inlineStr">
        <is>
          <t>14</t>
        </is>
      </c>
      <c r="B18" s="13" t="inlineStr">
        <is>
          <t>-</t>
        </is>
      </c>
      <c r="C18" s="14" t="inlineStr">
        <is>
          <t>Not requester input - found while applying item 12.</t>
        </is>
      </c>
      <c r="D18" s="14" t="inlineStr">
        <is>
          <t>Where does a portable application remember its data location, if it cannot write beside itself?</t>
        </is>
      </c>
      <c r="E18" s="14" t="inlineStr">
        <is>
          <t>The usual answer - a file in the user profile - is the hidden state the non-installed rule exists to prevent. Resolved at N-16 by having the application offer to create a desktop shortcut carrying --data: visible, owned by the user, and undone by deleting it. The About dialog always shows which rule applied.</t>
        </is>
      </c>
      <c r="F18" s="13" t="inlineStr">
        <is>
          <t>Closed</t>
        </is>
      </c>
    </row>
    <row r="19">
      <c r="A19" s="15" t="inlineStr">
        <is>
          <t>15</t>
        </is>
      </c>
      <c r="B19" s="15" t="inlineStr">
        <is>
          <t>Q-N06</t>
        </is>
      </c>
      <c r="C19" s="16" t="inlineStr">
        <is>
          <t>Not requester input - a consequence of item 12.</t>
        </is>
      </c>
      <c r="D19" s="16" t="inlineStr">
        <is>
          <t>The question no longer needs answering.</t>
        </is>
      </c>
      <c r="E19" s="16" t="inlineStr">
        <is>
          <t>Q-N06 asked whether two people would ever open one workspace at once. With concurrent use designed for unconditionally (N-18), the answer changes nothing. Marked superseded rather than left open.</t>
        </is>
      </c>
      <c r="F19" s="15" t="inlineStr">
        <is>
          <t>Closed</t>
        </is>
      </c>
    </row>
    <row r="21">
      <c r="A21" s="5" t="inlineStr">
        <is>
          <t>Approval - Gate N1</t>
        </is>
      </c>
    </row>
    <row r="22" ht="28" customHeight="1">
      <c r="A22" s="10" t="inlineStr">
        <is>
          <t>Document</t>
        </is>
      </c>
      <c r="B22" s="10" t="inlineStr">
        <is>
          <t>Approver</t>
        </is>
      </c>
      <c r="C22" s="10" t="inlineStr">
        <is>
          <t>Date</t>
        </is>
      </c>
      <c r="D22" s="10" t="inlineStr">
        <is>
          <t>Decision</t>
        </is>
      </c>
    </row>
    <row r="23">
      <c r="A23" s="15" t="inlineStr">
        <is>
          <t>PRAP NewApp Development Plan v0.3</t>
        </is>
      </c>
      <c r="B23" s="22" t="inlineStr"/>
      <c r="C23" s="22" t="inlineStr"/>
      <c r="D23" s="16" t="inlineStr">
        <is>
          <t>Awaiting review. To approve: answer Q-N01..Q-N11 on sheet 11, confirm or change decisions N-01..N-12 on sheet 06, and mark any requirement on sheet 03 you disagree with.</t>
        </is>
      </c>
    </row>
    <row r="25">
      <c r="A25" s="8" t="inlineStr">
        <is>
          <t>STEP N1 IS OPEN. Nothing is built until this plan is approved - including the refactor, which touches the finished web application and therefore waits for the same gate as everything else.</t>
        </is>
      </c>
    </row>
  </sheetData>
  <dataValidations count="1">
    <dataValidation sqref="F5:F19"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2026-08-13T08:49:23Z</dcterms:created>
  <dcterms:modified xsi:type="dcterms:W3CDTF">2026-08-13T08:49:23Z</dcterms:modified>
</cp:coreProperties>
</file>