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v1.8</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R-11</t>
        </is>
      </c>
    </row>
    <row r="42">
      <c r="A42" s="6" t="inlineStr">
        <is>
          <t>from the component-list reviews - and needs its own approval before it supersedes v1.3.</t>
        </is>
      </c>
    </row>
    <row r="43">
      <c r="A43" s="6" t="inlineStr"/>
    </row>
    <row r="44">
      <c r="A44" s="6" t="inlineStr">
        <is>
          <t>v1.3 carries change R-04: every sheet of the source workbook now holds at least one free-text note</t>
        </is>
      </c>
    </row>
    <row r="45">
      <c r="A45" s="6" t="inlineStr">
        <is>
          <t>column. Four sheets had none - Milestone, ProjectPeriod, PeriodWeightStandard and Lists - and each gains</t>
        </is>
      </c>
    </row>
    <row r="46">
      <c r="A46" s="6" t="inlineStr">
        <is>
          <t>note_1. The other six already had one: Project and Person carry note_1..note_5, Assignment</t>
        </is>
      </c>
    </row>
    <row r="47">
      <c r="A47" s="6" t="inlineStr">
        <is>
          <t>note_1..note_3, RoleFactor role_note, PersonPeriodWeight reason, and Config note.</t>
        </is>
      </c>
    </row>
    <row r="48">
      <c r="A48" s="6" t="inlineStr"/>
    </row>
    <row r="49">
      <c r="A49" s="6" t="inlineStr">
        <is>
          <t>Because columns change, the source schema version steps from 1 to 2. Nothing else moves: notes are</t>
        </is>
      </c>
    </row>
    <row r="50">
      <c r="A50" s="6" t="inlineStr">
        <is>
          <t>carried through import and export unchanged and are never read by the calculation, so re-running the</t>
        </is>
      </c>
    </row>
    <row r="51">
      <c r="A51" s="6" t="inlineStr">
        <is>
          <t>dummy dataset gives identical figures to v1.2.</t>
        </is>
      </c>
    </row>
    <row r="52">
      <c r="A52" s="6" t="inlineStr"/>
    </row>
    <row r="53">
      <c r="A53" s="6" t="inlineStr">
        <is>
          <t>WHAT THIS PLAN NOW FIXES</t>
        </is>
      </c>
    </row>
    <row r="54">
      <c r="A54" s="6" t="inlineStr">
        <is>
          <t xml:space="preserve">  65 requirements (sheet 03) as the contract for Steps 2-5</t>
        </is>
      </c>
    </row>
    <row r="55">
      <c r="A55" s="6" t="inlineStr">
        <is>
          <t xml:space="preserve">  21 validation rules (sheet 04) applied on import and on every on-screen edit</t>
        </is>
      </c>
    </row>
    <row r="56">
      <c r="A56" s="6" t="inlineStr">
        <is>
          <t xml:space="preserve">  11 engineering decisions, C-01 to C-11 (sheet 05), all confirmed</t>
        </is>
      </c>
    </row>
    <row r="57">
      <c r="A57" s="6" t="inlineStr">
        <is>
          <t xml:space="preserve">  a source schema of 10 sheets at version 2 (sheet 04)</t>
        </is>
      </c>
    </row>
    <row r="58">
      <c r="A58" s="6" t="inlineStr">
        <is>
          <t xml:space="preserve">  the five-step build with a review gate at the end of each (sheet 08)</t>
        </is>
      </c>
    </row>
    <row r="59">
      <c r="A59" s="6" t="inlineStr"/>
    </row>
    <row r="60">
      <c r="A60" s="6" t="inlineStr">
        <is>
          <t>Nothing in this document is open. Six review rounds produced 28 questions and 4 change requests; all 32</t>
        </is>
      </c>
    </row>
    <row r="61">
      <c r="A61" s="6" t="inlineStr">
        <is>
          <t>are answered and applied, and the review log on sheet 12 carries no open item.</t>
        </is>
      </c>
    </row>
    <row r="63">
      <c r="A63" s="5" t="inlineStr">
        <is>
          <t>The plan in one page</t>
        </is>
      </c>
    </row>
    <row r="64">
      <c r="A64" s="6" t="inlineStr">
        <is>
          <t xml:space="preserve">  Output        One HTML file, opened by double-click on Windows, offline, no install. One Excel</t>
        </is>
      </c>
    </row>
    <row r="65">
      <c r="A65" s="6" t="inlineStr">
        <is>
          <t xml:space="preserve">                workbook alongside it holds the data and remains the archive of record.</t>
        </is>
      </c>
    </row>
    <row r="66">
      <c r="A66" s="6" t="inlineStr"/>
    </row>
    <row r="67">
      <c r="A67" s="6" t="inlineStr">
        <is>
          <t xml:space="preserve">  Calculation   load = project period weight x role factor x person weight x month coverage,</t>
        </is>
      </c>
    </row>
    <row r="68">
      <c r="A68" s="6" t="inlineStr">
        <is>
          <t xml:space="preserve">                in FTE where 1.00 FTE = 160 hours per month.</t>
        </is>
      </c>
    </row>
    <row r="69">
      <c r="A69" s="6" t="inlineStr">
        <is>
          <t xml:space="preserve">                Over-allocated above 1.50 FTE in a month; under-allocated below 0.80 FTE for three</t>
        </is>
      </c>
    </row>
    <row r="70">
      <c r="A70" s="6" t="inlineStr">
        <is>
          <t xml:space="preserve">                or more consecutive months, reported as a run.</t>
        </is>
      </c>
    </row>
    <row r="71">
      <c r="A71" s="6" t="inlineStr"/>
    </row>
    <row r="72">
      <c r="A72" s="6" t="inlineStr">
        <is>
          <t xml:space="preserve">  Periods       Clinical Trial: five period names derived from milestone dates and month offsets,</t>
        </is>
      </c>
    </row>
    <row r="73">
      <c r="A73" s="6" t="inlineStr">
        <is>
          <t xml:space="preserve">                with the conduct phase split into 'Conduct (interim)' and 'Conduct (final)' where an</t>
        </is>
      </c>
    </row>
    <row r="74">
      <c r="A74" s="6" t="inlineStr">
        <is>
          <t xml:space="preserve">                interim DB lock divides it. Weights come</t>
        </is>
      </c>
    </row>
    <row r="75">
      <c r="A75" s="6" t="inlineStr">
        <is>
          <t xml:space="preserve">                from the trial's clinical phase.</t>
        </is>
      </c>
    </row>
    <row r="76">
      <c r="A76" s="6" t="inlineStr">
        <is>
          <t xml:space="preserve">                Others: three periods, dates and weights both entered by hand.</t>
        </is>
      </c>
    </row>
    <row r="77">
      <c r="A77" s="6" t="inlineStr"/>
    </row>
    <row r="78">
      <c r="A78" s="6" t="inlineStr">
        <is>
          <t xml:space="preserve">  Dashboard     Overall (monthly simulation per project and per person, tables and graphs),</t>
        </is>
      </c>
    </row>
    <row r="79">
      <c r="A79" s="6" t="inlineStr">
        <is>
          <t xml:space="preserve">                Source data (project), Source data (person). Every field editable, with identifier</t>
        </is>
      </c>
    </row>
    <row r="80">
      <c r="A80" s="6" t="inlineStr">
        <is>
          <t xml:space="preserve">                edits cascading to referencing rows.</t>
        </is>
      </c>
    </row>
    <row r="81">
      <c r="A81" s="6" t="inlineStr"/>
    </row>
    <row r="82">
      <c r="A82" s="6" t="inlineStr">
        <is>
          <t xml:space="preserve">  Build         Five steps, each ending at a review gate. This document closes Step 1.</t>
        </is>
      </c>
    </row>
    <row r="84">
      <c r="A84" s="5" t="inlineStr">
        <is>
          <t>What approving this document means</t>
        </is>
      </c>
    </row>
    <row r="85">
      <c r="A85" s="6" t="inlineStr">
        <is>
          <t>Gate 1 approval on sheet 12 baselines the 63 requirements on sheet 03 as the contract for Steps 2-5,</t>
        </is>
      </c>
    </row>
    <row r="86">
      <c r="A86" s="6" t="inlineStr">
        <is>
          <t>and confirms the six engineering decisions C-06 to C-11 on sheet 05 that were proposed but never</t>
        </is>
      </c>
    </row>
    <row r="87">
      <c r="A87" s="6" t="inlineStr">
        <is>
          <t>explicitly answered across the review rounds. Those six are listed there with their rationale; if any</t>
        </is>
      </c>
    </row>
    <row r="88">
      <c r="A88" s="6" t="inlineStr">
        <is>
          <t>is wrong, say so at approval rather than after.</t>
        </is>
      </c>
    </row>
    <row r="90">
      <c r="A90" s="5" t="inlineStr">
        <is>
          <t>How to read this workbook</t>
        </is>
      </c>
    </row>
    <row r="91" ht="28" customHeight="1">
      <c r="A91" s="7" t="inlineStr">
        <is>
          <t>Sheet</t>
        </is>
      </c>
      <c r="B91" s="7" t="inlineStr">
        <is>
          <t>Contents</t>
        </is>
      </c>
    </row>
    <row r="92">
      <c r="A92" s="8" t="inlineStr">
        <is>
          <t>00_Cover</t>
        </is>
      </c>
      <c r="B92" s="9" t="inlineStr">
        <is>
          <t>Document control, what changed, reading guide.</t>
        </is>
      </c>
    </row>
    <row r="93">
      <c r="A93" s="10" t="inlineStr">
        <is>
          <t>01_Version_History</t>
        </is>
      </c>
      <c r="B93" s="11" t="inlineStr">
        <is>
          <t>Change log for this plan.</t>
        </is>
      </c>
    </row>
    <row r="94">
      <c r="A94" s="8" t="inlineStr">
        <is>
          <t>02_Scope</t>
        </is>
      </c>
      <c r="B94" s="9" t="inlineStr">
        <is>
          <t>Background, objectives, in scope / out of scope.</t>
        </is>
      </c>
    </row>
    <row r="95">
      <c r="A95" s="10" t="inlineStr">
        <is>
          <t>03_Requirements</t>
        </is>
      </c>
      <c r="B95" s="11" t="inlineStr">
        <is>
          <t>Numbered requirement register - the contract for Steps 2-5.</t>
        </is>
      </c>
    </row>
    <row r="96">
      <c r="A96" s="8" t="inlineStr">
        <is>
          <t>04_Data_Model</t>
        </is>
      </c>
      <c r="B96" s="9" t="inlineStr">
        <is>
          <t>Every sheet and column of the single source workbook, with rules.</t>
        </is>
      </c>
    </row>
    <row r="97">
      <c r="A97" s="10" t="inlineStr">
        <is>
          <t>05_Resource_Logic</t>
        </is>
      </c>
      <c r="B97" s="11" t="inlineStr">
        <is>
          <t>The calculation that turns assignments and weights into monthly FTE.</t>
        </is>
      </c>
    </row>
    <row r="98">
      <c r="A98" s="8" t="inlineStr">
        <is>
          <t>06_Dashboard_Design</t>
        </is>
      </c>
      <c r="B98" s="9" t="inlineStr">
        <is>
          <t>The three dashboard tabs: tables, graphs, filters, editing.</t>
        </is>
      </c>
    </row>
    <row r="99">
      <c r="A99" s="10" t="inlineStr">
        <is>
          <t>07_Architecture</t>
        </is>
      </c>
      <c r="B99" s="11" t="inlineStr">
        <is>
          <t>Single-file HTML + Excel-on-disk design and the file-access decision.</t>
        </is>
      </c>
    </row>
    <row r="100">
      <c r="A100" s="8" t="inlineStr">
        <is>
          <t>08_WBS_Schedule</t>
        </is>
      </c>
      <c r="B100" s="9" t="inlineStr">
        <is>
          <t>The five steps broken into tasks, deliverables and review gates.</t>
        </is>
      </c>
    </row>
    <row r="101">
      <c r="A101" s="10" t="inlineStr">
        <is>
          <t>09_Version_Control</t>
        </is>
      </c>
      <c r="B101" s="11" t="inlineStr">
        <is>
          <t>How plan, specification and output files are versioned together.</t>
        </is>
      </c>
    </row>
    <row r="102">
      <c r="A102" s="8" t="inlineStr">
        <is>
          <t>10_Risks</t>
        </is>
      </c>
      <c r="B102" s="9" t="inlineStr">
        <is>
          <t>Risks and assumptions with mitigations.</t>
        </is>
      </c>
    </row>
    <row r="103">
      <c r="A103" s="10" t="inlineStr">
        <is>
          <t>11_Open_Questions</t>
        </is>
      </c>
      <c r="B103" s="11" t="inlineStr">
        <is>
          <t>All 28 questions and their answers. Nothing open.</t>
        </is>
      </c>
    </row>
    <row r="104">
      <c r="A104" s="8" t="inlineStr">
        <is>
          <t>12_Review_Log</t>
        </is>
      </c>
      <c r="B104" s="9" t="inlineStr">
        <is>
          <t>Every change made across the four review rounds, and why. Gate 1 approval block.</t>
        </is>
      </c>
    </row>
    <row r="106">
      <c r="A106" s="3" t="inlineStr">
        <is>
          <t>Legend</t>
        </is>
      </c>
    </row>
    <row r="107">
      <c r="A107" s="12" t="inlineStr">
        <is>
          <t>Green = new in v0.2, added from your review answers.</t>
        </is>
      </c>
    </row>
    <row r="108">
      <c r="A108" s="13" t="inlineStr">
        <is>
          <t>Orange = changed in v0.2 as a consequence of your review.</t>
        </is>
      </c>
    </row>
    <row r="109">
      <c r="A109"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1.8</t>
        </is>
      </c>
      <c r="B21" s="17" t="inlineStr">
        <is>
          <t>2026-07-31</t>
        </is>
      </c>
      <c r="C21" s="17" t="inlineStr">
        <is>
          <t>Claude Code</t>
        </is>
      </c>
      <c r="D21" s="17" t="inlineStr">
        <is>
          <t>Pending</t>
        </is>
      </c>
      <c r="E21" s="18"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21" s="17" t="inlineStr">
        <is>
          <t>Issued for approval</t>
        </is>
      </c>
    </row>
    <row r="22">
      <c r="A22" s="10" t="inlineStr">
        <is>
          <t>1.7</t>
        </is>
      </c>
      <c r="B22" s="10" t="inlineStr">
        <is>
          <t>2026-07-31</t>
        </is>
      </c>
      <c r="C22" s="10" t="inlineStr">
        <is>
          <t>Claude Code</t>
        </is>
      </c>
      <c r="D22" s="10" t="inlineStr">
        <is>
          <t>Pending</t>
        </is>
      </c>
      <c r="E2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2" s="10" t="inlineStr">
        <is>
          <t>Superseded by v1.8</t>
        </is>
      </c>
    </row>
    <row r="23">
      <c r="A23" s="8" t="inlineStr">
        <is>
          <t>1.6</t>
        </is>
      </c>
      <c r="B23" s="8" t="inlineStr">
        <is>
          <t>2026-07-31</t>
        </is>
      </c>
      <c r="C23" s="8" t="inlineStr">
        <is>
          <t>Claude Code</t>
        </is>
      </c>
      <c r="D23" s="8" t="inlineStr">
        <is>
          <t>Pending</t>
        </is>
      </c>
      <c r="E2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3" s="8" t="inlineStr">
        <is>
          <t>Issued for approval</t>
        </is>
      </c>
    </row>
    <row r="25">
      <c r="A2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REQ-DSH-11</t>
        </is>
      </c>
      <c r="B53" s="17" t="inlineStr">
        <is>
          <t>Dashboard</t>
        </is>
      </c>
      <c r="C53" s="18" t="inlineStr">
        <is>
          <t>The standing assumptions the simulation multiplies by - standard period weights, role factors, configuration and value lists - are presented on their own tab, so a reader can see what every figure was derived from without opening the workbook.</t>
        </is>
      </c>
      <c r="D53" s="17" t="inlineStr">
        <is>
          <t>Must</t>
        </is>
      </c>
      <c r="E53" s="17" t="inlineStr">
        <is>
          <t>G-07</t>
        </is>
      </c>
      <c r="F53" s="17" t="inlineStr">
        <is>
          <t>3,4</t>
        </is>
      </c>
    </row>
    <row r="54">
      <c r="A54" s="20" t="inlineStr">
        <is>
          <t>REQ-IMP-01</t>
        </is>
      </c>
      <c r="B54" s="20" t="inlineStr">
        <is>
          <t>Import/Export</t>
        </is>
      </c>
      <c r="C54" s="19" t="inlineStr">
        <is>
          <t>The user loads the source workbook through a file picker or drag-and-drop, chosen because a local HTML page cannot open a file from disk unaided.</t>
        </is>
      </c>
      <c r="D54" s="20" t="inlineStr">
        <is>
          <t>Must</t>
        </is>
      </c>
      <c r="E54" s="20" t="inlineStr">
        <is>
          <t>Decision D-01</t>
        </is>
      </c>
      <c r="F54" s="20" t="inlineStr">
        <is>
          <t>4</t>
        </is>
      </c>
    </row>
    <row r="55">
      <c r="A55" s="8" t="inlineStr">
        <is>
          <t>REQ-IMP-02</t>
        </is>
      </c>
      <c r="B55" s="8" t="inlineStr">
        <is>
          <t>Import/Export</t>
        </is>
      </c>
      <c r="C55" s="9" t="inlineStr">
        <is>
          <t>Loading validates the workbook and reports every problem found - missing sheet, missing column, bad date, unknown project reference - without stopping at the first one.</t>
        </is>
      </c>
      <c r="D55" s="8" t="inlineStr">
        <is>
          <t>Must</t>
        </is>
      </c>
      <c r="E55" s="8" t="inlineStr">
        <is>
          <t>Derived</t>
        </is>
      </c>
      <c r="F55" s="8" t="inlineStr">
        <is>
          <t>4</t>
        </is>
      </c>
    </row>
    <row r="56">
      <c r="A56" s="20" t="inlineStr">
        <is>
          <t>REQ-IMP-03</t>
        </is>
      </c>
      <c r="B56" s="20" t="inlineStr">
        <is>
          <t>Import/Export</t>
        </is>
      </c>
      <c r="C56" s="19" t="inlineStr">
        <is>
          <t>A blank source workbook template with correct sheet names, headers, value lists and one example row is delivered with the application.</t>
        </is>
      </c>
      <c r="D56" s="20" t="inlineStr">
        <is>
          <t>Must</t>
        </is>
      </c>
      <c r="E56" s="20" t="inlineStr">
        <is>
          <t>Derived</t>
        </is>
      </c>
      <c r="F56" s="20" t="inlineStr">
        <is>
          <t>4</t>
        </is>
      </c>
    </row>
    <row r="57">
      <c r="A57" s="8" t="inlineStr">
        <is>
          <t>REQ-IMP-04</t>
        </is>
      </c>
      <c r="B57" s="8" t="inlineStr">
        <is>
          <t>Import/Export</t>
        </is>
      </c>
      <c r="C57" s="9" t="inlineStr">
        <is>
          <t>The user can export current data back to .xlsx, preserving the template layout so the export can be re-imported.</t>
        </is>
      </c>
      <c r="D57" s="8" t="inlineStr">
        <is>
          <t>Must</t>
        </is>
      </c>
      <c r="E57" s="8" t="inlineStr">
        <is>
          <t>Derived</t>
        </is>
      </c>
      <c r="F57" s="8" t="inlineStr">
        <is>
          <t>4</t>
        </is>
      </c>
    </row>
    <row r="58">
      <c r="A58" s="20" t="inlineStr">
        <is>
          <t>REQ-IMP-05</t>
        </is>
      </c>
      <c r="B58" s="20" t="inlineStr">
        <is>
          <t>Import/Export</t>
        </is>
      </c>
      <c r="C58" s="19" t="inlineStr">
        <is>
          <t>The application records which file was loaded and when, and shows it on screen with its time zone - a bare timestamp is ambiguous to anyone reading it from another country.</t>
        </is>
      </c>
      <c r="D58" s="20" t="inlineStr">
        <is>
          <t>Should</t>
        </is>
      </c>
      <c r="E58" s="20" t="inlineStr">
        <is>
          <t>Derived / G-02</t>
        </is>
      </c>
      <c r="F58" s="20" t="inlineStr">
        <is>
          <t>4</t>
        </is>
      </c>
    </row>
    <row r="59">
      <c r="A59" s="8" t="inlineStr">
        <is>
          <t>REQ-IMP-06</t>
        </is>
      </c>
      <c r="B59" s="8" t="inlineStr">
        <is>
          <t>Import/Export</t>
        </is>
      </c>
      <c r="C59" s="9" t="inlineStr">
        <is>
          <t>Loaded data may be cached in the browser so re-opening the page does not force a re-import; the cache never replaces the workbook as the record.</t>
        </is>
      </c>
      <c r="D59" s="8" t="inlineStr">
        <is>
          <t>Could</t>
        </is>
      </c>
      <c r="E59" s="8" t="inlineStr">
        <is>
          <t>Derived</t>
        </is>
      </c>
      <c r="F59" s="8" t="inlineStr">
        <is>
          <t>4</t>
        </is>
      </c>
    </row>
    <row r="60">
      <c r="A60" s="17" t="inlineStr">
        <is>
          <t>REQ-IMP-07</t>
        </is>
      </c>
      <c r="B60" s="17" t="inlineStr">
        <is>
          <t>Import/Export</t>
        </is>
      </c>
      <c r="C60" s="18" t="inlineStr">
        <is>
          <t>After import, the application lets the user update the data on screen, and those updates are carried into the file produced on export.</t>
        </is>
      </c>
      <c r="D60" s="17" t="inlineStr">
        <is>
          <t>Must</t>
        </is>
      </c>
      <c r="E60" s="17" t="inlineStr">
        <is>
          <t>Reviewer v0.11</t>
        </is>
      </c>
      <c r="F60" s="17" t="inlineStr">
        <is>
          <t>4</t>
        </is>
      </c>
    </row>
    <row r="61">
      <c r="A61" s="17" t="inlineStr">
        <is>
          <t>REQ-IMP-08</t>
        </is>
      </c>
      <c r="B61" s="17" t="inlineStr">
        <is>
          <t>Import/Export</t>
        </is>
      </c>
      <c r="C61" s="18" t="inlineStr">
        <is>
          <t>Unsaved edits are visible as such, and the user is warned before any action that would discard them (closing the page, loading another file).</t>
        </is>
      </c>
      <c r="D61" s="17" t="inlineStr">
        <is>
          <t>Must</t>
        </is>
      </c>
      <c r="E61" s="17" t="inlineStr">
        <is>
          <t>Derived from REQ-IMP-07</t>
        </is>
      </c>
      <c r="F61" s="17" t="inlineStr">
        <is>
          <t>4</t>
        </is>
      </c>
    </row>
    <row r="62">
      <c r="A62" s="20" t="inlineStr">
        <is>
          <t>REQ-IMP-09</t>
        </is>
      </c>
      <c r="B62" s="20" t="inlineStr">
        <is>
          <t>Import/Export</t>
        </is>
      </c>
      <c r="C62" s="19" t="inlineStr">
        <is>
          <t>Every field is editable, including identifiers. An on-screen edit is re-validated against the same rules as an imported value, so editing cannot introduce data the import would have rejected.</t>
        </is>
      </c>
      <c r="D62" s="20" t="inlineStr">
        <is>
          <t>Must</t>
        </is>
      </c>
      <c r="E62" s="20" t="inlineStr">
        <is>
          <t>Q-20</t>
        </is>
      </c>
      <c r="F62" s="20" t="inlineStr">
        <is>
          <t>4</t>
        </is>
      </c>
    </row>
    <row r="63">
      <c r="A63" s="17" t="inlineStr">
        <is>
          <t>REQ-IMP-10</t>
        </is>
      </c>
      <c r="B63" s="17" t="inlineStr">
        <is>
          <t>Import/Export</t>
        </is>
      </c>
      <c r="C63" s="18" t="inlineStr">
        <is>
          <t>Editing an identifier that other sheets reference cascades to every referencing row, after showing how many rows will change. Deleting a referenced row is refused, naming what still points at it.</t>
        </is>
      </c>
      <c r="D63" s="17" t="inlineStr">
        <is>
          <t>Must</t>
        </is>
      </c>
      <c r="E63" s="17" t="inlineStr">
        <is>
          <t>Q-20</t>
        </is>
      </c>
      <c r="F63" s="17" t="inlineStr">
        <is>
          <t>4</t>
        </is>
      </c>
    </row>
    <row r="64">
      <c r="A64" s="17" t="inlineStr">
        <is>
          <t>REQ-IMP-11</t>
        </is>
      </c>
      <c r="B64" s="17" t="inlineStr">
        <is>
          <t>Import/Export</t>
        </is>
      </c>
      <c r="C64" s="18" t="inlineStr">
        <is>
          <t>A new row can be inserted into any editable table, positioned immediately below the row the user acts on rather than appended at the end, and validated on entry like any other edit.</t>
        </is>
      </c>
      <c r="D64" s="17" t="inlineStr">
        <is>
          <t>Must</t>
        </is>
      </c>
      <c r="E64" s="17" t="inlineStr">
        <is>
          <t>P-01, S-01</t>
        </is>
      </c>
      <c r="F64" s="17" t="inlineStr">
        <is>
          <t>4</t>
        </is>
      </c>
    </row>
    <row r="65">
      <c r="A65" s="8" t="inlineStr">
        <is>
          <t>REQ-VC-01</t>
        </is>
      </c>
      <c r="B65" s="8" t="inlineStr">
        <is>
          <t>Version control</t>
        </is>
      </c>
      <c r="C65" s="9" t="inlineStr">
        <is>
          <t>Development plan, programming specification and output files are version-controlled together and their versions are cross-referenced.</t>
        </is>
      </c>
      <c r="D65" s="8" t="inlineStr">
        <is>
          <t>Must</t>
        </is>
      </c>
      <c r="E65" s="8" t="inlineStr">
        <is>
          <t>Requester</t>
        </is>
      </c>
      <c r="F65" s="8" t="inlineStr">
        <is>
          <t>1-5</t>
        </is>
      </c>
    </row>
    <row r="66">
      <c r="A66" s="10" t="inlineStr">
        <is>
          <t>REQ-VC-02</t>
        </is>
      </c>
      <c r="B66" s="10" t="inlineStr">
        <is>
          <t>Version control</t>
        </is>
      </c>
      <c r="C66" s="11" t="inlineStr">
        <is>
          <t>The application displays its own version, and the version of the source data schema it expects.</t>
        </is>
      </c>
      <c r="D66" s="10" t="inlineStr">
        <is>
          <t>Must</t>
        </is>
      </c>
      <c r="E66" s="10" t="inlineStr">
        <is>
          <t>Requester</t>
        </is>
      </c>
      <c r="F66" s="10" t="inlineStr">
        <is>
          <t>4</t>
        </is>
      </c>
    </row>
    <row r="67">
      <c r="A67" s="8" t="inlineStr">
        <is>
          <t>REQ-VC-03</t>
        </is>
      </c>
      <c r="B67" s="8" t="inlineStr">
        <is>
          <t>Version control</t>
        </is>
      </c>
      <c r="C67" s="9" t="inlineStr">
        <is>
          <t>Loading a source file whose schema version is newer or older than the application expects produces a clear warning.</t>
        </is>
      </c>
      <c r="D67" s="8" t="inlineStr">
        <is>
          <t>Should</t>
        </is>
      </c>
      <c r="E67" s="8" t="inlineStr">
        <is>
          <t>Derived</t>
        </is>
      </c>
      <c r="F67" s="8" t="inlineStr">
        <is>
          <t>4</t>
        </is>
      </c>
    </row>
    <row r="68">
      <c r="A68" s="10" t="inlineStr">
        <is>
          <t>REQ-VC-04</t>
        </is>
      </c>
      <c r="B68" s="10" t="inlineStr">
        <is>
          <t>Version control</t>
        </is>
      </c>
      <c r="C68" s="11" t="inlineStr">
        <is>
          <t>Every document re-issue adds a version-history row stating what changed and why.</t>
        </is>
      </c>
      <c r="D68" s="10" t="inlineStr">
        <is>
          <t>Must</t>
        </is>
      </c>
      <c r="E68" s="10" t="inlineStr">
        <is>
          <t>Requester</t>
        </is>
      </c>
      <c r="F68" s="10" t="inlineStr">
        <is>
          <t>1-5</t>
        </is>
      </c>
    </row>
    <row r="69">
      <c r="A69" s="8" t="inlineStr">
        <is>
          <t>REQ-NFR-01</t>
        </is>
      </c>
      <c r="B69" s="8" t="inlineStr">
        <is>
          <t>Non-functional</t>
        </is>
      </c>
      <c r="C69" s="9" t="inlineStr">
        <is>
          <t>The application is built so later requirements can be added without restructuring: parsing, calculation and presentation are separated.</t>
        </is>
      </c>
      <c r="D69" s="8" t="inlineStr">
        <is>
          <t>Must</t>
        </is>
      </c>
      <c r="E69" s="8" t="inlineStr">
        <is>
          <t>Requester</t>
        </is>
      </c>
      <c r="F69" s="8" t="inlineStr">
        <is>
          <t>4</t>
        </is>
      </c>
    </row>
    <row r="70">
      <c r="A70" s="10" t="inlineStr">
        <is>
          <t>REQ-NFR-02</t>
        </is>
      </c>
      <c r="B70" s="10" t="inlineStr">
        <is>
          <t>Non-functional</t>
        </is>
      </c>
      <c r="C70" s="11" t="inlineStr">
        <is>
          <t>Works in Microsoft Edge and Google Chrome on Windows 10/11, offline.</t>
        </is>
      </c>
      <c r="D70" s="10" t="inlineStr">
        <is>
          <t>Must</t>
        </is>
      </c>
      <c r="E70" s="10" t="inlineStr">
        <is>
          <t>Q-05</t>
        </is>
      </c>
      <c r="F70" s="10" t="inlineStr">
        <is>
          <t>4</t>
        </is>
      </c>
    </row>
    <row r="71">
      <c r="A71" s="20" t="inlineStr">
        <is>
          <t>REQ-NFR-03</t>
        </is>
      </c>
      <c r="B71" s="20" t="inlineStr">
        <is>
          <t>Non-functional</t>
        </is>
      </c>
      <c r="C71" s="19" t="inlineStr">
        <is>
          <t>Handles 100 projects and 1,000 people, with the assignments that implies (order 8,000) over a 60-month horizon. Tables of that height are virtualised and the per-person chart aggregates rather than drawing a bar each - see REQ-DSH-09.</t>
        </is>
      </c>
      <c r="D71" s="20" t="inlineStr">
        <is>
          <t>Must</t>
        </is>
      </c>
      <c r="E71" s="20" t="inlineStr">
        <is>
          <t>S2-06</t>
        </is>
      </c>
      <c r="F71" s="20" t="inlineStr">
        <is>
          <t>4</t>
        </is>
      </c>
    </row>
    <row r="72">
      <c r="A72" s="10" t="inlineStr">
        <is>
          <t>REQ-NFR-04</t>
        </is>
      </c>
      <c r="B72" s="10" t="inlineStr">
        <is>
          <t>Non-functional</t>
        </is>
      </c>
      <c r="C72" s="11" t="inlineStr">
        <is>
          <t>No data leaves the PC: no network calls, no external CDN, no telemetry.</t>
        </is>
      </c>
      <c r="D72" s="10" t="inlineStr">
        <is>
          <t>Must</t>
        </is>
      </c>
      <c r="E72" s="10" t="inlineStr">
        <is>
          <t>Derived</t>
        </is>
      </c>
      <c r="F72" s="10" t="inlineStr">
        <is>
          <t>4</t>
        </is>
      </c>
    </row>
    <row r="73">
      <c r="A73" s="8" t="inlineStr">
        <is>
          <t>REQ-NFR-05</t>
        </is>
      </c>
      <c r="B73" s="8" t="inlineStr">
        <is>
          <t>Non-functional</t>
        </is>
      </c>
      <c r="C73" s="9" t="inlineStr">
        <is>
          <t>Dates are handled unambiguously (ISO yyyy-mm-dd internally) regardless of Windows regional settings.</t>
        </is>
      </c>
      <c r="D73" s="8" t="inlineStr">
        <is>
          <t>Must</t>
        </is>
      </c>
      <c r="E73" s="8" t="inlineStr">
        <is>
          <t>Derived</t>
        </is>
      </c>
      <c r="F73" s="8" t="inlineStr">
        <is>
          <t>4</t>
        </is>
      </c>
    </row>
    <row r="75">
      <c r="A75" s="5" t="inlineStr">
        <is>
          <t>Requirement count by priority</t>
        </is>
      </c>
    </row>
    <row r="76" ht="28" customHeight="1">
      <c r="A76" s="7" t="inlineStr">
        <is>
          <t>Priority</t>
        </is>
      </c>
      <c r="B76" s="7" t="inlineStr">
        <is>
          <t>Count</t>
        </is>
      </c>
    </row>
    <row r="77">
      <c r="A77" s="8" t="inlineStr">
        <is>
          <t>Must</t>
        </is>
      </c>
      <c r="B77" s="8">
        <f>COUNTIF(D5:D73,"Must")</f>
        <v/>
      </c>
    </row>
    <row r="78">
      <c r="A78" s="10" t="inlineStr">
        <is>
          <t>Should</t>
        </is>
      </c>
      <c r="B78" s="10">
        <f>COUNTIF(D5:D73,"Should")</f>
        <v/>
      </c>
    </row>
    <row r="79">
      <c r="A79" s="8" t="inlineStr">
        <is>
          <t>Could</t>
        </is>
      </c>
      <c r="B79" s="8">
        <f>COUNTIF(D5:D73,"Could")</f>
        <v/>
      </c>
    </row>
    <row r="80">
      <c r="A80" s="10" t="inlineStr">
        <is>
          <t>Total</t>
        </is>
      </c>
      <c r="B80" s="10">
        <f>COUNTA(A5:A73)</f>
        <v/>
      </c>
    </row>
    <row r="82">
      <c r="A82" s="16" t="inlineStr">
        <is>
          <t>47 requirements at v0.1, 58 at v0.2, 61 at v0.3, 63 at v0.4 and v1.0. v1.1 adds 2 and rewords 3, as a change against the approved baseline.</t>
        </is>
      </c>
    </row>
    <row r="83">
      <c r="A83" s="16" t="inlineStr">
        <is>
          <t>'Source' = Requester (in the original request), a Q-number (answered at v0.11 review), 'Reviewer v0.11' (added by the reviewer directly), Derived (engineering consequence), or a Decision ID from 07_Architecture.</t>
        </is>
      </c>
    </row>
    <row r="84">
      <c r="A84" s="3" t="inlineStr">
        <is>
          <t>Legend</t>
        </is>
      </c>
    </row>
    <row r="85">
      <c r="A85" s="12" t="inlineStr">
        <is>
          <t>Green = new in v0.2, added from your review answers.</t>
        </is>
      </c>
    </row>
    <row r="86">
      <c r="A86" s="13" t="inlineStr">
        <is>
          <t>Orange = changed in v0.2 as a consequence of your review.</t>
        </is>
      </c>
    </row>
    <row r="87">
      <c r="A87" s="14" t="inlineStr">
        <is>
          <t>Yellow = still needs your input.</t>
        </is>
      </c>
    </row>
  </sheetData>
  <dataValidations count="1">
    <dataValidation sqref="D5:D7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3"/>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V-23</t>
        </is>
      </c>
      <c r="B138" s="18" t="inlineStr">
        <is>
          <t>For every (project_type, clinical_phase, period_name, role_name) an assignment can actually reach, a RoleFactor row exists.</t>
        </is>
      </c>
      <c r="C138" s="18" t="inlineStr">
        <is>
          <t>Error - a factor missing for ONE period of a project silently drops that stretch to 1.00, which is a wrong number rather than an obvious gap. Checked against the periods each assignment spans, not against the whole cross-product.</t>
        </is>
      </c>
    </row>
    <row r="139">
      <c r="A139" s="8" t="inlineStr">
        <is>
          <t>V-04</t>
        </is>
      </c>
      <c r="B139" s="9" t="inlineStr">
        <is>
          <t>project_category is present for either clinical trial type.</t>
        </is>
      </c>
      <c r="C139" s="9" t="inlineStr">
        <is>
          <t>Warning - shown as blank in the dashboard.</t>
        </is>
      </c>
    </row>
    <row r="140">
      <c r="A140" s="10" t="inlineStr">
        <is>
          <t>V-05</t>
        </is>
      </c>
      <c r="B140" s="11" t="inlineStr">
        <is>
          <t>end_date is on or after start_date, for projects, assignments and all weight periods.</t>
        </is>
      </c>
      <c r="C140" s="11" t="inlineStr">
        <is>
          <t>Error - row rejected.</t>
        </is>
      </c>
    </row>
    <row r="141">
      <c r="A141" s="8" t="inlineStr">
        <is>
          <t>V-06</t>
        </is>
      </c>
      <c r="B141" s="9" t="inlineStr">
        <is>
          <t>Periods within one project, and within one assignment, do not overlap.</t>
        </is>
      </c>
      <c r="C141" s="9" t="inlineStr">
        <is>
          <t>Error - overlapping pair reported.</t>
        </is>
      </c>
    </row>
    <row r="142">
      <c r="A142" s="10" t="inlineStr">
        <is>
          <t>V-07</t>
        </is>
      </c>
      <c r="B142" s="11" t="inlineStr">
        <is>
          <t>Assignment dates fall inside the project's own start and end dates.</t>
        </is>
      </c>
      <c r="C142" s="11" t="inlineStr">
        <is>
          <t>Warning - kept, but listed for review.</t>
        </is>
      </c>
    </row>
    <row r="143">
      <c r="A143" s="8" t="inlineStr">
        <is>
          <t>V-08</t>
        </is>
      </c>
      <c r="B143" s="9" t="inlineStr">
        <is>
          <t>project_id, person_id and assignment_id are unique in their sheet.</t>
        </is>
      </c>
      <c r="C143" s="9" t="inlineStr">
        <is>
          <t>Error - duplicate rejected.</t>
        </is>
      </c>
    </row>
    <row r="144">
      <c r="A144" s="10" t="inlineStr">
        <is>
          <t>V-09</t>
        </is>
      </c>
      <c r="B144" s="11" t="inlineStr">
        <is>
          <t>schema_version in Config matches the version the application expects.</t>
        </is>
      </c>
      <c r="C144" s="11" t="inlineStr">
        <is>
          <t>Warning - proceeds, banner shown.</t>
        </is>
      </c>
    </row>
    <row r="145">
      <c r="A145" s="17" t="inlineStr">
        <is>
          <t>V-10</t>
        </is>
      </c>
      <c r="B145" s="18" t="inlineStr">
        <is>
          <t>Clinical-trial projects carry clinical_phase and the four *_setup values.</t>
        </is>
      </c>
      <c r="C145" s="18" t="inlineStr">
        <is>
          <t>Warning - the project still simulates; the gap is listed.</t>
        </is>
      </c>
    </row>
    <row r="146">
      <c r="A146" s="17" t="inlineStr">
        <is>
          <t>V-11</t>
        </is>
      </c>
      <c r="B146" s="18" t="inlineStr">
        <is>
          <t>Every list-typed value appears in the Lists sheet for its list.</t>
        </is>
      </c>
      <c r="C146" s="18" t="inlineStr">
        <is>
          <t>Warning - value kept, reported as unrecognised.</t>
        </is>
      </c>
    </row>
    <row r="147">
      <c r="A147" s="20" t="inlineStr">
        <is>
          <t>V-12</t>
        </is>
      </c>
      <c r="B147" s="19" t="inlineStr">
        <is>
          <t>A project's periods leave no gap and no overlap across its timeline. The full set need not be present - a period may be legitimately omitted (REQ-CAL-12).</t>
        </is>
      </c>
      <c r="C147" s="19" t="inlineStr">
        <is>
          <t>Warning - months with no period use weight 1.00 and are listed (REQ-CAL-10).</t>
        </is>
      </c>
    </row>
    <row r="148">
      <c r="A148" s="17" t="inlineStr">
        <is>
          <t>V-13</t>
        </is>
      </c>
      <c r="B148" s="18" t="inlineStr">
        <is>
          <t>Denormalised project_name / person_name match their master row.</t>
        </is>
      </c>
      <c r="C148" s="18" t="inlineStr">
        <is>
          <t>Warning - the master value wins and the copy is refreshed.</t>
        </is>
      </c>
    </row>
    <row r="149">
      <c r="A149" s="20" t="inlineStr">
        <is>
          <t>V-14</t>
        </is>
      </c>
      <c r="B149" s="19" t="inlineStr">
        <is>
          <t>A milestone date falls inside its project's start..end window, and the boundary milestones appear in chronological order. Repeated 'Inspection' rows are exempt from the uniqueness part of this check.</t>
        </is>
      </c>
      <c r="C149" s="19" t="inlineStr">
        <is>
          <t>Error for period-defining milestones - the derivation cannot run. Warning for markers.</t>
        </is>
      </c>
    </row>
    <row r="150">
      <c r="A150" s="17" t="inlineStr">
        <is>
          <t>V-15</t>
        </is>
      </c>
      <c r="B150" s="18" t="inlineStr">
        <is>
          <t>A period_name belongs to the period set of its project's type.</t>
        </is>
      </c>
      <c r="C150" s="18" t="inlineStr">
        <is>
          <t>Error - a 'Planning' period on a clinical trial is a category mistake, not a typo.</t>
        </is>
      </c>
    </row>
    <row r="151">
      <c r="A151" s="17" t="inlineStr">
        <is>
          <t>V-16</t>
        </is>
      </c>
      <c r="B151" s="18" t="inlineStr">
        <is>
          <t>A clinical trial carries the milestones the derivation needs: CTA submission, and at least one DB lock.</t>
        </is>
      </c>
      <c r="C151" s="18" t="inlineStr">
        <is>
          <t>Error - without them no period boundary can be computed.</t>
        </is>
      </c>
    </row>
    <row r="152">
      <c r="A152" s="20" t="inlineStr">
        <is>
          <t>V-18</t>
        </is>
      </c>
      <c r="B152" s="19" t="inlineStr">
        <is>
          <t>Within a project, period_name is unique, and period_seq is unique.</t>
        </is>
      </c>
      <c r="C152" s="19" t="inlineStr">
        <is>
          <t>Error - since R-11 the key is (project_id, period_name), so a repeated name is a duplicate key rather than a legitimate second stretch. period_seq stays unique because it carries the order.</t>
        </is>
      </c>
    </row>
    <row r="153">
      <c r="A153" s="20" t="inlineStr">
        <is>
          <t>V-19</t>
        </is>
      </c>
      <c r="B153" s="19" t="inlineStr">
        <is>
          <t>A clinical trial carries a clinical_phase, and PeriodWeightStandard has rows for that phase. Not applied to 'Others' projects, whose weights are entered directly.</t>
        </is>
      </c>
      <c r="C153" s="19" t="inlineStr">
        <is>
          <t>Error - since Q-26 the phase selects the weights, so a missing phase leaves the project unweighted.</t>
        </is>
      </c>
    </row>
    <row r="154">
      <c r="A154" s="17" t="inlineStr">
        <is>
          <t>V-20</t>
        </is>
      </c>
      <c r="B154" s="18" t="inlineStr">
        <is>
          <t>A milestone other than 'Inspection' appears at most once per project.</t>
        </is>
      </c>
      <c r="C154" s="18" t="inlineStr">
        <is>
          <t>Warning - repeats are allowed but usually a data-entry slip outside Inspection.</t>
        </is>
      </c>
    </row>
    <row r="155">
      <c r="A155" s="17" t="inlineStr">
        <is>
          <t>V-21</t>
        </is>
      </c>
      <c r="B155" s="18" t="inlineStr">
        <is>
          <t>'Inspection' dates on or before the final DB lock are treated as markers, not as the start of period 7.</t>
        </is>
      </c>
      <c r="C155" s="18" t="inlineStr">
        <is>
          <t>Information - listed so the reader can see why an early inspection did not open a period.</t>
        </is>
      </c>
    </row>
    <row r="156">
      <c r="A156" s="17" t="inlineStr">
        <is>
          <t>V-22</t>
        </is>
      </c>
      <c r="B156" s="18" t="inlineStr">
        <is>
          <t>No person carries a capacity_fte below the under-allocation floor.</t>
        </is>
      </c>
      <c r="C156" s="18" t="inlineStr">
        <is>
          <t>Warning - such a person can never clear the floor however fully they are booked, so the flag would be permanent and meaningless.</t>
        </is>
      </c>
    </row>
    <row r="157">
      <c r="A157" s="17" t="inlineStr">
        <is>
          <t>V-17</t>
        </is>
      </c>
      <c r="B157" s="18" t="inlineStr">
        <is>
          <t>On editing an identifier, every referencing row is updated; on deleting a row, nothing may still reference it.</t>
        </is>
      </c>
      <c r="C157" s="18" t="inlineStr">
        <is>
          <t>Cascade after confirmation / deletion refused (REQ-IMP-10).</t>
        </is>
      </c>
    </row>
    <row r="159">
      <c r="A159" s="16" t="inlineStr">
        <is>
          <t>Import never stops at the first problem: it collects every finding and presents one report (REQ-IMP-02). Under REQ-IMP-09 the same rules run again on any value edited on screen.</t>
        </is>
      </c>
    </row>
    <row r="160">
      <c r="A160" s="3" t="inlineStr">
        <is>
          <t>Legend</t>
        </is>
      </c>
    </row>
    <row r="161">
      <c r="A161" s="12" t="inlineStr">
        <is>
          <t>Green = new in v0.2, added from your review answers.</t>
        </is>
      </c>
    </row>
    <row r="162">
      <c r="A162" s="13" t="inlineStr">
        <is>
          <t>Orange = changed in v0.2 as a consequence of your review.</t>
        </is>
      </c>
    </row>
    <row r="163">
      <c r="A163"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6"/>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Approve plan v1.8.</t>
        </is>
      </c>
      <c r="D27" s="9" t="inlineStr">
        <is>
          <t>Approval on 12_Review_Log</t>
        </is>
      </c>
      <c r="E27" s="8" t="inlineStr">
        <is>
          <t>Pending you</t>
        </is>
      </c>
    </row>
    <row r="28">
      <c r="A28" s="10" t="inlineStr">
        <is>
          <t>1</t>
        </is>
      </c>
      <c r="B28" s="10" t="inlineStr">
        <is>
          <t>G1</t>
        </is>
      </c>
      <c r="C28" s="11" t="inlineStr">
        <is>
          <t>GATE 1 - development plan approved by Dan, 2026-08-01. Decisions C-06..C-11 confirmed.</t>
        </is>
      </c>
      <c r="D28" s="11" t="inlineStr">
        <is>
          <t>Approval recorded on 12_Review_Log</t>
        </is>
      </c>
      <c r="E28" s="10" t="inlineStr">
        <is>
          <t>Complete</t>
        </is>
      </c>
    </row>
    <row r="29">
      <c r="A29" s="8" t="inlineStr">
        <is>
          <t>2</t>
        </is>
      </c>
      <c r="B29" s="8" t="inlineStr">
        <is>
          <t>2.0</t>
        </is>
      </c>
      <c r="C29" s="9" t="inlineStr">
        <is>
          <t>Generate the source workbook template and a dummy data file for review.</t>
        </is>
      </c>
      <c r="D29" s="9" t="inlineStr">
        <is>
          <t>PRAP_SourceData_Template + _Dummy v1.1</t>
        </is>
      </c>
      <c r="E29" s="8" t="inlineStr">
        <is>
          <t>Complete - issued for review</t>
        </is>
      </c>
    </row>
    <row r="30">
      <c r="A30" s="10" t="inlineStr">
        <is>
          <t>2</t>
        </is>
      </c>
      <c r="B30" s="10" t="inlineStr">
        <is>
          <t>2.1</t>
        </is>
      </c>
      <c r="C30" s="11" t="inlineStr">
        <is>
          <t>Fix the source workbook schema: exact sheet names, column headers, types, value lists.</t>
        </is>
      </c>
      <c r="D30" s="11" t="inlineStr">
        <is>
          <t>Specification sheet 'Data schema'</t>
        </is>
      </c>
      <c r="E30" s="10" t="inlineStr">
        <is>
          <t>In progress</t>
        </is>
      </c>
    </row>
    <row r="31">
      <c r="A31" s="8" t="inlineStr">
        <is>
          <t>2</t>
        </is>
      </c>
      <c r="B31" s="8" t="inlineStr">
        <is>
          <t>2.2</t>
        </is>
      </c>
      <c r="C31" s="9" t="inlineStr">
        <is>
          <t>Specify the calculation engine as pseudocode plus the worked example as an acceptance test.</t>
        </is>
      </c>
      <c r="D31" s="9" t="inlineStr">
        <is>
          <t>Specification sheet 'Calculation'</t>
        </is>
      </c>
      <c r="E31" s="8" t="inlineStr">
        <is>
          <t>Not started</t>
        </is>
      </c>
    </row>
    <row r="32">
      <c r="A32" s="10" t="inlineStr">
        <is>
          <t>2</t>
        </is>
      </c>
      <c r="B32" s="10" t="inlineStr">
        <is>
          <t>2.3</t>
        </is>
      </c>
      <c r="C32" s="11" t="inlineStr">
        <is>
          <t>Specify period derivation per project type, and the over/under-allocation detection.</t>
        </is>
      </c>
      <c r="D32" s="11" t="inlineStr">
        <is>
          <t>Specification sheet 'Calculation'</t>
        </is>
      </c>
      <c r="E32" s="10" t="inlineStr">
        <is>
          <t>Not started</t>
        </is>
      </c>
    </row>
    <row r="33">
      <c r="A33" s="8" t="inlineStr">
        <is>
          <t>2</t>
        </is>
      </c>
      <c r="B33" s="8" t="inlineStr">
        <is>
          <t>2.4</t>
        </is>
      </c>
      <c r="C33" s="9" t="inlineStr">
        <is>
          <t>Specify import validation rules V-01..V-21 and the findings report.</t>
        </is>
      </c>
      <c r="D33" s="9" t="inlineStr">
        <is>
          <t>Specification sheet 'Validation'</t>
        </is>
      </c>
      <c r="E33" s="8" t="inlineStr">
        <is>
          <t>Not started</t>
        </is>
      </c>
    </row>
    <row r="34">
      <c r="A34" s="10" t="inlineStr">
        <is>
          <t>2</t>
        </is>
      </c>
      <c r="B34" s="10" t="inlineStr">
        <is>
          <t>2.5</t>
        </is>
      </c>
      <c r="C34" s="11" t="inlineStr">
        <is>
          <t>Specify each dashboard tab: every table, column, graph, filter and interaction.</t>
        </is>
      </c>
      <c r="D34" s="11" t="inlineStr">
        <is>
          <t>Specification sheet 'UI spec'</t>
        </is>
      </c>
      <c r="E34" s="10" t="inlineStr">
        <is>
          <t>Not started</t>
        </is>
      </c>
    </row>
    <row r="35">
      <c r="A35" s="8" t="inlineStr">
        <is>
          <t>2</t>
        </is>
      </c>
      <c r="B35" s="8" t="inlineStr">
        <is>
          <t>2.6</t>
        </is>
      </c>
      <c r="C35" s="9" t="inlineStr">
        <is>
          <t>Specify on-screen editing, the dirty-state model and export round-tripping.</t>
        </is>
      </c>
      <c r="D35" s="9" t="inlineStr">
        <is>
          <t>Specification sheet 'Editing &amp; IO'</t>
        </is>
      </c>
      <c r="E35" s="8" t="inlineStr">
        <is>
          <t>Not started</t>
        </is>
      </c>
    </row>
    <row r="36">
      <c r="A36" s="10" t="inlineStr">
        <is>
          <t>2</t>
        </is>
      </c>
      <c r="B36" s="10" t="inlineStr">
        <is>
          <t>2.7</t>
        </is>
      </c>
      <c r="C36" s="11" t="inlineStr">
        <is>
          <t>Specify the version/compatibility check.</t>
        </is>
      </c>
      <c r="D36" s="11" t="inlineStr">
        <is>
          <t>Specification sheet 'IO &amp; versioning'</t>
        </is>
      </c>
      <c r="E36" s="10" t="inlineStr">
        <is>
          <t>Not started</t>
        </is>
      </c>
    </row>
    <row r="37">
      <c r="A37" s="8" t="inlineStr">
        <is>
          <t>2</t>
        </is>
      </c>
      <c r="B37" s="8" t="inlineStr">
        <is>
          <t>2.8</t>
        </is>
      </c>
      <c r="C37" s="9" t="inlineStr">
        <is>
          <t>Build the requirement-to-specification traceability matrix.</t>
        </is>
      </c>
      <c r="D37" s="9" t="inlineStr">
        <is>
          <t>Specification sheet 'Traceability'</t>
        </is>
      </c>
      <c r="E37" s="8" t="inlineStr">
        <is>
          <t>Not started</t>
        </is>
      </c>
    </row>
    <row r="38">
      <c r="A38" s="10" t="inlineStr">
        <is>
          <t>2</t>
        </is>
      </c>
      <c r="B38" s="10" t="inlineStr">
        <is>
          <t>G2</t>
        </is>
      </c>
      <c r="C38" s="11" t="inlineStr">
        <is>
          <t>GATE 2 - programming specification approved.</t>
        </is>
      </c>
      <c r="D38" s="11" t="inlineStr">
        <is>
          <t>PRAP_Programming_Specification_v1.0.xlsx</t>
        </is>
      </c>
      <c r="E38" s="10" t="inlineStr">
        <is>
          <t>Not started</t>
        </is>
      </c>
    </row>
    <row r="39">
      <c r="A39" s="8" t="inlineStr">
        <is>
          <t>3</t>
        </is>
      </c>
      <c r="B39" s="8" t="inlineStr">
        <is>
          <t>3.1</t>
        </is>
      </c>
      <c r="C39" s="9" t="inlineStr">
        <is>
          <t>High-level UI design: tab structure, page regions, navigation. No code behind it.</t>
        </is>
      </c>
      <c r="D39" s="9" t="inlineStr">
        <is>
          <t>Prototype HTML (UI only)</t>
        </is>
      </c>
      <c r="E39" s="8" t="inlineStr">
        <is>
          <t>Not started</t>
        </is>
      </c>
    </row>
    <row r="40">
      <c r="A40" s="10" t="inlineStr">
        <is>
          <t>3</t>
        </is>
      </c>
      <c r="B40" s="10" t="inlineStr">
        <is>
          <t>3.2</t>
        </is>
      </c>
      <c r="C40" s="11" t="inlineStr">
        <is>
          <t>Requester reviews the high-level component design.</t>
        </is>
      </c>
      <c r="D40" s="11" t="inlineStr">
        <is>
          <t>Review comments</t>
        </is>
      </c>
      <c r="E40" s="10" t="inlineStr">
        <is>
          <t>Not started</t>
        </is>
      </c>
    </row>
    <row r="41">
      <c r="A41" s="8" t="inlineStr">
        <is>
          <t>3</t>
        </is>
      </c>
      <c r="B41" s="8" t="inlineStr">
        <is>
          <t>3.3</t>
        </is>
      </c>
      <c r="C41" s="9" t="inlineStr">
        <is>
          <t>Final UI design with clear per-component requirements.</t>
        </is>
      </c>
      <c r="D41" s="9" t="inlineStr">
        <is>
          <t>Prototype HTML v1.0 + component list</t>
        </is>
      </c>
      <c r="E41" s="8" t="inlineStr">
        <is>
          <t>Not started</t>
        </is>
      </c>
    </row>
    <row r="42">
      <c r="A42" s="10" t="inlineStr">
        <is>
          <t>3</t>
        </is>
      </c>
      <c r="B42" s="10" t="inlineStr">
        <is>
          <t>G3</t>
        </is>
      </c>
      <c r="C42" s="11" t="inlineStr">
        <is>
          <t>GATE 3 - final design and component list approved. Code generation starts only for approved components.</t>
        </is>
      </c>
      <c r="D42" s="11" t="inlineStr">
        <is>
          <t>Approved component list</t>
        </is>
      </c>
      <c r="E42" s="10" t="inlineStr">
        <is>
          <t>Not started</t>
        </is>
      </c>
    </row>
    <row r="43">
      <c r="A43" s="8" t="inlineStr">
        <is>
          <t>4</t>
        </is>
      </c>
      <c r="B43" s="8" t="inlineStr">
        <is>
          <t>4.1</t>
        </is>
      </c>
      <c r="C43" s="9" t="inlineStr">
        <is>
          <t>IO layer: workbook load, sheet/column mapping, export.</t>
        </is>
      </c>
      <c r="D43" s="9" t="inlineStr">
        <is>
          <t>Application code</t>
        </is>
      </c>
      <c r="E43" s="8" t="inlineStr">
        <is>
          <t>Not started</t>
        </is>
      </c>
    </row>
    <row r="44">
      <c r="A44" s="10" t="inlineStr">
        <is>
          <t>4</t>
        </is>
      </c>
      <c r="B44" s="10" t="inlineStr">
        <is>
          <t>4.2</t>
        </is>
      </c>
      <c r="C44" s="11" t="inlineStr">
        <is>
          <t>Validation layer: rules V-01..V-21 and the findings report.</t>
        </is>
      </c>
      <c r="D44" s="11" t="inlineStr">
        <is>
          <t>Application code</t>
        </is>
      </c>
      <c r="E44" s="10" t="inlineStr">
        <is>
          <t>Not started</t>
        </is>
      </c>
    </row>
    <row r="45">
      <c r="A45" s="8" t="inlineStr">
        <is>
          <t>4</t>
        </is>
      </c>
      <c r="B45" s="8" t="inlineStr">
        <is>
          <t>4.3</t>
        </is>
      </c>
      <c r="C45" s="9" t="inlineStr">
        <is>
          <t>Model layer, Lists and Config handling.</t>
        </is>
      </c>
      <c r="D45" s="9" t="inlineStr">
        <is>
          <t>Application code</t>
        </is>
      </c>
      <c r="E45" s="8" t="inlineStr">
        <is>
          <t>Not started</t>
        </is>
      </c>
    </row>
    <row r="46">
      <c r="A46" s="10" t="inlineStr">
        <is>
          <t>4</t>
        </is>
      </c>
      <c r="B46" s="10" t="inlineStr">
        <is>
          <t>4.4</t>
        </is>
      </c>
      <c r="C46" s="11" t="inlineStr">
        <is>
          <t>Edit buffer: on-screen editing, dirty state, per-edit validation.</t>
        </is>
      </c>
      <c r="D46" s="11" t="inlineStr">
        <is>
          <t>Application code</t>
        </is>
      </c>
      <c r="E46" s="10" t="inlineStr">
        <is>
          <t>Not started</t>
        </is>
      </c>
    </row>
    <row r="47">
      <c r="A47" s="8" t="inlineStr">
        <is>
          <t>4</t>
        </is>
      </c>
      <c r="B47" s="8" t="inlineStr">
        <is>
          <t>4.5</t>
        </is>
      </c>
      <c r="C47" s="9" t="inlineStr">
        <is>
          <t>Calculation engine, verified against the worked example.</t>
        </is>
      </c>
      <c r="D47" s="9" t="inlineStr">
        <is>
          <t>Application code + test evidence</t>
        </is>
      </c>
      <c r="E47" s="8" t="inlineStr">
        <is>
          <t>Not started</t>
        </is>
      </c>
    </row>
    <row r="48">
      <c r="A48" s="10" t="inlineStr">
        <is>
          <t>4</t>
        </is>
      </c>
      <c r="B48" s="10" t="inlineStr">
        <is>
          <t>4.6</t>
        </is>
      </c>
      <c r="C48" s="11" t="inlineStr">
        <is>
          <t>Overall tab: tables, graphs, filters, over/under-allocation flagging.</t>
        </is>
      </c>
      <c r="D48" s="11" t="inlineStr">
        <is>
          <t>Application code</t>
        </is>
      </c>
      <c r="E48" s="10" t="inlineStr">
        <is>
          <t>Not started</t>
        </is>
      </c>
    </row>
    <row r="49">
      <c r="A49" s="8" t="inlineStr">
        <is>
          <t>4</t>
        </is>
      </c>
      <c r="B49" s="8" t="inlineStr">
        <is>
          <t>4.7</t>
        </is>
      </c>
      <c r="C49" s="9" t="inlineStr">
        <is>
          <t>Source data (project) and Source data (person) tabs.</t>
        </is>
      </c>
      <c r="D49" s="9" t="inlineStr">
        <is>
          <t>Application code</t>
        </is>
      </c>
      <c r="E49" s="8" t="inlineStr">
        <is>
          <t>Not started</t>
        </is>
      </c>
    </row>
    <row r="50">
      <c r="A50" s="10" t="inlineStr">
        <is>
          <t>4</t>
        </is>
      </c>
      <c r="B50" s="10" t="inlineStr">
        <is>
          <t>4.8</t>
        </is>
      </c>
      <c r="C50" s="11" t="inlineStr">
        <is>
          <t>Blank source workbook template with value lists and example rows.</t>
        </is>
      </c>
      <c r="D50" s="11" t="inlineStr">
        <is>
          <t>PRAP_SourceData template</t>
        </is>
      </c>
      <c r="E50" s="10" t="inlineStr">
        <is>
          <t>Not started</t>
        </is>
      </c>
    </row>
    <row r="51">
      <c r="A51" s="8" t="inlineStr">
        <is>
          <t>4</t>
        </is>
      </c>
      <c r="B51" s="8" t="inlineStr">
        <is>
          <t>4.9</t>
        </is>
      </c>
      <c r="C51" s="9" t="inlineStr">
        <is>
          <t>Requester reviews output against real data; refinements folded in.</t>
        </is>
      </c>
      <c r="D51" s="9" t="inlineStr">
        <is>
          <t>Updated code</t>
        </is>
      </c>
      <c r="E51" s="8" t="inlineStr">
        <is>
          <t>Not started</t>
        </is>
      </c>
    </row>
    <row r="52">
      <c r="A52" s="10" t="inlineStr">
        <is>
          <t>4</t>
        </is>
      </c>
      <c r="B52" s="10" t="inlineStr">
        <is>
          <t>G4</t>
        </is>
      </c>
      <c r="C52" s="11" t="inlineStr">
        <is>
          <t>GATE 4 - application functionally complete.</t>
        </is>
      </c>
      <c r="D52" s="11" t="inlineStr">
        <is>
          <t>PRAP_Application_v0.9.html</t>
        </is>
      </c>
      <c r="E52" s="10" t="inlineStr">
        <is>
          <t>Not started</t>
        </is>
      </c>
    </row>
    <row r="53">
      <c r="A53" s="8" t="inlineStr">
        <is>
          <t>5</t>
        </is>
      </c>
      <c r="B53" s="8" t="inlineStr">
        <is>
          <t>5.1</t>
        </is>
      </c>
      <c r="C53" s="9" t="inlineStr">
        <is>
          <t>Full pass over the traceability matrix: every Must requirement demonstrated.</t>
        </is>
      </c>
      <c r="D53" s="9" t="inlineStr">
        <is>
          <t>Completed traceability matrix</t>
        </is>
      </c>
      <c r="E53" s="8" t="inlineStr">
        <is>
          <t>Not started</t>
        </is>
      </c>
    </row>
    <row r="54">
      <c r="A54" s="10" t="inlineStr">
        <is>
          <t>5</t>
        </is>
      </c>
      <c r="B54" s="10" t="inlineStr">
        <is>
          <t>5.2</t>
        </is>
      </c>
      <c r="C54" s="11" t="inlineStr">
        <is>
          <t>Test on a clean Windows PC in Edge and Chrome, offline.</t>
        </is>
      </c>
      <c r="D54" s="11" t="inlineStr">
        <is>
          <t>Test evidence</t>
        </is>
      </c>
      <c r="E54" s="10" t="inlineStr">
        <is>
          <t>Not started</t>
        </is>
      </c>
    </row>
    <row r="55">
      <c r="A55" s="8" t="inlineStr">
        <is>
          <t>5</t>
        </is>
      </c>
      <c r="B55" s="8" t="inlineStr">
        <is>
          <t>5.3</t>
        </is>
      </c>
      <c r="C55" s="9" t="inlineStr">
        <is>
          <t>Write the user guide: folder layout, how to load, how to maintain source data.</t>
        </is>
      </c>
      <c r="D55" s="9" t="inlineStr">
        <is>
          <t>User guide</t>
        </is>
      </c>
      <c r="E55" s="8" t="inlineStr">
        <is>
          <t>Not started</t>
        </is>
      </c>
    </row>
    <row r="56">
      <c r="A56" s="10" t="inlineStr">
        <is>
          <t>5</t>
        </is>
      </c>
      <c r="B56" s="10" t="inlineStr">
        <is>
          <t>5.4</t>
        </is>
      </c>
      <c r="C56" s="11" t="inlineStr">
        <is>
          <t>Final version alignment across plan, specification and application.</t>
        </is>
      </c>
      <c r="D56" s="11" t="inlineStr">
        <is>
          <t>Version alignment table (sheet 09)</t>
        </is>
      </c>
      <c r="E56" s="10" t="inlineStr">
        <is>
          <t>Not started</t>
        </is>
      </c>
    </row>
    <row r="57">
      <c r="A57" s="8" t="inlineStr">
        <is>
          <t>5</t>
        </is>
      </c>
      <c r="B57" s="8" t="inlineStr">
        <is>
          <t>G5</t>
        </is>
      </c>
      <c r="C57" s="9" t="inlineStr">
        <is>
          <t>GATE 5 - release.</t>
        </is>
      </c>
      <c r="D57" s="9" t="inlineStr">
        <is>
          <t>PRAP_Application_v1.0.html</t>
        </is>
      </c>
      <c r="E57" s="8" t="inlineStr">
        <is>
          <t>Not started</t>
        </is>
      </c>
    </row>
    <row r="59">
      <c r="A59" s="5" t="inlineStr">
        <is>
          <t>Progress</t>
        </is>
      </c>
    </row>
    <row r="60" ht="28" customHeight="1">
      <c r="A60" s="7" t="inlineStr">
        <is>
          <t>Measure</t>
        </is>
      </c>
      <c r="B60" s="7" t="inlineStr">
        <is>
          <t>Count</t>
        </is>
      </c>
    </row>
    <row r="61">
      <c r="A61" s="8" t="inlineStr">
        <is>
          <t>Tasks total</t>
        </is>
      </c>
      <c r="B61" s="8">
        <f>COUNTA(B5:B57)</f>
        <v/>
      </c>
    </row>
    <row r="62">
      <c r="A62" s="10" t="inlineStr">
        <is>
          <t>Complete</t>
        </is>
      </c>
      <c r="B62" s="10">
        <f>COUNTIF(E5:E57,"Complete")+COUNTIF(E5:E57,"Complete - issued for review")</f>
        <v/>
      </c>
    </row>
    <row r="63">
      <c r="A63" s="8" t="inlineStr">
        <is>
          <t>Awaiting the requester</t>
        </is>
      </c>
      <c r="B63" s="8">
        <f>COUNTIF(E5:E57,"Pending you")</f>
        <v/>
      </c>
    </row>
    <row r="64">
      <c r="A64" s="10" t="inlineStr">
        <is>
          <t>Not started</t>
        </is>
      </c>
      <c r="B64" s="10">
        <f>COUNTIF(E5:E57,"Not started")</f>
        <v/>
      </c>
    </row>
    <row r="66">
      <c r="A66" s="16" t="inlineStr">
        <is>
          <t>No duration estimates: the pace is set by review turnaround at each gate, not by build effort.</t>
        </is>
      </c>
    </row>
  </sheetData>
  <dataValidations count="1">
    <dataValidation sqref="E5:E57"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4"/>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2026-07-31</t>
        </is>
      </c>
      <c r="F34" s="9" t="inlineStr">
        <is>
          <t>R-05..R-11. Awaiting approval.</t>
        </is>
      </c>
    </row>
    <row r="35">
      <c r="A35" s="10" t="inlineStr"/>
      <c r="B35" s="10" t="inlineStr"/>
      <c r="C35" s="10" t="inlineStr"/>
      <c r="D35" s="10" t="inlineStr"/>
      <c r="E35" s="10" t="inlineStr"/>
      <c r="F35" s="11" t="inlineStr"/>
    </row>
    <row r="37">
      <c r="A37" s="16" t="inlineStr">
        <is>
          <t>One row per release. Answers 'which specification produced this .html, and which source template does it expect?'.</t>
        </is>
      </c>
    </row>
    <row r="38">
      <c r="A38" s="5" t="inlineStr">
        <is>
          <t>Repository rules</t>
        </is>
      </c>
    </row>
    <row r="39" ht="28" customHeight="1">
      <c r="A39" s="7" t="inlineStr">
        <is>
          <t>Rule</t>
        </is>
      </c>
    </row>
    <row r="40">
      <c r="A40" s="9" t="inlineStr">
        <is>
          <t>All work is committed to branch claude/project-resource-assignment-app-1vjdzh.</t>
        </is>
      </c>
    </row>
    <row r="41">
      <c r="A41" s="11" t="inlineStr">
        <is>
          <t>Documents are generated from scripts in tools/ so their content is reviewable as a text diff, not only as a binary.</t>
        </is>
      </c>
    </row>
    <row r="42">
      <c r="A42" s="9" t="inlineStr">
        <is>
          <t>One commit per meaningful change, with a message naming the step and the affected REQ-IDs.</t>
        </is>
      </c>
    </row>
    <row r="43">
      <c r="A43" s="11" t="inlineStr">
        <is>
          <t>A released version is tagged, so any release can be reproduced exactly.</t>
        </is>
      </c>
    </row>
    <row r="44">
      <c r="A44"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1"/>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R-11</t>
        </is>
      </c>
      <c r="B50" s="10" t="inlineStr">
        <is>
          <t>Data model</t>
        </is>
      </c>
      <c r="C50" s="11" t="inlineStr">
        <is>
          <t>Name the two conduct stretches apart - 'Conduct (interim)' before an interim DB lock, 'Conduct (final)' after it or where there is no interim lock - and key ProjectPeriod on (project_id, period_name).</t>
        </is>
      </c>
      <c r="D50"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0" s="17" t="inlineStr">
        <is>
          <t>Applied</t>
        </is>
      </c>
    </row>
    <row r="51">
      <c r="A51" s="8" t="inlineStr">
        <is>
          <t>R-10</t>
        </is>
      </c>
      <c r="B51" s="8" t="inlineStr">
        <is>
          <t>Data model</t>
        </is>
      </c>
      <c r="C51" s="9" t="inlineStr">
        <is>
          <t>The role factor must be given by role AND project type AND clinical phase AND period, not by role and type alone.</t>
        </is>
      </c>
      <c r="D51"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1" s="17" t="inlineStr">
        <is>
          <t>Applied</t>
        </is>
      </c>
    </row>
    <row r="52">
      <c r="A52" s="10" t="inlineStr">
        <is>
          <t>R-09</t>
        </is>
      </c>
      <c r="B52" s="10" t="inlineStr">
        <is>
          <t>UI</t>
        </is>
      </c>
      <c r="C52"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2"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2" s="17" t="inlineStr">
        <is>
          <t>Applied</t>
        </is>
      </c>
    </row>
    <row r="53">
      <c r="A53" s="8" t="inlineStr">
        <is>
          <t>R-08</t>
        </is>
      </c>
      <c r="B53" s="8" t="inlineStr">
        <is>
          <t>UI</t>
        </is>
      </c>
      <c r="C53" s="9" t="inlineStr">
        <is>
          <t>The two 'Conduct' stretches of a project must be distinguishable on screen (S2-04).</t>
        </is>
      </c>
      <c r="D53" s="9" t="inlineStr">
        <is>
          <t>Applied as REQ-DSH-10. A display rule, not a data change: period_name stays 'Conduct' in the workbook and the screen shows it with its sequence, 'Conduct (1)' and 'Conduct (2)'. Changing the stored name would have broken the weight lookup and V-15.</t>
        </is>
      </c>
      <c r="E53" s="17" t="inlineStr">
        <is>
          <t>Applied</t>
        </is>
      </c>
    </row>
    <row r="54">
      <c r="A54" s="10" t="inlineStr">
        <is>
          <t>R-07</t>
        </is>
      </c>
      <c r="B54" s="10" t="inlineStr">
        <is>
          <t>Calculation</t>
        </is>
      </c>
      <c r="C54" s="11" t="inlineStr">
        <is>
          <t>Thresholds stay ABSOLUTE, not relative to capacity_fte (S2-01), and the under-allocation floor moves to 0.60 FTE (S2-05).</t>
        </is>
      </c>
      <c r="D54"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4" s="17" t="inlineStr">
        <is>
          <t>Applied</t>
        </is>
      </c>
    </row>
    <row r="55">
      <c r="A55" s="8" t="inlineStr">
        <is>
          <t>R-06</t>
        </is>
      </c>
      <c r="B55" s="8" t="inlineStr">
        <is>
          <t>Non-functional</t>
        </is>
      </c>
      <c r="C55" s="9" t="inlineStr">
        <is>
          <t>Re-baseline REQ-NFR-03 to 100 projects and 1,000 people (S2-06).</t>
        </is>
      </c>
      <c r="D55"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5" s="17" t="inlineStr">
        <is>
          <t>Applied</t>
        </is>
      </c>
    </row>
    <row r="56">
      <c r="A56" s="10" t="inlineStr">
        <is>
          <t>R-05</t>
        </is>
      </c>
      <c r="B56" s="10" t="inlineStr">
        <is>
          <t>Data model</t>
        </is>
      </c>
      <c r="C56" s="11" t="inlineStr">
        <is>
          <t>Split project_type: 'Clinical Trial' becomes 'NewDrug CT' and 'Biosimilar CT'; every clinical trial is one or the other.</t>
        </is>
      </c>
      <c r="D56"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6" s="17" t="inlineStr">
        <is>
          <t>Applied</t>
        </is>
      </c>
    </row>
    <row r="57">
      <c r="A57" s="8" t="inlineStr">
        <is>
          <t>R-04</t>
        </is>
      </c>
      <c r="B57" s="8" t="inlineStr">
        <is>
          <t>Data model</t>
        </is>
      </c>
      <c r="C57" s="9" t="inlineStr">
        <is>
          <t>Add at least one free-text note column to every sheet of the source workbook.</t>
        </is>
      </c>
      <c r="D57"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7" s="17" t="inlineStr">
        <is>
          <t>Applied</t>
        </is>
      </c>
    </row>
    <row r="59">
      <c r="A59" s="16" t="inlineStr">
        <is>
          <t>All four are settled. Nothing on this sheet is open, and the plan is final.</t>
        </is>
      </c>
    </row>
    <row r="61">
      <c r="A61"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v1.8</t>
        </is>
      </c>
      <c r="B63" s="22" t="inlineStr"/>
      <c r="C63" s="22" t="inlineStr"/>
      <c r="D63" s="11" t="inlineStr">
        <is>
          <t>Pending your signature.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and R-11 (conduct stretches named apart; ProjectPeriod keyed on project_id + period_name; schema 4 -&gt; 5).</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2026-08-02T04:13:30Z</dcterms:created>
  <dcterms:modified xsi:type="dcterms:W3CDTF">2026-08-02T04:13:30Z</dcterms:modified>
</cp:coreProperties>
</file>