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v1.9</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R-12</t>
        </is>
      </c>
    </row>
    <row r="42">
      <c r="A42" s="6" t="inlineStr">
        <is>
          <t>from the component-list reviews - and needs its own 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the conduct phase split into 'Conduct (interim)' and 'Conduct (final)' where an</t>
        </is>
      </c>
    </row>
    <row r="74">
      <c r="A74" s="6" t="inlineStr">
        <is>
          <t xml:space="preserve">                interim DB lock divides it. Weights come</t>
        </is>
      </c>
    </row>
    <row r="75">
      <c r="A75" s="6" t="inlineStr">
        <is>
          <t xml:space="preserve">                from the trial's clinical phase.</t>
        </is>
      </c>
    </row>
    <row r="76">
      <c r="A76" s="6" t="inlineStr">
        <is>
          <t xml:space="preserve">                Others: three periods, dates and weights both entered by hand.</t>
        </is>
      </c>
    </row>
    <row r="77">
      <c r="A77" s="6" t="inlineStr"/>
    </row>
    <row r="78">
      <c r="A78" s="6" t="inlineStr">
        <is>
          <t xml:space="preserve">  Dashboard     Overall (monthly simulation per project and per person, tables and graphs),</t>
        </is>
      </c>
    </row>
    <row r="79">
      <c r="A79" s="6" t="inlineStr">
        <is>
          <t xml:space="preserve">                Source data (project), Source data (person). Every field editable, with identifier</t>
        </is>
      </c>
    </row>
    <row r="80">
      <c r="A80" s="6" t="inlineStr">
        <is>
          <t xml:space="preserve">                edits cascading to referencing rows.</t>
        </is>
      </c>
    </row>
    <row r="81">
      <c r="A81" s="6" t="inlineStr"/>
    </row>
    <row r="82">
      <c r="A82" s="6" t="inlineStr">
        <is>
          <t xml:space="preserve">  Build         Five steps, each ending at a review gate. This document closes Step 1.</t>
        </is>
      </c>
    </row>
    <row r="84">
      <c r="A84" s="5" t="inlineStr">
        <is>
          <t>What approving this document means</t>
        </is>
      </c>
    </row>
    <row r="85">
      <c r="A85" s="6" t="inlineStr">
        <is>
          <t>Gate 1 approval on sheet 12 baselines the 63 requirements on sheet 03 as the contract for Steps 2-5,</t>
        </is>
      </c>
    </row>
    <row r="86">
      <c r="A86" s="6" t="inlineStr">
        <is>
          <t>and confirms the six engineering decisions C-06 to C-11 on sheet 05 that were proposed but never</t>
        </is>
      </c>
    </row>
    <row r="87">
      <c r="A87" s="6" t="inlineStr">
        <is>
          <t>explicitly answered across the review rounds. Those six are listed there with their rationale; if any</t>
        </is>
      </c>
    </row>
    <row r="88">
      <c r="A88" s="6" t="inlineStr">
        <is>
          <t>is wrong, say so at approval rather than after.</t>
        </is>
      </c>
    </row>
    <row r="90">
      <c r="A90" s="5" t="inlineStr">
        <is>
          <t>How to read this workbook</t>
        </is>
      </c>
    </row>
    <row r="91" ht="28" customHeight="1">
      <c r="A91" s="7" t="inlineStr">
        <is>
          <t>Sheet</t>
        </is>
      </c>
      <c r="B91" s="7" t="inlineStr">
        <is>
          <t>Contents</t>
        </is>
      </c>
    </row>
    <row r="92">
      <c r="A92" s="8" t="inlineStr">
        <is>
          <t>00_Cover</t>
        </is>
      </c>
      <c r="B92" s="9" t="inlineStr">
        <is>
          <t>Document control, what changed, reading guide.</t>
        </is>
      </c>
    </row>
    <row r="93">
      <c r="A93" s="10" t="inlineStr">
        <is>
          <t>01_Version_History</t>
        </is>
      </c>
      <c r="B93" s="11" t="inlineStr">
        <is>
          <t>Change log for this plan.</t>
        </is>
      </c>
    </row>
    <row r="94">
      <c r="A94" s="8" t="inlineStr">
        <is>
          <t>02_Scope</t>
        </is>
      </c>
      <c r="B94" s="9" t="inlineStr">
        <is>
          <t>Background, objectives, in scope / out of scope.</t>
        </is>
      </c>
    </row>
    <row r="95">
      <c r="A95" s="10" t="inlineStr">
        <is>
          <t>03_Requirements</t>
        </is>
      </c>
      <c r="B95" s="11" t="inlineStr">
        <is>
          <t>Numbered requirement register - the contract for Steps 2-5.</t>
        </is>
      </c>
    </row>
    <row r="96">
      <c r="A96" s="8" t="inlineStr">
        <is>
          <t>04_Data_Model</t>
        </is>
      </c>
      <c r="B96" s="9" t="inlineStr">
        <is>
          <t>Every sheet and column of the single source workbook, with rules.</t>
        </is>
      </c>
    </row>
    <row r="97">
      <c r="A97" s="10" t="inlineStr">
        <is>
          <t>05_Resource_Logic</t>
        </is>
      </c>
      <c r="B97" s="11" t="inlineStr">
        <is>
          <t>The calculation that turns assignments and weights into monthly FTE.</t>
        </is>
      </c>
    </row>
    <row r="98">
      <c r="A98" s="8" t="inlineStr">
        <is>
          <t>06_Dashboard_Design</t>
        </is>
      </c>
      <c r="B98" s="9" t="inlineStr">
        <is>
          <t>The three dashboard tabs: tables, graphs, filters, editing.</t>
        </is>
      </c>
    </row>
    <row r="99">
      <c r="A99" s="10" t="inlineStr">
        <is>
          <t>07_Architecture</t>
        </is>
      </c>
      <c r="B99" s="11" t="inlineStr">
        <is>
          <t>Single-file HTML + Excel-on-disk design and the file-access decision.</t>
        </is>
      </c>
    </row>
    <row r="100">
      <c r="A100" s="8" t="inlineStr">
        <is>
          <t>08_WBS_Schedule</t>
        </is>
      </c>
      <c r="B100" s="9" t="inlineStr">
        <is>
          <t>The five steps broken into tasks, deliverables and review gates.</t>
        </is>
      </c>
    </row>
    <row r="101">
      <c r="A101" s="10" t="inlineStr">
        <is>
          <t>09_Version_Control</t>
        </is>
      </c>
      <c r="B101" s="11" t="inlineStr">
        <is>
          <t>How plan, specification and output files are versioned together.</t>
        </is>
      </c>
    </row>
    <row r="102">
      <c r="A102" s="8" t="inlineStr">
        <is>
          <t>10_Risks</t>
        </is>
      </c>
      <c r="B102" s="9" t="inlineStr">
        <is>
          <t>Risks and assumptions with mitigations.</t>
        </is>
      </c>
    </row>
    <row r="103">
      <c r="A103" s="10" t="inlineStr">
        <is>
          <t>11_Open_Questions</t>
        </is>
      </c>
      <c r="B103" s="11" t="inlineStr">
        <is>
          <t>All 28 questions and their answers. Nothing open.</t>
        </is>
      </c>
    </row>
    <row r="104">
      <c r="A104" s="8" t="inlineStr">
        <is>
          <t>12_Review_Log</t>
        </is>
      </c>
      <c r="B104" s="9" t="inlineStr">
        <is>
          <t>Every change made across the four review rounds, and why. Gate 1 approval block.</t>
        </is>
      </c>
    </row>
    <row r="106">
      <c r="A106" s="3" t="inlineStr">
        <is>
          <t>Legend</t>
        </is>
      </c>
    </row>
    <row r="107">
      <c r="A107" s="12" t="inlineStr">
        <is>
          <t>Green = new in v0.2, added from your review answers.</t>
        </is>
      </c>
    </row>
    <row r="108">
      <c r="A108" s="13" t="inlineStr">
        <is>
          <t>Orange = changed in v0.2 as a consequence of your review.</t>
        </is>
      </c>
    </row>
    <row r="109">
      <c r="A10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1.9</t>
        </is>
      </c>
      <c r="B21" s="17" t="inlineStr">
        <is>
          <t>2026-07-31</t>
        </is>
      </c>
      <c r="C21" s="17" t="inlineStr">
        <is>
          <t>Claude Code</t>
        </is>
      </c>
      <c r="D21" s="17" t="inlineStr">
        <is>
          <t>Pending</t>
        </is>
      </c>
      <c r="E21" s="18"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21" s="17" t="inlineStr">
        <is>
          <t>Issued for approval</t>
        </is>
      </c>
    </row>
    <row r="22">
      <c r="A22" s="10" t="inlineStr">
        <is>
          <t>1.8</t>
        </is>
      </c>
      <c r="B22" s="10" t="inlineStr">
        <is>
          <t>2026-07-31</t>
        </is>
      </c>
      <c r="C22" s="10" t="inlineStr">
        <is>
          <t>Claude Code</t>
        </is>
      </c>
      <c r="D22" s="10" t="inlineStr">
        <is>
          <t>Pending</t>
        </is>
      </c>
      <c r="E2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2" s="10" t="inlineStr">
        <is>
          <t>Superseded by v1.9</t>
        </is>
      </c>
    </row>
    <row r="23">
      <c r="A23" s="8" t="inlineStr">
        <is>
          <t>1.7</t>
        </is>
      </c>
      <c r="B23" s="8" t="inlineStr">
        <is>
          <t>2026-07-31</t>
        </is>
      </c>
      <c r="C23" s="8" t="inlineStr">
        <is>
          <t>Claude Code</t>
        </is>
      </c>
      <c r="D23" s="8" t="inlineStr">
        <is>
          <t>Pending</t>
        </is>
      </c>
      <c r="E2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3" s="8" t="inlineStr">
        <is>
          <t>Superseded by v1.8</t>
        </is>
      </c>
    </row>
    <row r="24">
      <c r="A24" s="10" t="inlineStr">
        <is>
          <t>1.6</t>
        </is>
      </c>
      <c r="B24" s="10" t="inlineStr">
        <is>
          <t>2026-07-31</t>
        </is>
      </c>
      <c r="C24" s="10" t="inlineStr">
        <is>
          <t>Claude Code</t>
        </is>
      </c>
      <c r="D24" s="10" t="inlineStr">
        <is>
          <t>Pending</t>
        </is>
      </c>
      <c r="E2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4" s="10" t="inlineStr">
        <is>
          <t>Issued for approval</t>
        </is>
      </c>
    </row>
    <row r="26">
      <c r="A2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REQ-DSH-11</t>
        </is>
      </c>
      <c r="B53" s="17" t="inlineStr">
        <is>
          <t>Dashboard</t>
        </is>
      </c>
      <c r="C53" s="18" t="inlineStr">
        <is>
          <t>The standing assumptions the simulation multiplies by - standard period weights, role factors, configuration and value lists - are presented on their own tab, so a reader can see what every figure was derived from without opening the workbook.</t>
        </is>
      </c>
      <c r="D53" s="17" t="inlineStr">
        <is>
          <t>Must</t>
        </is>
      </c>
      <c r="E53" s="17" t="inlineStr">
        <is>
          <t>G-07</t>
        </is>
      </c>
      <c r="F53" s="17" t="inlineStr">
        <is>
          <t>3,4</t>
        </is>
      </c>
    </row>
    <row r="54">
      <c r="A54" s="20" t="inlineStr">
        <is>
          <t>REQ-IMP-01</t>
        </is>
      </c>
      <c r="B54" s="20" t="inlineStr">
        <is>
          <t>Import/Export</t>
        </is>
      </c>
      <c r="C54" s="19" t="inlineStr">
        <is>
          <t>The user loads the source workbook through a file picker or drag-and-drop, chosen because a local HTML page cannot open a file from disk unaided.</t>
        </is>
      </c>
      <c r="D54" s="20" t="inlineStr">
        <is>
          <t>Must</t>
        </is>
      </c>
      <c r="E54" s="20" t="inlineStr">
        <is>
          <t>Decision D-01</t>
        </is>
      </c>
      <c r="F54" s="20" t="inlineStr">
        <is>
          <t>4</t>
        </is>
      </c>
    </row>
    <row r="55">
      <c r="A55" s="8" t="inlineStr">
        <is>
          <t>REQ-IMP-02</t>
        </is>
      </c>
      <c r="B55" s="8" t="inlineStr">
        <is>
          <t>Import/Export</t>
        </is>
      </c>
      <c r="C55" s="9" t="inlineStr">
        <is>
          <t>Loading validates the workbook and reports every problem found - missing sheet, missing column, bad date, unknown project reference - without stopping at the first one.</t>
        </is>
      </c>
      <c r="D55" s="8" t="inlineStr">
        <is>
          <t>Must</t>
        </is>
      </c>
      <c r="E55" s="8" t="inlineStr">
        <is>
          <t>Derived</t>
        </is>
      </c>
      <c r="F55" s="8" t="inlineStr">
        <is>
          <t>4</t>
        </is>
      </c>
    </row>
    <row r="56">
      <c r="A56" s="20" t="inlineStr">
        <is>
          <t>REQ-IMP-03</t>
        </is>
      </c>
      <c r="B56" s="20" t="inlineStr">
        <is>
          <t>Import/Export</t>
        </is>
      </c>
      <c r="C56" s="19" t="inlineStr">
        <is>
          <t>A blank source workbook template with correct sheet names, headers, value lists and one example row is delivered with the application.</t>
        </is>
      </c>
      <c r="D56" s="20" t="inlineStr">
        <is>
          <t>Must</t>
        </is>
      </c>
      <c r="E56" s="20" t="inlineStr">
        <is>
          <t>Derived</t>
        </is>
      </c>
      <c r="F56" s="20" t="inlineStr">
        <is>
          <t>4</t>
        </is>
      </c>
    </row>
    <row r="57">
      <c r="A57" s="8" t="inlineStr">
        <is>
          <t>REQ-IMP-04</t>
        </is>
      </c>
      <c r="B57" s="8" t="inlineStr">
        <is>
          <t>Import/Export</t>
        </is>
      </c>
      <c r="C57" s="9" t="inlineStr">
        <is>
          <t>The user can export current data back to .xlsx, preserving the template layout so the export can be re-imported.</t>
        </is>
      </c>
      <c r="D57" s="8" t="inlineStr">
        <is>
          <t>Must</t>
        </is>
      </c>
      <c r="E57" s="8" t="inlineStr">
        <is>
          <t>Derived</t>
        </is>
      </c>
      <c r="F57" s="8" t="inlineStr">
        <is>
          <t>4</t>
        </is>
      </c>
    </row>
    <row r="58">
      <c r="A58" s="20" t="inlineStr">
        <is>
          <t>REQ-IMP-05</t>
        </is>
      </c>
      <c r="B58" s="20" t="inlineStr">
        <is>
          <t>Import/Export</t>
        </is>
      </c>
      <c r="C58" s="19" t="inlineStr">
        <is>
          <t>The application records which file was loaded and when, and shows it on screen with its time zone - a bare timestamp is ambiguous to anyone reading it from another country.</t>
        </is>
      </c>
      <c r="D58" s="20" t="inlineStr">
        <is>
          <t>Should</t>
        </is>
      </c>
      <c r="E58" s="20" t="inlineStr">
        <is>
          <t>Derived / G-02</t>
        </is>
      </c>
      <c r="F58" s="20" t="inlineStr">
        <is>
          <t>4</t>
        </is>
      </c>
    </row>
    <row r="59">
      <c r="A59" s="8" t="inlineStr">
        <is>
          <t>REQ-IMP-06</t>
        </is>
      </c>
      <c r="B59" s="8" t="inlineStr">
        <is>
          <t>Import/Export</t>
        </is>
      </c>
      <c r="C59" s="9" t="inlineStr">
        <is>
          <t>Loaded data may be cached in the browser so re-opening the page does not force a re-import; the cache never replaces the workbook as the record.</t>
        </is>
      </c>
      <c r="D59" s="8" t="inlineStr">
        <is>
          <t>Could</t>
        </is>
      </c>
      <c r="E59" s="8" t="inlineStr">
        <is>
          <t>Derived</t>
        </is>
      </c>
      <c r="F59" s="8" t="inlineStr">
        <is>
          <t>4</t>
        </is>
      </c>
    </row>
    <row r="60">
      <c r="A60" s="17" t="inlineStr">
        <is>
          <t>REQ-IMP-07</t>
        </is>
      </c>
      <c r="B60" s="17" t="inlineStr">
        <is>
          <t>Import/Export</t>
        </is>
      </c>
      <c r="C60" s="18" t="inlineStr">
        <is>
          <t>After import, the application lets the user update the data on screen, and those updates are carried into the file produced on export.</t>
        </is>
      </c>
      <c r="D60" s="17" t="inlineStr">
        <is>
          <t>Must</t>
        </is>
      </c>
      <c r="E60" s="17" t="inlineStr">
        <is>
          <t>Reviewer v0.11</t>
        </is>
      </c>
      <c r="F60" s="17" t="inlineStr">
        <is>
          <t>4</t>
        </is>
      </c>
    </row>
    <row r="61">
      <c r="A61" s="17" t="inlineStr">
        <is>
          <t>REQ-IMP-08</t>
        </is>
      </c>
      <c r="B61" s="17" t="inlineStr">
        <is>
          <t>Import/Export</t>
        </is>
      </c>
      <c r="C61" s="18" t="inlineStr">
        <is>
          <t>Unsaved edits are visible as such, and the user is warned before any action that would discard them (closing the page, loading another file).</t>
        </is>
      </c>
      <c r="D61" s="17" t="inlineStr">
        <is>
          <t>Must</t>
        </is>
      </c>
      <c r="E61" s="17" t="inlineStr">
        <is>
          <t>Derived from REQ-IMP-07</t>
        </is>
      </c>
      <c r="F61" s="17" t="inlineStr">
        <is>
          <t>4</t>
        </is>
      </c>
    </row>
    <row r="62">
      <c r="A62" s="20" t="inlineStr">
        <is>
          <t>REQ-IMP-09</t>
        </is>
      </c>
      <c r="B62" s="20" t="inlineStr">
        <is>
          <t>Import/Export</t>
        </is>
      </c>
      <c r="C62" s="19" t="inlineStr">
        <is>
          <t>Every field is editable, including identifiers. An on-screen edit is re-validated against the same rules as an imported value, so editing cannot introduce data the import would have rejected.</t>
        </is>
      </c>
      <c r="D62" s="20" t="inlineStr">
        <is>
          <t>Must</t>
        </is>
      </c>
      <c r="E62" s="20" t="inlineStr">
        <is>
          <t>Q-20</t>
        </is>
      </c>
      <c r="F62" s="20" t="inlineStr">
        <is>
          <t>4</t>
        </is>
      </c>
    </row>
    <row r="63">
      <c r="A63" s="17" t="inlineStr">
        <is>
          <t>REQ-IMP-10</t>
        </is>
      </c>
      <c r="B63" s="17" t="inlineStr">
        <is>
          <t>Import/Export</t>
        </is>
      </c>
      <c r="C63" s="18" t="inlineStr">
        <is>
          <t>Editing an identifier that other sheets reference cascades to every referencing row, after showing how many rows will change. Deleting a referenced row is refused, naming what still points at it.</t>
        </is>
      </c>
      <c r="D63" s="17" t="inlineStr">
        <is>
          <t>Must</t>
        </is>
      </c>
      <c r="E63" s="17" t="inlineStr">
        <is>
          <t>Q-20</t>
        </is>
      </c>
      <c r="F63" s="17" t="inlineStr">
        <is>
          <t>4</t>
        </is>
      </c>
    </row>
    <row r="64">
      <c r="A64" s="17" t="inlineStr">
        <is>
          <t>REQ-IMP-11</t>
        </is>
      </c>
      <c r="B64" s="17" t="inlineStr">
        <is>
          <t>Import/Export</t>
        </is>
      </c>
      <c r="C64" s="18" t="inlineStr">
        <is>
          <t>A new row can be inserted into any editable table, positioned immediately below the row the user acts on rather than appended at the end, and validated on entry like any other edit.</t>
        </is>
      </c>
      <c r="D64" s="17" t="inlineStr">
        <is>
          <t>Must</t>
        </is>
      </c>
      <c r="E64" s="17" t="inlineStr">
        <is>
          <t>P-01, S-01</t>
        </is>
      </c>
      <c r="F64" s="17" t="inlineStr">
        <is>
          <t>4</t>
        </is>
      </c>
    </row>
    <row r="65">
      <c r="A65" s="8" t="inlineStr">
        <is>
          <t>REQ-VC-01</t>
        </is>
      </c>
      <c r="B65" s="8" t="inlineStr">
        <is>
          <t>Version control</t>
        </is>
      </c>
      <c r="C65" s="9" t="inlineStr">
        <is>
          <t>Development plan, programming specification and output files are version-controlled together and their versions are cross-referenced.</t>
        </is>
      </c>
      <c r="D65" s="8" t="inlineStr">
        <is>
          <t>Must</t>
        </is>
      </c>
      <c r="E65" s="8" t="inlineStr">
        <is>
          <t>Requester</t>
        </is>
      </c>
      <c r="F65" s="8" t="inlineStr">
        <is>
          <t>1-5</t>
        </is>
      </c>
    </row>
    <row r="66">
      <c r="A66" s="10" t="inlineStr">
        <is>
          <t>REQ-VC-02</t>
        </is>
      </c>
      <c r="B66" s="10" t="inlineStr">
        <is>
          <t>Version control</t>
        </is>
      </c>
      <c r="C66" s="11" t="inlineStr">
        <is>
          <t>The application displays its own version, and the version of the source data schema it expects.</t>
        </is>
      </c>
      <c r="D66" s="10" t="inlineStr">
        <is>
          <t>Must</t>
        </is>
      </c>
      <c r="E66" s="10" t="inlineStr">
        <is>
          <t>Requester</t>
        </is>
      </c>
      <c r="F66" s="10" t="inlineStr">
        <is>
          <t>4</t>
        </is>
      </c>
    </row>
    <row r="67">
      <c r="A67" s="8" t="inlineStr">
        <is>
          <t>REQ-VC-03</t>
        </is>
      </c>
      <c r="B67" s="8" t="inlineStr">
        <is>
          <t>Version control</t>
        </is>
      </c>
      <c r="C67" s="9" t="inlineStr">
        <is>
          <t>Loading a source file whose schema version is newer or older than the application expects produces a clear warning.</t>
        </is>
      </c>
      <c r="D67" s="8" t="inlineStr">
        <is>
          <t>Should</t>
        </is>
      </c>
      <c r="E67" s="8" t="inlineStr">
        <is>
          <t>Derived</t>
        </is>
      </c>
      <c r="F67" s="8" t="inlineStr">
        <is>
          <t>4</t>
        </is>
      </c>
    </row>
    <row r="68">
      <c r="A68" s="10" t="inlineStr">
        <is>
          <t>REQ-VC-04</t>
        </is>
      </c>
      <c r="B68" s="10" t="inlineStr">
        <is>
          <t>Version control</t>
        </is>
      </c>
      <c r="C68" s="11" t="inlineStr">
        <is>
          <t>Every document re-issue adds a version-history row stating what changed and why.</t>
        </is>
      </c>
      <c r="D68" s="10" t="inlineStr">
        <is>
          <t>Must</t>
        </is>
      </c>
      <c r="E68" s="10" t="inlineStr">
        <is>
          <t>Requester</t>
        </is>
      </c>
      <c r="F68" s="10" t="inlineStr">
        <is>
          <t>1-5</t>
        </is>
      </c>
    </row>
    <row r="69">
      <c r="A69" s="8" t="inlineStr">
        <is>
          <t>REQ-NFR-01</t>
        </is>
      </c>
      <c r="B69" s="8" t="inlineStr">
        <is>
          <t>Non-functional</t>
        </is>
      </c>
      <c r="C69" s="9" t="inlineStr">
        <is>
          <t>The application is built so later requirements can be added without restructuring: parsing, calculation and presentation are separated.</t>
        </is>
      </c>
      <c r="D69" s="8" t="inlineStr">
        <is>
          <t>Must</t>
        </is>
      </c>
      <c r="E69" s="8" t="inlineStr">
        <is>
          <t>Requester</t>
        </is>
      </c>
      <c r="F69" s="8" t="inlineStr">
        <is>
          <t>4</t>
        </is>
      </c>
    </row>
    <row r="70">
      <c r="A70" s="10" t="inlineStr">
        <is>
          <t>REQ-NFR-02</t>
        </is>
      </c>
      <c r="B70" s="10" t="inlineStr">
        <is>
          <t>Non-functional</t>
        </is>
      </c>
      <c r="C70" s="11" t="inlineStr">
        <is>
          <t>Works in Microsoft Edge and Google Chrome on Windows 10/11, offline.</t>
        </is>
      </c>
      <c r="D70" s="10" t="inlineStr">
        <is>
          <t>Must</t>
        </is>
      </c>
      <c r="E70" s="10" t="inlineStr">
        <is>
          <t>Q-05</t>
        </is>
      </c>
      <c r="F70" s="10" t="inlineStr">
        <is>
          <t>4</t>
        </is>
      </c>
    </row>
    <row r="71">
      <c r="A71" s="20" t="inlineStr">
        <is>
          <t>REQ-NFR-03</t>
        </is>
      </c>
      <c r="B71" s="20" t="inlineStr">
        <is>
          <t>Non-functional</t>
        </is>
      </c>
      <c r="C71" s="19" t="inlineStr">
        <is>
          <t>Handles 100 projects and 1,000 people, with the assignments that implies (order 8,000) over a 60-month horizon. Tables of that height are virtualised and the per-person chart aggregates rather than drawing a bar each - see REQ-DSH-09.</t>
        </is>
      </c>
      <c r="D71" s="20" t="inlineStr">
        <is>
          <t>Must</t>
        </is>
      </c>
      <c r="E71" s="20" t="inlineStr">
        <is>
          <t>S2-06</t>
        </is>
      </c>
      <c r="F71" s="20" t="inlineStr">
        <is>
          <t>4</t>
        </is>
      </c>
    </row>
    <row r="72">
      <c r="A72" s="10" t="inlineStr">
        <is>
          <t>REQ-NFR-04</t>
        </is>
      </c>
      <c r="B72" s="10" t="inlineStr">
        <is>
          <t>Non-functional</t>
        </is>
      </c>
      <c r="C72" s="11" t="inlineStr">
        <is>
          <t>No data leaves the PC: no network calls, no external CDN, no telemetry.</t>
        </is>
      </c>
      <c r="D72" s="10" t="inlineStr">
        <is>
          <t>Must</t>
        </is>
      </c>
      <c r="E72" s="10" t="inlineStr">
        <is>
          <t>Derived</t>
        </is>
      </c>
      <c r="F72" s="10" t="inlineStr">
        <is>
          <t>4</t>
        </is>
      </c>
    </row>
    <row r="73">
      <c r="A73" s="8" t="inlineStr">
        <is>
          <t>REQ-NFR-05</t>
        </is>
      </c>
      <c r="B73" s="8" t="inlineStr">
        <is>
          <t>Non-functional</t>
        </is>
      </c>
      <c r="C73" s="9" t="inlineStr">
        <is>
          <t>Dates are handled unambiguously (ISO yyyy-mm-dd internally) regardless of Windows regional settings.</t>
        </is>
      </c>
      <c r="D73" s="8" t="inlineStr">
        <is>
          <t>Must</t>
        </is>
      </c>
      <c r="E73" s="8" t="inlineStr">
        <is>
          <t>Derived</t>
        </is>
      </c>
      <c r="F73" s="8" t="inlineStr">
        <is>
          <t>4</t>
        </is>
      </c>
    </row>
    <row r="75">
      <c r="A75" s="5" t="inlineStr">
        <is>
          <t>Requirement count by priority</t>
        </is>
      </c>
    </row>
    <row r="76" ht="28" customHeight="1">
      <c r="A76" s="7" t="inlineStr">
        <is>
          <t>Priority</t>
        </is>
      </c>
      <c r="B76" s="7" t="inlineStr">
        <is>
          <t>Count</t>
        </is>
      </c>
    </row>
    <row r="77">
      <c r="A77" s="8" t="inlineStr">
        <is>
          <t>Must</t>
        </is>
      </c>
      <c r="B77" s="8">
        <f>COUNTIF(D5:D73,"Must")</f>
        <v/>
      </c>
    </row>
    <row r="78">
      <c r="A78" s="10" t="inlineStr">
        <is>
          <t>Should</t>
        </is>
      </c>
      <c r="B78" s="10">
        <f>COUNTIF(D5:D73,"Should")</f>
        <v/>
      </c>
    </row>
    <row r="79">
      <c r="A79" s="8" t="inlineStr">
        <is>
          <t>Could</t>
        </is>
      </c>
      <c r="B79" s="8">
        <f>COUNTIF(D5:D73,"Could")</f>
        <v/>
      </c>
    </row>
    <row r="80">
      <c r="A80" s="10" t="inlineStr">
        <is>
          <t>Total</t>
        </is>
      </c>
      <c r="B80" s="10">
        <f>COUNTA(A5:A73)</f>
        <v/>
      </c>
    </row>
    <row r="82">
      <c r="A82" s="16" t="inlineStr">
        <is>
          <t>47 requirements at v0.1, 58 at v0.2, 61 at v0.3, 63 at v0.4 and v1.0. v1.1 adds 2 and rewords 3, as a change against the approved baseline.</t>
        </is>
      </c>
    </row>
    <row r="83">
      <c r="A83" s="16" t="inlineStr">
        <is>
          <t>'Source' = Requester (in the original request), a Q-number (answered at v0.11 review), 'Reviewer v0.11' (added by the reviewer directly), Derived (engineering consequence), or a Decision ID from 07_Architecture.</t>
        </is>
      </c>
    </row>
    <row r="84">
      <c r="A84" s="3" t="inlineStr">
        <is>
          <t>Legend</t>
        </is>
      </c>
    </row>
    <row r="85">
      <c r="A85" s="12" t="inlineStr">
        <is>
          <t>Green = new in v0.2, added from your review answers.</t>
        </is>
      </c>
    </row>
    <row r="86">
      <c r="A86" s="13" t="inlineStr">
        <is>
          <t>Orange = changed in v0.2 as a consequence of your review.</t>
        </is>
      </c>
    </row>
    <row r="87">
      <c r="A87" s="14" t="inlineStr">
        <is>
          <t>Yellow = still needs your input.</t>
        </is>
      </c>
    </row>
  </sheetData>
  <dataValidations count="1">
    <dataValidation sqref="D5:D7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7"/>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Approve plan v1.9.</t>
        </is>
      </c>
      <c r="D28" s="11" t="inlineStr">
        <is>
          <t>Approval on 12_Review_Log</t>
        </is>
      </c>
      <c r="E28" s="10" t="inlineStr">
        <is>
          <t>Pending you</t>
        </is>
      </c>
    </row>
    <row r="29">
      <c r="A29" s="8" t="inlineStr">
        <is>
          <t>1</t>
        </is>
      </c>
      <c r="B29" s="8" t="inlineStr">
        <is>
          <t>G1</t>
        </is>
      </c>
      <c r="C29" s="9" t="inlineStr">
        <is>
          <t>GATE 1 - development plan approved by Dan, 2026-08-01. Decisions C-06..C-11 confirmed.</t>
        </is>
      </c>
      <c r="D29" s="9" t="inlineStr">
        <is>
          <t>Approval recorded on 12_Review_Log</t>
        </is>
      </c>
      <c r="E29" s="8" t="inlineStr">
        <is>
          <t>Complete</t>
        </is>
      </c>
    </row>
    <row r="30">
      <c r="A30" s="10" t="inlineStr">
        <is>
          <t>2</t>
        </is>
      </c>
      <c r="B30" s="10" t="inlineStr">
        <is>
          <t>2.0</t>
        </is>
      </c>
      <c r="C30" s="11" t="inlineStr">
        <is>
          <t>Generate the source workbook template and a dummy data file for review.</t>
        </is>
      </c>
      <c r="D30" s="11" t="inlineStr">
        <is>
          <t>PRAP_SourceData_Template + _Dummy v1.1</t>
        </is>
      </c>
      <c r="E30" s="10" t="inlineStr">
        <is>
          <t>Complete - issued for review</t>
        </is>
      </c>
    </row>
    <row r="31">
      <c r="A31" s="8" t="inlineStr">
        <is>
          <t>2</t>
        </is>
      </c>
      <c r="B31" s="8" t="inlineStr">
        <is>
          <t>2.1</t>
        </is>
      </c>
      <c r="C31" s="9" t="inlineStr">
        <is>
          <t>Fix the source workbook schema: exact sheet names, column headers, types, value lists.</t>
        </is>
      </c>
      <c r="D31" s="9" t="inlineStr">
        <is>
          <t>Specification sheet 'Data schema'</t>
        </is>
      </c>
      <c r="E31" s="8" t="inlineStr">
        <is>
          <t>In progress</t>
        </is>
      </c>
    </row>
    <row r="32">
      <c r="A32" s="10" t="inlineStr">
        <is>
          <t>2</t>
        </is>
      </c>
      <c r="B32" s="10" t="inlineStr">
        <is>
          <t>2.2</t>
        </is>
      </c>
      <c r="C32" s="11" t="inlineStr">
        <is>
          <t>Specify the calculation engine as pseudocode plus the worked example as an acceptance test.</t>
        </is>
      </c>
      <c r="D32" s="11" t="inlineStr">
        <is>
          <t>Specification sheet 'Calculation'</t>
        </is>
      </c>
      <c r="E32" s="10" t="inlineStr">
        <is>
          <t>Not started</t>
        </is>
      </c>
    </row>
    <row r="33">
      <c r="A33" s="8" t="inlineStr">
        <is>
          <t>2</t>
        </is>
      </c>
      <c r="B33" s="8" t="inlineStr">
        <is>
          <t>2.3</t>
        </is>
      </c>
      <c r="C33" s="9" t="inlineStr">
        <is>
          <t>Specify period derivation per project type, and the over/under-allocation detection.</t>
        </is>
      </c>
      <c r="D33" s="9" t="inlineStr">
        <is>
          <t>Specification sheet 'Calculation'</t>
        </is>
      </c>
      <c r="E33" s="8" t="inlineStr">
        <is>
          <t>Not started</t>
        </is>
      </c>
    </row>
    <row r="34">
      <c r="A34" s="10" t="inlineStr">
        <is>
          <t>2</t>
        </is>
      </c>
      <c r="B34" s="10" t="inlineStr">
        <is>
          <t>2.4</t>
        </is>
      </c>
      <c r="C34" s="11" t="inlineStr">
        <is>
          <t>Specify import validation rules V-01..V-21 and the findings report.</t>
        </is>
      </c>
      <c r="D34" s="11" t="inlineStr">
        <is>
          <t>Specification sheet 'Validation'</t>
        </is>
      </c>
      <c r="E34" s="10" t="inlineStr">
        <is>
          <t>Not started</t>
        </is>
      </c>
    </row>
    <row r="35">
      <c r="A35" s="8" t="inlineStr">
        <is>
          <t>2</t>
        </is>
      </c>
      <c r="B35" s="8" t="inlineStr">
        <is>
          <t>2.5</t>
        </is>
      </c>
      <c r="C35" s="9" t="inlineStr">
        <is>
          <t>Specify each dashboard tab: every table, column, graph, filter and interaction.</t>
        </is>
      </c>
      <c r="D35" s="9" t="inlineStr">
        <is>
          <t>Specification sheet 'UI spec'</t>
        </is>
      </c>
      <c r="E35" s="8" t="inlineStr">
        <is>
          <t>Not started</t>
        </is>
      </c>
    </row>
    <row r="36">
      <c r="A36" s="10" t="inlineStr">
        <is>
          <t>2</t>
        </is>
      </c>
      <c r="B36" s="10" t="inlineStr">
        <is>
          <t>2.6</t>
        </is>
      </c>
      <c r="C36" s="11" t="inlineStr">
        <is>
          <t>Specify on-screen editing, the dirty-state model and export round-tripping.</t>
        </is>
      </c>
      <c r="D36" s="11" t="inlineStr">
        <is>
          <t>Specification sheet 'Editing &amp; IO'</t>
        </is>
      </c>
      <c r="E36" s="10" t="inlineStr">
        <is>
          <t>Not started</t>
        </is>
      </c>
    </row>
    <row r="37">
      <c r="A37" s="8" t="inlineStr">
        <is>
          <t>2</t>
        </is>
      </c>
      <c r="B37" s="8" t="inlineStr">
        <is>
          <t>2.7</t>
        </is>
      </c>
      <c r="C37" s="9" t="inlineStr">
        <is>
          <t>Specify the version/compatibility check.</t>
        </is>
      </c>
      <c r="D37" s="9" t="inlineStr">
        <is>
          <t>Specification sheet 'IO &amp; versioning'</t>
        </is>
      </c>
      <c r="E37" s="8" t="inlineStr">
        <is>
          <t>Not started</t>
        </is>
      </c>
    </row>
    <row r="38">
      <c r="A38" s="10" t="inlineStr">
        <is>
          <t>2</t>
        </is>
      </c>
      <c r="B38" s="10" t="inlineStr">
        <is>
          <t>2.8</t>
        </is>
      </c>
      <c r="C38" s="11" t="inlineStr">
        <is>
          <t>Build the requirement-to-specification traceability matrix.</t>
        </is>
      </c>
      <c r="D38" s="11" t="inlineStr">
        <is>
          <t>Specification sheet 'Traceability'</t>
        </is>
      </c>
      <c r="E38" s="10" t="inlineStr">
        <is>
          <t>Not started</t>
        </is>
      </c>
    </row>
    <row r="39">
      <c r="A39" s="8" t="inlineStr">
        <is>
          <t>2</t>
        </is>
      </c>
      <c r="B39" s="8" t="inlineStr">
        <is>
          <t>G2</t>
        </is>
      </c>
      <c r="C39" s="9" t="inlineStr">
        <is>
          <t>GATE 2 - programming specification approved.</t>
        </is>
      </c>
      <c r="D39" s="9" t="inlineStr">
        <is>
          <t>PRAP_Programming_Specification_v1.0.xlsx</t>
        </is>
      </c>
      <c r="E39" s="8" t="inlineStr">
        <is>
          <t>Not started</t>
        </is>
      </c>
    </row>
    <row r="40">
      <c r="A40" s="10" t="inlineStr">
        <is>
          <t>3</t>
        </is>
      </c>
      <c r="B40" s="10" t="inlineStr">
        <is>
          <t>3.1</t>
        </is>
      </c>
      <c r="C40" s="11" t="inlineStr">
        <is>
          <t>High-level UI design: tab structure, page regions, navigation. No code behind it.</t>
        </is>
      </c>
      <c r="D40" s="11" t="inlineStr">
        <is>
          <t>Prototype HTML (UI only)</t>
        </is>
      </c>
      <c r="E40" s="10" t="inlineStr">
        <is>
          <t>Not started</t>
        </is>
      </c>
    </row>
    <row r="41">
      <c r="A41" s="8" t="inlineStr">
        <is>
          <t>3</t>
        </is>
      </c>
      <c r="B41" s="8" t="inlineStr">
        <is>
          <t>3.2</t>
        </is>
      </c>
      <c r="C41" s="9" t="inlineStr">
        <is>
          <t>Requester reviews the high-level component design.</t>
        </is>
      </c>
      <c r="D41" s="9" t="inlineStr">
        <is>
          <t>Review comments</t>
        </is>
      </c>
      <c r="E41" s="8" t="inlineStr">
        <is>
          <t>Not started</t>
        </is>
      </c>
    </row>
    <row r="42">
      <c r="A42" s="10" t="inlineStr">
        <is>
          <t>3</t>
        </is>
      </c>
      <c r="B42" s="10" t="inlineStr">
        <is>
          <t>3.3</t>
        </is>
      </c>
      <c r="C42" s="11" t="inlineStr">
        <is>
          <t>Final UI design with clear per-component requirements.</t>
        </is>
      </c>
      <c r="D42" s="11" t="inlineStr">
        <is>
          <t>Prototype HTML v1.0 + component list</t>
        </is>
      </c>
      <c r="E42" s="10" t="inlineStr">
        <is>
          <t>Not started</t>
        </is>
      </c>
    </row>
    <row r="43">
      <c r="A43" s="8" t="inlineStr">
        <is>
          <t>3</t>
        </is>
      </c>
      <c r="B43" s="8" t="inlineStr">
        <is>
          <t>G3</t>
        </is>
      </c>
      <c r="C43" s="9" t="inlineStr">
        <is>
          <t>GATE 3 - final design and component list approved. Code generation starts only for approved components.</t>
        </is>
      </c>
      <c r="D43" s="9" t="inlineStr">
        <is>
          <t>Approved component list</t>
        </is>
      </c>
      <c r="E43" s="8" t="inlineStr">
        <is>
          <t>Not started</t>
        </is>
      </c>
    </row>
    <row r="44">
      <c r="A44" s="10" t="inlineStr">
        <is>
          <t>4</t>
        </is>
      </c>
      <c r="B44" s="10" t="inlineStr">
        <is>
          <t>4.1</t>
        </is>
      </c>
      <c r="C44" s="11" t="inlineStr">
        <is>
          <t>IO layer: workbook load, sheet/column mapping, export.</t>
        </is>
      </c>
      <c r="D44" s="11" t="inlineStr">
        <is>
          <t>Application code</t>
        </is>
      </c>
      <c r="E44" s="10" t="inlineStr">
        <is>
          <t>Not started</t>
        </is>
      </c>
    </row>
    <row r="45">
      <c r="A45" s="8" t="inlineStr">
        <is>
          <t>4</t>
        </is>
      </c>
      <c r="B45" s="8" t="inlineStr">
        <is>
          <t>4.2</t>
        </is>
      </c>
      <c r="C45" s="9" t="inlineStr">
        <is>
          <t>Validation layer: rules V-01..V-21 and the findings report.</t>
        </is>
      </c>
      <c r="D45" s="9" t="inlineStr">
        <is>
          <t>Application code</t>
        </is>
      </c>
      <c r="E45" s="8" t="inlineStr">
        <is>
          <t>Not started</t>
        </is>
      </c>
    </row>
    <row r="46">
      <c r="A46" s="10" t="inlineStr">
        <is>
          <t>4</t>
        </is>
      </c>
      <c r="B46" s="10" t="inlineStr">
        <is>
          <t>4.3</t>
        </is>
      </c>
      <c r="C46" s="11" t="inlineStr">
        <is>
          <t>Model layer, Lists and Config handling.</t>
        </is>
      </c>
      <c r="D46" s="11" t="inlineStr">
        <is>
          <t>Application code</t>
        </is>
      </c>
      <c r="E46" s="10" t="inlineStr">
        <is>
          <t>Not started</t>
        </is>
      </c>
    </row>
    <row r="47">
      <c r="A47" s="8" t="inlineStr">
        <is>
          <t>4</t>
        </is>
      </c>
      <c r="B47" s="8" t="inlineStr">
        <is>
          <t>4.4</t>
        </is>
      </c>
      <c r="C47" s="9" t="inlineStr">
        <is>
          <t>Edit buffer: on-screen editing, dirty state, per-edit validation.</t>
        </is>
      </c>
      <c r="D47" s="9" t="inlineStr">
        <is>
          <t>Application code</t>
        </is>
      </c>
      <c r="E47" s="8" t="inlineStr">
        <is>
          <t>Not started</t>
        </is>
      </c>
    </row>
    <row r="48">
      <c r="A48" s="10" t="inlineStr">
        <is>
          <t>4</t>
        </is>
      </c>
      <c r="B48" s="10" t="inlineStr">
        <is>
          <t>4.5</t>
        </is>
      </c>
      <c r="C48" s="11" t="inlineStr">
        <is>
          <t>Calculation engine, verified against the worked example.</t>
        </is>
      </c>
      <c r="D48" s="11" t="inlineStr">
        <is>
          <t>Application code + test evidence</t>
        </is>
      </c>
      <c r="E48" s="10" t="inlineStr">
        <is>
          <t>Not started</t>
        </is>
      </c>
    </row>
    <row r="49">
      <c r="A49" s="8" t="inlineStr">
        <is>
          <t>4</t>
        </is>
      </c>
      <c r="B49" s="8" t="inlineStr">
        <is>
          <t>4.6</t>
        </is>
      </c>
      <c r="C49" s="9" t="inlineStr">
        <is>
          <t>Overall tab: tables, graphs, filters, over/under-allocation flagging.</t>
        </is>
      </c>
      <c r="D49" s="9" t="inlineStr">
        <is>
          <t>Application code</t>
        </is>
      </c>
      <c r="E49" s="8" t="inlineStr">
        <is>
          <t>Not started</t>
        </is>
      </c>
    </row>
    <row r="50">
      <c r="A50" s="10" t="inlineStr">
        <is>
          <t>4</t>
        </is>
      </c>
      <c r="B50" s="10" t="inlineStr">
        <is>
          <t>4.7</t>
        </is>
      </c>
      <c r="C50" s="11" t="inlineStr">
        <is>
          <t>Source data (project) and Source data (person) tabs.</t>
        </is>
      </c>
      <c r="D50" s="11" t="inlineStr">
        <is>
          <t>Application code</t>
        </is>
      </c>
      <c r="E50" s="10" t="inlineStr">
        <is>
          <t>Not started</t>
        </is>
      </c>
    </row>
    <row r="51">
      <c r="A51" s="8" t="inlineStr">
        <is>
          <t>4</t>
        </is>
      </c>
      <c r="B51" s="8" t="inlineStr">
        <is>
          <t>4.8</t>
        </is>
      </c>
      <c r="C51" s="9" t="inlineStr">
        <is>
          <t>Blank source workbook template with value lists and example rows.</t>
        </is>
      </c>
      <c r="D51" s="9" t="inlineStr">
        <is>
          <t>PRAP_SourceData template</t>
        </is>
      </c>
      <c r="E51" s="8" t="inlineStr">
        <is>
          <t>Not started</t>
        </is>
      </c>
    </row>
    <row r="52">
      <c r="A52" s="10" t="inlineStr">
        <is>
          <t>4</t>
        </is>
      </c>
      <c r="B52" s="10" t="inlineStr">
        <is>
          <t>4.9</t>
        </is>
      </c>
      <c r="C52" s="11" t="inlineStr">
        <is>
          <t>Requester reviews output against real data; refinements folded in.</t>
        </is>
      </c>
      <c r="D52" s="11" t="inlineStr">
        <is>
          <t>Updated code</t>
        </is>
      </c>
      <c r="E52" s="10" t="inlineStr">
        <is>
          <t>Not started</t>
        </is>
      </c>
    </row>
    <row r="53">
      <c r="A53" s="8" t="inlineStr">
        <is>
          <t>4</t>
        </is>
      </c>
      <c r="B53" s="8" t="inlineStr">
        <is>
          <t>G4</t>
        </is>
      </c>
      <c r="C53" s="9" t="inlineStr">
        <is>
          <t>GATE 4 - application functionally complete.</t>
        </is>
      </c>
      <c r="D53" s="9" t="inlineStr">
        <is>
          <t>PRAP_Application_v0.9.html</t>
        </is>
      </c>
      <c r="E53" s="8" t="inlineStr">
        <is>
          <t>Not started</t>
        </is>
      </c>
    </row>
    <row r="54">
      <c r="A54" s="10" t="inlineStr">
        <is>
          <t>5</t>
        </is>
      </c>
      <c r="B54" s="10" t="inlineStr">
        <is>
          <t>5.1</t>
        </is>
      </c>
      <c r="C54" s="11" t="inlineStr">
        <is>
          <t>Full pass over the traceability matrix: every Must requirement demonstrated.</t>
        </is>
      </c>
      <c r="D54" s="11" t="inlineStr">
        <is>
          <t>Completed traceability matrix</t>
        </is>
      </c>
      <c r="E54" s="10" t="inlineStr">
        <is>
          <t>Not started</t>
        </is>
      </c>
    </row>
    <row r="55">
      <c r="A55" s="8" t="inlineStr">
        <is>
          <t>5</t>
        </is>
      </c>
      <c r="B55" s="8" t="inlineStr">
        <is>
          <t>5.2</t>
        </is>
      </c>
      <c r="C55" s="9" t="inlineStr">
        <is>
          <t>Test on a clean Windows PC in Edge and Chrome, offline.</t>
        </is>
      </c>
      <c r="D55" s="9" t="inlineStr">
        <is>
          <t>Test evidence</t>
        </is>
      </c>
      <c r="E55" s="8" t="inlineStr">
        <is>
          <t>Not started</t>
        </is>
      </c>
    </row>
    <row r="56">
      <c r="A56" s="10" t="inlineStr">
        <is>
          <t>5</t>
        </is>
      </c>
      <c r="B56" s="10" t="inlineStr">
        <is>
          <t>5.3</t>
        </is>
      </c>
      <c r="C56" s="11" t="inlineStr">
        <is>
          <t>Write the user guide: folder layout, how to load, how to maintain source data.</t>
        </is>
      </c>
      <c r="D56" s="11" t="inlineStr">
        <is>
          <t>User guide</t>
        </is>
      </c>
      <c r="E56" s="10" t="inlineStr">
        <is>
          <t>Not started</t>
        </is>
      </c>
    </row>
    <row r="57">
      <c r="A57" s="8" t="inlineStr">
        <is>
          <t>5</t>
        </is>
      </c>
      <c r="B57" s="8" t="inlineStr">
        <is>
          <t>5.4</t>
        </is>
      </c>
      <c r="C57" s="9" t="inlineStr">
        <is>
          <t>Final version alignment across plan, specification and application.</t>
        </is>
      </c>
      <c r="D57" s="9" t="inlineStr">
        <is>
          <t>Version alignment table (sheet 09)</t>
        </is>
      </c>
      <c r="E57" s="8" t="inlineStr">
        <is>
          <t>Not started</t>
        </is>
      </c>
    </row>
    <row r="58">
      <c r="A58" s="10" t="inlineStr">
        <is>
          <t>5</t>
        </is>
      </c>
      <c r="B58" s="10" t="inlineStr">
        <is>
          <t>G5</t>
        </is>
      </c>
      <c r="C58" s="11" t="inlineStr">
        <is>
          <t>GATE 5 - release.</t>
        </is>
      </c>
      <c r="D58" s="11" t="inlineStr">
        <is>
          <t>PRAP_Application_v1.0.html</t>
        </is>
      </c>
      <c r="E58" s="10" t="inlineStr">
        <is>
          <t>Not started</t>
        </is>
      </c>
    </row>
    <row r="60">
      <c r="A60" s="5" t="inlineStr">
        <is>
          <t>Progress</t>
        </is>
      </c>
    </row>
    <row r="61" ht="28" customHeight="1">
      <c r="A61" s="7" t="inlineStr">
        <is>
          <t>Measure</t>
        </is>
      </c>
      <c r="B61" s="7" t="inlineStr">
        <is>
          <t>Count</t>
        </is>
      </c>
    </row>
    <row r="62">
      <c r="A62" s="8" t="inlineStr">
        <is>
          <t>Tasks total</t>
        </is>
      </c>
      <c r="B62" s="8">
        <f>COUNTA(B5:B58)</f>
        <v/>
      </c>
    </row>
    <row r="63">
      <c r="A63" s="10" t="inlineStr">
        <is>
          <t>Complete</t>
        </is>
      </c>
      <c r="B63" s="10">
        <f>COUNTIF(E5:E58,"Complete")+COUNTIF(E5:E58,"Complete - issued for review")</f>
        <v/>
      </c>
    </row>
    <row r="64">
      <c r="A64" s="8" t="inlineStr">
        <is>
          <t>Awaiting the requester</t>
        </is>
      </c>
      <c r="B64" s="8">
        <f>COUNTIF(E5:E58,"Pending you")</f>
        <v/>
      </c>
    </row>
    <row r="65">
      <c r="A65" s="10" t="inlineStr">
        <is>
          <t>Not started</t>
        </is>
      </c>
      <c r="B65" s="10">
        <f>COUNTIF(E5:E58,"Not started")</f>
        <v/>
      </c>
    </row>
    <row r="67">
      <c r="A67" s="16" t="inlineStr">
        <is>
          <t>No duration estimates: the pace is set by review turnaround at each gate, not by build effort.</t>
        </is>
      </c>
    </row>
  </sheetData>
  <dataValidations count="1">
    <dataValidation sqref="E5:E58"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2026-07-31</t>
        </is>
      </c>
      <c r="F35" s="11" t="inlineStr">
        <is>
          <t>R-05..R-12. Awaiting approval.</t>
        </is>
      </c>
    </row>
    <row r="36">
      <c r="A36" s="8" t="inlineStr"/>
      <c r="B36" s="8" t="inlineStr"/>
      <c r="C36" s="8" t="inlineStr"/>
      <c r="D36" s="8" t="inlineStr"/>
      <c r="E36" s="8" t="inlineStr"/>
      <c r="F36" s="9" t="inlineStr"/>
    </row>
    <row r="38">
      <c r="A38" s="16" t="inlineStr">
        <is>
          <t>One row per release. Answers 'which specification produced this .html, and which source template does it expect?'.</t>
        </is>
      </c>
    </row>
    <row r="39">
      <c r="A39" s="5" t="inlineStr">
        <is>
          <t>Repository rules</t>
        </is>
      </c>
    </row>
    <row r="40" ht="28" customHeight="1">
      <c r="A40" s="7" t="inlineStr">
        <is>
          <t>Rule</t>
        </is>
      </c>
    </row>
    <row r="41">
      <c r="A41" s="9" t="inlineStr">
        <is>
          <t>All work is committed to branch claude/project-resource-assignment-app-1vjdzh.</t>
        </is>
      </c>
    </row>
    <row r="42">
      <c r="A42" s="11" t="inlineStr">
        <is>
          <t>Documents are generated from scripts in tools/ so their content is reviewable as a text diff, not only as a binary.</t>
        </is>
      </c>
    </row>
    <row r="43">
      <c r="A43" s="9" t="inlineStr">
        <is>
          <t>One commit per meaningful change, with a message naming the step and the affected REQ-IDs.</t>
        </is>
      </c>
    </row>
    <row r="44">
      <c r="A44" s="11" t="inlineStr">
        <is>
          <t>A released version is tagged, so any release can be reproduced exactly.</t>
        </is>
      </c>
    </row>
    <row r="45">
      <c r="A45"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R-12</t>
        </is>
      </c>
      <c r="B50" s="10" t="inlineStr">
        <is>
          <t>Validation</t>
        </is>
      </c>
      <c r="C50" s="11" t="inlineStr">
        <is>
          <t>Raised as a question about the PersonPeriodWeight key - why is period_start needed when assignment_id looks unique?</t>
        </is>
      </c>
      <c r="D50"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0" s="17" t="inlineStr">
        <is>
          <t>Applied</t>
        </is>
      </c>
    </row>
    <row r="51">
      <c r="A51" s="8" t="inlineStr">
        <is>
          <t>R-11</t>
        </is>
      </c>
      <c r="B51" s="8" t="inlineStr">
        <is>
          <t>Data model</t>
        </is>
      </c>
      <c r="C51" s="9" t="inlineStr">
        <is>
          <t>Name the two conduct stretches apart - 'Conduct (interim)' before an interim DB lock, 'Conduct (final)' after it or where there is no interim lock - and key ProjectPeriod on (project_id, period_name).</t>
        </is>
      </c>
      <c r="D51"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1" s="17" t="inlineStr">
        <is>
          <t>Applied</t>
        </is>
      </c>
    </row>
    <row r="52">
      <c r="A52" s="10" t="inlineStr">
        <is>
          <t>R-10</t>
        </is>
      </c>
      <c r="B52" s="10" t="inlineStr">
        <is>
          <t>Data model</t>
        </is>
      </c>
      <c r="C52" s="11" t="inlineStr">
        <is>
          <t>The role factor must be given by role AND project type AND clinical phase AND period, not by role and type alone.</t>
        </is>
      </c>
      <c r="D52"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2" s="17" t="inlineStr">
        <is>
          <t>Applied</t>
        </is>
      </c>
    </row>
    <row r="53">
      <c r="A53" s="8" t="inlineStr">
        <is>
          <t>R-09</t>
        </is>
      </c>
      <c r="B53" s="8" t="inlineStr">
        <is>
          <t>UI</t>
        </is>
      </c>
      <c r="C53"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3"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3" s="17" t="inlineStr">
        <is>
          <t>Applied</t>
        </is>
      </c>
    </row>
    <row r="54">
      <c r="A54" s="10" t="inlineStr">
        <is>
          <t>R-08</t>
        </is>
      </c>
      <c r="B54" s="10" t="inlineStr">
        <is>
          <t>UI</t>
        </is>
      </c>
      <c r="C54" s="11" t="inlineStr">
        <is>
          <t>The two 'Conduct' stretches of a project must be distinguishable on screen (S2-04).</t>
        </is>
      </c>
      <c r="D54" s="11" t="inlineStr">
        <is>
          <t>Applied as REQ-DSH-10. A display rule, not a data change: period_name stays 'Conduct' in the workbook and the screen shows it with its sequence, 'Conduct (1)' and 'Conduct (2)'. Changing the stored name would have broken the weight lookup and V-15.</t>
        </is>
      </c>
      <c r="E54" s="17" t="inlineStr">
        <is>
          <t>Applied</t>
        </is>
      </c>
    </row>
    <row r="55">
      <c r="A55" s="8" t="inlineStr">
        <is>
          <t>R-07</t>
        </is>
      </c>
      <c r="B55" s="8" t="inlineStr">
        <is>
          <t>Calculation</t>
        </is>
      </c>
      <c r="C55" s="9" t="inlineStr">
        <is>
          <t>Thresholds stay ABSOLUTE, not relative to capacity_fte (S2-01), and the under-allocation floor moves to 0.60 FTE (S2-05).</t>
        </is>
      </c>
      <c r="D55"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5" s="17" t="inlineStr">
        <is>
          <t>Applied</t>
        </is>
      </c>
    </row>
    <row r="56">
      <c r="A56" s="10" t="inlineStr">
        <is>
          <t>R-06</t>
        </is>
      </c>
      <c r="B56" s="10" t="inlineStr">
        <is>
          <t>Non-functional</t>
        </is>
      </c>
      <c r="C56" s="11" t="inlineStr">
        <is>
          <t>Re-baseline REQ-NFR-03 to 100 projects and 1,000 people (S2-06).</t>
        </is>
      </c>
      <c r="D56" s="11"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6" s="17" t="inlineStr">
        <is>
          <t>Applied</t>
        </is>
      </c>
    </row>
    <row r="57">
      <c r="A57" s="8" t="inlineStr">
        <is>
          <t>R-05</t>
        </is>
      </c>
      <c r="B57" s="8" t="inlineStr">
        <is>
          <t>Data model</t>
        </is>
      </c>
      <c r="C57" s="9" t="inlineStr">
        <is>
          <t>Split project_type: 'Clinical Trial' becomes 'NewDrug CT' and 'Biosimilar CT'; every clinical trial is one or the other.</t>
        </is>
      </c>
      <c r="D57"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7" s="17" t="inlineStr">
        <is>
          <t>Applied</t>
        </is>
      </c>
    </row>
    <row r="58">
      <c r="A58" s="10" t="inlineStr">
        <is>
          <t>R-04</t>
        </is>
      </c>
      <c r="B58" s="10" t="inlineStr">
        <is>
          <t>Data model</t>
        </is>
      </c>
      <c r="C58" s="11" t="inlineStr">
        <is>
          <t>Add at least one free-text note column to every sheet of the source workbook.</t>
        </is>
      </c>
      <c r="D58"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8" s="17" t="inlineStr">
        <is>
          <t>Applied</t>
        </is>
      </c>
    </row>
    <row r="60">
      <c r="A60" s="16" t="inlineStr">
        <is>
          <t>All four are settled. Nothing on this sheet is open, and the plan is final.</t>
        </is>
      </c>
    </row>
    <row r="62">
      <c r="A62"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v1.9</t>
        </is>
      </c>
      <c r="B63" s="22" t="inlineStr"/>
      <c r="C63" s="22" t="inlineStr"/>
      <c r="D63" s="11" t="inlineStr">
        <is>
          <t>Pending your signature.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2026-08-02T04:35:26Z</dcterms:created>
  <dcterms:modified xsi:type="dcterms:W3CDTF">2026-08-02T04:35:26Z</dcterms:modified>
</cp:coreProperties>
</file>