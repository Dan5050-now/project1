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Requirements" sheetId="4" state="visible" r:id="rId4"/>
    <sheet xmlns:r="http://schemas.openxmlformats.org/officeDocument/2006/relationships" name="04_Data_Model" sheetId="5" state="visible" r:id="rId5"/>
    <sheet xmlns:r="http://schemas.openxmlformats.org/officeDocument/2006/relationships" name="05_Resource_Logic" sheetId="6" state="visible" r:id="rId6"/>
    <sheet xmlns:r="http://schemas.openxmlformats.org/officeDocument/2006/relationships" name="06_Dashboard_Design" sheetId="7" state="visible" r:id="rId7"/>
    <sheet xmlns:r="http://schemas.openxmlformats.org/officeDocument/2006/relationships" name="07_Architecture" sheetId="8" state="visible" r:id="rId8"/>
    <sheet xmlns:r="http://schemas.openxmlformats.org/officeDocument/2006/relationships" name="08_WBS_Schedule" sheetId="9" state="visible" r:id="rId9"/>
    <sheet xmlns:r="http://schemas.openxmlformats.org/officeDocument/2006/relationships" name="09_Version_Control" sheetId="10" state="visible" r:id="rId10"/>
    <sheet xmlns:r="http://schemas.openxmlformats.org/officeDocument/2006/relationships" name="10_Risks" sheetId="11" state="visible" r:id="rId11"/>
    <sheet xmlns:r="http://schemas.openxmlformats.org/officeDocument/2006/relationships" name="11_Open_Questions" sheetId="12" state="visible" r:id="rId12"/>
    <sheet xmlns:r="http://schemas.openxmlformats.org/officeDocument/2006/relationships"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v2.54</t>
        </is>
      </c>
    </row>
    <row r="7">
      <c r="A7" s="3" t="inlineStr">
        <is>
          <t>Status</t>
        </is>
      </c>
      <c r="B7" s="4" t="inlineStr">
        <is>
          <t>Baseline v2.0 + Step 4 progress. Application v1.25 - Gate 4 refinements rounds 1-25, plus SCHEMA 6 (the work scope, the biosimilar split), the shared-role division and the delivered default assumptions.</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2"/>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8" t="inlineStr">
        <is>
          <t>2.40</t>
        </is>
      </c>
      <c r="B21" s="8" t="inlineStr">
        <is>
          <t>2026-09-03</t>
        </is>
      </c>
      <c r="C21" s="8" t="inlineStr">
        <is>
          <t>Claude Code</t>
        </is>
      </c>
      <c r="D21" s="8" t="inlineStr">
        <is>
          <t>Pending</t>
        </is>
      </c>
      <c r="E21" s="9" t="inlineStr">
        <is>
          <t>R-32, REQ-CAL-19 AMENDED: A PROJECT-MONTH IS ITS STANDARD, and person_weight now decides how it is DIVIDED rather than how big it is. The reviewer reported that the standard was being ignored on import; it was not - it was applied, indexed and in the arithmetic on every line, and doubling one doubled the figure. What made it look ignored was person_weight: on the delivered fixture the median project-month came to 30% of standard x period weight, because the median person weight is 0.29 and each person's share was scaled by their own weight AFTER the demand was divided. That was v2.39's chosen reading, taken deliberately so a shortfall would be visible. Asked again with the arithmetic in front of them, the reviewer chose the other one. So person_weight, month coverage and the role factor now all make a CLAIM on the month, and the share is that claim over the sum of the claims: fte = demand x claim / sum(claims), where demand = standard_fte x period weight x the month the project actually ran. The shares add to one BY CONSTRUCTION, so the month is its demand however many people are on it and whatever their weights - checked on 1,557 and 203 automatic project-months of the two fixtures, all exact. THE DEMAND IS SCALED BY THE MONTH THE PROJECT RAN, taken as the largest coverage any of its people have, or every project would spike to a full standard month in the month it opened and the month it closed. Two consequences worth stating: a part-time person now pushes load ONTO their colleagues instead of lowering the project, so under-staffing shows on the PEOPLE as months over the ceiling; and split_shared_role_fte can no longer inflate a project total, so on a single-role project it is inert - it still decides the split where roles have different numbers of holders, which is the case it was always really about. The results export gains month_run and demand_fte, and every row is now demand x share rather than a five-term product. Figures move throughout: the 62-project fixture goes from 731 to 4,334 FTE-months, which is the demand it always described and never showed.</t>
        </is>
      </c>
      <c r="F21" s="8" t="inlineStr">
        <is>
          <t>Superseded by v2.41</t>
        </is>
      </c>
    </row>
    <row r="22">
      <c r="A22" s="17" t="inlineStr">
        <is>
          <t>2.54</t>
        </is>
      </c>
      <c r="B22" s="17" t="inlineStr">
        <is>
          <t>2026-09-12</t>
        </is>
      </c>
      <c r="C22" s="17" t="inlineStr">
        <is>
          <t>Claude Code</t>
        </is>
      </c>
      <c r="D22" s="17" t="inlineStr">
        <is>
          <t>Pending</t>
        </is>
      </c>
      <c r="E22" s="18" t="inlineStr">
        <is>
          <t>R-46: MonthlyEstimate.edited_at IS RETIRED. Schema 11 to 12, and the FIRST column this schema has removed rather than added or renamed. IT COULD NOT DO THE JOB IT WAS ADDED FOR. The column was 'when this figure was last set, so a reader can tell a figure somebody typed from one the application copied across on switching' - the distinction REQ-CAL-18 creates, because switching to manual seeds every month at its calculated value and those seeded figures sit in the same column as the ones somebody then types. Three findings, all measured against the running application rather than read off the source. ONE: the ordinary editing path never stamped it. Typing 0.77 over a stated 0.35 in the Monthly estimation table left edited_at null. It was written in exactly three places - the switch, 'fill the missing months', and the gap dialog - none of which is a person typing a figure, which is the single action it existed to mark. TWO: where it WAS written it was not a date. MonthlyEstimate never declared it a date column, so the model rebuild coerced the value to text and the cell held 'Sat Sep 12 2026 10:58:24 GMT+0000 (Coordinated Universal Time)' - saved as a string, not a date serial, unsortable in Excel, and formatted by whichever machine and locale happened to write it. THREE: nothing read it. The engine carried it to every manual line as manual_at and no export, report, screen or rule ever asked for that field. THE QUESTION IT ASKED IS ALREADY ANSWERED, PROPERLY. Every edit pushes a change-log entry carrying the time, the sheet, the row, the column, the value before and the value after, and that log is archived to the shared folder on Save with the editor's identity on it. Two answers to one question is the arrangement that drifts, and this was the worse of the two: partial, mistyped, and read by nothing. Fixing it instead was considered and is recorded here because it is the obvious alternative: stamp every write to fte and declare the column a date. That buys a second, weaker copy of what the change log already holds, and keeps a column in the source workbook whose value the user cannot be responsible for. A FILE WRITTEN TO SCHEMA 11 STILL OPENS AND STILL SAVES. Retiring a column has the same hazard at the edges as renaming one, so it gets the same courtesy: a new RETIRED_COLS map drops the column on the way in and tells the reader once, and the JSON interchange reader drops it too rather than refusing the file over a column this application asked for and then stopped wanting. Nothing is migrated, because there is nowhere for it to go. No calculation change and NO FIGURE MOVES. Template v1.16, dummies v1.18 and v1.10. tools/test_retired.py is new.</t>
        </is>
      </c>
      <c r="F22" s="17" t="inlineStr">
        <is>
          <t>Issued for review</t>
        </is>
      </c>
    </row>
    <row r="23">
      <c r="A23" s="17" t="inlineStr">
        <is>
          <t>2.53</t>
        </is>
      </c>
      <c r="B23" s="17" t="inlineStr">
        <is>
          <t>2026-09-12</t>
        </is>
      </c>
      <c r="C23" s="17" t="inlineStr">
        <is>
          <t>Claude Code</t>
        </is>
      </c>
      <c r="D23" s="17" t="inlineStr">
        <is>
          <t>Pending</t>
        </is>
      </c>
      <c r="E23" s="18" t="inlineStr">
        <is>
          <t>R-45, REQ-DSH-16: FIVE THINGS ABOUT READING THE SCREEN, all reported from the field, none of them a change to a figure. ONE. THE TWO UTILISATION CHARTS GROW WITH THE HORIZON. They were a fixed 1,080 wide whatever the span, which is right for the two years almost everybody opens on and wrong for the long plans that most need reading: five years is sixty columns in 790 points of plot, thirteen points each, and a three-letter month does not fit in thirteen points - so the axis ran its labels into one another exactly where the chart stopped being optional. Each month is now guaranteed 32 points and the panel scrolls sideways past the point where they all fit, which is what every other chart on the page already did. 32 rather than a rounder number so that at 24 months the chart is EXACTLY the width it has always been and this change is invisible to anyone who did not need it. TWO. ASSIGNMENTS, WEIGHT OVERRIDES AND MONTHLY ESTIMATION ARE ONE COLUMN, NOT TWO. They were a two-column grid, so each of three wide tables - eleven columns, seven and eight, one of those a sentence of arithmetic - had half a screen and all three scrolled sideways permanently. Stacked full width they also read in the order they are worked in: pick the assignment, then its override windows, then its months. THREE. MONTHLY ESTIMATION NAMES ITS ASSIGNMENT. It is a child of the row selected above it and said so nowhere - eight columns of months with no statement of what they belong to. It now carries the same line Weight overrides carries, word for word from one helper so the two cannot drift: the id, the project, the role, the window and the weight. FOUR. CLICKING A LEGEND ENTRY PICKS THAT SERIES OUT OF THE CHART. Twenty bands in twenty shades of one palette read perfectly well as a total and not at all as a series; finding one project in the stack by colour alone means carrying a swatch in your head down sixty months of bars. Everything that is not the picked series fades back; a second click, another entry, or Escape brings it home. THE PICK APPLIES TO THE WHOLE TAB, because the question is 'where is this project on this page' and not 'where is it in this one drawing' - the trend line, the stack and the timeline all mean the same project by the same id, so one click answers it in all three. A CHART CUT ALONG A DIFFERENT AXIS IS LEFT ALONE: a person's id means nothing to a chart stacked by project, and dimming it anyway would fade a whole chart to nothing and light none of it, which reads as 'this has no data' rather than 'you asked something this chart cannot answer'. A timeline band is a period OF a project and carries both keys, so picking a period lights it across every project and picking a project lights that project's whole row. Marks belonging to the MONTH rather than to any series - the threshold lines, the baseline, the outline that marks a month off its standard - never fade. Every entry is a real button: focusable, operable from the keyboard, and it states whether it is pressed (D-04). FIVE. EVERY HEADING SAYS WHAT THE COLUMN MEANS, AND ONLY THAT. The tables used to show the workbook's own column names: work_scope_type, outsourcing_scope_det, absorbed_by, ref_id - legible to whoever wrote the schema and opaque to the person filling the plan in. The meaning was only ever a hover away, which is to say invisible to anyone who did not know to hover. The heading now prints the plain name and nothing else. THE COLUMN'S OWN NAME IS IN THE POP-UP, NOT ON THE PAGE, and this was decided twice. It was first put on a second line under the label, on the reasoning that the screen and the file are the same thing, so a heading you cannot find in the spreadsheet is one you cannot quote in a mail or look up in a document. That reasoning was right about the NEED and wrong about the PLACE, which the reviewer said plainly: the need is occasional - you go looking for a column name when you are editing the workbook or chasing a finding - and the heading is read on every glance by everyone. Paying for a rare need out of the common one is the wrong way round when the pop-up already answers it in full. Every heading now carries a pop-up naming both, and the identifier is on the element as data-cid for whatever needs to read it. The badge on a derived column names the plain name too - a heading row that has stopped printing identifiers must not keep one in a badge. NOTHING IS RENAMED: the file keeps its columns, every validation message still names them, and the cell still writes back through the identifier. The same head is used on the heading's pop-up, on every cell's and on the filter buttons', so it is learned once. ONE DEFECT EXPOSED, NOT CAUSED, AND FIXED. Widening those three panels put a table into a gap no layout before it had landed in: the two drawn scroll bars decide each other, each costing the region 15px of its own space, and paintCue measured once - so a region that only overflows sideways ONCE ITS OWN VERTICAL BAR IS DRAWN got no horizontal bar, which is exactly the failure REQ-DSH-13 exists to prevent. Measured on the 62-project fixture: scrollWidth 1316 with both flags off and 1318 with the vertical bar there, against a client width of 1316 - two pixels, which is why no earlier layout met it. The flags are now settled before anything is drawn, and it cannot oscillate because padding can only create overflow, never remove it. Found by the REQ-DSH-13 check in test_ui, which failed on this build and passes on the fix. No calculation change, no schema change and no figure moves. tools/test_screen.py and tools/test_labels.py are new, 33 checks between them; test_columns and test_lookup read the identifier from the heading's second line.</t>
        </is>
      </c>
      <c r="F23" s="17" t="inlineStr">
        <is>
          <t>Issued for review</t>
        </is>
      </c>
    </row>
    <row r="24">
      <c r="A24" s="10" t="inlineStr">
        <is>
          <t>2.52</t>
        </is>
      </c>
      <c r="B24" s="10" t="inlineStr">
        <is>
          <t>2026-09-12</t>
        </is>
      </c>
      <c r="C24" s="10" t="inlineStr">
        <is>
          <t>Claude Code</t>
        </is>
      </c>
      <c r="D24" s="10" t="inlineStr">
        <is>
          <t>Pending</t>
        </is>
      </c>
      <c r="E24" s="11" t="inlineStr">
        <is>
          <t>R-44, V-35: capacity_fte IS BOUNDED, 0.00 TO 1.00. Reported from the field. It is the one figure on the Person sheet with a hard ceiling and it did not have one - 1.5 went in, was believed, and sat beside everybody else's 1.00 as though it meant something. capacity_fte is how much of ONE PERSON there is; 0.00 is allowed, because somebody on the books and not available is a true thing to say. IT REFUSES, WHICH IS A DEPARTURE AND IS THE POINT. Every other rule added this year reports rather than refuses - V-31 to V-34 all leave the decision with the user, because a period weight, a role factor and a stated month are judgements somebody is entitled to make. A capacity of 1.5 is not a judgement. It is a number in the wrong unit, the usual cause is hours typed into an FTE column, and the moment of entry is the only one at which the person who knows what they meant is still there to be asked. The message names the unit, does the hours-to-FTE arithmetic, and says what to do instead: two assignments, or a person weight above 1.00 on one of them. FOUR PLACES ENFORCE IT, and the fourth is the one that matters most in practice. The application refuses the edit; prap_io and verify_source_workbook raise the same rule at the same severity, because the four-implementation rule applies to what the application REFUSES exactly as it applies to what it calculates; and the TEMPLATE now carries a decimal range on the column, so Excel stops the figure where people actually type it, with a message of its own rather than the generic one. A FILE THAT ALREADY BREAKS IT STILL OPENS - checked, because the alternative would be a rule that locks somebody out of their own plan. Both the save and the edit path compare the COUNT of blocking findings before and after, so a pre-existing breach is reported and only the edits that would make matters worse are stopped. V-22 stands down on an out-of-range row rather than piling on. Template v1.15, dummies v1.17 and v1.9 - the schema is UNCHANGED at 11; only the guard rail is new. No calculation change and no figure moves. tools/test_capacity.py is new, 22 checks across all four places.</t>
        </is>
      </c>
      <c r="F24" s="10" t="inlineStr">
        <is>
          <t>Issued for review</t>
        </is>
      </c>
    </row>
    <row r="25">
      <c r="A25" s="8" t="inlineStr">
        <is>
          <t>2.51</t>
        </is>
      </c>
      <c r="B25" s="8" t="inlineStr">
        <is>
          <t>2026-09-11</t>
        </is>
      </c>
      <c r="C25" s="8" t="inlineStr">
        <is>
          <t>Claude Code</t>
        </is>
      </c>
      <c r="D25" s="8" t="inlineStr">
        <is>
          <t>Pending</t>
        </is>
      </c>
      <c r="E25" s="9" t="inlineStr">
        <is>
          <t>R-43: THE STATED CELL IS EDITABLE FOR EVERY PERSON IN THE DIALOG, not only for those already on manual. Reported from the field, and it was the most important half of the section missing: a gap is usually somebody ELSE's figure, and the person whose figure you want to change is very often still on automatic - for whom the cell rendered as a dash, which reads as 'this screen is read-only for them'. THE RULE THAT MADE IT A DASH IS STILL THE RULE, and it is why this is not a one-line change. An automatic assignment ignores MonthlyEstimate entirely, so a lone row written against it is a figure nothing reads; and setting estimation_type without seeding the other months counts every one of them as 0.00, the one change in this application that silently zeroes a figure (REQ-CAL-18). estimation_type has one way in for exactly that reason, and typing it into a cell is refused everywhere else. SO THE CELL ASKS. Type a figure against somebody on automatic and the dialog names how many months will be stated, what they total, and what this month becomes - then the switch, the seeding of every month and the typed figure are applied together, or none of them are. Somebody ALREADY on manual with no figure for that month is the V-31 case and is NOT asked: the months are already theirs, and asking would be asking permission for something already given. A figure that is not a number is refused in the same words the tables use, and nothing is written. ALL OF IT THROUGH beginEditSession AND S.pending, so the switch, the seed and the change are three kinds of entry in one change list, undone together by Leave without change and archived together at Save. The generic cell handler now ignores a contenteditable cell with no data-sheet, which is what lets a creating cell carry its own handler instead of calling applyEdit with an undefined sheet and a NaN row. TWO THINGS WERE CONNECTED WHILE THERE. The Estimation column now reads MANUAL from the ASSIGNMENT rather than from whether this month happens to carry a row - an assignment on manual with a month missing was showing as 'auto', which is the opposite of what is wrong with it. And a row whose Applied is not its Stated now carries the V-33 mark, so two figures differing on one line is explained where it is seen rather than only in the estimation panel on another tab. No calculation change and no figure moves. tools/test_gap.py grows to 49 checks.</t>
        </is>
      </c>
      <c r="F25" s="8" t="inlineStr">
        <is>
          <t>Superseded by v2.52</t>
        </is>
      </c>
    </row>
    <row r="26">
      <c r="A26" s="10" t="inlineStr">
        <is>
          <t>2.50</t>
        </is>
      </c>
      <c r="B26" s="10" t="inlineStr">
        <is>
          <t>2026-09-11</t>
        </is>
      </c>
      <c r="C26" s="10" t="inlineStr">
        <is>
          <t>Claude Code</t>
        </is>
      </c>
      <c r="D26" s="10" t="inlineStr">
        <is>
          <t>Pending</t>
        </is>
      </c>
      <c r="E26" s="11" t="inlineStr">
        <is>
          <t>R-42, REQ-DSH-15, V-34: WHAT A PROJECT NEEDS AGAINST WHAT IT IS BEING GIVEN. RAISED AS 'a project's FTE differs from the sum of its people's', AND THAT PAIR CANNOT DIFFER - measured in three states before anything was built: projMonth is built FROM the lines, so it IS that sum, and REQ-OUT-06 rests on it. The pair that does come apart is DEMAND against APPLIED, and nothing reported it. Measured: a project needing 10.00 with one assignment cut to 1.00 shows 5.00, people 5.00, demand 10.00, no finding; the same project set manually to 5.00 gives the same three numbers and the same silence. A study needing ten people and staffed with five looked exactly like a study that only ever needed five. TWO OPTIONS WERE PUT AND NEITHER WAS TAKEN AS PUT. A tab of discrepancies is the surface you visit only once you already suspect a problem, and the findings report is already the list of everything wrong; a note in the hover pop-ups is right that the note belongs where the figure is, but a note you must hover for is nearly as silent as a tab. So: a RULE, a MARK, a TILE and a SECTION. V-34 rides four surfaces that already exist. The figure carries a mark in Resource by project and a dashed outline on the project's own utilisation chart, so nothing has to be hovered. A tile counts it beside the allocation tiles. And 'Standard vs staffed' sits on Overall under the tiles, listing every month. EVERY ROW OPENS THE MONTH AND LETS IT BE FIXED THERE - the requester's own addition, and the part that makes it a working surface rather than a report. The stated figures behind the gap are ORDINARY contenteditable cells over MonthlyEstimate, so the existing editing path validates, logs, marks and undoes them and there is no second way to change a figure. The dialog redraws itself after an edit; a panel still showing the gap you had just closed would read as an edit that did nothing. BOTH DIRECTIONS, COUNTED APART AND NEVER NETTED. Five short in September against five over in October sums to zero and is not a plan in balance - the tests hold that case explicitly. Amber for short and red for over, each with an arrow, because those two hues are the confusable pair and they are exactly the two directions (D-04). IT REPORTS AND NEVER GATES. A warning, so refuses() is false and Save is not held: departing from the standard is the point of a manual figure, and which figure is right is not the application's judgement. An all-automatic plan raises nothing, which is what keeps the rule worth reading. No calculation change and no figure moves. tools/test_gap.py is new: 32 checks, including that the month equals its people's sum in every state the fixture can reach.</t>
        </is>
      </c>
      <c r="F26" s="10" t="inlineStr">
        <is>
          <t>Superseded by v2.51</t>
        </is>
      </c>
    </row>
    <row r="27">
      <c r="A27" s="8" t="inlineStr">
        <is>
          <t>2.49</t>
        </is>
      </c>
      <c r="B27" s="8" t="inlineStr">
        <is>
          <t>2026-09-06</t>
        </is>
      </c>
      <c r="C27" s="8" t="inlineStr">
        <is>
          <t>Claude Code</t>
        </is>
      </c>
      <c r="D27" s="8" t="inlineStr">
        <is>
          <t>Pending</t>
        </is>
      </c>
      <c r="E27" s="9" t="inlineStr">
        <is>
          <t>R-41, REQ-DSH-14 EXTENDED: THE DERIVATION COLUMN NOW CARRIES THE WHOLE EXPRESSION, TERM BY TERM, rather than the period alone. Naming the period answered one of six inputs, and a reader who disagrees with an automatic figure needs to know WHICH of the six they disagree with. The project's month reads 'Before-Start-up (standard 2.02) × period weight (1.12) × month run (1.00) = 2.26'; a person's adds a second line, 'role factor (0.72) ÷ sharers (1) × person weight (0.25, no override) × coverage (1.00) = 18.3% of it → 0.41'. TWO HALVES, AND THE SPLIT IS THE CORRECTNESS OF IT. Since R-32 a person's figure is NOT the product of their own terms: those terms make a CLAIM, normalised against every other claim on the project-month to give a SHARE (REQ-CAL-19). The terms above multiply to 0.18 and the figure is 0.41. Written as one product the cell would assert an arithmetic the application does not do and would be wrong by whatever the other claims came to - so the demand is closed off with its own '=', and the person's terms end in a PERCENTAGE of it. AN OVERRIDE IS ONE TERM WITH TWO SOURCES, not two multiplied terms. A PersonPeriodWeight window REPLACES person_weight for the months it covers (REQ-PSN-05); the request asked for it as its own factor, which would have read as a multiplication that does not happen, so the cell names both values and says which was used: 'weight override (0.50, replacing person weight 1.00)'. EVERY FALLBACK NOW SAYS IT IS ONE and names its rule - V-19 for a missing standard, V-23 for a missing role factor, V-12 for a month in no period. A bare 1.00 is indistinguishable from a standard that really is 1.00, which is the whole reason those rules exist. Absorbed cover is named too, with the roles it came from (REQ-CAL-16). The sharer count KEEPS its own short column: the derivation is a sentence, and a sentence cannot be sorted or filtered, while '2 share this role' can. The cost of the change is that the derivation column is no longer a useful filter - it is now nearly unique per row - which is why the short column stays. No calculation change and no figure moves.</t>
        </is>
      </c>
      <c r="F27" s="8" t="inlineStr">
        <is>
          <t>Superseded by v2.50</t>
        </is>
      </c>
    </row>
    <row r="28">
      <c r="A28" s="10" t="inlineStr">
        <is>
          <t>2.48</t>
        </is>
      </c>
      <c r="B28" s="10" t="inlineStr">
        <is>
          <t>2026-09-06</t>
        </is>
      </c>
      <c r="C28" s="10" t="inlineStr">
        <is>
          <t>Claude Code</t>
        </is>
      </c>
      <c r="D28" s="10" t="inlineStr">
        <is>
          <t>Pending</t>
        </is>
      </c>
      <c r="E28" s="11" t="inlineStr">
        <is>
          <t>R-40, REQ-DSH-14: THREE LOOKUP COLUMNS, SO A TABLE SHOWING A FIGURE CAN SAY WHAT DECIDED ITS SIZE. Every figure in this application is standard FTE x period weight x (role factor / sharers) x person weight x month coverage, and three tables each showed one term of that and left the rest in another tab. (1) THE PERIODS TABLE now names the STANDARD MONTHLY FTE its period selects, beside the weight, and multiplies the two: 'Start-up 1.12 | 2.02 -&gt; 2.26 a month'. A row reading 'x1.12' said this study is an eighth heavier than usual and did not say heavier than WHAT - answerable only by leaving the tab and reading a 48-row matrix on General assumptions for one figure. (2) BOTH MONTHLY ESTIMATION PANELS name the PERIOD the month falls in and its weight, and (3) THE PERSON'S ALSO NAMES THE DIVISOR - how many people held that role that month. Those are the two usual explanations for a figure that is not the size somebody expected: the month moved into a heavier period, or a second holder arrived and halved the share. The project's panel deliberately does NOT carry the divisor: a project month is divided between several roles, each with its own count, so one number there would average things that do not compare. LOOKED UP, NEVER STORED. None of the three is a column of the sheet it sits beside, and the tests hold them to that - a standard copied onto a ProjectPeriod row would survive the standards being edited afterwards, which is the whole failure the lookup avoids. Read off the calculation's own lines, so a screen cannot name one period while the figure beside it came from another; calculate() now hands out periodAt for the one case the lines cannot answer, a manual project month with nobody assigned to it (V-32). A missing standard says 'none - V-19' rather than printing the 1.00 the calculation falls back to; that fallback is a degradation and showing it as a standard would hide exactly what V-19 reports. No calculation change and no figure moves. tools/test_lookup.py is new: a three-month fixture whose every figure is workable by hand, checking each column against the calculation's own line rather than against a plausible number.</t>
        </is>
      </c>
      <c r="F28" s="10" t="inlineStr">
        <is>
          <t>Superseded by v2.49</t>
        </is>
      </c>
    </row>
    <row r="29">
      <c r="A29" s="8" t="inlineStr">
        <is>
          <t>2.47</t>
        </is>
      </c>
      <c r="B29" s="8" t="inlineStr">
        <is>
          <t>2026-09-05</t>
        </is>
      </c>
      <c r="C29" s="8" t="inlineStr">
        <is>
          <t>Claude Code</t>
        </is>
      </c>
      <c r="D29" s="8" t="inlineStr">
        <is>
          <t>Pending</t>
        </is>
      </c>
      <c r="E29" s="9" t="inlineStr">
        <is>
          <t>R-39, PROJECT AND PERSON FIGURES KEPT CONSISTENT, AND SAID TO BE. (1) THE FIRST REQUEST WAS ALREADY THE BEHAVIOUR, which is worth recording rather than quietly re-implementing: a manual PROJECT month has always realigned every person on it, including anyone whose own figure is manual, because applyManual applies the assignment level first and then scales the whole group to the project's stated total. Verified: project set to 10.00 with a person stating 99.00 gives the person 9.97 and the month 10.00. The project figure is the mother figure and wins. (2) WHAT WAS MISSING IS THAT NOTHING SAID SO. The sheet held 99.00, the chart showed 9.97, and nothing connected them. Now V-33 reports it; the Monthly estimation panel carries a table of stated against actually-given against the project's month; the cell is marked; and editing such a figure SOFT-STOPS at the cell - naming both numbers, offering Keep what I typed or Put it back. It never refuses: both numbers were typed deliberately and which is wrong is not the application's judgement. The finding reaches the findings report and the archived change log, so it is on the record either way. (3) automatic_fte and difference in the Monthly estimation tables were the last four-place figures on screen and are now two, like everything else (REQ-CAL-20). A stated 2.41 beside an automatic 2.4120 read as a discrepancy the user had caused rather than as four decimals nothing else uses. One defect found by testing the undo rather than by reading it: rebuild() makes fresh row objects, so the row reference captured before it was orphaned and 'Put it back' silently did nothing. It re-finds the row by number now.</t>
        </is>
      </c>
      <c r="F29" s="8" t="inlineStr">
        <is>
          <t>Superseded by v2.48</t>
        </is>
      </c>
    </row>
    <row r="30">
      <c r="A30" s="10" t="inlineStr">
        <is>
          <t>2.46</t>
        </is>
      </c>
      <c r="B30" s="10" t="inlineStr">
        <is>
          <t>2026-09-05</t>
        </is>
      </c>
      <c r="C30" s="10" t="inlineStr">
        <is>
          <t>Claude Code</t>
        </is>
      </c>
      <c r="D30" s="10" t="inlineStr">
        <is>
          <t>Pending</t>
        </is>
      </c>
      <c r="E30" s="11" t="inlineStr">
        <is>
          <t>R-38, THREE REQUESTS. (1) THE IN-APP EXPORT OF THE CHANGE LOG IS REMOVED. The archive is written at every save, so a button handing over the same record afterwards was a second answer to one question and always the staler of the two. The menu items, the date range, the CSV download and the code behind them are gone rather than hidden. (2) THE ARCHIVE IS ONE FOLDER FOR THE INSTALLATION, beside users/ rather than inside any one person's copy of it - the layout PRAP_DATA and the shared-drive deployment already assume (NR-DEP-15). A log split per person answers 'what did I do' and not 'what happened to this plan', and on a shared deployment only the second question is worth asking; every row already names who made the change. NOT YET BUILT, and stated so the gap is not mistaken for done: a CENTRAL SERVER needs network binding, real authentication and sessions, per-user authorisation and concurrent-write handling. The shell today binds to 127.0.0.1 and refuses non-loopback Host headers BY DESIGN - that refusal is what makes an open socket on a company laptop defensible - and 'login' is the Windows account name, a label rather than an authentication. Replacing that is a security-sensitive piece of work to be specified before it is started. (3) REQ-CAL-20, THE DECIMAL RULE - see the requirement for the whole of it. EVERY FIGURE IN EVERY PLAN MOVES slightly: the 62-project fixture goes 4,333.46 to 4,333.77 FTE-months and the 10x10 fixture 713.94 to 713.78, which is the rounding and nothing else. Checked on the 62-project fixture: all 7,001 lines are whole hundredths, all 1,629 project-months have their lines summing to the month with nothing left over, and all 1,557 automatic months still equal standard x weight x month_run to the hundredth. All four implementations agree line for line - 7,001 lines and 1,629 project-months identical between the browser and prap_io.</t>
        </is>
      </c>
      <c r="F30" s="10" t="inlineStr">
        <is>
          <t>Superseded by v2.47</t>
        </is>
      </c>
    </row>
    <row r="31">
      <c r="A31" s="8" t="inlineStr">
        <is>
          <t>2.45</t>
        </is>
      </c>
      <c r="B31" s="8" t="inlineStr">
        <is>
          <t>2026-09-05</t>
        </is>
      </c>
      <c r="C31" s="8" t="inlineStr">
        <is>
          <t>Claude Code</t>
        </is>
      </c>
      <c r="D31" s="8" t="inlineStr">
        <is>
          <t>Pending</t>
        </is>
      </c>
      <c r="E31" s="9" t="inlineStr">
        <is>
          <t>R-37, THE POP-UPS NAME THE PROJECT PERIOD. Every figure in this application is standard FTE x PERIOD WEIGHT x the month the project ran, so the period is the row of the plan that decided the size of whatever is being hovered over - and it was the one thing the pop-ups did not say. A reader who thought a month looked heavy had to leave the chart, find the project and read its periods to learn the month was mid-Conduct. All four charts named in the request now carry it: both Overall stacks, and Utilisation on each source-data tab. The WEIGHT goes with the name, because the two are one fact - which row applied, and what it did to the figure. READ FROM THE CALCULATION, not looked up again. calculate() already stamped period_name on every line, so it now also returns projPeriod (project|month -&gt; name and weight) built from those same lines, exactly as projMonth and persMonth are. A second lookup could name one period while the number beside it came from another; this cannot. Checked on 154 project-months against S.calc.lines, all matching, and the check fails if the tooltip line is removed. WHERE ONE BAND SPANS SEVERAL PROJECTS - the person stack and the person Utilisation chart - the period is tagged against EACH PROJECT rather than against the band, because a person's month is made of projects that need not be in the same period as each other; the delivered fixture has a person in Conduct (final) on one project and Conduct (interim) on another in the same month. A month belonging to no period says so and names V-12, rather than leaving a blank that reads as a defect in the chart. No figure moves.</t>
        </is>
      </c>
      <c r="F31" s="8" t="inlineStr">
        <is>
          <t>Superseded by v2.46</t>
        </is>
      </c>
    </row>
    <row r="32">
      <c r="A32" s="10" t="inlineStr">
        <is>
          <t>2.44</t>
        </is>
      </c>
      <c r="B32" s="10" t="inlineStr">
        <is>
          <t>2026-09-04</t>
        </is>
      </c>
      <c r="C32" s="10" t="inlineStr">
        <is>
          <t>Claude Code</t>
        </is>
      </c>
      <c r="D32" s="10" t="inlineStr">
        <is>
          <t>Pending</t>
        </is>
      </c>
      <c r="E32" s="11" t="inlineStr">
        <is>
          <t>R-36, A CHANGE LOG AND COLUMN FILTERS. Two requests; no figure moves for either. (1) THE CHANGE LOG. Every saved change is recorded - the time in UTC, who, which RECORD (its natural key, not its spreadsheet row: inserting a row renumbers everything under it and PRJ-004 does not move), which column, and the value before and after - together with the errors and warnings standing at each save and which of them the user was asked about and chose to keep. It is NOT S.pending: that is emptied at every save because its job is 'what is not saved yet', and this is only ever appended to, with a save being what WRITES it rather than what clears it. Asked for as an in-app tab first and then narrowed by the requester to 'in memory while the session runs, archived to a local folder on Save, CSV is enough' - so there is no tab and no schema change. THE DESKTOP SHELL archives it: an `audit` folder beside the workspaces, one CSV a month, header written when the file is created and rows APPENDED at every save. THE BROWSER CANNOT do that - a file:// page has no folder and cannot append to one - so it holds the record for the session and hands it over from Export, narrowed by a date range, which was the other half of the request. A failed archive never fails a save: the entries stay and the next save carries them too. WHO: the desktop shell takes the Windows account it already signed in with; the browser asks once, in the EDIT BAR rather than in a dialog - a modal blocks the cell being typed into, and a floating card sits on top of the table. Both were built and both were wrong before the bar was tried. (2) COLUMN FILTERS on the six tables named: Projects, Monthly estimation (both tabs), People, Standard period FTE for project types and Role factors. A spreadsheet's filter - tick the values to keep, different columns narrow together, and the values offered are what the OTHER columns leave reachable. It narrows the TABLE and not the plan: the charts and totals above are unchanged, because a row hidden here is still in the plan, and the horizon-and-filters bar remains the one control that changes what the figures mean. Two new suites, test_audit.py and test_colfilter.py; the storage seam budget in test_layers.py re-baselined 150 -&gt; 220 and the reason recorded, since the seam legitimately gained a third responsibility.</t>
        </is>
      </c>
      <c r="F32" s="10" t="inlineStr">
        <is>
          <t>Superseded by v2.45</t>
        </is>
      </c>
    </row>
    <row r="33">
      <c r="A33" s="8" t="inlineStr">
        <is>
          <t>2.43</t>
        </is>
      </c>
      <c r="B33" s="8" t="inlineStr">
        <is>
          <t>2026-09-04</t>
        </is>
      </c>
      <c r="C33" s="8" t="inlineStr">
        <is>
          <t>Claude Code</t>
        </is>
      </c>
      <c r="D33" s="8" t="inlineStr">
        <is>
          <t>Pending</t>
        </is>
      </c>
      <c r="E33" s="9" t="inlineStr">
        <is>
          <t>R-35, TWO FAULTS IN THE DATE PICKER, both reported from the field and both reproduced before being touched. (1) THE MONTH ARROWS MOVED ONE MONTH AND NO FURTHER. step() re-read the cell and snapped the grid back to the cell's own month before stepping, so a cell holding 2026-09-01 went to August and stayed at August however many times the arrow was pressed - a date several months away could not be reached by navigating at all. It had a workaround that did not work: blank the cell, render, put the text back, which step() then defeated by re-reading before it rendered. The grid now knows WHO IS STEERING - the cell while it is being opened or typed into, the user while they are working the arrows - and the cell keeps its text throughout. (2) 'TODAY' WROTE THE DATE IN GREENWICH, not on the user's clock. ymd() is toISOString(), which is right for every other date in the application because those are built with Date.UTC(); `new Date()` is an instant, and putting an instant through a UTC formatter asks what day it is in London. In Seoul before 09:00 that is yesterday; in Los Angeles after 17:00 it is tomorrow. The local getters now read the date off the user's own calendar and Date.UTC puts it back into the form the rest of the application stores. The same figure highlights today in the grid and opens an empty cell on the right month. NO CALCULATION CHANGES. test_ui.py gains both: five clicks must move five months (the old test stepped ONCE, which is why this passed for so long - one step did work), and Today is checked in three time zones on a pinned clock, because CI keeps UTC and in UTC the wrong answer and the right one are the same answer. Both verified to fail against the old code.</t>
        </is>
      </c>
      <c r="F33" s="8" t="inlineStr">
        <is>
          <t>Superseded by v2.44</t>
        </is>
      </c>
    </row>
    <row r="34">
      <c r="A34" s="10" t="inlineStr">
        <is>
          <t>2.42</t>
        </is>
      </c>
      <c r="B34" s="10" t="inlineStr">
        <is>
          <t>2026-09-04</t>
        </is>
      </c>
      <c r="C34" s="10" t="inlineStr">
        <is>
          <t>Claude Code</t>
        </is>
      </c>
      <c r="D34" s="10" t="inlineStr">
        <is>
          <t>Pending</t>
        </is>
      </c>
      <c r="E34" s="11" t="inlineStr">
        <is>
          <t>R-34, THE PROJECT DEMAND CHART SAYS WHAT ITS MONTH CAME TO. 'Monthly demand by person' ended its pop-up with a rule and the month's total across everyone in view, and gave each band its share of that month; 'Monthly demand by project' gave neither, only the band's own figure. A band read on its own cannot say whether the month came to five FTE or to fifty, which is the question a stacked chart exists to answer - so the reader had to leave the chart and find the Overall table to interpret what they were hovering over. Both are added, worded to match the person chart. The total is summed over every project IN VIEW rather than over the bands actually drawn, for the same reason the person chart sums over every person in view: so the two pop-ups report the SAME figure for a given month, which is what the panel caption already claims about these two charts. Checked on the 10x10 fixture - 24 months, every one identical between the two, and the per-band shares summing to 100% (+/-1, rounding to a whole percent) in all 24. NO FIGURE CHANGES: the total is the sum the chart was already drawing. test_charts.py gains two checks. It already compared the two charts as DRAWN, in pixel heights; these compare what they SAY, which is what a reader acts on - that every band states a month total, and that the total it states is the one the person chart states for that month. Both were verified to fail with the line removed from the build.</t>
        </is>
      </c>
      <c r="F34" s="10" t="inlineStr">
        <is>
          <t>Superseded by v2.43</t>
        </is>
      </c>
    </row>
    <row r="35">
      <c r="A35" s="8" t="inlineStr">
        <is>
          <t>2.41</t>
        </is>
      </c>
      <c r="B35" s="8" t="inlineStr">
        <is>
          <t>2026-09-04</t>
        </is>
      </c>
      <c r="C35" s="8" t="inlineStr">
        <is>
          <t>Claude Code</t>
        </is>
      </c>
      <c r="D35" s="8" t="inlineStr">
        <is>
          <t>Pending</t>
        </is>
      </c>
      <c r="E35" s="9" t="inlineStr">
        <is>
          <t>R-33, WHAT THE STANDARDS SHEET IS CALLED, and the notes that describe the calculation. Three things the reviewer reported after using v2.40, none of them arithmetic - every figure in this revision is unchanged, checked at 4,333.46 FTE-months on the 62-project fixture before and after. (1) SHEET RENAMED PeriodWeightStandard -&gt; PeriodFTEStandard, and the panel over it from 'Standard period weights' to 'Standard period FTE for project types'. Schema 10 renamed the COLUMN to standard_fte when it became clear the sheet holds a magnitude in FTE rather than a multiplier; the sheet and the panel went on saying 'weight', which is the reading that made the standards look ignorable in the first place - R-32 exists because of it. Source schema version steps 10 to 11. A schema 10 workbook still opens: the old sheet name is translated on the way in and the reader is told once, exactly as a renamed column is. (2) THE CALCULATION NOTES on the monthly-estimation panels still described the pre-R-32 formula - four factors multiplied together - which has not been how a figure is arrived at since v2.40. They now state it as it is, and separately for the two levels, because under R-32 the two genuinely differ: a PROJECT month is standard FTE x period weight x the part of the month the project ran, and an ASSIGNMENT month is that month divided by share, the share being (role factor / sharers) x person weight x coverage against everyone else's. Same correction to the automatic_fte and ProjectPeriod.weight column help and to the switch-back dialog. (3) THE WINDOW CHROME OVERLAPPED THE PAGE in the Python shell. Its menu bar and status strip are sticky at the top of the window and the page's own sticky band - the edit bar and the four tabs - pinned itself to the same place with a lower z-index, so scrolling slid the tabs and the Save button underneath the File menu. The band now sits below the chrome, at the chrome's MEASURED height: both bars wrap, so a constant would have been wrong exactly when it mattered.</t>
        </is>
      </c>
      <c r="F35" s="8" t="inlineStr">
        <is>
          <t>Issued for review</t>
        </is>
      </c>
    </row>
    <row r="36">
      <c r="A36" s="10" t="inlineStr">
        <is>
          <t>2.39</t>
        </is>
      </c>
      <c r="B36" s="10" t="inlineStr">
        <is>
          <t>2026-09-02</t>
        </is>
      </c>
      <c r="C36" s="10" t="inlineStr">
        <is>
          <t>Claude Code</t>
        </is>
      </c>
      <c r="D36" s="10" t="inlineStr">
        <is>
          <t>Pending</t>
        </is>
      </c>
      <c r="E36" s="11" t="inlineStr">
        <is>
          <t>R-31, REQ-CAL-19, SCHEMA 10: THE STANDARD IS WHERE A FIGURE GETS ITS SIZE, and until now it reached no figure at all. PeriodWeightStandard seeded a derived period's weight and fed V-19, and that was the whole of it: every number the application produced came from ProjectPeriod.weight times the role factors, which is a relative SHAPE with no magnitude behind it. Reported by the reviewer. Two things were wrong and the naming was most of the cause. The column was called `weight`, which reads like something to multiply by, so the calculation multiplied by the PROJECT's weight and never asked the standards sheet anything; and the delivered data seeded the project weight FROM the standard, so the two columns held the same number twice and reading both would have squared it. The column is now `standard_fte` and holds the month's DEMAND in FTE - 4.02 against NewDrug CT Phase 3 Start-up means that period takes about four full-time people a month. The formula becomes standard_fte x period weight x role_share x person weight x month coverage, where role_share is this role's effective factor divided by the people holding it, over the sum of the effective factors of the roles ACTUALLY STAFFED. Three consequences, each a decision the reviewer took: the shares add to one, so a fully committed project-month IS standard x period weight however many roles are on it; an unstaffed role's work lands on the others rather than making the project cheaper, which is REQ-CAL-16 arriving by construction (absorbed_by still decides WHERE it lands); and person_weight scales that person's share, so a part-time commitment leaves the project SHORT of its standard, which is the gap worth seeing. A missing standard falls back to 1.00 and V-19 reports it - deliberately the old behaviour, so an incomplete standards sheet degrades to figures its author recognises rather than to zero. stdWeight now nulls the phase for a non-clinical type exactly as stdFactor does; that cost nothing while the figure only seeded a period and is the difference between a real answer and 1.00 now. The delivered defaults are re-authored throughout: the standards carry FTE magnitudes, ProjectPeriod.weight becomes an adjustment around 1.00, and 'Others' projects gain the standards they never had. A schema 9 file still opens - the column is renamed on the way in. NOTE FOR THE REVIEWER: with real magnitudes the delivered 62-project / 20-person example is resourced at 17% of its own standard, which is arithmetic rather than a defect - 62 concurrent trials at these standards need about 59 people. The fixture keeps the size that was requested; the staffing assumptions are a data decision.</t>
        </is>
      </c>
      <c r="F36" s="10" t="inlineStr">
        <is>
          <t>Issued for review</t>
        </is>
      </c>
    </row>
    <row r="37">
      <c r="A37" s="8" t="inlineStr">
        <is>
          <t>2.38</t>
        </is>
      </c>
      <c r="B37" s="8" t="inlineStr">
        <is>
          <t>2026-08-30</t>
        </is>
      </c>
      <c r="C37" s="8" t="inlineStr">
        <is>
          <t>Claude Code</t>
        </is>
      </c>
      <c r="D37" s="8" t="inlineStr">
        <is>
          <t>Pending</t>
        </is>
      </c>
      <c r="E37" s="9" t="inlineStr">
        <is>
          <t>R-30, REQ-CAL-18, SCHEMA 9: A FIGURE CAN BE STATED INSTEAD OF CALCULATED. Until now every monthly FTE came from the assumptions, and on a project two years in that is often the worse of the two available answers - the manager knows what the rest of it takes, and a standard period weight multiplied by a standard role factor does not. Project and Assignment each gain estimation_type ('automatic' or 'manual'), and a new sheet MonthlyEstimate carries the stated figures, keyed on (scope, ref_id, month) so one sheet serves both levels. TWO LEVELS, applied in that order: an ASSIGNMENT figure IS that person's contribution and replaces the multiplication outright; a PROJECT figure is the whole month, and the people on it are SCALED so they still add up to it - chosen over the alternatives because a project total that did not equal the sum of its people would put the two utilisation charts in disagreement and cost the results export its one real guarantee. The scaling factor is recorded on every line, so a person whose figure moved without anything of their own changing can find out why. MANUAL IS ALL OR NOTHING for the thing it is set on: switching copies EVERY month across from the figures currently on screen - to TWO DECIMAL PLACES, because a stated figure is one somebody reads and edits and 0.01 FTE is already 1.6 hours, so a month can move by up to 0.005 FTE at the moment of switching - so nothing jumps, and switching back discards the lot. That was chosen over per-month marking deliberately - once a figure has been edited, 'which months are still automatic' has no useful answer, because those would still move under a plan somebody has signed off whenever an assumption changed. What the user takes on in exchange is responsibility for all of them, and the confirmation says so in those words. EVERY CHANGE OF CALCULATION WAY IS CONFIRMED, in both directions, and typing 'manual' into the cell opens the same dialog rather than setting the flag - the flag without the copy would count every month as 0.00, which is the one change in the application that could silently zero a figure. V-31 reports a manual thing with a month carrying no figure; V-32 a project figure in a month nobody is assigned to, which cannot be shared out and is therefore NOT applied. Both are raised from the calculation, like V-23, because they are things that happened to a number. The stated figures round-trip through the source export, and the results export gains four columns - estimation, automatic_fte, project_manual_total, project_scale - so a reader can see which rows were stated, at which level, and what the assumptions would have said instead. Nothing moves on a file that uses none of it: test_app.py's four-way comparison agrees on all 1,227 and 441 person-months, and both dummy sets now carry a manual project and a manual assignment so the rule is under that comparison rather than in one unit test.</t>
        </is>
      </c>
      <c r="F37" s="8" t="inlineStr">
        <is>
          <t>Issued for review</t>
        </is>
      </c>
    </row>
    <row r="38">
      <c r="A38" s="10" t="inlineStr">
        <is>
          <t>2.37</t>
        </is>
      </c>
      <c r="B38" s="10" t="inlineStr">
        <is>
          <t>2026-08-28</t>
        </is>
      </c>
      <c r="C38" s="10" t="inlineStr">
        <is>
          <t>Claude Code</t>
        </is>
      </c>
      <c r="D38" s="10" t="inlineStr">
        <is>
          <t>Pending</t>
        </is>
      </c>
      <c r="E38" s="11" t="inlineStr">
        <is>
          <t>R-29, REQ-OUT-06: THE APPLICATION EXPORTS ITS ANSWERS AS WELL AS ITS QUESTIONS. Until now Export meant one thing - the plan, so it could come back - and there was no way to get the monthly figures out for a report, a spreadsheet or somebody else's model short of reading them off the screen. The export control is now a MENU with the choice on it: the plan as .xlsx or as the interchange file, both of which round-trip, or the CALCULATED MONTHLY FTE, which deliberately does not. Each item says which it is, so the choice can be made without trying it. The results workbook carries seven sheets: a ReadMe that states it cannot be imported and gives the formula; Summary, the Overall tab's tiles as figures; ProjectMonth and PersonMonth, one row each per month; DETAIL, one row per assignment per month carrying every term of the multiplication that produced it - period weight, the role factor before and after absorption, the number of sharers, the person weight and which row it came from, the month coverage; Flags, the over-allocated months and under-allocated runs; and Assumptions, the settings in force, marked for whether each one changed a figure or only its display. Two properties are held by test_results.py rather than asserted: every project-month and person-month is EXACTLY the sum of its Detail rows and all four totals in the file are the same number - the monthly sheets are summed FROM the detail rather than from the engine, so a reader who adds the column gets the total - and every Detail row reconciles to its own four numbers. The file covers what was ON SCREEN, horizon and filters included, and the ReadMe names them, so a file that has left the building can still say what it does and does not cover. The calculation now records each term as it works it out (calculate() returns `lines`), because an explanation assembled afterwards from the sheets could drift from the figure it claims to explain.</t>
        </is>
      </c>
      <c r="F38" s="10" t="inlineStr">
        <is>
          <t>Issued for review</t>
        </is>
      </c>
    </row>
    <row r="39">
      <c r="A39" s="8" t="inlineStr">
        <is>
          <t>2.36</t>
        </is>
      </c>
      <c r="B39" s="8" t="inlineStr">
        <is>
          <t>2026-08-28</t>
        </is>
      </c>
      <c r="C39" s="8" t="inlineStr">
        <is>
          <t>Claude Code</t>
        </is>
      </c>
      <c r="D39" s="8" t="inlineStr">
        <is>
          <t>Pending</t>
        </is>
      </c>
      <c r="E39" s="9" t="inlineStr">
        <is>
          <t>R-28, REQ-IMP-14: AN IMPORT SAYS WHICH SETTINGS IT BROUGHT WITH IT. Config stays in the source workbook and an import still applies it - that is deliberate and is what makes a plan reproducible from the file alone. What was missing was being told. A Config row is not like any other row in the file: every other sheet describes the PLAN, and replacing it is the point of an import, while Config describes how the plan is READ. Two of its settings switch calculation rules on and off and three more set the thresholds every allocation flag is measured against, so importing a colleague's workbook to look at their projects took their thresholds with it and every figure and flag on the screen shifted for a reason that was nowhere on it. Now the settings in force are captured before the model is replaced, compared by name afterwards, and any that differ are named on the banner with a screen of their own: what each one was, what it is now, and what it affects - calculation, flags or display only. Nothing is refused. It is a check, not a gate. Done in adopt(), which every import path funnels through - the web picker, the Python shell's open, a version restore and the difference report's apply - so it is asked once and asked of all of them. A first load has nothing to compare against and says nothing; a blank start counts as a baseline, because somebody who started blank, entered a plan and then imported over it is exactly who this is for. Also in this version: the reviewer confirmed that the display unit needs neither to survive an edit nor to reach the exported file - it is information while the application is open - so REQ-CAL-08 is unchanged and only the wording that read '3 informations' is corrected.</t>
        </is>
      </c>
      <c r="F39" s="8" t="inlineStr">
        <is>
          <t>Issued for review</t>
        </is>
      </c>
    </row>
    <row r="40">
      <c r="A40" s="10" t="inlineStr">
        <is>
          <t>2.35</t>
        </is>
      </c>
      <c r="B40" s="10" t="inlineStr">
        <is>
          <t>2026-08-27</t>
        </is>
      </c>
      <c r="C40" s="10" t="inlineStr">
        <is>
          <t>Claude Code</t>
        </is>
      </c>
      <c r="D40" s="10" t="inlineStr">
        <is>
          <t>Pending</t>
        </is>
      </c>
      <c r="E40" s="11" t="inlineStr">
        <is>
          <t>R-26: THE NOTE ON capacity_unit WAS WRONG, and wrong in the way that matters - it named a value the application has never understood. It read "Display unit: 'FTE' or 'percent'"; the two values actually implemented are 'FTE' and 'hours', and anything else, 'percent' included, silently displays as FTE. So a user following the note would type a value, see nothing change, and have no way of telling whether they had misunderstood the setting or the setting was broken. The note now says what the unit IS: FTE is a WEIGHT, 1.00 being one person working a full month on the project, so ordinary values run about 0.1 to 1.0 - and 'hours' is that same weight multiplied by fte_hours_per_month. It also says the setting is display only. Corrected in the one place it is written and carried from there into the template, both dummy sets, the blank start's seed, this plan, the specification and the machine-readable contract. Template v1.11, dummies v1.13 and v1.5. No code and no figure changes. R-27, THE SAME REVIEW: the Configuration table no longer offers 'Delete' - or '+ row'. Nothing references a Config row, so V-17 had no hold on a deletion and nothing refused it; nothing reported it either, because every setting is read through a fallback to a built-in default. Measured on the 10x10 dummy with a house floor of 0.80 and the shared-role division turned off, deleting those two rows moved the total from 356.64 to 346.59 FTE-months and said nothing at all. Removing the control is a better answer than confirming it: there was never a good reason to press it, since the nine settings are read BY NAME and what a user changes is a VALUE, which stays as editable as any other cell. '+ row' goes with it because a row that can be created but never removed is a worse trap than the one being closed. New rule V-30 covers the case the control is no longer responsible for: a workbook that arrives without a setting, hand-edited or from a version that predates it, is told which default is in force.</t>
        </is>
      </c>
      <c r="F40" s="10" t="inlineStr">
        <is>
          <t>Issued for review</t>
        </is>
      </c>
    </row>
    <row r="41">
      <c r="A41" s="8" t="inlineStr">
        <is>
          <t>2.34</t>
        </is>
      </c>
      <c r="B41" s="8" t="inlineStr">
        <is>
          <t>2026-08-27</t>
        </is>
      </c>
      <c r="C41" s="8" t="inlineStr">
        <is>
          <t>Claude Code</t>
        </is>
      </c>
      <c r="D41" s="8" t="inlineStr">
        <is>
          <t>Pending</t>
        </is>
      </c>
      <c r="E41" s="9"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41" s="8" t="inlineStr">
        <is>
          <t>Issued for review</t>
        </is>
      </c>
    </row>
    <row r="42">
      <c r="A42" s="10" t="inlineStr">
        <is>
          <t>2.33</t>
        </is>
      </c>
      <c r="B42" s="10" t="inlineStr">
        <is>
          <t>2026-08-27</t>
        </is>
      </c>
      <c r="C42" s="10" t="inlineStr">
        <is>
          <t>Claude Code</t>
        </is>
      </c>
      <c r="D42" s="10" t="inlineStr">
        <is>
          <t>Pending</t>
        </is>
      </c>
      <c r="E42" s="11"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42" s="10" t="inlineStr">
        <is>
          <t>Issued for review</t>
        </is>
      </c>
    </row>
    <row r="43">
      <c r="A43" s="8" t="inlineStr">
        <is>
          <t>2.32</t>
        </is>
      </c>
      <c r="B43" s="8" t="inlineStr">
        <is>
          <t>2026-08-26</t>
        </is>
      </c>
      <c r="C43" s="8" t="inlineStr">
        <is>
          <t>Claude Code</t>
        </is>
      </c>
      <c r="D43" s="8" t="inlineStr">
        <is>
          <t>Pending</t>
        </is>
      </c>
      <c r="E43" s="9"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43" s="8" t="inlineStr">
        <is>
          <t>Issued for review</t>
        </is>
      </c>
    </row>
    <row r="44">
      <c r="A44" s="10" t="inlineStr">
        <is>
          <t>2.31</t>
        </is>
      </c>
      <c r="B44" s="10" t="inlineStr">
        <is>
          <t>2026-08-26</t>
        </is>
      </c>
      <c r="C44" s="10" t="inlineStr">
        <is>
          <t>Claude Code</t>
        </is>
      </c>
      <c r="D44" s="10" t="inlineStr">
        <is>
          <t>Pending</t>
        </is>
      </c>
      <c r="E44" s="11"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44" s="10" t="inlineStr">
        <is>
          <t>Issued for review</t>
        </is>
      </c>
    </row>
    <row r="45">
      <c r="A45" s="8" t="inlineStr">
        <is>
          <t>2.30</t>
        </is>
      </c>
      <c r="B45" s="8" t="inlineStr">
        <is>
          <t>2026-08-25</t>
        </is>
      </c>
      <c r="C45" s="8" t="inlineStr">
        <is>
          <t>Claude Code</t>
        </is>
      </c>
      <c r="D45" s="8" t="inlineStr">
        <is>
          <t>Pending</t>
        </is>
      </c>
      <c r="E45" s="9"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45" s="8" t="inlineStr">
        <is>
          <t>Issued for review</t>
        </is>
      </c>
    </row>
    <row r="46">
      <c r="A46" s="10" t="inlineStr">
        <is>
          <t>2.29</t>
        </is>
      </c>
      <c r="B46" s="10" t="inlineStr">
        <is>
          <t>2026-08-25</t>
        </is>
      </c>
      <c r="C46" s="10" t="inlineStr">
        <is>
          <t>Claude Code</t>
        </is>
      </c>
      <c r="D46" s="10" t="inlineStr">
        <is>
          <t>Pending</t>
        </is>
      </c>
      <c r="E46" s="11"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46" s="10" t="inlineStr">
        <is>
          <t>Issued for review</t>
        </is>
      </c>
    </row>
    <row r="47">
      <c r="A47" s="8" t="inlineStr">
        <is>
          <t>2.28</t>
        </is>
      </c>
      <c r="B47" s="8" t="inlineStr">
        <is>
          <t>2026-08-22</t>
        </is>
      </c>
      <c r="C47" s="8" t="inlineStr">
        <is>
          <t>Claude Code</t>
        </is>
      </c>
      <c r="D47" s="8" t="inlineStr">
        <is>
          <t>Pending</t>
        </is>
      </c>
      <c r="E47" s="9"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47" s="8" t="inlineStr">
        <is>
          <t>Issued for review</t>
        </is>
      </c>
    </row>
    <row r="48">
      <c r="A48" s="10" t="inlineStr">
        <is>
          <t>2.27</t>
        </is>
      </c>
      <c r="B48" s="10" t="inlineStr">
        <is>
          <t>2026-08-20</t>
        </is>
      </c>
      <c r="C48" s="10" t="inlineStr">
        <is>
          <t>Claude Code</t>
        </is>
      </c>
      <c r="D48" s="10" t="inlineStr">
        <is>
          <t>Pending</t>
        </is>
      </c>
      <c r="E48" s="11"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48" s="10" t="inlineStr">
        <is>
          <t>Issued for review</t>
        </is>
      </c>
    </row>
    <row r="49">
      <c r="A49" s="8" t="inlineStr">
        <is>
          <t>2.26</t>
        </is>
      </c>
      <c r="B49" s="8" t="inlineStr">
        <is>
          <t>2026-07-31</t>
        </is>
      </c>
      <c r="C49" s="8" t="inlineStr">
        <is>
          <t>Claude Code</t>
        </is>
      </c>
      <c r="D49" s="8" t="inlineStr">
        <is>
          <t>Pending</t>
        </is>
      </c>
      <c r="E49" s="9"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49" s="8" t="inlineStr">
        <is>
          <t>Issued for review</t>
        </is>
      </c>
    </row>
    <row r="50">
      <c r="A50" s="10" t="inlineStr">
        <is>
          <t>2.25</t>
        </is>
      </c>
      <c r="B50" s="10" t="inlineStr">
        <is>
          <t>2026-07-31</t>
        </is>
      </c>
      <c r="C50" s="10" t="inlineStr">
        <is>
          <t>Claude Code</t>
        </is>
      </c>
      <c r="D50" s="10" t="inlineStr">
        <is>
          <t>Pending</t>
        </is>
      </c>
      <c r="E50" s="11"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50" s="10" t="inlineStr">
        <is>
          <t>Superseded by v2.26</t>
        </is>
      </c>
    </row>
    <row r="51">
      <c r="A51" s="8" t="inlineStr">
        <is>
          <t>2.24</t>
        </is>
      </c>
      <c r="B51" s="8" t="inlineStr">
        <is>
          <t>2026-07-31</t>
        </is>
      </c>
      <c r="C51" s="8" t="inlineStr">
        <is>
          <t>Claude Code</t>
        </is>
      </c>
      <c r="D51" s="8" t="inlineStr">
        <is>
          <t>Pending</t>
        </is>
      </c>
      <c r="E51" s="9"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51" s="8" t="inlineStr">
        <is>
          <t>Superseded by v2.25</t>
        </is>
      </c>
    </row>
    <row r="52">
      <c r="A52" s="10" t="inlineStr">
        <is>
          <t>2.23</t>
        </is>
      </c>
      <c r="B52" s="10" t="inlineStr">
        <is>
          <t>2026-07-31</t>
        </is>
      </c>
      <c r="C52" s="10" t="inlineStr">
        <is>
          <t>Claude Code</t>
        </is>
      </c>
      <c r="D52" s="10" t="inlineStr">
        <is>
          <t>Pending</t>
        </is>
      </c>
      <c r="E52" s="11"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52" s="10" t="inlineStr">
        <is>
          <t>Superseded by v2.24</t>
        </is>
      </c>
    </row>
    <row r="53">
      <c r="A53" s="8" t="inlineStr">
        <is>
          <t>2.22</t>
        </is>
      </c>
      <c r="B53" s="8" t="inlineStr">
        <is>
          <t>2026-07-31</t>
        </is>
      </c>
      <c r="C53" s="8" t="inlineStr">
        <is>
          <t>Claude Code</t>
        </is>
      </c>
      <c r="D53" s="8" t="inlineStr">
        <is>
          <t>Pending</t>
        </is>
      </c>
      <c r="E53" s="9"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53" s="8" t="inlineStr">
        <is>
          <t>Superseded by v2.23</t>
        </is>
      </c>
    </row>
    <row r="54">
      <c r="A54" s="10" t="inlineStr">
        <is>
          <t>2.21</t>
        </is>
      </c>
      <c r="B54" s="10" t="inlineStr">
        <is>
          <t>2026-07-31</t>
        </is>
      </c>
      <c r="C54" s="10" t="inlineStr">
        <is>
          <t>Claude Code</t>
        </is>
      </c>
      <c r="D54" s="10" t="inlineStr">
        <is>
          <t>Pending</t>
        </is>
      </c>
      <c r="E54" s="11"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54" s="10" t="inlineStr">
        <is>
          <t>Superseded by v2.22</t>
        </is>
      </c>
    </row>
    <row r="55">
      <c r="A55" s="8" t="inlineStr">
        <is>
          <t>2.20</t>
        </is>
      </c>
      <c r="B55" s="8" t="inlineStr">
        <is>
          <t>2026-07-31</t>
        </is>
      </c>
      <c r="C55" s="8" t="inlineStr">
        <is>
          <t>Claude Code</t>
        </is>
      </c>
      <c r="D55" s="8" t="inlineStr">
        <is>
          <t>Pending</t>
        </is>
      </c>
      <c r="E55" s="9"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55" s="8" t="inlineStr">
        <is>
          <t>Superseded by v2.21</t>
        </is>
      </c>
    </row>
    <row r="56">
      <c r="A56" s="10" t="inlineStr">
        <is>
          <t>2.19</t>
        </is>
      </c>
      <c r="B56" s="10" t="inlineStr">
        <is>
          <t>2026-07-31</t>
        </is>
      </c>
      <c r="C56" s="10" t="inlineStr">
        <is>
          <t>Claude Code</t>
        </is>
      </c>
      <c r="D56" s="10" t="inlineStr">
        <is>
          <t>Pending</t>
        </is>
      </c>
      <c r="E56" s="11"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PeriodFTEStandard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56" s="10" t="inlineStr">
        <is>
          <t>Superseded by v2.20</t>
        </is>
      </c>
    </row>
    <row r="57">
      <c r="A57" s="8" t="inlineStr">
        <is>
          <t>2.18</t>
        </is>
      </c>
      <c r="B57" s="8" t="inlineStr">
        <is>
          <t>2026-07-31</t>
        </is>
      </c>
      <c r="C57" s="8" t="inlineStr">
        <is>
          <t>Claude Code</t>
        </is>
      </c>
      <c r="D57" s="8" t="inlineStr">
        <is>
          <t>Pending</t>
        </is>
      </c>
      <c r="E57" s="9"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57" s="8" t="inlineStr">
        <is>
          <t>Superseded by v2.19</t>
        </is>
      </c>
    </row>
    <row r="58">
      <c r="A58" s="10" t="inlineStr">
        <is>
          <t>2.17</t>
        </is>
      </c>
      <c r="B58" s="10" t="inlineStr">
        <is>
          <t>2026-07-31</t>
        </is>
      </c>
      <c r="C58" s="10" t="inlineStr">
        <is>
          <t>Claude Code</t>
        </is>
      </c>
      <c r="D58" s="10" t="inlineStr">
        <is>
          <t>Pending</t>
        </is>
      </c>
      <c r="E58" s="11"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58" s="10" t="inlineStr">
        <is>
          <t>Superseded by v2.18</t>
        </is>
      </c>
    </row>
    <row r="59">
      <c r="A59" s="8" t="inlineStr">
        <is>
          <t>2.16</t>
        </is>
      </c>
      <c r="B59" s="8" t="inlineStr">
        <is>
          <t>2026-07-31</t>
        </is>
      </c>
      <c r="C59" s="8" t="inlineStr">
        <is>
          <t>Claude Code</t>
        </is>
      </c>
      <c r="D59" s="8" t="inlineStr">
        <is>
          <t>Pending</t>
        </is>
      </c>
      <c r="E59" s="9"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59" s="8" t="inlineStr">
        <is>
          <t>Superseded by v2.17</t>
        </is>
      </c>
    </row>
    <row r="60">
      <c r="A60" s="10" t="inlineStr">
        <is>
          <t>2.15</t>
        </is>
      </c>
      <c r="B60" s="10" t="inlineStr">
        <is>
          <t>2026-07-31</t>
        </is>
      </c>
      <c r="C60" s="10" t="inlineStr">
        <is>
          <t>Claude Code</t>
        </is>
      </c>
      <c r="D60" s="10" t="inlineStr">
        <is>
          <t>Pending</t>
        </is>
      </c>
      <c r="E60" s="11"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60" s="10" t="inlineStr">
        <is>
          <t>Superseded by v2.16</t>
        </is>
      </c>
    </row>
    <row r="61">
      <c r="A61" s="8" t="inlineStr">
        <is>
          <t>2.14</t>
        </is>
      </c>
      <c r="B61" s="8" t="inlineStr">
        <is>
          <t>2026-07-31</t>
        </is>
      </c>
      <c r="C61" s="8" t="inlineStr">
        <is>
          <t>Claude Code</t>
        </is>
      </c>
      <c r="D61" s="8" t="inlineStr">
        <is>
          <t>Pending</t>
        </is>
      </c>
      <c r="E61" s="9"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61" s="8" t="inlineStr">
        <is>
          <t>Issued for review</t>
        </is>
      </c>
    </row>
    <row r="62">
      <c r="A62" s="10" t="inlineStr">
        <is>
          <t>2.13</t>
        </is>
      </c>
      <c r="B62" s="10" t="inlineStr">
        <is>
          <t>2026-07-31</t>
        </is>
      </c>
      <c r="C62" s="10" t="inlineStr">
        <is>
          <t>Claude Code</t>
        </is>
      </c>
      <c r="D62" s="10" t="inlineStr">
        <is>
          <t>Pending</t>
        </is>
      </c>
      <c r="E62" s="11"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62" s="10" t="inlineStr">
        <is>
          <t>Superseded by v2.14</t>
        </is>
      </c>
    </row>
    <row r="63">
      <c r="A63" s="8" t="inlineStr">
        <is>
          <t>2.12</t>
        </is>
      </c>
      <c r="B63" s="8" t="inlineStr">
        <is>
          <t>2026-07-31</t>
        </is>
      </c>
      <c r="C63" s="8" t="inlineStr">
        <is>
          <t>Claude Code</t>
        </is>
      </c>
      <c r="D63" s="8" t="inlineStr">
        <is>
          <t>Pending</t>
        </is>
      </c>
      <c r="E63" s="9"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63" s="8" t="inlineStr">
        <is>
          <t>Superseded by v2.13</t>
        </is>
      </c>
    </row>
    <row r="64">
      <c r="A64" s="10" t="inlineStr">
        <is>
          <t>2.11</t>
        </is>
      </c>
      <c r="B64" s="10" t="inlineStr">
        <is>
          <t>2026-07-31</t>
        </is>
      </c>
      <c r="C64" s="10" t="inlineStr">
        <is>
          <t>Claude Code</t>
        </is>
      </c>
      <c r="D64" s="10" t="inlineStr">
        <is>
          <t>Pending</t>
        </is>
      </c>
      <c r="E64" s="11"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64" s="10" t="inlineStr">
        <is>
          <t>Issued for review</t>
        </is>
      </c>
    </row>
    <row r="65">
      <c r="A65" s="8" t="inlineStr">
        <is>
          <t>2.10</t>
        </is>
      </c>
      <c r="B65" s="8" t="inlineStr">
        <is>
          <t>2026-07-31</t>
        </is>
      </c>
      <c r="C65" s="8" t="inlineStr">
        <is>
          <t>Claude Code</t>
        </is>
      </c>
      <c r="D65" s="8" t="inlineStr">
        <is>
          <t>Pending</t>
        </is>
      </c>
      <c r="E65" s="9"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65" s="8" t="inlineStr">
        <is>
          <t>Superseded by v2.11</t>
        </is>
      </c>
    </row>
    <row r="66">
      <c r="A66" s="10" t="inlineStr">
        <is>
          <t>2.9</t>
        </is>
      </c>
      <c r="B66" s="10" t="inlineStr">
        <is>
          <t>2026-07-31</t>
        </is>
      </c>
      <c r="C66" s="10" t="inlineStr">
        <is>
          <t>Claude Code</t>
        </is>
      </c>
      <c r="D66" s="10" t="inlineStr">
        <is>
          <t>Pending</t>
        </is>
      </c>
      <c r="E66" s="11"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66" s="10" t="inlineStr">
        <is>
          <t>Superseded by v2.10</t>
        </is>
      </c>
    </row>
    <row r="67">
      <c r="A67" s="8" t="inlineStr">
        <is>
          <t>2.8</t>
        </is>
      </c>
      <c r="B67" s="8" t="inlineStr">
        <is>
          <t>2026-07-31</t>
        </is>
      </c>
      <c r="C67" s="8" t="inlineStr">
        <is>
          <t>Claude Code</t>
        </is>
      </c>
      <c r="D67" s="8" t="inlineStr">
        <is>
          <t>Pending</t>
        </is>
      </c>
      <c r="E67" s="9"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67" s="8" t="inlineStr">
        <is>
          <t>Superseded by v2.9</t>
        </is>
      </c>
    </row>
    <row r="68">
      <c r="A68" s="10" t="inlineStr">
        <is>
          <t>2.7</t>
        </is>
      </c>
      <c r="B68" s="10" t="inlineStr">
        <is>
          <t>2026-07-31</t>
        </is>
      </c>
      <c r="C68" s="10" t="inlineStr">
        <is>
          <t>Claude Code</t>
        </is>
      </c>
      <c r="D68" s="10" t="inlineStr">
        <is>
          <t>Pending</t>
        </is>
      </c>
      <c r="E68" s="11"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68" s="10" t="inlineStr">
        <is>
          <t>Superseded by v2.8</t>
        </is>
      </c>
    </row>
    <row r="69">
      <c r="A69" s="8" t="inlineStr">
        <is>
          <t>2.6</t>
        </is>
      </c>
      <c r="B69" s="8" t="inlineStr">
        <is>
          <t>2026-07-31</t>
        </is>
      </c>
      <c r="C69" s="8" t="inlineStr">
        <is>
          <t>Claude Code</t>
        </is>
      </c>
      <c r="D69" s="8" t="inlineStr">
        <is>
          <t>Pending</t>
        </is>
      </c>
      <c r="E69" s="9"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69" s="8" t="inlineStr">
        <is>
          <t>Superseded by v2.7</t>
        </is>
      </c>
    </row>
    <row r="70">
      <c r="A70" s="10" t="inlineStr">
        <is>
          <t>2.5</t>
        </is>
      </c>
      <c r="B70" s="10" t="inlineStr">
        <is>
          <t>2026-07-31</t>
        </is>
      </c>
      <c r="C70" s="10" t="inlineStr">
        <is>
          <t>Claude Code</t>
        </is>
      </c>
      <c r="D70" s="10" t="inlineStr">
        <is>
          <t>Pending</t>
        </is>
      </c>
      <c r="E70" s="11"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70" s="10" t="inlineStr">
        <is>
          <t>Issued for review</t>
        </is>
      </c>
    </row>
    <row r="71">
      <c r="A71" s="8" t="inlineStr">
        <is>
          <t>2.4</t>
        </is>
      </c>
      <c r="B71" s="8" t="inlineStr">
        <is>
          <t>2026-07-31</t>
        </is>
      </c>
      <c r="C71" s="8" t="inlineStr">
        <is>
          <t>Claude Code</t>
        </is>
      </c>
      <c r="D71" s="8" t="inlineStr">
        <is>
          <t>Pending</t>
        </is>
      </c>
      <c r="E71" s="9"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71" s="8" t="inlineStr">
        <is>
          <t>Issued for review</t>
        </is>
      </c>
    </row>
    <row r="72">
      <c r="A72" s="10" t="inlineStr">
        <is>
          <t>2.3</t>
        </is>
      </c>
      <c r="B72" s="10" t="inlineStr">
        <is>
          <t>2026-07-31</t>
        </is>
      </c>
      <c r="C72" s="10" t="inlineStr">
        <is>
          <t>Claude Code</t>
        </is>
      </c>
      <c r="D72" s="10" t="inlineStr">
        <is>
          <t>Pending</t>
        </is>
      </c>
      <c r="E72" s="11"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72" s="10" t="inlineStr">
        <is>
          <t>Issued for review</t>
        </is>
      </c>
    </row>
    <row r="73">
      <c r="A73" s="8" t="inlineStr">
        <is>
          <t>2.2</t>
        </is>
      </c>
      <c r="B73" s="8" t="inlineStr">
        <is>
          <t>2026-07-31</t>
        </is>
      </c>
      <c r="C73" s="8" t="inlineStr">
        <is>
          <t>Claude Code</t>
        </is>
      </c>
      <c r="D73" s="8" t="inlineStr">
        <is>
          <t>Pending</t>
        </is>
      </c>
      <c r="E73" s="9"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73" s="8" t="inlineStr">
        <is>
          <t>Issued for review</t>
        </is>
      </c>
    </row>
    <row r="74">
      <c r="A74" s="10" t="inlineStr">
        <is>
          <t>2.1</t>
        </is>
      </c>
      <c r="B74" s="10" t="inlineStr">
        <is>
          <t>2026-07-31</t>
        </is>
      </c>
      <c r="C74" s="10" t="inlineStr">
        <is>
          <t>Claude Code</t>
        </is>
      </c>
      <c r="D74" s="10" t="inlineStr">
        <is>
          <t>Pending</t>
        </is>
      </c>
      <c r="E74" s="11"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74" s="10" t="inlineStr">
        <is>
          <t>Issued for review</t>
        </is>
      </c>
    </row>
    <row r="75">
      <c r="A75" s="8" t="inlineStr">
        <is>
          <t>2.0</t>
        </is>
      </c>
      <c r="B75" s="8" t="inlineStr">
        <is>
          <t>2026-08-02</t>
        </is>
      </c>
      <c r="C75" s="8" t="inlineStr">
        <is>
          <t>Claude Code</t>
        </is>
      </c>
      <c r="D75" s="8" t="inlineStr">
        <is>
          <t>Dan</t>
        </is>
      </c>
      <c r="E75" s="9"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75" s="8" t="inlineStr">
        <is>
          <t>APPROVED 2026-08-02 by Dan - BASELINE</t>
        </is>
      </c>
    </row>
    <row r="76">
      <c r="A76" s="10" t="inlineStr">
        <is>
          <t>1.10</t>
        </is>
      </c>
      <c r="B76" s="10" t="inlineStr">
        <is>
          <t>2026-07-31</t>
        </is>
      </c>
      <c r="C76" s="10" t="inlineStr">
        <is>
          <t>Claude Code</t>
        </is>
      </c>
      <c r="D76" s="10" t="inlineStr">
        <is>
          <t>Pending</t>
        </is>
      </c>
      <c r="E76" s="11"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76" s="10" t="inlineStr">
        <is>
          <t>Issued for approval</t>
        </is>
      </c>
    </row>
    <row r="77">
      <c r="A77" s="8" t="inlineStr">
        <is>
          <t>1.9</t>
        </is>
      </c>
      <c r="B77" s="8" t="inlineStr">
        <is>
          <t>2026-07-31</t>
        </is>
      </c>
      <c r="C77" s="8" t="inlineStr">
        <is>
          <t>Claude Code</t>
        </is>
      </c>
      <c r="D77" s="8" t="inlineStr">
        <is>
          <t>Pending</t>
        </is>
      </c>
      <c r="E77" s="9"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77" s="8" t="inlineStr">
        <is>
          <t>Issued for approval</t>
        </is>
      </c>
    </row>
    <row r="78">
      <c r="A78" s="10" t="inlineStr">
        <is>
          <t>1.8</t>
        </is>
      </c>
      <c r="B78" s="10" t="inlineStr">
        <is>
          <t>2026-07-31</t>
        </is>
      </c>
      <c r="C78" s="10" t="inlineStr">
        <is>
          <t>Claude Code</t>
        </is>
      </c>
      <c r="D78" s="10" t="inlineStr">
        <is>
          <t>Pending</t>
        </is>
      </c>
      <c r="E78" s="11"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78" s="10" t="inlineStr">
        <is>
          <t>Superseded by v1.9</t>
        </is>
      </c>
    </row>
    <row r="79">
      <c r="A79" s="8" t="inlineStr">
        <is>
          <t>1.7</t>
        </is>
      </c>
      <c r="B79" s="8" t="inlineStr">
        <is>
          <t>2026-07-31</t>
        </is>
      </c>
      <c r="C79" s="8" t="inlineStr">
        <is>
          <t>Claude Code</t>
        </is>
      </c>
      <c r="D79" s="8" t="inlineStr">
        <is>
          <t>Pending</t>
        </is>
      </c>
      <c r="E79" s="9"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79" s="8" t="inlineStr">
        <is>
          <t>Superseded by v1.8</t>
        </is>
      </c>
    </row>
    <row r="80">
      <c r="A80" s="10" t="inlineStr">
        <is>
          <t>1.6</t>
        </is>
      </c>
      <c r="B80" s="10" t="inlineStr">
        <is>
          <t>2026-07-31</t>
        </is>
      </c>
      <c r="C80" s="10" t="inlineStr">
        <is>
          <t>Claude Code</t>
        </is>
      </c>
      <c r="D80" s="10" t="inlineStr">
        <is>
          <t>Pending</t>
        </is>
      </c>
      <c r="E80" s="11"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80" s="10" t="inlineStr">
        <is>
          <t>Issued for approval</t>
        </is>
      </c>
    </row>
    <row r="82">
      <c r="A82"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3"/>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1" s="20" t="inlineStr">
        <is>
          <t>Must</t>
        </is>
      </c>
      <c r="E31" s="20" t="inlineStr">
        <is>
          <t>Q-01, R-10, R-12, R-13</t>
        </is>
      </c>
      <c r="F31" s="20" t="inlineStr">
        <is>
          <t>2,4</t>
        </is>
      </c>
    </row>
    <row r="32">
      <c r="A32" s="17" t="inlineStr">
        <is>
          <t>REQ-DSH-16</t>
        </is>
      </c>
      <c r="B32" s="17" t="inlineStr">
        <is>
          <t>Dashboard</t>
        </is>
      </c>
      <c r="C32" s="18" t="inlineStr">
        <is>
          <t>THE SCREEN IS READABLE AT THE SIZE THE PLAN ACTUALLY IS, AND SAYS WHAT ITS COLUMNS MEAN. Five things, none of which changes a figure. (a) A CHART THAT CAN RUN LONG GROWS WITH ITS HORIZON AND ITS PANEL SCROLLS. Every month is guaranteed a minimum width of plot; past the point where they all fit, the panel scrolls sideways rather than compressing the axis until its labels overlap. A fixed width is only readable over the span it was chosen for, and it fails silently - the chart still draws, it simply stops being legible, and it does so on the long plans that most need reading. The default two-year view is unchanged, so the rule is invisible to anyone who did not need it. (b) A WIDE TABLE GETS THE WHOLE WIDTH. Panels are placed side by side only where both are narrow enough to be read there; three tables of eleven, seven and eight columns are stacked, in the order the work is done in - the assignment, then its override windows, then its months - not tiled into halves that each scroll sideways permanently. (c) A PANEL THAT IS A CHILD OF A SELECTION NAMES THE ROW IT BELONGS TO, under its title, from ONE helper shared with every other panel that names the same thing, so two statements of the same fact cannot drift apart. (d) CLICKING A LEGEND ENTRY PICKS THAT SERIES OUT: everything that is not it fades back, a second click or Escape brings it home. Twenty bands in twenty shades of one palette read as a total and not as a series, and the fix is not more colours. THE PICK APPLIES TO THE WHOLE TAB, because the question asked is 'where is this project on this page'; a chart cut along a DIFFERENT axis, which has no mark for that key at all, is left alone rather than faded to nothing, since a chart with everything dimmed and nothing lit reads as 'this has no data' instead of 'this cannot answer that'. A mark standing for two series at once - a timeline band is a period OF a project - answers to either. Marks belonging to the MONTH rather than to a series never fade: thresholds, baselines, and the outline that marks a month off its standard are facts about the month and stay at full strength. Every entry is a button, operable from the keyboard and stating whether it is pressed (D-04). (e) EVERY COLUMN HEADING IS A PLAIN NAME, and the workbook's own column name is in the pop-up rather than on the page. Those column names are not, by themselves, labels, and their meaning existed only in a pop-up - which is to say only for a reader who knew to hover. WHERE THE IDENTIFIER BELONGS WAS SETTLED TWICE and the second answer is the one to keep: it was first printed on a second line under the label, because the screen and the file are the same thing and a heading must be findable in the spreadsheet; but looking a column name up is OCCASIONAL - editing the workbook, chasing a finding - while a heading is read on EVERY glance, so printing it charged the common case for the rare one when the pop-up already answered it in full. Every heading carries a pop-up naming both, and the identifier as data-cid for whatever must read it. Nothing is renamed, the cell still writes back through the identifier, and the same two-part head is used on the heading's pop-up, on every cell's and on the filter buttons', so it is learned once.</t>
        </is>
      </c>
      <c r="D32" s="17" t="inlineStr">
        <is>
          <t>Should</t>
        </is>
      </c>
      <c r="E32" s="17" t="inlineStr">
        <is>
          <t>R-45</t>
        </is>
      </c>
      <c r="F32" s="17" t="inlineStr">
        <is>
          <t>4</t>
        </is>
      </c>
    </row>
    <row r="33">
      <c r="A33" s="17" t="inlineStr">
        <is>
          <t>REQ-DSH-15</t>
        </is>
      </c>
      <c r="B33" s="17" t="inlineStr">
        <is>
          <t>Dashboard</t>
        </is>
      </c>
      <c r="C33" s="18" t="inlineStr">
        <is>
          <t>WHERE A PROJECT IS NOT BEING GIVEN WHAT ITS OWN STANDARD SAYS IT NEEDS, THE APPLICATION SAYS SO. Two figures can come apart and the obvious pair is not one of them: a project's month against the sum of its people CANNOT differ, because the month is built from those people (REQ-OUT-06). The pair that does is DEMAND against APPLIED. An automatic month has them equal by construction - the shares add to one (REQ-CAL-19) - and a figure stated by hand at either level replaces the standard rather than adjusting it, after which the application simply drew a different project: a study needing 10.00 and staffed at 5.00 looked exactly like a study that only ever needed 5.00. FOUR SURFACES, chosen so that nothing has to be suspected before it is seen. V-34 reports it, which carries it into the findings report, the load banner, the archived change log and the results export at no further cost. The figure is MARKED where it is drawn - in Resource by project and on the project's own utilisation chart - because a shortfall that must be hovered over is very nearly as silent as one nobody reports. A TILE on Overall counts it beside the over- and under-allocation tiles, in the place people already look. And a SECTION on Overall, Standard vs staffed, lists every month with what it needs, what it is getting and the gap. NOT A TAB: a tab is the surface you visit only once you already suspect a problem, which is the wrong property for something whose whole danger is that it is silent - and the findings report is already the list of everything wrong. EVERY ROW OPENS THE MONTH ITSELF, AND EVERY FIGURE IN IT CAN BE CHANGED THERE. A month that already has a MonthlyEstimate row is an ORDINARY editable cell over it, so the one editing path validates, logs, marks and undoes it; a second way to change a figure is a second way that can drift. A month that has NO row cannot be one - there is nothing to write through - so its cell offers to CREATE the row instead, and it must, because the figure a reader most wants to change on this screen is the one belonging to somebody still on automatic, and a dash there said the screen was read-only for them. WHAT IT MUST NOT DO IS QUIETLY WRITE ONE ROW: an automatic assignment ignores MonthlyEstimate entirely, so a lone row is a figure nothing reads, and setting estimation_type without seeding the other months counts every one of them as 0.00 - the one change in this application that silently zeroes a figure (REQ-CAL-18). So a figure typed against an automatic assignment ASKS, naming how many months will be stated and what this one becomes, and then the switch, the seeding and the typed figure happen together or none of them happen. A thing ALREADY manual with no figure for that month is V-31 and does not ask - the months are already the user's, and asking would be asking permission for something already given. BOTH DIRECTIONS, COUNTED APART AND NEVER NETTED: short of the standard is a project asked to run on less than its kind takes, over it is one deliberately staffed heavier, and five short in September against five over in October is not a plan in balance however the arithmetic reads. Marked with an arrow as well as a colour (D-04) - amber and red are the confusable pair and they are exactly the two directions here.</t>
        </is>
      </c>
      <c r="D33" s="17" t="inlineStr">
        <is>
          <t>Should</t>
        </is>
      </c>
      <c r="E33" s="17" t="inlineStr">
        <is>
          <t>R-42</t>
        </is>
      </c>
      <c r="F33" s="17" t="inlineStr">
        <is>
          <t>4</t>
        </is>
      </c>
    </row>
    <row r="34">
      <c r="A34" s="17" t="inlineStr">
        <is>
          <t>REQ-DSH-14</t>
        </is>
      </c>
      <c r="B34" s="17" t="inlineStr">
        <is>
          <t>Dashboard</t>
        </is>
      </c>
      <c r="C34" s="18" t="inlineStr">
        <is>
          <t>WHERE A FIGURE'S SIZE WAS DECIDED SOMEWHERE ELSE, THE TABLE SHOWING THE FIGURE NAMES WHAT DECIDED IT, in a column that is looked up and cannot be edited. Three of them, because three tables each showed one term of an expression and left the reader to find the rest in another tab: the Periods table names the STANDARD MONTHLY FTE its period selects and multiplies it by the project's own weight, so the row carries the month's demand instead of half the expression for it; both Monthly estimation panels carry THE WHOLE DERIVATION OF THE MONTH, TERM BY TERM - the period it falls in, the standard that period selects, the project's own weight, how much of the month it ran, and their product - so a reader who disagrees with an automatic figure can see WHICH of the inputs they disagree with rather than only that they disagree. The person's panel adds their CLAIM on that month: role factor / sharers x person weight x month coverage, ending in the PERCENTAGE of the project's month it won. The two halves are closed off SEPARATELY and the person's is stated as a proportion, never as a product equal to the figure, because since R-32 it is not one - the claim is normalised against every other claim on that project-month (REQ-CAL-19), so terms multiplying to 0.60 can give a figure of 2.40, and writing them as one product would assert an arithmetic the application does not do. A PersonPeriodWeight override is shown as ONE TERM WITH TWO SOURCES rather than as a second factor: it REPLACES person_weight for the months it covers (REQ-PSN-05), and the cell names both values and says which was used. The sharer count also keeps a short column of its own, where it can be sorted and filtered - the derivation is a sentence and is neither. Every fallback SAYS it is a fallback and names its rule - V-19 for a missing standard, V-23 for a missing role factor, V-12 for a month in no period - because a bare 1.00 is indistinguishable from a standard that really is 1.00, which is the whole reason those rules exist. LOOKED UP, NEVER STORED: none of the three is a column of the sheet it is shown beside, so no edit and no save can leave a stale copy of a standard in a file after the standards have moved - which is the failure the lookup exists to prevent. NAMED FROM THE CALCULATION'S OWN WORKINGS, not by asking the sheets again, so a screen cannot name one period while the figure beside it came from another. A missing standard says it is missing and names V-19 rather than printing the 1.00 the calculation falls back to; that fallback is a degradation, and showing it as a standard would hide the very thing V-19 reports.</t>
        </is>
      </c>
      <c r="D34" s="17" t="inlineStr">
        <is>
          <t>Should</t>
        </is>
      </c>
      <c r="E34" s="17" t="inlineStr">
        <is>
          <t>R-40</t>
        </is>
      </c>
      <c r="F34" s="17" t="inlineStr">
        <is>
          <t>4</t>
        </is>
      </c>
    </row>
    <row r="35">
      <c r="A35" s="17" t="inlineStr">
        <is>
          <t>REQ-DSH-13</t>
        </is>
      </c>
      <c r="B35" s="17" t="inlineStr">
        <is>
          <t>Dashboard</t>
        </is>
      </c>
      <c r="C35"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35" s="17" t="inlineStr">
        <is>
          <t>Must</t>
        </is>
      </c>
      <c r="E35" s="17" t="inlineStr">
        <is>
          <t>R-23</t>
        </is>
      </c>
      <c r="F35" s="17" t="inlineStr">
        <is>
          <t>4</t>
        </is>
      </c>
    </row>
    <row r="36">
      <c r="A36" s="17" t="inlineStr">
        <is>
          <t>REQ-CAL-20</t>
        </is>
      </c>
      <c r="B36" s="17" t="inlineStr">
        <is>
          <t>Calculation</t>
        </is>
      </c>
      <c r="C36" s="18" t="inlineStr">
        <is>
          <t>EVERY FTE FIGURE THE APPLICATION PRODUCES IS A WHOLE NUMBER OF HUNDREDTHS - not displayed to two places, but IS two places. The rounding happens once, where a person-month is decided, so the screen, the results export, the change log and all four independent implementations report the same number: a figure shown as 4.27 was 4.27 when it was worked out, not 4.2683 dressed up for a table. Two places because that is the granularity the plan is written in: at 160 hours to the FTE, 0.01 is 1.6 hours, the smallest edit that means anything to somebody staffing a study, and already what a manual estimate is typed at (REQ-CAL-18). ROUNDING EACH SHARE ON ITS OWN WOULD NOT DO - round three shares of 4.27 separately and they come to 4.26 or 4.28, so the detail rows would stop summing to the month (REQ-OUT-06) and the shares would stop adding to one (REQ-CAL-19); measured on the 62-project fixture that missed on 644 of 1,629 project-months. So THE MONTH IS ROUNDED FIRST AND ITS HUNDREDTHS ARE HANDED OUT: each line takes its floor and the hundredths left over go to the lines with the largest remainders, one each - the largest-remainder method, which makes both guarantees exact by construction rather than by tolerance. THE TIE-BREAK IS PART OF THE RULE: where two remainders are equal the hundredth goes to the line whose assignment_id sorts first, a total order that does not depend on array order or on the order rows were read from a sheet. Without it two implementations could differ by 0.01 and both be right. A row therefore sits up to 0.01 from the exact product of its own terms - measured worst 0.0070 - and the results export says so. Hundredths are counted as integers throughout, so the arithmetic cannot introduce the error it exists to remove.</t>
        </is>
      </c>
      <c r="D36" s="17" t="inlineStr">
        <is>
          <t>Must</t>
        </is>
      </c>
      <c r="E36" s="17" t="inlineStr">
        <is>
          <t>R-38</t>
        </is>
      </c>
      <c r="F36" s="17" t="inlineStr">
        <is>
          <t>4</t>
        </is>
      </c>
    </row>
    <row r="37">
      <c r="A37" s="17" t="inlineStr">
        <is>
          <t>REQ-CAL-19</t>
        </is>
      </c>
      <c r="B37" s="17" t="inlineStr">
        <is>
          <t>Calculation</t>
        </is>
      </c>
      <c r="C37" s="18" t="inlineStr">
        <is>
          <t>A PROJECT-MONTH IS ITS STANDARD. PeriodFTEStandard.standard_fte is the DEMAND in FTE for a project of this type, clinical phase and work scope in this period; ProjectPeriod.weight ADJUSTS it for the particular study (1.00 = an ordinary project of its kind); and the product, scaled by how much of the month the project actually ran, IS the month. The people on it DIVIDE that month rather than each adding to it. Every term that used to reduce a figure now decides a share: role factor / people holding that role, times person_weight, times that person's own month coverage, makes a CLAIM; the claim over the sum of the claims is the SHARE; the share times the demand is the figure. THE SHARES ADD TO ONE BY CONSTRUCTION, so the month is its demand however many people are on it and whatever their weights - an unstaffed role's work lands on the others (REQ-CAL-16 decides on WHOM), and a part-time commitment pushes load onto colleagues rather than making the project cheaper. Under-staffing is therefore visible on the PEOPLE, as months over the ceiling, and never as a project that costs less than the work it contains. The month a project ran is taken as the largest coverage any of its people have, so a project whose period ends on the 10th draws a third of a month rather than a whole one. A missing standard falls back to 1.00 and V-19 reports it.</t>
        </is>
      </c>
      <c r="D37" s="17" t="inlineStr">
        <is>
          <t>Must</t>
        </is>
      </c>
      <c r="E37" s="17" t="inlineStr">
        <is>
          <t>R-31, R-32</t>
        </is>
      </c>
      <c r="F37" s="17" t="inlineStr">
        <is>
          <t>4</t>
        </is>
      </c>
    </row>
    <row r="38">
      <c r="A38" s="17" t="inlineStr">
        <is>
          <t>REQ-CAL-18</t>
        </is>
      </c>
      <c r="B38" s="17" t="inlineStr">
        <is>
          <t>Calculation</t>
        </is>
      </c>
      <c r="C38" s="18" t="inlineStr">
        <is>
          <t>A PROJECT, OR ONE ASSIGNMENT, MAY HAVE ITS MONTHLY FTE STATED RATHER THAN CALCULATED. estimation_type on Project and on Assignment selects which; MonthlyEstimate carries the stated figures. TWO LEVELS, applied in that order: an ASSIGNMENT figure IS that person's contribution to that project and replaces the share R-32 would otherwise have given them; a PROJECT figure is the whole month, and every person on it that month is SCALED so they still add up to it - because a project total that did not equal the sum of its people would put the two utilisation charts in disagreement and cost the results export its one guarantee. The scaling factor is recorded on every line, so a person whose figure moved with nothing of their own changing can find out why. MANUAL IS ALL OR NOTHING for the thing it is set on: switching copies every month across from the figures currently on screen, so nothing jumps, and switching back discards them all. The copy is written to TWO DECIMAL PLACES: a stated figure lands in a cell somebody reads and edits, and two places is the finest edit that means anything in the unit people think in - at 160 hours to the FTE, 0.01 is 1.6 hours. A month can therefore move by up to 0.005 FTE, about 48 minutes, at the moment of switching. Per-month marking was considered and rejected - once a figure has been edited, months still calculated would keep moving under a signed-off plan whenever an assumption changed, and 'which months are mine' has no useful answer. Every change of calculation way is CONFIRMED, in both directions. A project figure in a month nobody is assigned to cannot be shared out and is NOT applied (V-32); a manual thing with a month carrying no figure counts that month as 0.00 and V-31 says so.</t>
        </is>
      </c>
      <c r="D38" s="17" t="inlineStr">
        <is>
          <t>Must</t>
        </is>
      </c>
      <c r="E38" s="17" t="inlineStr">
        <is>
          <t>R-30</t>
        </is>
      </c>
      <c r="F38" s="17" t="inlineStr">
        <is>
          <t>4</t>
        </is>
      </c>
    </row>
    <row r="39">
      <c r="A39" s="17" t="inlineStr">
        <is>
          <t>REQ-CAL-17</t>
        </is>
      </c>
      <c r="B39" s="17" t="inlineStr">
        <is>
          <t>Calculation</t>
        </is>
      </c>
      <c r="C39"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39" s="17" t="inlineStr">
        <is>
          <t>Must</t>
        </is>
      </c>
      <c r="E39" s="17" t="inlineStr">
        <is>
          <t>R-20</t>
        </is>
      </c>
      <c r="F39" s="17" t="inlineStr">
        <is>
          <t>4</t>
        </is>
      </c>
    </row>
    <row r="40">
      <c r="A40" s="17" t="inlineStr">
        <is>
          <t>REQ-CAL-16</t>
        </is>
      </c>
      <c r="B40" s="17" t="inlineStr">
        <is>
          <t>Calculation</t>
        </is>
      </c>
      <c r="C40"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40" s="17" t="inlineStr">
        <is>
          <t>Must</t>
        </is>
      </c>
      <c r="E40" s="17" t="inlineStr">
        <is>
          <t>R-17</t>
        </is>
      </c>
      <c r="F40" s="17" t="inlineStr">
        <is>
          <t>4</t>
        </is>
      </c>
    </row>
    <row r="41">
      <c r="A41" s="17" t="inlineStr">
        <is>
          <t>REQ-CAL-15</t>
        </is>
      </c>
      <c r="B41" s="17" t="inlineStr">
        <is>
          <t>Calculation</t>
        </is>
      </c>
      <c r="C41"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41" s="17" t="inlineStr">
        <is>
          <t>Must</t>
        </is>
      </c>
      <c r="E41" s="17" t="inlineStr">
        <is>
          <t>R-15</t>
        </is>
      </c>
      <c r="F41" s="17" t="inlineStr">
        <is>
          <t>4</t>
        </is>
      </c>
    </row>
    <row r="42">
      <c r="A42" s="17" t="inlineStr">
        <is>
          <t>REQ-CAL-14</t>
        </is>
      </c>
      <c r="B42" s="17" t="inlineStr">
        <is>
          <t>Calculation</t>
        </is>
      </c>
      <c r="C42"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42" s="17" t="inlineStr">
        <is>
          <t>Must</t>
        </is>
      </c>
      <c r="E42" s="17" t="inlineStr">
        <is>
          <t>R-13</t>
        </is>
      </c>
      <c r="F42" s="17" t="inlineStr">
        <is>
          <t>4</t>
        </is>
      </c>
    </row>
    <row r="43">
      <c r="A43" s="8" t="inlineStr">
        <is>
          <t>REQ-CAL-03</t>
        </is>
      </c>
      <c r="B43" s="8" t="inlineStr">
        <is>
          <t>Calculation</t>
        </is>
      </c>
      <c r="C43" s="9" t="inlineStr">
        <is>
          <t>Project monthly load is the sum of its assignments; person monthly load is the sum across all their projects.</t>
        </is>
      </c>
      <c r="D43" s="8" t="inlineStr">
        <is>
          <t>Must</t>
        </is>
      </c>
      <c r="E43" s="8" t="inlineStr">
        <is>
          <t>Requester</t>
        </is>
      </c>
      <c r="F43" s="8" t="inlineStr">
        <is>
          <t>4</t>
        </is>
      </c>
    </row>
    <row r="44">
      <c r="A44" s="20" t="inlineStr">
        <is>
          <t>REQ-CAL-04</t>
        </is>
      </c>
      <c r="B44" s="20" t="inlineStr">
        <is>
          <t>Calculation</t>
        </is>
      </c>
      <c r="C44" s="19" t="inlineStr">
        <is>
          <t>A person-month whose total exceeds the over-allocation threshold (default 1.50 FTE) is flagged as over-allocated. The threshold is absolute, not scaled by capacity (S2-01).</t>
        </is>
      </c>
      <c r="D44" s="20" t="inlineStr">
        <is>
          <t>Must</t>
        </is>
      </c>
      <c r="E44" s="20" t="inlineStr">
        <is>
          <t>Q-08, S2-01</t>
        </is>
      </c>
      <c r="F44" s="20" t="inlineStr">
        <is>
          <t>4</t>
        </is>
      </c>
    </row>
    <row r="45">
      <c r="A45" s="20" t="inlineStr">
        <is>
          <t>REQ-CAL-05</t>
        </is>
      </c>
      <c r="B45" s="20" t="inlineStr">
        <is>
          <t>Calculation</t>
        </is>
      </c>
      <c r="C45" s="19" t="inlineStr">
        <is>
          <t>A partial first or last month is pro-rated by calendar days worked, not counted as a whole month.</t>
        </is>
      </c>
      <c r="D45" s="20" t="inlineStr">
        <is>
          <t>Must</t>
        </is>
      </c>
      <c r="E45" s="20" t="inlineStr">
        <is>
          <t>Q-02</t>
        </is>
      </c>
      <c r="F45" s="20" t="inlineStr">
        <is>
          <t>4</t>
        </is>
      </c>
    </row>
    <row r="46">
      <c r="A46" s="10" t="inlineStr">
        <is>
          <t>REQ-CAL-06</t>
        </is>
      </c>
      <c r="B46" s="10" t="inlineStr">
        <is>
          <t>Calculation</t>
        </is>
      </c>
      <c r="C46" s="11" t="inlineStr">
        <is>
          <t>All weights, factors and thresholds are data, held in the source workbook, never hardcoded in the program.</t>
        </is>
      </c>
      <c r="D46" s="10" t="inlineStr">
        <is>
          <t>Must</t>
        </is>
      </c>
      <c r="E46" s="10" t="inlineStr">
        <is>
          <t>Derived</t>
        </is>
      </c>
      <c r="F46" s="10" t="inlineStr">
        <is>
          <t>4</t>
        </is>
      </c>
    </row>
    <row r="47">
      <c r="A47" s="20" t="inlineStr">
        <is>
          <t>REQ-CAL-07</t>
        </is>
      </c>
      <c r="B47" s="20" t="inlineStr">
        <is>
          <t>Calculation</t>
        </is>
      </c>
      <c r="C47" s="19" t="inlineStr">
        <is>
          <t>A person whose monthly total stays below the under-allocation threshold (default 0.60 FTE) for three or more consecutive months is flagged as under-allocated, with the run's start and length reported. The threshold is absolute, not scaled by capacity.</t>
        </is>
      </c>
      <c r="D47" s="20" t="inlineStr">
        <is>
          <t>Must</t>
        </is>
      </c>
      <c r="E47" s="20" t="inlineStr">
        <is>
          <t>Q-08, S2-01, S2-05</t>
        </is>
      </c>
      <c r="F47" s="20" t="inlineStr">
        <is>
          <t>4</t>
        </is>
      </c>
    </row>
    <row r="48">
      <c r="A48" s="17" t="inlineStr">
        <is>
          <t>REQ-CAL-08</t>
        </is>
      </c>
      <c r="B48" s="17" t="inlineStr">
        <is>
          <t>Calculation</t>
        </is>
      </c>
      <c r="C48" s="18" t="inlineStr">
        <is>
          <t>Load is expressed in FTE, where 1.00 FTE = 160 hours per month (8 h/day x 5 days/week x 20 days/month). Hours are shown alongside FTE where useful.</t>
        </is>
      </c>
      <c r="D48" s="17" t="inlineStr">
        <is>
          <t>Must</t>
        </is>
      </c>
      <c r="E48" s="17" t="inlineStr">
        <is>
          <t>Q-08</t>
        </is>
      </c>
      <c r="F48" s="17" t="inlineStr">
        <is>
          <t>4</t>
        </is>
      </c>
    </row>
    <row r="49">
      <c r="A49" s="20" t="inlineStr">
        <is>
          <t>REQ-CAL-09</t>
        </is>
      </c>
      <c r="B49" s="20" t="inlineStr">
        <is>
          <t>Calculation</t>
        </is>
      </c>
      <c r="C49"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49" s="20" t="inlineStr">
        <is>
          <t>Must</t>
        </is>
      </c>
      <c r="E49" s="20" t="inlineStr">
        <is>
          <t>Q-16, Q-22, Q-23, Q-25</t>
        </is>
      </c>
      <c r="F49" s="20" t="inlineStr">
        <is>
          <t>2,4</t>
        </is>
      </c>
    </row>
    <row r="50">
      <c r="A50" s="17" t="inlineStr">
        <is>
          <t>REQ-CAL-10</t>
        </is>
      </c>
      <c r="B50" s="17" t="inlineStr">
        <is>
          <t>Calculation</t>
        </is>
      </c>
      <c r="C50" s="18" t="inlineStr">
        <is>
          <t>Every month of a project's timeline falls in exactly one period. A month left uncovered by the derivation is reported and carries weight 1.00 rather than being dropped from the simulation.</t>
        </is>
      </c>
      <c r="D50" s="17" t="inlineStr">
        <is>
          <t>Must</t>
        </is>
      </c>
      <c r="E50" s="17" t="inlineStr">
        <is>
          <t>Derived from Q-16</t>
        </is>
      </c>
      <c r="F50" s="17" t="inlineStr">
        <is>
          <t>2,4</t>
        </is>
      </c>
    </row>
    <row r="51">
      <c r="A51" s="20" t="inlineStr">
        <is>
          <t>REQ-CAL-11</t>
        </is>
      </c>
      <c r="B51" s="20" t="inlineStr">
        <is>
          <t>Calculation</t>
        </is>
      </c>
      <c r="C51"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51" s="20" t="inlineStr">
        <is>
          <t>Must</t>
        </is>
      </c>
      <c r="E51" s="20" t="inlineStr">
        <is>
          <t>Q-23, R-11</t>
        </is>
      </c>
      <c r="F51" s="20" t="inlineStr">
        <is>
          <t>2,4</t>
        </is>
      </c>
    </row>
    <row r="52">
      <c r="A52" s="17" t="inlineStr">
        <is>
          <t>REQ-CAL-13</t>
        </is>
      </c>
      <c r="B52" s="17" t="inlineStr">
        <is>
          <t>Calculation</t>
        </is>
      </c>
      <c r="C52" s="18" t="inlineStr">
        <is>
          <t>Where a period boundary has both a milestone and a month-offset definition, a recorded milestone date wins. The offset is the fallback for a project that does not carry that milestone.</t>
        </is>
      </c>
      <c r="D52" s="17" t="inlineStr">
        <is>
          <t>Must</t>
        </is>
      </c>
      <c r="E52" s="17" t="inlineStr">
        <is>
          <t>R-02</t>
        </is>
      </c>
      <c r="F52" s="17" t="inlineStr">
        <is>
          <t>2,4</t>
        </is>
      </c>
    </row>
    <row r="53">
      <c r="A53" s="17" t="inlineStr">
        <is>
          <t>REQ-CAL-12</t>
        </is>
      </c>
      <c r="B53" s="17" t="inlineStr">
        <is>
          <t>Calculation</t>
        </is>
      </c>
      <c r="C53" s="18" t="inlineStr">
        <is>
          <t>Where a timeline squeezes a derived period to zero or negative length, that period is omitted and the omission reported. Boundaries are applied in order so the periods always stay contiguous.</t>
        </is>
      </c>
      <c r="D53" s="17" t="inlineStr">
        <is>
          <t>Must</t>
        </is>
      </c>
      <c r="E53" s="17" t="inlineStr">
        <is>
          <t>Derived from Q-22, Q-23</t>
        </is>
      </c>
      <c r="F53" s="17" t="inlineStr">
        <is>
          <t>2,4</t>
        </is>
      </c>
    </row>
    <row r="54">
      <c r="A54" s="10" t="inlineStr">
        <is>
          <t>REQ-DSH-01</t>
        </is>
      </c>
      <c r="B54" s="10" t="inlineStr">
        <is>
          <t>Dashboard</t>
        </is>
      </c>
      <c r="C54" s="11" t="inlineStr">
        <is>
          <t>Tab 'Overall' shows monthly resource simulation per project and per person as tables.</t>
        </is>
      </c>
      <c r="D54" s="10" t="inlineStr">
        <is>
          <t>Must</t>
        </is>
      </c>
      <c r="E54" s="10" t="inlineStr">
        <is>
          <t>Requester</t>
        </is>
      </c>
      <c r="F54" s="10" t="inlineStr">
        <is>
          <t>3,4</t>
        </is>
      </c>
    </row>
    <row r="55">
      <c r="A55" s="8" t="inlineStr">
        <is>
          <t>REQ-DSH-02</t>
        </is>
      </c>
      <c r="B55" s="8" t="inlineStr">
        <is>
          <t>Dashboard</t>
        </is>
      </c>
      <c r="C55" s="9" t="inlineStr">
        <is>
          <t>Tab 'Overall' shows appropriate graphs of the same simulation.</t>
        </is>
      </c>
      <c r="D55" s="8" t="inlineStr">
        <is>
          <t>Must</t>
        </is>
      </c>
      <c r="E55" s="8" t="inlineStr">
        <is>
          <t>Requester</t>
        </is>
      </c>
      <c r="F55" s="8" t="inlineStr">
        <is>
          <t>3,4</t>
        </is>
      </c>
    </row>
    <row r="56">
      <c r="A56" s="10" t="inlineStr">
        <is>
          <t>REQ-DSH-03</t>
        </is>
      </c>
      <c r="B56" s="10" t="inlineStr">
        <is>
          <t>Dashboard</t>
        </is>
      </c>
      <c r="C56" s="11" t="inlineStr">
        <is>
          <t>Tab 'Source data (project)' shows project information as a table.</t>
        </is>
      </c>
      <c r="D56" s="10" t="inlineStr">
        <is>
          <t>Must</t>
        </is>
      </c>
      <c r="E56" s="10" t="inlineStr">
        <is>
          <t>Requester</t>
        </is>
      </c>
      <c r="F56" s="10" t="inlineStr">
        <is>
          <t>3,4</t>
        </is>
      </c>
    </row>
    <row r="57">
      <c r="A57" s="8" t="inlineStr">
        <is>
          <t>REQ-DSH-04</t>
        </is>
      </c>
      <c r="B57" s="8" t="inlineStr">
        <is>
          <t>Dashboard</t>
        </is>
      </c>
      <c r="C57" s="9" t="inlineStr">
        <is>
          <t>Tab 'Source data (person)' shows person information as a table.</t>
        </is>
      </c>
      <c r="D57" s="8" t="inlineStr">
        <is>
          <t>Must</t>
        </is>
      </c>
      <c r="E57" s="8" t="inlineStr">
        <is>
          <t>Requester</t>
        </is>
      </c>
      <c r="F57" s="8" t="inlineStr">
        <is>
          <t>3,4</t>
        </is>
      </c>
    </row>
    <row r="58">
      <c r="A58" s="20" t="inlineStr">
        <is>
          <t>REQ-DSH-05</t>
        </is>
      </c>
      <c r="B58" s="20" t="inlineStr">
        <is>
          <t>Dashboard</t>
        </is>
      </c>
      <c r="C58" s="19" t="inlineStr">
        <is>
          <t>One filter set drives every tab: date horizon, project type, clinical phase, project, person, role and department, with a single action to clear them all. The display unit is a setting, not a filter - it changes how figures are written, not which are shown.</t>
        </is>
      </c>
      <c r="D58" s="20" t="inlineStr">
        <is>
          <t>Should</t>
        </is>
      </c>
      <c r="E58" s="20" t="inlineStr">
        <is>
          <t>Derived / O-03</t>
        </is>
      </c>
      <c r="F58" s="20" t="inlineStr">
        <is>
          <t>3,4</t>
        </is>
      </c>
    </row>
    <row r="59">
      <c r="A59" s="8" t="inlineStr">
        <is>
          <t>REQ-DSH-06</t>
        </is>
      </c>
      <c r="B59" s="8" t="inlineStr">
        <is>
          <t>Dashboard</t>
        </is>
      </c>
      <c r="C59" s="9" t="inlineStr">
        <is>
          <t>Any table on screen can be exported to Excel.</t>
        </is>
      </c>
      <c r="D59" s="8" t="inlineStr">
        <is>
          <t>Should</t>
        </is>
      </c>
      <c r="E59" s="8" t="inlineStr">
        <is>
          <t>Derived</t>
        </is>
      </c>
      <c r="F59" s="8" t="inlineStr">
        <is>
          <t>4</t>
        </is>
      </c>
    </row>
    <row r="60">
      <c r="A60" s="17" t="inlineStr">
        <is>
          <t>REQ-DSH-07</t>
        </is>
      </c>
      <c r="B60" s="17" t="inlineStr">
        <is>
          <t>Dashboard</t>
        </is>
      </c>
      <c r="C60" s="18" t="inlineStr">
        <is>
          <t>The horizon control offers 24 months by default and a one-click expansion to cover the latest project end date across all projects.</t>
        </is>
      </c>
      <c r="D60" s="17" t="inlineStr">
        <is>
          <t>Must</t>
        </is>
      </c>
      <c r="E60" s="17" t="inlineStr">
        <is>
          <t>Q-11</t>
        </is>
      </c>
      <c r="F60" s="17" t="inlineStr">
        <is>
          <t>3,4</t>
        </is>
      </c>
    </row>
    <row r="61">
      <c r="A61" s="17" t="inlineStr">
        <is>
          <t>REQ-DSH-08</t>
        </is>
      </c>
      <c r="B61" s="17" t="inlineStr">
        <is>
          <t>Dashboard</t>
        </is>
      </c>
      <c r="C61" s="18" t="inlineStr">
        <is>
          <t>Over-allocated and under-allocated person-months are distinguishable at a glance, and both are counted in the summary tiles.</t>
        </is>
      </c>
      <c r="D61" s="17" t="inlineStr">
        <is>
          <t>Must</t>
        </is>
      </c>
      <c r="E61" s="17" t="inlineStr">
        <is>
          <t>Q-08</t>
        </is>
      </c>
      <c r="F61" s="17" t="inlineStr">
        <is>
          <t>3,4</t>
        </is>
      </c>
    </row>
    <row r="62">
      <c r="A62" s="17" t="inlineStr">
        <is>
          <t>REQ-DSH-09</t>
        </is>
      </c>
      <c r="B62" s="17" t="inlineStr">
        <is>
          <t>Dashboard</t>
        </is>
      </c>
      <c r="C62" s="18" t="inlineStr">
        <is>
          <t>At the target volume a table taller than the viewport renders only the visible rows, and the per-person chart shows an aggregate or a ranked subset rather than one bar per person. A thousand bars is not a chart.</t>
        </is>
      </c>
      <c r="D62" s="17" t="inlineStr">
        <is>
          <t>Must</t>
        </is>
      </c>
      <c r="E62" s="17" t="inlineStr">
        <is>
          <t>S2-06</t>
        </is>
      </c>
      <c r="F62" s="17" t="inlineStr">
        <is>
          <t>3,4</t>
        </is>
      </c>
    </row>
    <row r="63">
      <c r="A63" s="20" t="inlineStr">
        <is>
          <t>REQ-DSH-10</t>
        </is>
      </c>
      <c r="B63" s="20" t="inlineStr">
        <is>
          <t>Dashboard</t>
        </is>
      </c>
      <c r="C63"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63" s="20" t="inlineStr">
        <is>
          <t>Must</t>
        </is>
      </c>
      <c r="E63" s="20" t="inlineStr">
        <is>
          <t>S2-04, R-11</t>
        </is>
      </c>
      <c r="F63" s="20" t="inlineStr">
        <is>
          <t>3,4</t>
        </is>
      </c>
    </row>
    <row r="64">
      <c r="A64" s="17" t="inlineStr">
        <is>
          <t>REQ-DSH-12</t>
        </is>
      </c>
      <c r="B64" s="17" t="inlineStr">
        <is>
          <t>Dashboard</t>
        </is>
      </c>
      <c r="C64"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64" s="17" t="inlineStr">
        <is>
          <t>Should</t>
        </is>
      </c>
      <c r="E64" s="17" t="inlineStr">
        <is>
          <t>Reviewer v0.7</t>
        </is>
      </c>
      <c r="F64" s="17" t="inlineStr">
        <is>
          <t>3,4</t>
        </is>
      </c>
    </row>
    <row r="65">
      <c r="A65" s="17" t="inlineStr">
        <is>
          <t>REQ-DSH-11</t>
        </is>
      </c>
      <c r="B65" s="17" t="inlineStr">
        <is>
          <t>Dashboard</t>
        </is>
      </c>
      <c r="C65" s="18" t="inlineStr">
        <is>
          <t>The standing assumptions the simulation multiplies by - standard period weights, role factors, configuration and value lists - are presented on their own tab, so a reader can see what every figure was derived from without opening the workbook.</t>
        </is>
      </c>
      <c r="D65" s="17" t="inlineStr">
        <is>
          <t>Must</t>
        </is>
      </c>
      <c r="E65" s="17" t="inlineStr">
        <is>
          <t>G-07</t>
        </is>
      </c>
      <c r="F65" s="17" t="inlineStr">
        <is>
          <t>3,4</t>
        </is>
      </c>
    </row>
    <row r="66">
      <c r="A66" s="20" t="inlineStr">
        <is>
          <t>REQ-IMP-01</t>
        </is>
      </c>
      <c r="B66" s="20" t="inlineStr">
        <is>
          <t>Import/Export</t>
        </is>
      </c>
      <c r="C66" s="19" t="inlineStr">
        <is>
          <t>The user loads the source workbook through a file picker or drag-and-drop, chosen because a local HTML page cannot open a file from disk unaided.</t>
        </is>
      </c>
      <c r="D66" s="20" t="inlineStr">
        <is>
          <t>Must</t>
        </is>
      </c>
      <c r="E66" s="20" t="inlineStr">
        <is>
          <t>Decision D-01</t>
        </is>
      </c>
      <c r="F66" s="20" t="inlineStr">
        <is>
          <t>4</t>
        </is>
      </c>
    </row>
    <row r="67">
      <c r="A67" s="8" t="inlineStr">
        <is>
          <t>REQ-IMP-02</t>
        </is>
      </c>
      <c r="B67" s="8" t="inlineStr">
        <is>
          <t>Import/Export</t>
        </is>
      </c>
      <c r="C67" s="9" t="inlineStr">
        <is>
          <t>Loading validates the workbook and reports every problem found - missing sheet, missing column, bad date, unknown project reference - without stopping at the first one.</t>
        </is>
      </c>
      <c r="D67" s="8" t="inlineStr">
        <is>
          <t>Must</t>
        </is>
      </c>
      <c r="E67" s="8" t="inlineStr">
        <is>
          <t>Derived</t>
        </is>
      </c>
      <c r="F67" s="8" t="inlineStr">
        <is>
          <t>4</t>
        </is>
      </c>
    </row>
    <row r="68">
      <c r="A68" s="20" t="inlineStr">
        <is>
          <t>REQ-IMP-03</t>
        </is>
      </c>
      <c r="B68" s="20" t="inlineStr">
        <is>
          <t>Import/Export</t>
        </is>
      </c>
      <c r="C68" s="19" t="inlineStr">
        <is>
          <t>A blank source workbook template with correct sheet names, headers, value lists and one example row is delivered with the application.</t>
        </is>
      </c>
      <c r="D68" s="20" t="inlineStr">
        <is>
          <t>Must</t>
        </is>
      </c>
      <c r="E68" s="20" t="inlineStr">
        <is>
          <t>Derived</t>
        </is>
      </c>
      <c r="F68" s="20" t="inlineStr">
        <is>
          <t>4</t>
        </is>
      </c>
    </row>
    <row r="69">
      <c r="A69" s="8" t="inlineStr">
        <is>
          <t>REQ-IMP-04</t>
        </is>
      </c>
      <c r="B69" s="8" t="inlineStr">
        <is>
          <t>Import/Export</t>
        </is>
      </c>
      <c r="C69" s="9" t="inlineStr">
        <is>
          <t>The user can export current data back to .xlsx, preserving the template layout so the export can be re-imported.</t>
        </is>
      </c>
      <c r="D69" s="8" t="inlineStr">
        <is>
          <t>Must</t>
        </is>
      </c>
      <c r="E69" s="8" t="inlineStr">
        <is>
          <t>Derived</t>
        </is>
      </c>
      <c r="F69" s="8" t="inlineStr">
        <is>
          <t>4</t>
        </is>
      </c>
    </row>
    <row r="70">
      <c r="A70" s="20" t="inlineStr">
        <is>
          <t>REQ-IMP-05</t>
        </is>
      </c>
      <c r="B70" s="20" t="inlineStr">
        <is>
          <t>Import/Export</t>
        </is>
      </c>
      <c r="C70" s="19" t="inlineStr">
        <is>
          <t>The application records which file was loaded and when, and shows it on screen with its time zone - a bare timestamp is ambiguous to anyone reading it from another country.</t>
        </is>
      </c>
      <c r="D70" s="20" t="inlineStr">
        <is>
          <t>Should</t>
        </is>
      </c>
      <c r="E70" s="20" t="inlineStr">
        <is>
          <t>Derived / G-02</t>
        </is>
      </c>
      <c r="F70" s="20" t="inlineStr">
        <is>
          <t>4</t>
        </is>
      </c>
    </row>
    <row r="71">
      <c r="A71" s="8" t="inlineStr">
        <is>
          <t>REQ-IMP-06</t>
        </is>
      </c>
      <c r="B71" s="8" t="inlineStr">
        <is>
          <t>Import/Export</t>
        </is>
      </c>
      <c r="C71" s="9" t="inlineStr">
        <is>
          <t>Loaded data may be cached in the browser so re-opening the page does not force a re-import; the cache never replaces the workbook as the record.</t>
        </is>
      </c>
      <c r="D71" s="8" t="inlineStr">
        <is>
          <t>Could</t>
        </is>
      </c>
      <c r="E71" s="8" t="inlineStr">
        <is>
          <t>Derived</t>
        </is>
      </c>
      <c r="F71" s="8" t="inlineStr">
        <is>
          <t>4</t>
        </is>
      </c>
    </row>
    <row r="72">
      <c r="A72" s="17" t="inlineStr">
        <is>
          <t>REQ-IMP-07</t>
        </is>
      </c>
      <c r="B72" s="17" t="inlineStr">
        <is>
          <t>Import/Export</t>
        </is>
      </c>
      <c r="C72" s="18" t="inlineStr">
        <is>
          <t>After import, the application lets the user update the data on screen, and those updates are carried into the file produced on export.</t>
        </is>
      </c>
      <c r="D72" s="17" t="inlineStr">
        <is>
          <t>Must</t>
        </is>
      </c>
      <c r="E72" s="17" t="inlineStr">
        <is>
          <t>Reviewer v0.11</t>
        </is>
      </c>
      <c r="F72" s="17" t="inlineStr">
        <is>
          <t>4</t>
        </is>
      </c>
    </row>
    <row r="73">
      <c r="A73" s="17" t="inlineStr">
        <is>
          <t>REQ-IMP-08</t>
        </is>
      </c>
      <c r="B73" s="17" t="inlineStr">
        <is>
          <t>Import/Export</t>
        </is>
      </c>
      <c r="C73" s="18" t="inlineStr">
        <is>
          <t>Unsaved edits are visible as such, and the user is warned before any action that would discard them (closing the page, loading another file).</t>
        </is>
      </c>
      <c r="D73" s="17" t="inlineStr">
        <is>
          <t>Must</t>
        </is>
      </c>
      <c r="E73" s="17" t="inlineStr">
        <is>
          <t>Derived from REQ-IMP-07</t>
        </is>
      </c>
      <c r="F73" s="17" t="inlineStr">
        <is>
          <t>4</t>
        </is>
      </c>
    </row>
    <row r="74">
      <c r="A74" s="20" t="inlineStr">
        <is>
          <t>REQ-IMP-09</t>
        </is>
      </c>
      <c r="B74" s="20" t="inlineStr">
        <is>
          <t>Import/Export</t>
        </is>
      </c>
      <c r="C74" s="19" t="inlineStr">
        <is>
          <t>Every field is editable, including identifiers. An on-screen edit is re-validated against the same rules as an imported value, so editing cannot introduce data the import would have rejected.</t>
        </is>
      </c>
      <c r="D74" s="20" t="inlineStr">
        <is>
          <t>Must</t>
        </is>
      </c>
      <c r="E74" s="20" t="inlineStr">
        <is>
          <t>Q-20</t>
        </is>
      </c>
      <c r="F74" s="20" t="inlineStr">
        <is>
          <t>4</t>
        </is>
      </c>
    </row>
    <row r="75">
      <c r="A75" s="17" t="inlineStr">
        <is>
          <t>REQ-IMP-10</t>
        </is>
      </c>
      <c r="B75" s="17" t="inlineStr">
        <is>
          <t>Import/Export</t>
        </is>
      </c>
      <c r="C75" s="18" t="inlineStr">
        <is>
          <t>Editing an identifier that other sheets reference cascades to every referencing row, after showing how many rows will change. Deleting a referenced row is refused, naming what still points at it.</t>
        </is>
      </c>
      <c r="D75" s="17" t="inlineStr">
        <is>
          <t>Must</t>
        </is>
      </c>
      <c r="E75" s="17" t="inlineStr">
        <is>
          <t>Q-20</t>
        </is>
      </c>
      <c r="F75" s="17" t="inlineStr">
        <is>
          <t>4</t>
        </is>
      </c>
    </row>
    <row r="76">
      <c r="A76" s="17" t="inlineStr">
        <is>
          <t>REQ-IMP-14</t>
        </is>
      </c>
      <c r="B76" s="17" t="inlineStr">
        <is>
          <t>Import/Export</t>
        </is>
      </c>
      <c r="C76" s="18" t="inlineStr">
        <is>
          <t>An import that changes any Config setting says so. The settings in force are captured before the model is replaced and compared by name afterwards; every setting whose value differs, or that the incoming file adds or does not carry, is named on the load banner and listed on a screen of its own with what it was, what it is now, and what it affects - a calculation rule, an allocation threshold, or display only. The settings are APPLIED either way: importing a workbook means taking its settings, which is what makes a plan reproducible from the file alone. This is a check, not a gate. A first load has nothing to compare against and reports nothing.</t>
        </is>
      </c>
      <c r="D76" s="17" t="inlineStr">
        <is>
          <t>Must</t>
        </is>
      </c>
      <c r="E76" s="17" t="inlineStr">
        <is>
          <t>R-28</t>
        </is>
      </c>
      <c r="F76" s="17" t="inlineStr">
        <is>
          <t>4</t>
        </is>
      </c>
    </row>
    <row r="77">
      <c r="A77" s="17" t="inlineStr">
        <is>
          <t>REQ-OUT-06</t>
        </is>
      </c>
      <c r="B77" s="17" t="inlineStr">
        <is>
          <t>Output</t>
        </is>
      </c>
      <c r="C77" s="18" t="inlineStr">
        <is>
          <t>The application exports the CALCULATED MONTHLY FTE as well as the source plan, and the export control offers the choice with each option described. The results workbook is derived throughout and cannot be imported, which its first sheet states. It carries: the Overall tab's summary figures; one row per project per month and one per person per month; a DETAIL sheet of one row per assignment per month carrying every term of the multiplication that produced it, so any figure can be checked without the application; the allocation flags; and the settings in force, marked for whether each changed a figure or only its display. Every monthly figure is exactly the sum of its detail rows and every total is exactly the sum of those. The file covers the horizon and filters that were on screen, and names them.</t>
        </is>
      </c>
      <c r="D77" s="17" t="inlineStr">
        <is>
          <t>Must</t>
        </is>
      </c>
      <c r="E77" s="17" t="inlineStr">
        <is>
          <t>R-29</t>
        </is>
      </c>
      <c r="F77" s="17" t="inlineStr">
        <is>
          <t>4</t>
        </is>
      </c>
    </row>
    <row r="78">
      <c r="A78" s="17" t="inlineStr">
        <is>
          <t>REQ-IMP-12</t>
        </is>
      </c>
      <c r="B78" s="17" t="inlineStr">
        <is>
          <t>Import/Export</t>
        </is>
      </c>
      <c r="C78"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78" s="17" t="inlineStr">
        <is>
          <t>Should</t>
        </is>
      </c>
      <c r="E78" s="17" t="inlineStr">
        <is>
          <t>R-21</t>
        </is>
      </c>
      <c r="F78" s="17" t="inlineStr">
        <is>
          <t>4</t>
        </is>
      </c>
    </row>
    <row r="79">
      <c r="A79" s="17" t="inlineStr">
        <is>
          <t>REQ-IMP-13</t>
        </is>
      </c>
      <c r="B79" s="17" t="inlineStr">
        <is>
          <t>Import/Export</t>
        </is>
      </c>
      <c r="C79"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79" s="17" t="inlineStr">
        <is>
          <t>Must</t>
        </is>
      </c>
      <c r="E79" s="17" t="inlineStr">
        <is>
          <t>R-25</t>
        </is>
      </c>
      <c r="F79" s="17" t="inlineStr">
        <is>
          <t>4</t>
        </is>
      </c>
    </row>
    <row r="80">
      <c r="A80" s="17" t="inlineStr">
        <is>
          <t>REQ-IMP-11</t>
        </is>
      </c>
      <c r="B80" s="17" t="inlineStr">
        <is>
          <t>Import/Export</t>
        </is>
      </c>
      <c r="C80" s="18" t="inlineStr">
        <is>
          <t>A new row can be inserted into any editable table, positioned immediately below the row the user acts on rather than appended at the end, and validated on entry like any other edit.</t>
        </is>
      </c>
      <c r="D80" s="17" t="inlineStr">
        <is>
          <t>Must</t>
        </is>
      </c>
      <c r="E80" s="17" t="inlineStr">
        <is>
          <t>P-01, S-01</t>
        </is>
      </c>
      <c r="F80" s="17" t="inlineStr">
        <is>
          <t>4</t>
        </is>
      </c>
    </row>
    <row r="81">
      <c r="A81" s="8" t="inlineStr">
        <is>
          <t>REQ-VC-01</t>
        </is>
      </c>
      <c r="B81" s="8" t="inlineStr">
        <is>
          <t>Version control</t>
        </is>
      </c>
      <c r="C81" s="9" t="inlineStr">
        <is>
          <t>Development plan, programming specification and output files are version-controlled together and their versions are cross-referenced.</t>
        </is>
      </c>
      <c r="D81" s="8" t="inlineStr">
        <is>
          <t>Must</t>
        </is>
      </c>
      <c r="E81" s="8" t="inlineStr">
        <is>
          <t>Requester</t>
        </is>
      </c>
      <c r="F81" s="8" t="inlineStr">
        <is>
          <t>1-5</t>
        </is>
      </c>
    </row>
    <row r="82">
      <c r="A82" s="10" t="inlineStr">
        <is>
          <t>REQ-VC-02</t>
        </is>
      </c>
      <c r="B82" s="10" t="inlineStr">
        <is>
          <t>Version control</t>
        </is>
      </c>
      <c r="C82" s="11" t="inlineStr">
        <is>
          <t>The application displays its own version, and the version of the source data schema it expects.</t>
        </is>
      </c>
      <c r="D82" s="10" t="inlineStr">
        <is>
          <t>Must</t>
        </is>
      </c>
      <c r="E82" s="10" t="inlineStr">
        <is>
          <t>Requester</t>
        </is>
      </c>
      <c r="F82" s="10" t="inlineStr">
        <is>
          <t>4</t>
        </is>
      </c>
    </row>
    <row r="83">
      <c r="A83" s="8" t="inlineStr">
        <is>
          <t>REQ-VC-03</t>
        </is>
      </c>
      <c r="B83" s="8" t="inlineStr">
        <is>
          <t>Version control</t>
        </is>
      </c>
      <c r="C83" s="9" t="inlineStr">
        <is>
          <t>Loading a source file whose schema version is newer or older than the application expects produces a clear warning.</t>
        </is>
      </c>
      <c r="D83" s="8" t="inlineStr">
        <is>
          <t>Should</t>
        </is>
      </c>
      <c r="E83" s="8" t="inlineStr">
        <is>
          <t>Derived</t>
        </is>
      </c>
      <c r="F83" s="8" t="inlineStr">
        <is>
          <t>4</t>
        </is>
      </c>
    </row>
    <row r="84">
      <c r="A84" s="10" t="inlineStr">
        <is>
          <t>REQ-VC-04</t>
        </is>
      </c>
      <c r="B84" s="10" t="inlineStr">
        <is>
          <t>Version control</t>
        </is>
      </c>
      <c r="C84" s="11" t="inlineStr">
        <is>
          <t>Every document re-issue adds a version-history row stating what changed and why.</t>
        </is>
      </c>
      <c r="D84" s="10" t="inlineStr">
        <is>
          <t>Must</t>
        </is>
      </c>
      <c r="E84" s="10" t="inlineStr">
        <is>
          <t>Requester</t>
        </is>
      </c>
      <c r="F84" s="10" t="inlineStr">
        <is>
          <t>1-5</t>
        </is>
      </c>
    </row>
    <row r="85">
      <c r="A85" s="8" t="inlineStr">
        <is>
          <t>REQ-NFR-01</t>
        </is>
      </c>
      <c r="B85" s="8" t="inlineStr">
        <is>
          <t>Non-functional</t>
        </is>
      </c>
      <c r="C85" s="9" t="inlineStr">
        <is>
          <t>The application is built so later requirements can be added without restructuring: parsing, calculation and presentation are separated.</t>
        </is>
      </c>
      <c r="D85" s="8" t="inlineStr">
        <is>
          <t>Must</t>
        </is>
      </c>
      <c r="E85" s="8" t="inlineStr">
        <is>
          <t>Requester</t>
        </is>
      </c>
      <c r="F85" s="8" t="inlineStr">
        <is>
          <t>4</t>
        </is>
      </c>
    </row>
    <row r="86">
      <c r="A86" s="10" t="inlineStr">
        <is>
          <t>REQ-NFR-02</t>
        </is>
      </c>
      <c r="B86" s="10" t="inlineStr">
        <is>
          <t>Non-functional</t>
        </is>
      </c>
      <c r="C86" s="11" t="inlineStr">
        <is>
          <t>Works in Microsoft Edge and Google Chrome on Windows 10/11, offline.</t>
        </is>
      </c>
      <c r="D86" s="10" t="inlineStr">
        <is>
          <t>Must</t>
        </is>
      </c>
      <c r="E86" s="10" t="inlineStr">
        <is>
          <t>Q-05</t>
        </is>
      </c>
      <c r="F86" s="10" t="inlineStr">
        <is>
          <t>4</t>
        </is>
      </c>
    </row>
    <row r="87">
      <c r="A87" s="20" t="inlineStr">
        <is>
          <t>REQ-NFR-03</t>
        </is>
      </c>
      <c r="B87" s="20" t="inlineStr">
        <is>
          <t>Non-functional</t>
        </is>
      </c>
      <c r="C87" s="19" t="inlineStr">
        <is>
          <t>Handles 100 projects and 1,000 people, with the assignments that implies (order 8,000) over a 60-month horizon. Tables of that height are virtualised and the per-person chart aggregates rather than drawing a bar each - see REQ-DSH-09.</t>
        </is>
      </c>
      <c r="D87" s="20" t="inlineStr">
        <is>
          <t>Must</t>
        </is>
      </c>
      <c r="E87" s="20" t="inlineStr">
        <is>
          <t>S2-06</t>
        </is>
      </c>
      <c r="F87" s="20" t="inlineStr">
        <is>
          <t>4</t>
        </is>
      </c>
    </row>
    <row r="88">
      <c r="A88" s="10" t="inlineStr">
        <is>
          <t>REQ-NFR-04</t>
        </is>
      </c>
      <c r="B88" s="10" t="inlineStr">
        <is>
          <t>Non-functional</t>
        </is>
      </c>
      <c r="C88" s="11" t="inlineStr">
        <is>
          <t>No data leaves the PC: no network calls, no external CDN, no telemetry.</t>
        </is>
      </c>
      <c r="D88" s="10" t="inlineStr">
        <is>
          <t>Must</t>
        </is>
      </c>
      <c r="E88" s="10" t="inlineStr">
        <is>
          <t>Derived</t>
        </is>
      </c>
      <c r="F88" s="10" t="inlineStr">
        <is>
          <t>4</t>
        </is>
      </c>
    </row>
    <row r="89">
      <c r="A89" s="8" t="inlineStr">
        <is>
          <t>REQ-NFR-05</t>
        </is>
      </c>
      <c r="B89" s="8" t="inlineStr">
        <is>
          <t>Non-functional</t>
        </is>
      </c>
      <c r="C89" s="9" t="inlineStr">
        <is>
          <t>Dates are handled unambiguously (ISO yyyy-mm-dd internally) regardless of Windows regional settings.</t>
        </is>
      </c>
      <c r="D89" s="8" t="inlineStr">
        <is>
          <t>Must</t>
        </is>
      </c>
      <c r="E89" s="8" t="inlineStr">
        <is>
          <t>Derived</t>
        </is>
      </c>
      <c r="F89" s="8" t="inlineStr">
        <is>
          <t>4</t>
        </is>
      </c>
    </row>
    <row r="91">
      <c r="A91" s="5" t="inlineStr">
        <is>
          <t>Requirement count by priority</t>
        </is>
      </c>
    </row>
    <row r="92" ht="28" customHeight="1">
      <c r="A92" s="7" t="inlineStr">
        <is>
          <t>Priority</t>
        </is>
      </c>
      <c r="B92" s="7" t="inlineStr">
        <is>
          <t>Count</t>
        </is>
      </c>
    </row>
    <row r="93">
      <c r="A93" s="8" t="inlineStr">
        <is>
          <t>Must</t>
        </is>
      </c>
      <c r="B93" s="8">
        <f>COUNTIF(D5:D89,"Must")</f>
        <v/>
      </c>
    </row>
    <row r="94">
      <c r="A94" s="10" t="inlineStr">
        <is>
          <t>Should</t>
        </is>
      </c>
      <c r="B94" s="10">
        <f>COUNTIF(D5:D89,"Should")</f>
        <v/>
      </c>
    </row>
    <row r="95">
      <c r="A95" s="8" t="inlineStr">
        <is>
          <t>Could</t>
        </is>
      </c>
      <c r="B95" s="8">
        <f>COUNTIF(D5:D89,"Could")</f>
        <v/>
      </c>
    </row>
    <row r="96">
      <c r="A96" s="10" t="inlineStr">
        <is>
          <t>Total</t>
        </is>
      </c>
      <c r="B96" s="10">
        <f>COUNTA(A5:A89)</f>
        <v/>
      </c>
    </row>
    <row r="98">
      <c r="A98" s="16" t="inlineStr">
        <is>
          <t>47 requirements at v0.1, 58 at v0.2, 61 at v0.3, 63 at v0.4 and v1.0. v1.1 adds 2 and rewords 3, as a change against the approved baseline.</t>
        </is>
      </c>
    </row>
    <row r="99">
      <c r="A99" s="16" t="inlineStr">
        <is>
          <t>'Source' = Requester (in the original request), a Q-number (answered at v0.11 review), 'Reviewer v0.11' (added by the reviewer directly), Derived (engineering consequence), or a Decision ID from 07_Architecture.</t>
        </is>
      </c>
    </row>
    <row r="100">
      <c r="A100" s="3" t="inlineStr">
        <is>
          <t>Legend</t>
        </is>
      </c>
    </row>
    <row r="101">
      <c r="A101" s="12" t="inlineStr">
        <is>
          <t>Green = new in v0.2, added from your review answers.</t>
        </is>
      </c>
    </row>
    <row r="102">
      <c r="A102" s="13" t="inlineStr">
        <is>
          <t>Orange = changed in v0.2 as a consequence of your review.</t>
        </is>
      </c>
    </row>
    <row r="103">
      <c r="A103" s="14" t="inlineStr">
        <is>
          <t>Yellow = still needs your input.</t>
        </is>
      </c>
    </row>
  </sheetData>
  <dataValidations count="1">
    <dataValidation sqref="D5:D89"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6"/>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20" t="inlineStr">
        <is>
          <t>PeriodFTEStandard</t>
        </is>
      </c>
      <c r="B9" s="19" t="inlineStr">
        <is>
          <t>THE STANDARD MONTHLY FTE per project type, phase, work scope and period - where every figure gets its size (REQ-CAL-19).</t>
        </is>
      </c>
      <c r="C9" s="20"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MonthlyEstimate</t>
        </is>
      </c>
      <c r="B14" s="18" t="inlineStr">
        <is>
          <t>Monthly FTE stated by hand instead of calculated, for a project or for one assignment (REQ-CAL-18).</t>
        </is>
      </c>
      <c r="C14" s="17" t="inlineStr">
        <is>
          <t>Child of Project or Assignment</t>
        </is>
      </c>
    </row>
    <row r="15">
      <c r="A15" s="17" t="inlineStr">
        <is>
          <t>Lists</t>
        </is>
      </c>
      <c r="B15" s="18" t="inlineStr">
        <is>
          <t>Value lists for every data-driven dropdown, so lists change without code.</t>
        </is>
      </c>
      <c r="C15" s="17" t="inlineStr">
        <is>
          <t>Reference</t>
        </is>
      </c>
    </row>
    <row r="16">
      <c r="A16" s="8" t="inlineStr">
        <is>
          <t>Config</t>
        </is>
      </c>
      <c r="B16" s="9" t="inlineStr">
        <is>
          <t>Parameters: schema version, thresholds, horizon, FTE hours.</t>
        </is>
      </c>
      <c r="C16" s="8" t="inlineStr">
        <is>
          <t>Reference</t>
        </is>
      </c>
    </row>
    <row r="18">
      <c r="A18" s="5" t="inlineStr">
        <is>
          <t>Sheet: Project</t>
        </is>
      </c>
    </row>
    <row r="19" ht="28" customHeight="1">
      <c r="A19" s="7" t="inlineStr">
        <is>
          <t>Column</t>
        </is>
      </c>
      <c r="B19" s="7" t="inlineStr">
        <is>
          <t>Type</t>
        </is>
      </c>
      <c r="C19" s="7" t="inlineStr">
        <is>
          <t>Required</t>
        </is>
      </c>
      <c r="D19" s="7" t="inlineStr">
        <is>
          <t>Definition / rule</t>
        </is>
      </c>
      <c r="E19" s="7" t="inlineStr">
        <is>
          <t>REQ-ID</t>
        </is>
      </c>
    </row>
    <row r="20">
      <c r="A20" s="8" t="inlineStr">
        <is>
          <t>project_id</t>
        </is>
      </c>
      <c r="B20" s="8" t="inlineStr">
        <is>
          <t>Text</t>
        </is>
      </c>
      <c r="C20" s="8" t="inlineStr">
        <is>
          <t>Yes</t>
        </is>
      </c>
      <c r="D20" s="9" t="inlineStr">
        <is>
          <t>Unique key, e.g. PRJ-001. Referenced by every other sheet.</t>
        </is>
      </c>
      <c r="E20" s="8" t="inlineStr">
        <is>
          <t>REQ-PRJ-03</t>
        </is>
      </c>
    </row>
    <row r="21">
      <c r="A21" s="10" t="inlineStr">
        <is>
          <t>project_name</t>
        </is>
      </c>
      <c r="B21" s="10" t="inlineStr">
        <is>
          <t>Text</t>
        </is>
      </c>
      <c r="C21" s="10" t="inlineStr">
        <is>
          <t>Yes</t>
        </is>
      </c>
      <c r="D21" s="11" t="inlineStr">
        <is>
          <t>Unique display name.</t>
        </is>
      </c>
      <c r="E21" s="10" t="inlineStr">
        <is>
          <t>REQ-PRJ-03</t>
        </is>
      </c>
    </row>
    <row r="22">
      <c r="A22" s="20" t="inlineStr">
        <is>
          <t>project_type</t>
        </is>
      </c>
      <c r="B22" s="20" t="inlineStr">
        <is>
          <t>List</t>
        </is>
      </c>
      <c r="C22" s="20" t="inlineStr">
        <is>
          <t>Yes</t>
        </is>
      </c>
      <c r="D22" s="19"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2" s="20" t="inlineStr">
        <is>
          <t>REQ-PRJ-01, R-12</t>
        </is>
      </c>
    </row>
    <row r="23">
      <c r="A23" s="10" t="inlineStr">
        <is>
          <t>project_category</t>
        </is>
      </c>
      <c r="B23" s="10" t="inlineStr">
        <is>
          <t>Text</t>
        </is>
      </c>
      <c r="C23" s="10" t="inlineStr">
        <is>
          <t>Conditional</t>
        </is>
      </c>
      <c r="D23" s="11" t="inlineStr">
        <is>
          <t>Product name. Required for either clinical trial type.</t>
        </is>
      </c>
      <c r="E23" s="10" t="inlineStr">
        <is>
          <t>REQ-PRJ-02</t>
        </is>
      </c>
    </row>
    <row r="24">
      <c r="A24" s="17" t="inlineStr">
        <is>
          <t>clinical_phase</t>
        </is>
      </c>
      <c r="B24" s="17" t="inlineStr">
        <is>
          <t>List</t>
        </is>
      </c>
      <c r="C24" s="17" t="inlineStr">
        <is>
          <t>Conditional</t>
        </is>
      </c>
      <c r="D24" s="18" t="inlineStr">
        <is>
          <t>'Phase 1' / 'Phase 2' / 'Phase 3' / 'Phase 4'. Required for either clinical trial type.</t>
        </is>
      </c>
      <c r="E24" s="17" t="inlineStr">
        <is>
          <t>REQ-PRJ-09</t>
        </is>
      </c>
    </row>
    <row r="25">
      <c r="A25" s="20" t="inlineStr">
        <is>
          <t>work_scope_type</t>
        </is>
      </c>
      <c r="B25" s="20" t="inlineStr">
        <is>
          <t>List</t>
        </is>
      </c>
      <c r="C25" s="20" t="inlineStr">
        <is>
          <t>Yes</t>
        </is>
      </c>
      <c r="D25" s="19" t="inlineStr">
        <is>
          <t>How much of the work is done in-house: 'fully in-housed' / 'fully outsourced' / 'Partially outsourced (in-house for EDC)', extensible on the Lists sheet. SCHEMA 6. Part of the key into PeriodFTEStandard and RoleFactor - a trial run entirely in-house costs this team more than the same trial handed to a CRO, and the weights are where that belongs. Since schema 7 it is the ONLY scope field the calculation reads, and the one the dashboard's scope filter offers.</t>
        </is>
      </c>
      <c r="E25" s="20" t="inlineStr">
        <is>
          <t>R-12, R-16</t>
        </is>
      </c>
    </row>
    <row r="26">
      <c r="A26" s="20" t="inlineStr">
        <is>
          <t>outsourcing_scope_det</t>
        </is>
      </c>
      <c r="B26" s="20" t="inlineStr">
        <is>
          <t>Text</t>
        </is>
      </c>
      <c r="C26" s="20" t="inlineStr">
        <is>
          <t>No</t>
        </is>
      </c>
      <c r="D26" s="19"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6" s="20" t="inlineStr">
        <is>
          <t>REQ-PRJ-04, R-16</t>
        </is>
      </c>
    </row>
    <row r="27">
      <c r="A27" s="17" t="inlineStr">
        <is>
          <t>EDC_setup</t>
        </is>
      </c>
      <c r="B27" s="17" t="inlineStr">
        <is>
          <t>List</t>
        </is>
      </c>
      <c r="C27" s="17" t="inlineStr">
        <is>
          <t>Conditional</t>
        </is>
      </c>
      <c r="D27" s="18" t="inlineStr">
        <is>
          <t>Who sets up the EDC system. 'by CRO' / 'by SB'. Required for either clinical trial type.</t>
        </is>
      </c>
      <c r="E27" s="17" t="inlineStr">
        <is>
          <t>REQ-PRJ-10</t>
        </is>
      </c>
    </row>
    <row r="28">
      <c r="A28" s="17" t="inlineStr">
        <is>
          <t>DataReviewSystem_setup</t>
        </is>
      </c>
      <c r="B28" s="17" t="inlineStr">
        <is>
          <t>List</t>
        </is>
      </c>
      <c r="C28" s="17" t="inlineStr">
        <is>
          <t>Conditional</t>
        </is>
      </c>
      <c r="D28" s="18" t="inlineStr">
        <is>
          <t>Who sets up the data review system. 'by CRO' / 'by SB'.</t>
        </is>
      </c>
      <c r="E28" s="17" t="inlineStr">
        <is>
          <t>REQ-PRJ-10</t>
        </is>
      </c>
    </row>
    <row r="29">
      <c r="A29" s="17" t="inlineStr">
        <is>
          <t>RBQM_setup</t>
        </is>
      </c>
      <c r="B29" s="17" t="inlineStr">
        <is>
          <t>List</t>
        </is>
      </c>
      <c r="C29" s="17" t="inlineStr">
        <is>
          <t>Conditional</t>
        </is>
      </c>
      <c r="D29" s="18" t="inlineStr">
        <is>
          <t>Who sets up the RBQM system. 'by CRO' / 'by SB'.</t>
        </is>
      </c>
      <c r="E29" s="17" t="inlineStr">
        <is>
          <t>REQ-PRJ-10</t>
        </is>
      </c>
    </row>
    <row r="30">
      <c r="A30" s="17" t="inlineStr">
        <is>
          <t>DM_conduct</t>
        </is>
      </c>
      <c r="B30" s="17" t="inlineStr">
        <is>
          <t>List</t>
        </is>
      </c>
      <c r="C30" s="17" t="inlineStr">
        <is>
          <t>Conditional</t>
        </is>
      </c>
      <c r="D30" s="18" t="inlineStr">
        <is>
          <t>Who reviews the clinical trial data. 'by CRO' / 'by SB'.</t>
        </is>
      </c>
      <c r="E30" s="17" t="inlineStr">
        <is>
          <t>REQ-PRJ-10</t>
        </is>
      </c>
    </row>
    <row r="31">
      <c r="A31" s="17" t="inlineStr">
        <is>
          <t>EDC_system</t>
        </is>
      </c>
      <c r="B31" s="17" t="inlineStr">
        <is>
          <t>List</t>
        </is>
      </c>
      <c r="C31" s="17" t="inlineStr">
        <is>
          <t>Conditional</t>
        </is>
      </c>
      <c r="D31" s="18" t="inlineStr">
        <is>
          <t>EDC system name, e.g. 'Veeva EDC' / 'Rave' / 'eSOURCE'. Data-driven list.</t>
        </is>
      </c>
      <c r="E31" s="17" t="inlineStr">
        <is>
          <t>REQ-PRJ-11</t>
        </is>
      </c>
    </row>
    <row r="32">
      <c r="A32" s="17" t="inlineStr">
        <is>
          <t>DataReviewSystem</t>
        </is>
      </c>
      <c r="B32" s="17" t="inlineStr">
        <is>
          <t>List</t>
        </is>
      </c>
      <c r="C32" s="17" t="inlineStr">
        <is>
          <t>Conditional</t>
        </is>
      </c>
      <c r="D32" s="18" t="inlineStr">
        <is>
          <t>e.g. 'Veeva DQS' / 'Medidata CDS' / 'No system (manual)'. Data-driven list.</t>
        </is>
      </c>
      <c r="E32" s="17" t="inlineStr">
        <is>
          <t>REQ-PRJ-11</t>
        </is>
      </c>
    </row>
    <row r="33">
      <c r="A33" s="17" t="inlineStr">
        <is>
          <t>RBQM_system</t>
        </is>
      </c>
      <c r="B33" s="17" t="inlineStr">
        <is>
          <t>List</t>
        </is>
      </c>
      <c r="C33" s="17" t="inlineStr">
        <is>
          <t>Conditional</t>
        </is>
      </c>
      <c r="D33" s="18" t="inlineStr">
        <is>
          <t>e.g. 'CluePoints' / 'Medidata CDS' / 'No system (manual)'. Data-driven list.</t>
        </is>
      </c>
      <c r="E33" s="17" t="inlineStr">
        <is>
          <t>REQ-PRJ-11</t>
        </is>
      </c>
    </row>
    <row r="34">
      <c r="A34" s="8" t="inlineStr">
        <is>
          <t>planned_member_count</t>
        </is>
      </c>
      <c r="B34" s="8" t="inlineStr">
        <is>
          <t>Integer</t>
        </is>
      </c>
      <c r="C34" s="8" t="inlineStr">
        <is>
          <t>No</t>
        </is>
      </c>
      <c r="D34" s="9" t="inlineStr">
        <is>
          <t>Planned number of project members; compared against actual assignments.</t>
        </is>
      </c>
      <c r="E34" s="8" t="inlineStr">
        <is>
          <t>REQ-PRJ-04</t>
        </is>
      </c>
    </row>
    <row r="35">
      <c r="A35" s="10" t="inlineStr">
        <is>
          <t>start_date</t>
        </is>
      </c>
      <c r="B35" s="10" t="inlineStr">
        <is>
          <t>Date</t>
        </is>
      </c>
      <c r="C35" s="10" t="inlineStr">
        <is>
          <t>Yes</t>
        </is>
      </c>
      <c r="D35" s="11" t="inlineStr">
        <is>
          <t>Project start.</t>
        </is>
      </c>
      <c r="E35" s="10" t="inlineStr">
        <is>
          <t>REQ-PRJ-05</t>
        </is>
      </c>
    </row>
    <row r="36">
      <c r="A36" s="8" t="inlineStr">
        <is>
          <t>end_date</t>
        </is>
      </c>
      <c r="B36" s="8" t="inlineStr">
        <is>
          <t>Date</t>
        </is>
      </c>
      <c r="C36" s="8" t="inlineStr">
        <is>
          <t>Yes</t>
        </is>
      </c>
      <c r="D36" s="9" t="inlineStr">
        <is>
          <t>Planned project end.</t>
        </is>
      </c>
      <c r="E36" s="8" t="inlineStr">
        <is>
          <t>REQ-PRJ-05</t>
        </is>
      </c>
    </row>
    <row r="37">
      <c r="A37" s="10" t="inlineStr">
        <is>
          <t>total_period_months</t>
        </is>
      </c>
      <c r="B37" s="10" t="inlineStr">
        <is>
          <t>Derived</t>
        </is>
      </c>
      <c r="C37" s="10" t="inlineStr">
        <is>
          <t>-</t>
        </is>
      </c>
      <c r="D37" s="11" t="inlineStr">
        <is>
          <t>Calculated from start_date and end_date; not entered by hand.</t>
        </is>
      </c>
      <c r="E37" s="10" t="inlineStr">
        <is>
          <t>REQ-PRJ-08</t>
        </is>
      </c>
    </row>
    <row r="38">
      <c r="A38" s="8" t="inlineStr">
        <is>
          <t>status</t>
        </is>
      </c>
      <c r="B38" s="8" t="inlineStr">
        <is>
          <t>List</t>
        </is>
      </c>
      <c r="C38" s="8" t="inlineStr">
        <is>
          <t>No</t>
        </is>
      </c>
      <c r="D38" s="9" t="inlineStr">
        <is>
          <t>Planned / Active / On hold / Completed. Drives default dashboard filtering.</t>
        </is>
      </c>
      <c r="E38" s="8" t="inlineStr">
        <is>
          <t>REQ-PRJ-07</t>
        </is>
      </c>
    </row>
    <row r="39">
      <c r="A39" s="17" t="inlineStr">
        <is>
          <t>estimation_type</t>
        </is>
      </c>
      <c r="B39" s="17" t="inlineStr">
        <is>
          <t>List</t>
        </is>
      </c>
      <c r="C39" s="17" t="inlineStr">
        <is>
          <t>No</t>
        </is>
      </c>
      <c r="D39" s="18" t="inlineStr">
        <is>
          <t>SCHEMA 9. 'automatic' (the default, and what a blank means) or 'manual'. Manual means this project's monthly FTE is STATED on MonthlyEstimate rather than worked out from the assumptions, and the people assigned each month are scaled to add up to the stated figure (REQ-CAL-18).</t>
        </is>
      </c>
      <c r="E39" s="17" t="inlineStr">
        <is>
          <t>REQ-CAL-18</t>
        </is>
      </c>
    </row>
    <row r="40">
      <c r="A40" s="8" t="inlineStr">
        <is>
          <t>note_1 .. note_5</t>
        </is>
      </c>
      <c r="B40" s="8" t="inlineStr">
        <is>
          <t>Text</t>
        </is>
      </c>
      <c r="C40" s="8" t="inlineStr">
        <is>
          <t>No</t>
        </is>
      </c>
      <c r="D40" s="9" t="inlineStr">
        <is>
          <t>Free extension columns.</t>
        </is>
      </c>
      <c r="E40" s="8" t="inlineStr">
        <is>
          <t>REQ-PRJ-07</t>
        </is>
      </c>
    </row>
    <row r="42">
      <c r="A42" s="16" t="inlineStr">
        <is>
          <t>system_prepared_by is dropped at v0.3 (Q-19): the four *_setup columns replace it with more detail.</t>
        </is>
      </c>
    </row>
    <row r="43">
      <c r="A43" s="5" t="inlineStr">
        <is>
          <t>Sheet: Milestone</t>
        </is>
      </c>
    </row>
    <row r="44" ht="28" customHeight="1">
      <c r="A44" s="7" t="inlineStr">
        <is>
          <t>Column</t>
        </is>
      </c>
      <c r="B44" s="7" t="inlineStr">
        <is>
          <t>Type</t>
        </is>
      </c>
      <c r="C44" s="7" t="inlineStr">
        <is>
          <t>Required</t>
        </is>
      </c>
      <c r="D44" s="7" t="inlineStr">
        <is>
          <t>Definition / rule</t>
        </is>
      </c>
      <c r="E44" s="7" t="inlineStr">
        <is>
          <t>REQ-ID</t>
        </is>
      </c>
    </row>
    <row r="45">
      <c r="A45" s="8" t="inlineStr">
        <is>
          <t>project_id</t>
        </is>
      </c>
      <c r="B45" s="8" t="inlineStr">
        <is>
          <t>Text</t>
        </is>
      </c>
      <c r="C45" s="8" t="inlineStr">
        <is>
          <t>Yes</t>
        </is>
      </c>
      <c r="D45" s="9" t="inlineStr">
        <is>
          <t>Foreign key to Project.</t>
        </is>
      </c>
      <c r="E45" s="8" t="inlineStr">
        <is>
          <t>REQ-PRJ-05</t>
        </is>
      </c>
    </row>
    <row r="46">
      <c r="A46" s="10" t="inlineStr">
        <is>
          <t>project_name</t>
        </is>
      </c>
      <c r="B46" s="10" t="inlineStr">
        <is>
          <t>Derived</t>
        </is>
      </c>
      <c r="C46" s="10" t="inlineStr">
        <is>
          <t>No</t>
        </is>
      </c>
      <c r="D46" s="11" t="inlineStr">
        <is>
          <t>DERIVED - looked up from Project on import and refreshed from it, so a mismatch cannot corrupt the link. Locked in the template; a value typed here is discarded and the disagreement reported as V-13.</t>
        </is>
      </c>
      <c r="E46" s="10" t="inlineStr">
        <is>
          <t>REQ-PRJ-05</t>
        </is>
      </c>
    </row>
    <row r="47">
      <c r="A47" s="20" t="inlineStr">
        <is>
          <t>milestone_name</t>
        </is>
      </c>
      <c r="B47" s="20" t="inlineStr">
        <is>
          <t>List</t>
        </is>
      </c>
      <c r="C47" s="20" t="inlineStr">
        <is>
          <t>Yes</t>
        </is>
      </c>
      <c r="D47"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7" s="20" t="inlineStr">
        <is>
          <t>REQ-PRJ-05, REQ-PRJ-13</t>
        </is>
      </c>
    </row>
    <row r="48">
      <c r="A48" s="10" t="inlineStr">
        <is>
          <t>milestone_date</t>
        </is>
      </c>
      <c r="B48" s="10" t="inlineStr">
        <is>
          <t>Date</t>
        </is>
      </c>
      <c r="C48" s="10" t="inlineStr">
        <is>
          <t>Yes</t>
        </is>
      </c>
      <c r="D48" s="11" t="inlineStr">
        <is>
          <t>Planned date.</t>
        </is>
      </c>
      <c r="E48" s="10" t="inlineStr">
        <is>
          <t>REQ-PRJ-05</t>
        </is>
      </c>
    </row>
    <row r="49">
      <c r="A49" s="8" t="inlineStr">
        <is>
          <t>milestone_seq</t>
        </is>
      </c>
      <c r="B49" s="8" t="inlineStr">
        <is>
          <t>Integer</t>
        </is>
      </c>
      <c r="C49" s="8" t="inlineStr">
        <is>
          <t>No</t>
        </is>
      </c>
      <c r="D49" s="9" t="inlineStr">
        <is>
          <t>Display order on the timeline.</t>
        </is>
      </c>
      <c r="E49" s="8" t="inlineStr">
        <is>
          <t>REQ-PRJ-05</t>
        </is>
      </c>
    </row>
    <row r="50">
      <c r="A50" s="17" t="inlineStr">
        <is>
          <t>note_1</t>
        </is>
      </c>
      <c r="B50" s="17" t="inlineStr">
        <is>
          <t>Text</t>
        </is>
      </c>
      <c r="C50" s="17" t="inlineStr">
        <is>
          <t>No</t>
        </is>
      </c>
      <c r="D50" s="18" t="inlineStr">
        <is>
          <t>Free extension column.</t>
        </is>
      </c>
      <c r="E50" s="17" t="inlineStr">
        <is>
          <t>REQ-PRJ-07</t>
        </is>
      </c>
    </row>
    <row r="52">
      <c r="A52"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3">
      <c r="A53" s="5" t="inlineStr">
        <is>
          <t>Sheet: ProjectPeriod  [was ProjectPeriodWeight]</t>
        </is>
      </c>
    </row>
    <row r="54" ht="28" customHeight="1">
      <c r="A54" s="7" t="inlineStr">
        <is>
          <t>Column</t>
        </is>
      </c>
      <c r="B54" s="7" t="inlineStr">
        <is>
          <t>Type</t>
        </is>
      </c>
      <c r="C54" s="7" t="inlineStr">
        <is>
          <t>Required</t>
        </is>
      </c>
      <c r="D54" s="7" t="inlineStr">
        <is>
          <t>Definition / rule</t>
        </is>
      </c>
      <c r="E54" s="7" t="inlineStr">
        <is>
          <t>REQ-ID</t>
        </is>
      </c>
    </row>
    <row r="55">
      <c r="A55" s="8" t="inlineStr">
        <is>
          <t>project_id</t>
        </is>
      </c>
      <c r="B55" s="8" t="inlineStr">
        <is>
          <t>Text</t>
        </is>
      </c>
      <c r="C55" s="8" t="inlineStr">
        <is>
          <t>Yes</t>
        </is>
      </c>
      <c r="D55" s="9" t="inlineStr">
        <is>
          <t>Foreign key to Project.</t>
        </is>
      </c>
      <c r="E55" s="8" t="inlineStr">
        <is>
          <t>REQ-PRJ-06</t>
        </is>
      </c>
    </row>
    <row r="56">
      <c r="A56" s="20" t="inlineStr">
        <is>
          <t>period_name</t>
        </is>
      </c>
      <c r="B56" s="20" t="inlineStr">
        <is>
          <t>List</t>
        </is>
      </c>
      <c r="C56" s="20" t="inlineStr">
        <is>
          <t>Yes</t>
        </is>
      </c>
      <c r="D56" s="19" t="inlineStr">
        <is>
          <t>From the period set for the project's TYPE - see the two sets below. A period name from the wrong set is rejected. UNIQUE within a project since R-11, so (project_id, period_name) is the key.</t>
        </is>
      </c>
      <c r="E56" s="20" t="inlineStr">
        <is>
          <t>REQ-PRJ-12, REQ-CAL-11, R-11</t>
        </is>
      </c>
    </row>
    <row r="57">
      <c r="A57" s="20" t="inlineStr">
        <is>
          <t>period_seq</t>
        </is>
      </c>
      <c r="B57" s="20" t="inlineStr">
        <is>
          <t>Integer</t>
        </is>
      </c>
      <c r="C57" s="20" t="inlineStr">
        <is>
          <t>Yes</t>
        </is>
      </c>
      <c r="D57" s="19" t="inlineStr">
        <is>
          <t>Orders the periods along the timeline. Unique within a project. No longer part of the key - it carries order, not identity (R-11).</t>
        </is>
      </c>
      <c r="E57" s="20" t="inlineStr">
        <is>
          <t>REQ-CAL-11</t>
        </is>
      </c>
    </row>
    <row r="58">
      <c r="A58" s="20" t="inlineStr">
        <is>
          <t>period_start</t>
        </is>
      </c>
      <c r="B58" s="20" t="inlineStr">
        <is>
          <t>Date</t>
        </is>
      </c>
      <c r="C58" s="20" t="inlineStr">
        <is>
          <t>Yes</t>
        </is>
      </c>
      <c r="D58" s="19" t="inlineStr">
        <is>
          <t>Inclusive. For Clinical Trial, computed from milestones (sheet 05) and then editable. For Others, entered directly.</t>
        </is>
      </c>
      <c r="E58" s="20" t="inlineStr">
        <is>
          <t>REQ-CAL-09</t>
        </is>
      </c>
    </row>
    <row r="59">
      <c r="A59" s="20" t="inlineStr">
        <is>
          <t>period_end</t>
        </is>
      </c>
      <c r="B59" s="20" t="inlineStr">
        <is>
          <t>Date</t>
        </is>
      </c>
      <c r="C59" s="20" t="inlineStr">
        <is>
          <t>Yes</t>
        </is>
      </c>
      <c r="D59" s="19" t="inlineStr">
        <is>
          <t>Inclusive. Periods for one project must not overlap and must leave no gap (REQ-CAL-10).</t>
        </is>
      </c>
      <c r="E59" s="20" t="inlineStr">
        <is>
          <t>REQ-CAL-09</t>
        </is>
      </c>
    </row>
    <row r="60">
      <c r="A60" s="20" t="inlineStr">
        <is>
          <t>weight</t>
        </is>
      </c>
      <c r="B60" s="20" t="inlineStr">
        <is>
          <t>Decimal</t>
        </is>
      </c>
      <c r="C60" s="20" t="inlineStr">
        <is>
          <t>Yes</t>
        </is>
      </c>
      <c r="D60" s="19" t="inlineStr">
        <is>
          <t>THIS PROJECT'S OWN ADJUSTMENT to the standard for its type, phase and scope (REQ-CAL-19). 1.00 means an ordinary project of its kind; 1.20 means this one takes a fifth more. SCHEMA 10 changed what it means: until then it carried the magnitude itself and the standards sheet was read by nothing, so the delivered data held the same number in both columns. Values are data (Q-17), not fixed in this plan.</t>
        </is>
      </c>
      <c r="E60" s="20" t="inlineStr">
        <is>
          <t>REQ-PRJ-06, R-31</t>
        </is>
      </c>
    </row>
    <row r="61">
      <c r="A61" s="17" t="inlineStr">
        <is>
          <t>note_1</t>
        </is>
      </c>
      <c r="B61" s="17" t="inlineStr">
        <is>
          <t>Text</t>
        </is>
      </c>
      <c r="C61" s="17" t="inlineStr">
        <is>
          <t>No</t>
        </is>
      </c>
      <c r="D61" s="18" t="inlineStr">
        <is>
          <t>Free extension column, e.g. why a derived date was overridden.</t>
        </is>
      </c>
      <c r="E61" s="17" t="inlineStr">
        <is>
          <t>REQ-PRJ-07</t>
        </is>
      </c>
    </row>
    <row r="63">
      <c r="A63" s="16" t="inlineStr">
        <is>
          <t>Period sets are type-specific (Q-18). The derivation itself is on sheet 05.</t>
        </is>
      </c>
    </row>
    <row r="64" ht="28" customHeight="1">
      <c r="A64" s="7" t="inlineStr">
        <is>
          <t>project_type</t>
        </is>
      </c>
      <c r="B64" s="7" t="inlineStr">
        <is>
          <t>Period set</t>
        </is>
      </c>
      <c r="C64" s="7" t="inlineStr">
        <is>
          <t>How boundaries are set</t>
        </is>
      </c>
    </row>
    <row r="65">
      <c r="A65" s="20" t="inlineStr">
        <is>
          <t>NewDrug CT / Biosimilar CT</t>
        </is>
      </c>
      <c r="B65" s="19" t="inlineStr">
        <is>
          <t>Before-Start-up, Start-up, Conduct (interim), Close-out (interim), Conduct (final), Close-out (final), After Close-out (final)</t>
        </is>
      </c>
      <c r="C65" s="19" t="inlineStr">
        <is>
          <t>Seven names, in timeline order. Both trial types share one period set and one derivation; they differ in their WEIGHTS, not their shape. A trial with no interim DB lock simply omits 'Conduct (interim)' and 'Close-out (interim)'.</t>
        </is>
      </c>
    </row>
    <row r="66">
      <c r="A66" s="10" t="inlineStr">
        <is>
          <t>Others</t>
        </is>
      </c>
      <c r="B66" s="11" t="inlineStr">
        <is>
          <t>Planning, Develop, Close</t>
        </is>
      </c>
      <c r="C66" s="11" t="inlineStr">
        <is>
          <t>Entered directly - dates confirmed manual at Q-25, weights at Q-28. 'Others' projects are hand-entered throughout.</t>
        </is>
      </c>
    </row>
    <row r="68">
      <c r="A68" s="5" t="inlineStr">
        <is>
          <t>Sheet: PeriodFTEStandard</t>
        </is>
      </c>
    </row>
    <row r="69" ht="28" customHeight="1">
      <c r="A69" s="7" t="inlineStr">
        <is>
          <t>Column</t>
        </is>
      </c>
      <c r="B69" s="7" t="inlineStr">
        <is>
          <t>Type</t>
        </is>
      </c>
      <c r="C69" s="7" t="inlineStr">
        <is>
          <t>Required</t>
        </is>
      </c>
      <c r="D69" s="7" t="inlineStr">
        <is>
          <t>Definition / rule</t>
        </is>
      </c>
      <c r="E69" s="7" t="inlineStr">
        <is>
          <t>Basis</t>
        </is>
      </c>
    </row>
    <row r="70">
      <c r="A70" s="20" t="inlineStr">
        <is>
          <t>project_type</t>
        </is>
      </c>
      <c r="B70" s="20" t="inlineStr">
        <is>
          <t>List</t>
        </is>
      </c>
      <c r="C70" s="20" t="inlineStr">
        <is>
          <t>Yes</t>
        </is>
      </c>
      <c r="D70" s="19" t="inlineStr">
        <is>
          <t>A clinical trial type. Part of the key: a biosimilar trial at a given phase is not the same workload as a new-drug trial at that phase. 'Others' take manual weights (Q-28).</t>
        </is>
      </c>
      <c r="E70" s="20" t="inlineStr">
        <is>
          <t>R-05</t>
        </is>
      </c>
    </row>
    <row r="71">
      <c r="A71" s="20" t="inlineStr">
        <is>
          <t>clinical_phase</t>
        </is>
      </c>
      <c r="B71" s="20" t="inlineStr">
        <is>
          <t>List</t>
        </is>
      </c>
      <c r="C71" s="20" t="inlineStr">
        <is>
          <t>Yes</t>
        </is>
      </c>
      <c r="D71" s="19" t="inlineStr">
        <is>
          <t>The phase the standard applies to.</t>
        </is>
      </c>
      <c r="E71" s="20" t="inlineStr">
        <is>
          <t>Q-26</t>
        </is>
      </c>
    </row>
    <row r="72">
      <c r="A72" s="17" t="inlineStr">
        <is>
          <t>work_scope_type</t>
        </is>
      </c>
      <c r="B72" s="17" t="inlineStr">
        <is>
          <t>List</t>
        </is>
      </c>
      <c r="C72" s="17" t="inlineStr">
        <is>
          <t>No</t>
        </is>
      </c>
      <c r="D72" s="18" t="inlineStr">
        <is>
          <t>The work scope this standard applies to. SCHEMA 6. EMPTY means the row applies to EVERY scope - see the note below, which is the important part of this change.</t>
        </is>
      </c>
      <c r="E72" s="17" t="inlineStr">
        <is>
          <t>R-12</t>
        </is>
      </c>
    </row>
    <row r="73">
      <c r="A73" s="20" t="inlineStr">
        <is>
          <t>standard_fte</t>
        </is>
      </c>
      <c r="B73" s="20" t="inlineStr">
        <is>
          <t>Decimal</t>
        </is>
      </c>
      <c r="C73" s="20" t="inlineStr">
        <is>
          <t>Yes</t>
        </is>
      </c>
      <c r="D73" s="19" t="inlineStr">
        <is>
          <t>SCHEMA 10, renamed from `weight`. THE STANDARD MONTHLY FTE for this type, phase, scope and period - a MAGNITUDE, not a multiplier: 4.02 means the period takes about four full-time people a month. This is where every figure gets its size (REQ-CAL-19). It was called `weight` until schema 10 and was read by nothing except the period seeder, which is most of why: a weight reads like something to multiply by. A schema 9 file is read - the column is renamed on the way in.</t>
        </is>
      </c>
      <c r="E73" s="20" t="inlineStr">
        <is>
          <t>R-31</t>
        </is>
      </c>
    </row>
    <row r="74">
      <c r="A74" s="8" t="inlineStr">
        <is>
          <t>period_name</t>
        </is>
      </c>
      <c r="B74" s="8" t="inlineStr">
        <is>
          <t>List</t>
        </is>
      </c>
      <c r="C74" s="8" t="inlineStr">
        <is>
          <t>Yes</t>
        </is>
      </c>
      <c r="D74" s="9" t="inlineStr">
        <is>
          <t>A period from that type's set.</t>
        </is>
      </c>
      <c r="E74" s="8" t="inlineStr">
        <is>
          <t>Q-04, Q-18</t>
        </is>
      </c>
    </row>
    <row r="75">
      <c r="A75" s="17" t="inlineStr">
        <is>
          <t>note_1</t>
        </is>
      </c>
      <c r="B75" s="17" t="inlineStr">
        <is>
          <t>Text</t>
        </is>
      </c>
      <c r="C75" s="17" t="inlineStr">
        <is>
          <t>No</t>
        </is>
      </c>
      <c r="D75" s="18" t="inlineStr">
        <is>
          <t>Free extension column, e.g. the basis for the weight.</t>
        </is>
      </c>
      <c r="E75" s="17" t="inlineStr">
        <is>
          <t>Q-01</t>
        </is>
      </c>
    </row>
    <row r="77">
      <c r="A77"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79">
      <c r="A79"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80">
      <c r="A80" s="5" t="inlineStr">
        <is>
          <t>Sheet: RoleFactor   [key extended at R-10]</t>
        </is>
      </c>
    </row>
    <row r="81" ht="28" customHeight="1">
      <c r="A81" s="7" t="inlineStr">
        <is>
          <t>Column</t>
        </is>
      </c>
      <c r="B81" s="7" t="inlineStr">
        <is>
          <t>Type</t>
        </is>
      </c>
      <c r="C81" s="7" t="inlineStr">
        <is>
          <t>Required</t>
        </is>
      </c>
      <c r="D81" s="7" t="inlineStr">
        <is>
          <t>Definition / rule</t>
        </is>
      </c>
      <c r="E81" s="7" t="inlineStr">
        <is>
          <t>Basis</t>
        </is>
      </c>
    </row>
    <row r="82">
      <c r="A82" s="20" t="inlineStr">
        <is>
          <t>project_type</t>
        </is>
      </c>
      <c r="B82" s="20" t="inlineStr">
        <is>
          <t>List</t>
        </is>
      </c>
      <c r="C82" s="20" t="inlineStr">
        <is>
          <t>Yes</t>
        </is>
      </c>
      <c r="D82" s="19" t="inlineStr">
        <is>
          <t>'NewDrug CT', 'Biosimilar CT (Healthy)', 'Biosimilar CT (Patient)' or 'Others'. Roles are keyed by type, so a factor can differ between the trial types.</t>
        </is>
      </c>
      <c r="E82" s="20" t="inlineStr">
        <is>
          <t>Q-03, R-05, R-12</t>
        </is>
      </c>
    </row>
    <row r="83">
      <c r="A83" s="17" t="inlineStr">
        <is>
          <t>clinical_phase</t>
        </is>
      </c>
      <c r="B83" s="17" t="inlineStr">
        <is>
          <t>List</t>
        </is>
      </c>
      <c r="C83" s="17" t="inlineStr">
        <is>
          <t>Trials only</t>
        </is>
      </c>
      <c r="D83" s="18" t="inlineStr">
        <is>
          <t>The phase this factor applies to. EMPTY on 'Others' rows, which carry no phase.</t>
        </is>
      </c>
      <c r="E83" s="17" t="inlineStr">
        <is>
          <t>R-10</t>
        </is>
      </c>
    </row>
    <row r="84">
      <c r="A84" s="17" t="inlineStr">
        <is>
          <t>work_scope_type</t>
        </is>
      </c>
      <c r="B84" s="17" t="inlineStr">
        <is>
          <t>List</t>
        </is>
      </c>
      <c r="C84" s="17" t="inlineStr">
        <is>
          <t>No</t>
        </is>
      </c>
      <c r="D84" s="18" t="inlineStr">
        <is>
          <t>The work scope this factor applies to. SCHEMA 6. EMPTY means EVERY scope, exactly as on PeriodFTEStandard - and it matters more here, because this is the larger sheet.</t>
        </is>
      </c>
      <c r="E84" s="17" t="inlineStr">
        <is>
          <t>R-12</t>
        </is>
      </c>
    </row>
    <row r="85">
      <c r="A85" s="17" t="inlineStr">
        <is>
          <t>absorbed_by</t>
        </is>
      </c>
      <c r="B85" s="17" t="inlineStr">
        <is>
          <t>Text</t>
        </is>
      </c>
      <c r="C85" s="17" t="inlineStr">
        <is>
          <t>No</t>
        </is>
      </c>
      <c r="D85"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85" s="17" t="inlineStr">
        <is>
          <t>R-17</t>
        </is>
      </c>
    </row>
    <row r="86">
      <c r="A86" s="20" t="inlineStr">
        <is>
          <t>period_name</t>
        </is>
      </c>
      <c r="B86" s="20" t="inlineStr">
        <is>
          <t>Text</t>
        </is>
      </c>
      <c r="C86" s="20" t="inlineStr">
        <is>
          <t>Yes</t>
        </is>
      </c>
      <c r="D86" s="19" t="inlineStr">
        <is>
          <t>The period this factor applies to. One of the seven clinical periods, or one of the three 'Others' periods, matching the project_type.</t>
        </is>
      </c>
      <c r="E86" s="20" t="inlineStr">
        <is>
          <t>R-10, R-11</t>
        </is>
      </c>
    </row>
    <row r="87">
      <c r="A87" s="10" t="inlineStr">
        <is>
          <t>role_name</t>
        </is>
      </c>
      <c r="B87" s="10" t="inlineStr">
        <is>
          <t>Text</t>
        </is>
      </c>
      <c r="C87" s="10" t="inlineStr">
        <is>
          <t>Yes</t>
        </is>
      </c>
      <c r="D87" s="11" t="inlineStr">
        <is>
          <t>Clinical Trial: 'Project oversight', 'Lead data manager', 'Clinical Data Associator', 'Clinical Database Programmer', 'Data Analyst'. Others: 'Project lead', 'Main staff', 'Other staff'.</t>
        </is>
      </c>
      <c r="E87" s="10" t="inlineStr">
        <is>
          <t>Q-03</t>
        </is>
      </c>
    </row>
    <row r="88">
      <c r="A88" s="20" t="inlineStr">
        <is>
          <t>role_factor</t>
        </is>
      </c>
      <c r="B88" s="20" t="inlineStr">
        <is>
          <t>Decimal</t>
        </is>
      </c>
      <c r="C88" s="20" t="inlineStr">
        <is>
          <t>Yes</t>
        </is>
      </c>
      <c r="D88"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8" s="20" t="inlineStr">
        <is>
          <t>Q-01, R-10</t>
        </is>
      </c>
    </row>
    <row r="89">
      <c r="A89" s="10" t="inlineStr">
        <is>
          <t>role_note</t>
        </is>
      </c>
      <c r="B89" s="10" t="inlineStr">
        <is>
          <t>Text</t>
        </is>
      </c>
      <c r="C89" s="10" t="inlineStr">
        <is>
          <t>No</t>
        </is>
      </c>
      <c r="D89" s="11" t="inlineStr">
        <is>
          <t>Basis for the factor.</t>
        </is>
      </c>
      <c r="E89" s="10" t="inlineStr">
        <is>
          <t>REQ-CAL-06</t>
        </is>
      </c>
    </row>
    <row r="91">
      <c r="A91"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3">
      <c r="A93" s="16" t="inlineStr">
        <is>
          <t>NOTE A CONSEQUENCE. PeriodFTEStandard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PeriodFTEStandard, once; doing it in RoleFactor means five edits and double-counts the next time the period weight moves.</t>
        </is>
      </c>
    </row>
    <row r="94">
      <c r="A94" s="5" t="inlineStr">
        <is>
          <t>Sheet: Person</t>
        </is>
      </c>
    </row>
    <row r="95" ht="28" customHeight="1">
      <c r="A95" s="7" t="inlineStr">
        <is>
          <t>Column</t>
        </is>
      </c>
      <c r="B95" s="7" t="inlineStr">
        <is>
          <t>Type</t>
        </is>
      </c>
      <c r="C95" s="7" t="inlineStr">
        <is>
          <t>Required</t>
        </is>
      </c>
      <c r="D95" s="7" t="inlineStr">
        <is>
          <t>Definition / rule</t>
        </is>
      </c>
      <c r="E95" s="7" t="inlineStr">
        <is>
          <t>REQ-ID</t>
        </is>
      </c>
    </row>
    <row r="96">
      <c r="A96" s="8" t="inlineStr">
        <is>
          <t>person_id</t>
        </is>
      </c>
      <c r="B96" s="8" t="inlineStr">
        <is>
          <t>Text</t>
        </is>
      </c>
      <c r="C96" s="8" t="inlineStr">
        <is>
          <t>Yes</t>
        </is>
      </c>
      <c r="D96" s="9" t="inlineStr">
        <is>
          <t>Unique key, e.g. PSN-001.</t>
        </is>
      </c>
      <c r="E96" s="8" t="inlineStr">
        <is>
          <t>REQ-PSN-01</t>
        </is>
      </c>
    </row>
    <row r="97">
      <c r="A97" s="10" t="inlineStr">
        <is>
          <t>person_name</t>
        </is>
      </c>
      <c r="B97" s="10" t="inlineStr">
        <is>
          <t>Text</t>
        </is>
      </c>
      <c r="C97" s="10" t="inlineStr">
        <is>
          <t>Yes</t>
        </is>
      </c>
      <c r="D97" s="11" t="inlineStr">
        <is>
          <t>Display name.</t>
        </is>
      </c>
      <c r="E97" s="10" t="inlineStr">
        <is>
          <t>REQ-PSN-01</t>
        </is>
      </c>
    </row>
    <row r="98">
      <c r="A98" s="8" t="inlineStr">
        <is>
          <t>department</t>
        </is>
      </c>
      <c r="B98" s="8" t="inlineStr">
        <is>
          <t>Text</t>
        </is>
      </c>
      <c r="C98" s="8" t="inlineStr">
        <is>
          <t>No</t>
        </is>
      </c>
      <c r="D98" s="9" t="inlineStr">
        <is>
          <t>Grouping for the dashboard.</t>
        </is>
      </c>
      <c r="E98" s="8" t="inlineStr">
        <is>
          <t>REQ-PSN-06</t>
        </is>
      </c>
    </row>
    <row r="99">
      <c r="A99" s="10" t="inlineStr">
        <is>
          <t>primary_role</t>
        </is>
      </c>
      <c r="B99" s="10" t="inlineStr">
        <is>
          <t>Text</t>
        </is>
      </c>
      <c r="C99" s="10" t="inlineStr">
        <is>
          <t>No</t>
        </is>
      </c>
      <c r="D99" s="11" t="inlineStr">
        <is>
          <t>Usual role; an assignment can override it.</t>
        </is>
      </c>
      <c r="E99" s="10" t="inlineStr">
        <is>
          <t>REQ-PSN-03</t>
        </is>
      </c>
    </row>
    <row r="100">
      <c r="A100" s="20" t="inlineStr">
        <is>
          <t>capacity_fte</t>
        </is>
      </c>
      <c r="B100" s="20" t="inlineStr">
        <is>
          <t>Decimal</t>
        </is>
      </c>
      <c r="C100" s="20" t="inlineStr">
        <is>
          <t>No</t>
        </is>
      </c>
      <c r="D100" s="19" t="inlineStr">
        <is>
          <t>Available capacity in FTE, default 1.00 (= 160 h/month). Lower it for a part-timer.</t>
        </is>
      </c>
      <c r="E100" s="20" t="inlineStr">
        <is>
          <t>REQ-CAL-08</t>
        </is>
      </c>
    </row>
    <row r="101">
      <c r="A101" s="10" t="inlineStr">
        <is>
          <t>employment_start / employment_end</t>
        </is>
      </c>
      <c r="B101" s="10" t="inlineStr">
        <is>
          <t>Date</t>
        </is>
      </c>
      <c r="C101" s="10" t="inlineStr">
        <is>
          <t>No</t>
        </is>
      </c>
      <c r="D101" s="11" t="inlineStr">
        <is>
          <t>Bounds availability; blank end = open.</t>
        </is>
      </c>
      <c r="E101" s="10" t="inlineStr">
        <is>
          <t>REQ-PSN-04</t>
        </is>
      </c>
    </row>
    <row r="102">
      <c r="A102" s="8" t="inlineStr">
        <is>
          <t>note_1 .. note_5</t>
        </is>
      </c>
      <c r="B102" s="8" t="inlineStr">
        <is>
          <t>Text</t>
        </is>
      </c>
      <c r="C102" s="8" t="inlineStr">
        <is>
          <t>No</t>
        </is>
      </c>
      <c r="D102" s="9" t="inlineStr">
        <is>
          <t>Free extension columns.</t>
        </is>
      </c>
      <c r="E102" s="8" t="inlineStr">
        <is>
          <t>REQ-PSN-06</t>
        </is>
      </c>
    </row>
    <row r="104">
      <c r="A104" s="5" t="inlineStr">
        <is>
          <t>Sheet: Assignment</t>
        </is>
      </c>
    </row>
    <row r="105" ht="28" customHeight="1">
      <c r="A105" s="7" t="inlineStr">
        <is>
          <t>Column</t>
        </is>
      </c>
      <c r="B105" s="7" t="inlineStr">
        <is>
          <t>Type</t>
        </is>
      </c>
      <c r="C105" s="7" t="inlineStr">
        <is>
          <t>Required</t>
        </is>
      </c>
      <c r="D105" s="7" t="inlineStr">
        <is>
          <t>Definition / rule</t>
        </is>
      </c>
      <c r="E105" s="7" t="inlineStr">
        <is>
          <t>REQ-ID</t>
        </is>
      </c>
    </row>
    <row r="106">
      <c r="A106" s="8" t="inlineStr">
        <is>
          <t>assignment_id</t>
        </is>
      </c>
      <c r="B106" s="8" t="inlineStr">
        <is>
          <t>Text</t>
        </is>
      </c>
      <c r="C106" s="8" t="inlineStr">
        <is>
          <t>Yes</t>
        </is>
      </c>
      <c r="D106" s="9" t="inlineStr">
        <is>
          <t>Unique key. One row per person + project + role.</t>
        </is>
      </c>
      <c r="E106" s="8" t="inlineStr">
        <is>
          <t>REQ-PSN-07</t>
        </is>
      </c>
    </row>
    <row r="107">
      <c r="A107" s="10" t="inlineStr">
        <is>
          <t>person_id</t>
        </is>
      </c>
      <c r="B107" s="10" t="inlineStr">
        <is>
          <t>Text</t>
        </is>
      </c>
      <c r="C107" s="10" t="inlineStr">
        <is>
          <t>Yes</t>
        </is>
      </c>
      <c r="D107" s="11" t="inlineStr">
        <is>
          <t>Foreign key to Person.</t>
        </is>
      </c>
      <c r="E107" s="10" t="inlineStr">
        <is>
          <t>REQ-PSN-01</t>
        </is>
      </c>
    </row>
    <row r="108">
      <c r="A108" s="8" t="inlineStr">
        <is>
          <t>person_name</t>
        </is>
      </c>
      <c r="B108" s="8" t="inlineStr">
        <is>
          <t>Derived</t>
        </is>
      </c>
      <c r="C108" s="8" t="inlineStr">
        <is>
          <t>No</t>
        </is>
      </c>
      <c r="D108" s="9" t="inlineStr">
        <is>
          <t>DERIVED - looked up from Person on import and refreshed from it. Locked in the template; a value typed here is discarded and the disagreement reported as V-13.</t>
        </is>
      </c>
      <c r="E108" s="8" t="inlineStr">
        <is>
          <t>REQ-PSN-01</t>
        </is>
      </c>
    </row>
    <row r="109">
      <c r="A109" s="10" t="inlineStr">
        <is>
          <t>project_id</t>
        </is>
      </c>
      <c r="B109" s="10" t="inlineStr">
        <is>
          <t>Text</t>
        </is>
      </c>
      <c r="C109" s="10" t="inlineStr">
        <is>
          <t>Yes</t>
        </is>
      </c>
      <c r="D109" s="11" t="inlineStr">
        <is>
          <t>Foreign key to Project.</t>
        </is>
      </c>
      <c r="E109" s="10" t="inlineStr">
        <is>
          <t>REQ-PSN-02</t>
        </is>
      </c>
    </row>
    <row r="110">
      <c r="A110" s="20" t="inlineStr">
        <is>
          <t>role_name</t>
        </is>
      </c>
      <c r="B110" s="20" t="inlineStr">
        <is>
          <t>Text</t>
        </is>
      </c>
      <c r="C110" s="20" t="inlineStr">
        <is>
          <t>Yes</t>
        </is>
      </c>
      <c r="D110" s="19" t="inlineStr">
        <is>
          <t>Foreign key to RoleFactor, matched on (project's type, role_name); the phase and period are supplied by the project and the month being calculated. Several rows = several roles on one project.</t>
        </is>
      </c>
      <c r="E110" s="20" t="inlineStr">
        <is>
          <t>REQ-PSN-03</t>
        </is>
      </c>
    </row>
    <row r="111">
      <c r="A111" s="20" t="inlineStr">
        <is>
          <t>assign_start_date</t>
        </is>
      </c>
      <c r="B111" s="20" t="inlineStr">
        <is>
          <t>Date</t>
        </is>
      </c>
      <c r="C111" s="20" t="inlineStr">
        <is>
          <t>No</t>
        </is>
      </c>
      <c r="D111" s="19" t="inlineStr">
        <is>
          <t>Date the person joins the study. BLANK = the project's own start date (REQ-CAL-15). Optional since v2.29: leave both dates blank for somebody on the project throughout, and fill them in only for a partial involvement.</t>
        </is>
      </c>
      <c r="E111" s="20" t="inlineStr">
        <is>
          <t>REQ-PSN-04, REQ-CAL-15</t>
        </is>
      </c>
    </row>
    <row r="112">
      <c r="A112" s="20" t="inlineStr">
        <is>
          <t>assign_end_date</t>
        </is>
      </c>
      <c r="B112" s="20" t="inlineStr">
        <is>
          <t>Date</t>
        </is>
      </c>
      <c r="C112" s="20" t="inlineStr">
        <is>
          <t>No</t>
        </is>
      </c>
      <c r="D112" s="19" t="inlineStr">
        <is>
          <t>Date the person leaves the study. BLANK = the project's own end date. This one has always behaved that way; v2.29 makes the start match it.</t>
        </is>
      </c>
      <c r="E112" s="20" t="inlineStr">
        <is>
          <t>REQ-PSN-04, REQ-CAL-15</t>
        </is>
      </c>
    </row>
    <row r="113">
      <c r="A113" s="20" t="inlineStr">
        <is>
          <t>person_weight</t>
        </is>
      </c>
      <c r="B113" s="20" t="inlineStr">
        <is>
          <t>Decimal</t>
        </is>
      </c>
      <c r="C113" s="20" t="inlineStr">
        <is>
          <t>Yes</t>
        </is>
      </c>
      <c r="D113" s="19" t="inlineStr">
        <is>
          <t>RENAMED from base_allocation. How much this person works on this project, e.g. 0.40. Q-01 folded the two former fields into this one.</t>
        </is>
      </c>
      <c r="E113" s="20" t="inlineStr">
        <is>
          <t>REQ-CAL-02</t>
        </is>
      </c>
    </row>
    <row r="114">
      <c r="A114" s="17" t="inlineStr">
        <is>
          <t>estimation_type</t>
        </is>
      </c>
      <c r="B114" s="17" t="inlineStr">
        <is>
          <t>List</t>
        </is>
      </c>
      <c r="C114" s="17" t="inlineStr">
        <is>
          <t>No</t>
        </is>
      </c>
      <c r="D114" s="18" t="inlineStr">
        <is>
          <t>SCHEMA 9. 'automatic' (the default) or 'manual'. Manual means THIS PERSON'S contribution to this project is stated on MonthlyEstimate rather than taken as a share of the project's month - the level below the project's own, and applied first (REQ-CAL-18).</t>
        </is>
      </c>
      <c r="E114" s="17" t="inlineStr">
        <is>
          <t>REQ-CAL-18</t>
        </is>
      </c>
    </row>
    <row r="115">
      <c r="A115" s="17" t="inlineStr">
        <is>
          <t>estimation_type</t>
        </is>
      </c>
      <c r="B115" s="17" t="inlineStr">
        <is>
          <t>List</t>
        </is>
      </c>
      <c r="C115" s="17" t="inlineStr">
        <is>
          <t>No</t>
        </is>
      </c>
      <c r="D115" s="18" t="inlineStr">
        <is>
          <t>SCHEMA 9. 'automatic' (the default) or 'manual'. Manual means THIS PERSON'S contribution to this project is stated on MonthlyEstimate rather than taken as a share of the project's month - the level below the project's own, and applied first (REQ-CAL-18).</t>
        </is>
      </c>
      <c r="E115" s="17" t="inlineStr">
        <is>
          <t>REQ-CAL-18</t>
        </is>
      </c>
    </row>
    <row r="116">
      <c r="A116" s="8" t="inlineStr">
        <is>
          <t>note_1 .. note_3</t>
        </is>
      </c>
      <c r="B116" s="8" t="inlineStr">
        <is>
          <t>Text</t>
        </is>
      </c>
      <c r="C116" s="8" t="inlineStr">
        <is>
          <t>No</t>
        </is>
      </c>
      <c r="D116" s="9" t="inlineStr">
        <is>
          <t>Free extension columns.</t>
        </is>
      </c>
      <c r="E116" s="8" t="inlineStr">
        <is>
          <t>REQ-PSN-06</t>
        </is>
      </c>
    </row>
    <row r="118">
      <c r="A118" s="5" t="inlineStr">
        <is>
          <t>Sheet: PersonPeriodWeight</t>
        </is>
      </c>
    </row>
    <row r="119" ht="28" customHeight="1">
      <c r="A119" s="7" t="inlineStr">
        <is>
          <t>Column</t>
        </is>
      </c>
      <c r="B119" s="7" t="inlineStr">
        <is>
          <t>Type</t>
        </is>
      </c>
      <c r="C119" s="7" t="inlineStr">
        <is>
          <t>Required</t>
        </is>
      </c>
      <c r="D119" s="7" t="inlineStr">
        <is>
          <t>Definition / rule</t>
        </is>
      </c>
      <c r="E119" s="7" t="inlineStr">
        <is>
          <t>REQ-ID</t>
        </is>
      </c>
    </row>
    <row r="120">
      <c r="A120" s="8" t="inlineStr">
        <is>
          <t>assignment_id</t>
        </is>
      </c>
      <c r="B120" s="8" t="inlineStr">
        <is>
          <t>Text</t>
        </is>
      </c>
      <c r="C120" s="8" t="inlineStr">
        <is>
          <t>Yes</t>
        </is>
      </c>
      <c r="D120" s="9" t="inlineStr">
        <is>
          <t>Foreign key to Assignment.</t>
        </is>
      </c>
      <c r="E120" s="8" t="inlineStr">
        <is>
          <t>REQ-PSN-05</t>
        </is>
      </c>
    </row>
    <row r="121">
      <c r="A121" s="10" t="inlineStr">
        <is>
          <t>period_start</t>
        </is>
      </c>
      <c r="B121" s="10" t="inlineStr">
        <is>
          <t>Date</t>
        </is>
      </c>
      <c r="C121" s="10" t="inlineStr">
        <is>
          <t>Yes</t>
        </is>
      </c>
      <c r="D121" s="11" t="inlineStr">
        <is>
          <t>Inclusive. Part of the key: one assignment may carry SEVERAL non-overlapping windows, so assignment_id alone does not identify a row.</t>
        </is>
      </c>
      <c r="E121" s="10" t="inlineStr">
        <is>
          <t>REQ-PSN-05</t>
        </is>
      </c>
    </row>
    <row r="122">
      <c r="A122" s="8" t="inlineStr">
        <is>
          <t>period_end</t>
        </is>
      </c>
      <c r="B122" s="8" t="inlineStr">
        <is>
          <t>Date</t>
        </is>
      </c>
      <c r="C122" s="8" t="inlineStr">
        <is>
          <t>Yes</t>
        </is>
      </c>
      <c r="D122" s="9" t="inlineStr">
        <is>
          <t>Inclusive. Periods within one assignment must not overlap.</t>
        </is>
      </c>
      <c r="E122" s="8" t="inlineStr">
        <is>
          <t>REQ-PSN-05</t>
        </is>
      </c>
    </row>
    <row r="123">
      <c r="A123" s="20" t="inlineStr">
        <is>
          <t>weight_override</t>
        </is>
      </c>
      <c r="B123" s="20" t="inlineStr">
        <is>
          <t>Decimal</t>
        </is>
      </c>
      <c r="C123" s="20" t="inlineStr">
        <is>
          <t>Yes</t>
        </is>
      </c>
      <c r="D123" s="19" t="inlineStr">
        <is>
          <t>REPLACES person_weight for months inside this window - it no longer multiplies it. Where no row covers a month, person_weight applies unchanged.</t>
        </is>
      </c>
      <c r="E123" s="20" t="inlineStr">
        <is>
          <t>REQ-PSN-05</t>
        </is>
      </c>
    </row>
    <row r="124">
      <c r="A124" s="8" t="inlineStr">
        <is>
          <t>reason</t>
        </is>
      </c>
      <c r="B124" s="8" t="inlineStr">
        <is>
          <t>Text</t>
        </is>
      </c>
      <c r="C124" s="8" t="inlineStr">
        <is>
          <t>No</t>
        </is>
      </c>
      <c r="D124" s="9" t="inlineStr">
        <is>
          <t>Why the weight differs, e.g. 'part-time', 'covering start-up peak'.</t>
        </is>
      </c>
      <c r="E124" s="8" t="inlineStr">
        <is>
          <t>REQ-PSN-05</t>
        </is>
      </c>
    </row>
    <row r="126">
      <c r="A12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7">
      <c r="A127" s="5" t="inlineStr">
        <is>
          <t>Sheet: MonthlyEstimate   [new]</t>
        </is>
      </c>
    </row>
    <row r="128" ht="28" customHeight="1">
      <c r="A128" s="7" t="inlineStr">
        <is>
          <t>Column</t>
        </is>
      </c>
      <c r="B128" s="7" t="inlineStr">
        <is>
          <t>Type</t>
        </is>
      </c>
      <c r="C128" s="7" t="inlineStr">
        <is>
          <t>Required</t>
        </is>
      </c>
      <c r="D128" s="7" t="inlineStr">
        <is>
          <t>Definition / rule</t>
        </is>
      </c>
      <c r="E128" s="7" t="inlineStr">
        <is>
          <t>REQ-ID</t>
        </is>
      </c>
    </row>
    <row r="129">
      <c r="A129" s="17" t="inlineStr">
        <is>
          <t>scope</t>
        </is>
      </c>
      <c r="B129" s="17" t="inlineStr">
        <is>
          <t>List</t>
        </is>
      </c>
      <c r="C129" s="17" t="inlineStr">
        <is>
          <t>Yes</t>
        </is>
      </c>
      <c r="D129" s="18" t="inlineStr">
        <is>
          <t>'project' or 'assignment' - which of the two this figure is for. The only sheet whose parent depends on a value IN the row, which is why the key carries it.</t>
        </is>
      </c>
      <c r="E129" s="17" t="inlineStr">
        <is>
          <t>REQ-CAL-18</t>
        </is>
      </c>
    </row>
    <row r="130">
      <c r="A130" s="17" t="inlineStr">
        <is>
          <t>ref_id</t>
        </is>
      </c>
      <c r="B130" s="17" t="inlineStr">
        <is>
          <t>Text</t>
        </is>
      </c>
      <c r="C130" s="17" t="inlineStr">
        <is>
          <t>Yes</t>
        </is>
      </c>
      <c r="D130" s="18" t="inlineStr">
        <is>
          <t>The project_id or the assignment_id this figure belongs to, according to scope.</t>
        </is>
      </c>
      <c r="E130" s="17" t="inlineStr">
        <is>
          <t>REQ-CAL-18</t>
        </is>
      </c>
    </row>
    <row r="131">
      <c r="A131" s="17" t="inlineStr">
        <is>
          <t>month</t>
        </is>
      </c>
      <c r="B131" s="17" t="inlineStr">
        <is>
          <t>Text</t>
        </is>
      </c>
      <c r="C131" s="17" t="inlineStr">
        <is>
          <t>Yes</t>
        </is>
      </c>
      <c r="D131" s="18" t="inlineStr">
        <is>
          <t>The month, as YYYY-MM. One figure per month per thing (V-08).</t>
        </is>
      </c>
      <c r="E131" s="17" t="inlineStr">
        <is>
          <t>REQ-CAL-18</t>
        </is>
      </c>
    </row>
    <row r="132">
      <c r="A132" s="17" t="inlineStr">
        <is>
          <t>fte</t>
        </is>
      </c>
      <c r="B132" s="17" t="inlineStr">
        <is>
          <t>Decimal</t>
        </is>
      </c>
      <c r="C132" s="17" t="inlineStr">
        <is>
          <t>Yes</t>
        </is>
      </c>
      <c r="D132" s="18" t="inlineStr">
        <is>
          <t>The monthly FTE, STATED rather than calculated. An assignment figure is that person's own contribution to that project; a project figure is the whole month, and the people on it are scaled to add up to it.</t>
        </is>
      </c>
      <c r="E132" s="17" t="inlineStr">
        <is>
          <t>REQ-CAL-18</t>
        </is>
      </c>
    </row>
    <row r="133">
      <c r="A133" s="17" t="inlineStr">
        <is>
          <t>note_1</t>
        </is>
      </c>
      <c r="B133" s="17" t="inlineStr">
        <is>
          <t>Text</t>
        </is>
      </c>
      <c r="C133" s="17" t="inlineStr">
        <is>
          <t>No</t>
        </is>
      </c>
      <c r="D133" s="18" t="inlineStr">
        <is>
          <t>Why this figure was stated. The argument for a departure from the assumptions belongs beside it.</t>
        </is>
      </c>
      <c r="E133" s="17" t="inlineStr">
        <is>
          <t>REQ-CAL-18</t>
        </is>
      </c>
    </row>
    <row r="135">
      <c r="A135" s="16" t="inlineStr">
        <is>
          <t>Read only where the owning Project or Assignment carries estimation_type = 'manual'; rows left behind by a switch back to automatic are ignored rather than obeyed. MANUAL IS ALL OR NOTHING for the thing it is set on: the application copies EVERY month across when switching, so no month carries a flag of its own and there is no such thing as a half-manual run. A month with no row after that is a figure somebody removed, and V-31 says so rather than the application quietly filling it back in.</t>
        </is>
      </c>
    </row>
    <row r="136">
      <c r="A136" s="5" t="inlineStr">
        <is>
          <t>Sheet: Config</t>
        </is>
      </c>
    </row>
    <row r="137" ht="28" customHeight="1">
      <c r="A137" s="7" t="inlineStr">
        <is>
          <t>parameter</t>
        </is>
      </c>
      <c r="B137" s="7" t="inlineStr">
        <is>
          <t>Meaning</t>
        </is>
      </c>
      <c r="C137" s="7" t="inlineStr">
        <is>
          <t>Default value</t>
        </is>
      </c>
      <c r="D137" s="7" t="inlineStr">
        <is>
          <t>REQ-ID</t>
        </is>
      </c>
    </row>
    <row r="138">
      <c r="A138" s="20" t="inlineStr">
        <is>
          <t>schema_version</t>
        </is>
      </c>
      <c r="B138" s="19" t="inlineStr">
        <is>
          <t>Version of this workbook structure; checked on import. Steps to 3 at v1.4, 4 at v1.7, 5 at v1.8, 6 at v2.27 (R-12), 7 at v2.30 (R-16), 8 at v2.31 (R-17), 9 at v2.38 (R-30), 10 at v2.39 (R-31), 11 at v2.41 (R-33, the standards sheet renamed), 12 at v2.54 (R-46, MonthlyEstimate.edited_at retired - the first column this schema has REMOVED rather than added or renamed).</t>
        </is>
      </c>
      <c r="C138" s="20" t="inlineStr">
        <is>
          <t>12</t>
        </is>
      </c>
      <c r="D138" s="20" t="inlineStr">
        <is>
          <t>REQ-VC-02</t>
        </is>
      </c>
    </row>
    <row r="139">
      <c r="A139" s="17" t="inlineStr">
        <is>
          <t>absorb_unstaffed_role_factor</t>
        </is>
      </c>
      <c r="B139"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39" s="17" t="inlineStr">
        <is>
          <t>1</t>
        </is>
      </c>
      <c r="D139" s="17" t="inlineStr">
        <is>
          <t>REQ-CAL-16</t>
        </is>
      </c>
    </row>
    <row r="140">
      <c r="A140" s="17" t="inlineStr">
        <is>
          <t>split_shared_role_fte</t>
        </is>
      </c>
      <c r="B140"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40" s="17" t="inlineStr">
        <is>
          <t>1</t>
        </is>
      </c>
      <c r="D140" s="17" t="inlineStr">
        <is>
          <t>REQ-CAL-14</t>
        </is>
      </c>
    </row>
    <row r="141">
      <c r="A141" s="17" t="inlineStr">
        <is>
          <t>fte_hours_per_month</t>
        </is>
      </c>
      <c r="B141" s="18" t="inlineStr">
        <is>
          <t>Hours equal to 1.00 FTE.</t>
        </is>
      </c>
      <c r="C141" s="17" t="inlineStr">
        <is>
          <t>160</t>
        </is>
      </c>
      <c r="D141" s="17" t="inlineStr">
        <is>
          <t>REQ-CAL-08</t>
        </is>
      </c>
    </row>
    <row r="142">
      <c r="A142" s="17" t="inlineStr">
        <is>
          <t>over_allocation_fte</t>
        </is>
      </c>
      <c r="B142" s="18" t="inlineStr">
        <is>
          <t>Person-month total above this is over-allocated.</t>
        </is>
      </c>
      <c r="C142" s="17" t="inlineStr">
        <is>
          <t>1.50</t>
        </is>
      </c>
      <c r="D142" s="17" t="inlineStr">
        <is>
          <t>REQ-CAL-04</t>
        </is>
      </c>
    </row>
    <row r="143">
      <c r="A143" s="20" t="inlineStr">
        <is>
          <t>under_allocation_fte</t>
        </is>
      </c>
      <c r="B143" s="19" t="inlineStr">
        <is>
          <t>Person-month total below this counts toward an under-allocated run. Absolute, not scaled by capacity.</t>
        </is>
      </c>
      <c r="C143" s="20" t="inlineStr">
        <is>
          <t>0.60</t>
        </is>
      </c>
      <c r="D143" s="20" t="inlineStr">
        <is>
          <t>REQ-CAL-07</t>
        </is>
      </c>
    </row>
    <row r="144">
      <c r="A144" s="17" t="inlineStr">
        <is>
          <t>under_allocation_min_months</t>
        </is>
      </c>
      <c r="B144" s="18" t="inlineStr">
        <is>
          <t>Consecutive months below the threshold before flagging.</t>
        </is>
      </c>
      <c r="C144" s="17" t="inlineStr">
        <is>
          <t>3</t>
        </is>
      </c>
      <c r="D144" s="17" t="inlineStr">
        <is>
          <t>REQ-CAL-07</t>
        </is>
      </c>
    </row>
    <row r="145">
      <c r="A145" s="20" t="inlineStr">
        <is>
          <t>default_horizon_months</t>
        </is>
      </c>
      <c r="B145" s="19" t="inlineStr">
        <is>
          <t>Months shown on opening.</t>
        </is>
      </c>
      <c r="C145" s="20" t="inlineStr">
        <is>
          <t>24</t>
        </is>
      </c>
      <c r="D145" s="20" t="inlineStr">
        <is>
          <t>REQ-CAL-01</t>
        </is>
      </c>
    </row>
    <row r="146">
      <c r="A146" s="20" t="inlineStr">
        <is>
          <t>capacity_unit</t>
        </is>
      </c>
      <c r="B146" s="19"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 The value 'percent' was named here until v2.35 and was never implemented: anything other than 'hours' displays as FTE.</t>
        </is>
      </c>
      <c r="C146" s="20" t="inlineStr">
        <is>
          <t>FTE</t>
        </is>
      </c>
      <c r="D146" s="20" t="inlineStr">
        <is>
          <t>REQ-CAL-08</t>
        </is>
      </c>
    </row>
    <row r="148">
      <c r="A148" s="5" t="inlineStr">
        <is>
          <t>Sheet: Lists   [new]</t>
        </is>
      </c>
    </row>
    <row r="149">
      <c r="A149" s="6" t="inlineStr">
        <is>
          <t>Two columns - list_name, value - holding every data-driven dropdown: outsourcing_type, clinical_phase,</t>
        </is>
      </c>
    </row>
    <row r="150">
      <c r="A150" s="6" t="inlineStr">
        <is>
          <t>milestone_name, period_name, EDC_system, DataReviewSystem, RBQM_system, setup_party, project_status.</t>
        </is>
      </c>
    </row>
    <row r="151">
      <c r="A151" s="6" t="inlineStr">
        <is>
          <t>Adding a permitted value is a data edit, never a code change (REQ-CAL-06). A third column, note_1,</t>
        </is>
      </c>
    </row>
    <row r="152">
      <c r="A152" s="6" t="inlineStr">
        <is>
          <t>carries free text about a value - when it was added, or what it means.</t>
        </is>
      </c>
    </row>
    <row r="154">
      <c r="A154" s="5" t="inlineStr">
        <is>
          <t>Referential rules checked on import</t>
        </is>
      </c>
    </row>
    <row r="155" ht="28" customHeight="1">
      <c r="A155" s="7" t="inlineStr">
        <is>
          <t>ID</t>
        </is>
      </c>
      <c r="B155" s="7" t="inlineStr">
        <is>
          <t>Rule</t>
        </is>
      </c>
      <c r="C155" s="7" t="inlineStr">
        <is>
          <t>On failure</t>
        </is>
      </c>
    </row>
    <row r="156">
      <c r="A156" s="8" t="inlineStr">
        <is>
          <t>V-01</t>
        </is>
      </c>
      <c r="B156" s="9" t="inlineStr">
        <is>
          <t>Every Assignment.project_id exists in Project.</t>
        </is>
      </c>
      <c r="C156" s="9" t="inlineStr">
        <is>
          <t>Error - row rejected, reported with its row number.</t>
        </is>
      </c>
    </row>
    <row r="157">
      <c r="A157" s="10" t="inlineStr">
        <is>
          <t>V-02</t>
        </is>
      </c>
      <c r="B157" s="11" t="inlineStr">
        <is>
          <t>Every Assignment.person_id exists in Person.</t>
        </is>
      </c>
      <c r="C157" s="11" t="inlineStr">
        <is>
          <t>Error - row rejected.</t>
        </is>
      </c>
    </row>
    <row r="158">
      <c r="A158" s="20" t="inlineStr">
        <is>
          <t>V-03</t>
        </is>
      </c>
      <c r="B158" s="19" t="inlineStr">
        <is>
          <t>Every Assignment.role_name appears in RoleFactor for that project's type - the coarse half of the question V-23 asks precisely.</t>
        </is>
      </c>
      <c r="C158" s="19"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59">
      <c r="A159" s="17" t="inlineStr">
        <is>
          <t>V-24</t>
        </is>
      </c>
      <c r="B159" s="18" t="inlineStr">
        <is>
          <t>Every PersonPeriodWeight.assignment_id exists in Assignment, and (assignment_id, period_start) is unique.</t>
        </is>
      </c>
      <c r="C159" s="18" t="inlineStr">
        <is>
          <t>Error - an override on an assignment that does not exist is silently ignored, so the weight the user typed never applies and nothing says so.</t>
        </is>
      </c>
    </row>
    <row r="160">
      <c r="A160" s="17" t="inlineStr">
        <is>
          <t>V-27</t>
        </is>
      </c>
      <c r="B160" s="18" t="inlineStr">
        <is>
          <t>Every clinical trial's (project_type, clinical_phase, work_scope_type) has at least one row in PeriodFTEStandard - checked on the PROJECT, not on its periods.</t>
        </is>
      </c>
      <c r="C160"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61">
      <c r="A161" s="20" t="inlineStr">
        <is>
          <t>V-28</t>
        </is>
      </c>
      <c r="B161" s="19" t="inlineStr">
        <is>
          <t>RETIRED at v2.32 (R-18), one version after it was added. It reported an assignment whose role had no RoleFactor row for that project's (project_type, clinical_phase, work_scope_type) at all.</t>
        </is>
      </c>
      <c r="C161" s="19"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62">
      <c r="A162" s="17" t="inlineStr">
        <is>
          <t>V-29</t>
        </is>
      </c>
      <c r="B162" s="18" t="inlineStr">
        <is>
          <t>A role that carries a factor, that nobody holds on the project, and that nothing covers for.</t>
        </is>
      </c>
      <c r="C162"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63">
      <c r="A163" s="17" t="inlineStr">
        <is>
          <t>V-31</t>
        </is>
      </c>
      <c r="B163" s="18" t="inlineStr">
        <is>
          <t>A project or assignment set to MANUAL has months it covers that carry no MonthlyEstimate figure. Named, with the months listed.</t>
        </is>
      </c>
      <c r="C163" s="18" t="inlineStr">
        <is>
          <t>Error - those months are counted as 0.00, and a figure silently dropping to zero is the one outcome this feature must never produce quietly. Not a refusal: it is raised from the CALCULATION, like V-23, because it is something that happened to a number rather than a fact about a sheet, and a finding that exists only after the arithmetic cannot refuse the edit that led to it. Switching to manual copies every month across, so a month with no figure is one that has since been removed or a month the thing has grown into - the application offers to fill them from the calculation.</t>
        </is>
      </c>
    </row>
    <row r="164">
      <c r="A164" s="17" t="inlineStr">
        <is>
          <t>V-35</t>
        </is>
      </c>
      <c r="B164" s="18" t="inlineStr">
        <is>
          <t>Person.capacity_fte outside 0.00 to 1.00, in either direction.</t>
        </is>
      </c>
      <c r="C164" s="18" t="inlineStr">
        <is>
          <t>Error - and it REFUSES, which almost nothing else in this application does. capacity_fte is how much of ONE PERSON there is: 1.00 is full-time, 0.50 is half a week, 0.00 is somebody on the books who is not available at all and is therefore allowed. Every other figure here is a judgement somebody is entitled to make - a period weight, a role factor, a stated month - and the rules about those report rather than refuse, because which of two deliberate numbers is wrong is not the application's business. This is not a judgement: there is no such thing as one and a half of a person, the number is in the wrong unit, and the usual cause is hours typed into an FTE column - which the message says, with the arithmetic. Somebody doing the work of two people is TWO ASSIGNMENTS, or a person weight above 1.00 on one of them. A workbook that already breaks it still OPENS: the save and edit checks compare the count of blocking findings before and after, so a rule broken by an incoming file is reported without locking anybody out of their own plan. V-22 stands down on the same row - reporting that 1.50 is also not below the under-allocation floor would be true and useless.</t>
        </is>
      </c>
    </row>
    <row r="165">
      <c r="A165" s="17" t="inlineStr">
        <is>
          <t>V-34</t>
        </is>
      </c>
      <c r="B165" s="18" t="inlineStr">
        <is>
          <t>A project whose month is not what its own standard says it needs - standard FTE x period weight x the part of the month it runs - in either direction. Raised from the CALCULATION, one finding per project, naming the months and the worst of them.</t>
        </is>
      </c>
      <c r="C165" s="18" t="inlineStr">
        <is>
          <t>Warning - it reports and never refuses. refuses() acts only on errors, so this reaches the findings report, the load banner, the archived change log and the results export without gating a save or asking a question. Departing from the standard is the POINT of a manual figure (REQ-CAL-18): a manager part way through a trial knows better than the assumptions, and the application has no business calling that wrong. What it does have business doing is saying so, because the departure is otherwise completely silent - the charts just draw a different project. An all-automatic plan raises nothing at all, which is what keeps the rule worth reading.</t>
        </is>
      </c>
    </row>
    <row r="166">
      <c r="A166" s="17" t="inlineStr">
        <is>
          <t>V-33</t>
        </is>
      </c>
      <c r="B166" s="18" t="inlineStr">
        <is>
          <t>A manual ASSIGNMENT figure that the project's own manual figure overrode. REQ-CAL-18 makes the project figure the mother figure - it is the whole month, and the people on it are scaled so they still add up to it - so somebody can type 2.00 against their own name and be given 1.73, because their figure and a colleague's together had to come to the project's month. That is the specified behaviour and it is what keeps the two utilisation charts agreeing; what was missing is that the application did it SILENTLY, so the sheet said one thing and the chart another with nothing connecting them. Now: a SOFT STOP at the moment the figure is edited, naming both numbers and offering to keep it or put it back; the cell marked; the Monthly estimation panel carrying a table of stated against given; and this finding, which reaches the findings report and the archived change log. WARNING, not error, and it never refuses: both numbers were typed deliberately and which of them is wrong is not the application's judgement.</t>
        </is>
      </c>
      <c r="C166" s="18" t="inlineStr">
        <is>
          <t>Warning</t>
        </is>
      </c>
      <c r="D166" s="17" t="inlineStr">
        <is>
          <t>R-39</t>
        </is>
      </c>
      <c r="E166" s="17" t="inlineStr">
        <is>
          <t>4</t>
        </is>
      </c>
    </row>
    <row r="167">
      <c r="A167" s="17" t="inlineStr">
        <is>
          <t>V-32</t>
        </is>
      </c>
      <c r="B167" s="18" t="inlineStr">
        <is>
          <t>A project set to MANUAL has a figure for a month in which nobody is assigned to it.</t>
        </is>
      </c>
      <c r="C167" s="18" t="inlineStr">
        <is>
          <t>Error - the figure is NOT applied. A project month is shared out among the people on it, so there is nobody to give this to; applying it anyway would give the project a total that none of its people account for, which is exactly the disagreement REQ-CAL-18 scales the people to avoid. Assign somebody to those months, or remove the figure.</t>
        </is>
      </c>
    </row>
    <row r="168">
      <c r="A168" s="17" t="inlineStr">
        <is>
          <t>V-30</t>
        </is>
      </c>
      <c r="B168" s="18" t="inlineStr">
        <is>
          <t>Config has no row for a setting the application reads, so its built-in default is in force. Reported for every such setting, naming the value being used.</t>
        </is>
      </c>
      <c r="C168" s="18"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169">
      <c r="A169" s="20" t="inlineStr">
        <is>
          <t>V-25</t>
        </is>
      </c>
      <c r="B169" s="19" t="inlineStr">
        <is>
          <t>RETIRED at schema 7 (R-16). It reported a project whose work_scope_type contradicted its outsourcing_type.</t>
        </is>
      </c>
      <c r="C169" s="19"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70">
      <c r="A170" s="17" t="inlineStr">
        <is>
          <t>V-26</t>
        </is>
      </c>
      <c r="B170" s="18" t="inlineStr">
        <is>
          <t>No project carries a project_type that schema 6 retired - at present 'Biosimilar CT', which became 'Biosimilar CT (Healthy)' and 'Biosimilar CT (Patient)'.</t>
        </is>
      </c>
      <c r="C170"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71">
      <c r="A171" s="20" t="inlineStr">
        <is>
          <t>V-23</t>
        </is>
      </c>
      <c r="B171" s="19" t="inlineStr">
        <is>
          <t>Every (project_type, clinical_phase, work_scope_type, period_name, role_name) that a PERSON-MONTH ACTUALLY LOOKED UP has a RoleFactor row. Raised BY the calculation (R-19), grouped on that whole composition, and counted in person-months affected.</t>
        </is>
      </c>
      <c r="C171" s="19"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72">
      <c r="A172" s="8" t="inlineStr">
        <is>
          <t>V-04</t>
        </is>
      </c>
      <c r="B172" s="9" t="inlineStr">
        <is>
          <t>project_category is present for either clinical trial type.</t>
        </is>
      </c>
      <c r="C172" s="9" t="inlineStr">
        <is>
          <t>Warning - shown as blank in the dashboard.</t>
        </is>
      </c>
    </row>
    <row r="173">
      <c r="A173" s="10" t="inlineStr">
        <is>
          <t>V-05</t>
        </is>
      </c>
      <c r="B173" s="11" t="inlineStr">
        <is>
          <t>end_date is on or after start_date, for projects, assignments and all weight periods.</t>
        </is>
      </c>
      <c r="C173" s="11" t="inlineStr">
        <is>
          <t>Error - row rejected.</t>
        </is>
      </c>
    </row>
    <row r="174">
      <c r="A174" s="20" t="inlineStr">
        <is>
          <t>V-06</t>
        </is>
      </c>
      <c r="B174" s="19" t="inlineStr">
        <is>
          <t>Periods within one project, and override windows within one assignment, do not overlap.</t>
        </is>
      </c>
      <c r="C174" s="19" t="inlineStr">
        <is>
          <t>Error - overlapping pair reported. The assignment half was specified from v1.0 but not implemented until R-12; an overlap there makes the applied weight depend on row order.</t>
        </is>
      </c>
    </row>
    <row r="175">
      <c r="A175" s="10" t="inlineStr">
        <is>
          <t>V-07</t>
        </is>
      </c>
      <c r="B175" s="11" t="inlineStr">
        <is>
          <t>Assignment dates fall inside the project's own start and end dates.</t>
        </is>
      </c>
      <c r="C175" s="11" t="inlineStr">
        <is>
          <t>Warning - kept, but listed for review.</t>
        </is>
      </c>
    </row>
    <row r="176">
      <c r="A176" s="8" t="inlineStr">
        <is>
          <t>V-08</t>
        </is>
      </c>
      <c r="B176" s="9" t="inlineStr">
        <is>
          <t>project_id, person_id and assignment_id are unique in their sheet.</t>
        </is>
      </c>
      <c r="C176" s="9" t="inlineStr">
        <is>
          <t>Error - duplicate rejected.</t>
        </is>
      </c>
    </row>
    <row r="177">
      <c r="A177" s="10" t="inlineStr">
        <is>
          <t>V-09</t>
        </is>
      </c>
      <c r="B177" s="11" t="inlineStr">
        <is>
          <t>schema_version in Config matches the version the application expects.</t>
        </is>
      </c>
      <c r="C177" s="11" t="inlineStr">
        <is>
          <t>Warning - proceeds, banner shown.</t>
        </is>
      </c>
    </row>
    <row r="178">
      <c r="A178" s="17" t="inlineStr">
        <is>
          <t>V-10</t>
        </is>
      </c>
      <c r="B178" s="18" t="inlineStr">
        <is>
          <t>Clinical-trial projects carry clinical_phase and the four *_setup values.</t>
        </is>
      </c>
      <c r="C178" s="18" t="inlineStr">
        <is>
          <t>Warning - the project still simulates; the gap is listed.</t>
        </is>
      </c>
    </row>
    <row r="179">
      <c r="A179" s="17" t="inlineStr">
        <is>
          <t>V-11</t>
        </is>
      </c>
      <c r="B179" s="18" t="inlineStr">
        <is>
          <t>Every list-typed value appears in the Lists sheet for its list.</t>
        </is>
      </c>
      <c r="C179" s="18" t="inlineStr">
        <is>
          <t>Warning - value kept, reported as unrecognised.</t>
        </is>
      </c>
    </row>
    <row r="180">
      <c r="A180" s="20" t="inlineStr">
        <is>
          <t>V-12</t>
        </is>
      </c>
      <c r="B180" s="19" t="inlineStr">
        <is>
          <t>A project's periods leave no gap and no overlap across its timeline. The full set need not be present - a period may be legitimately omitted (REQ-CAL-12).</t>
        </is>
      </c>
      <c r="C180" s="19" t="inlineStr">
        <is>
          <t>Warning - months with no period use weight 1.00 and are listed (REQ-CAL-10).</t>
        </is>
      </c>
    </row>
    <row r="181">
      <c r="A181" s="17" t="inlineStr">
        <is>
          <t>V-13</t>
        </is>
      </c>
      <c r="B181" s="18" t="inlineStr">
        <is>
          <t>Denormalised project_name / person_name match their master row.</t>
        </is>
      </c>
      <c r="C181" s="18" t="inlineStr">
        <is>
          <t>Warning - the master value wins and the copy is refreshed.</t>
        </is>
      </c>
    </row>
    <row r="182">
      <c r="A182" s="20" t="inlineStr">
        <is>
          <t>V-14</t>
        </is>
      </c>
      <c r="B182" s="19" t="inlineStr">
        <is>
          <t>A milestone date falls inside its project's start..end window, and the boundary milestones appear in chronological order. Repeated 'Inspection' rows are exempt from the uniqueness part of this check.</t>
        </is>
      </c>
      <c r="C182" s="19" t="inlineStr">
        <is>
          <t>Error for period-defining milestones - the derivation cannot run. Warning for markers.</t>
        </is>
      </c>
    </row>
    <row r="183">
      <c r="A183" s="17" t="inlineStr">
        <is>
          <t>V-15</t>
        </is>
      </c>
      <c r="B183" s="18" t="inlineStr">
        <is>
          <t>A period_name belongs to the period set of its project's type.</t>
        </is>
      </c>
      <c r="C183" s="18" t="inlineStr">
        <is>
          <t>Error - a 'Planning' period on a clinical trial is a category mistake, not a typo.</t>
        </is>
      </c>
    </row>
    <row r="184">
      <c r="A184" s="17" t="inlineStr">
        <is>
          <t>V-16</t>
        </is>
      </c>
      <c r="B184" s="18" t="inlineStr">
        <is>
          <t>A clinical trial carries the milestones the derivation needs: CTA submission, and at least one DB lock.</t>
        </is>
      </c>
      <c r="C184" s="18" t="inlineStr">
        <is>
          <t>Error - without them no period boundary can be computed.</t>
        </is>
      </c>
    </row>
    <row r="185">
      <c r="A185" s="20" t="inlineStr">
        <is>
          <t>V-18</t>
        </is>
      </c>
      <c r="B185" s="19" t="inlineStr">
        <is>
          <t>Within a project, period_name is unique, and period_seq is unique.</t>
        </is>
      </c>
      <c r="C185" s="19" t="inlineStr">
        <is>
          <t>Error - since R-11 the key is (project_id, period_name), so a repeated name is a duplicate key rather than a legitimate second stretch. period_seq stays unique because it carries the order.</t>
        </is>
      </c>
    </row>
    <row r="186">
      <c r="A186" s="20" t="inlineStr">
        <is>
          <t>V-19</t>
        </is>
      </c>
      <c r="B186" s="19" t="inlineStr">
        <is>
          <t>A clinical trial carries a clinical_phase, and PeriodFTEStandard has rows for that phase. Not applied to 'Others' projects, whose weights are entered directly.</t>
        </is>
      </c>
      <c r="C186" s="19" t="inlineStr">
        <is>
          <t>Error - since Q-26 the phase selects the weights, so a missing phase leaves the project unweighted.</t>
        </is>
      </c>
    </row>
    <row r="187">
      <c r="A187" s="17" t="inlineStr">
        <is>
          <t>V-20</t>
        </is>
      </c>
      <c r="B187" s="18" t="inlineStr">
        <is>
          <t>A milestone other than 'Inspection' appears at most once per project.</t>
        </is>
      </c>
      <c r="C187" s="18" t="inlineStr">
        <is>
          <t>Warning - repeats are allowed but usually a data-entry slip outside Inspection.</t>
        </is>
      </c>
    </row>
    <row r="188">
      <c r="A188" s="17" t="inlineStr">
        <is>
          <t>V-21</t>
        </is>
      </c>
      <c r="B188" s="18" t="inlineStr">
        <is>
          <t>'Inspection' dates on or before the final DB lock are treated as markers, not as the start of period 7.</t>
        </is>
      </c>
      <c r="C188" s="18" t="inlineStr">
        <is>
          <t>Information - listed so the reader can see why an early inspection did not open a period.</t>
        </is>
      </c>
    </row>
    <row r="189">
      <c r="A189" s="17" t="inlineStr">
        <is>
          <t>V-22</t>
        </is>
      </c>
      <c r="B189" s="18" t="inlineStr">
        <is>
          <t>No person carries a capacity_fte below the under-allocation floor.</t>
        </is>
      </c>
      <c r="C189" s="18" t="inlineStr">
        <is>
          <t>Warning - such a person can never clear the floor however fully they are booked, so the flag would be permanent and meaningless.</t>
        </is>
      </c>
    </row>
    <row r="190">
      <c r="A190" s="17" t="inlineStr">
        <is>
          <t>V-17</t>
        </is>
      </c>
      <c r="B190" s="18" t="inlineStr">
        <is>
          <t>On editing an identifier, every referencing row is updated; on deleting a row, nothing may still reference it.</t>
        </is>
      </c>
      <c r="C190" s="18" t="inlineStr">
        <is>
          <t>Cascade after confirmation / deletion refused (REQ-IMP-10).</t>
        </is>
      </c>
    </row>
    <row r="192">
      <c r="A192" s="16" t="inlineStr">
        <is>
          <t>Import never stops at the first problem: it collects every finding and presents one report (REQ-IMP-02). Under REQ-IMP-09 the same rules run again on any value edited on screen.</t>
        </is>
      </c>
    </row>
    <row r="193">
      <c r="A193" s="3" t="inlineStr">
        <is>
          <t>Legend</t>
        </is>
      </c>
    </row>
    <row r="194">
      <c r="A194" s="12" t="inlineStr">
        <is>
          <t>Green = new in v0.2, added from your review answers.</t>
        </is>
      </c>
    </row>
    <row r="195">
      <c r="A195" s="13" t="inlineStr">
        <is>
          <t>Orange = changed in v0.2 as a consequence of your review.</t>
        </is>
      </c>
    </row>
    <row r="196">
      <c r="A196"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2026-09-12T11:10:12Z</dcterms:created>
  <dcterms:modified xmlns:dcterms="http://purl.org/dc/terms/" xmlns:xsi="http://www.w3.org/2001/XMLSchema-instance" xsi:type="dcterms:W3CDTF">2026-09-12T11:10:12Z</dcterms:modified>
</cp:coreProperties>
</file>