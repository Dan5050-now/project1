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CE4D6"/>
      </patternFill>
    </fill>
    <fill>
      <patternFill patternType="solid">
        <fgColor rgb="00F2F5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3" borderId="0" pivotButton="0" quotePrefix="0" xfId="0"/>
    <xf numFmtId="0" fontId="4" fillId="4" borderId="0" pivotButton="0" quotePrefix="0" xfId="0"/>
    <xf numFmtId="0" fontId="4" fillId="6"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v1.17</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PRAP_NewApp_Development_Plan_v1.17.xlsx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1.17</t>
        </is>
      </c>
      <c r="B5" s="11" t="inlineStr">
        <is>
          <t>2026-10-08</t>
        </is>
      </c>
      <c r="C5" s="11" t="inlineStr">
        <is>
          <t>Claude Code</t>
        </is>
      </c>
      <c r="D5" s="11" t="inlineStr">
        <is>
          <t>-</t>
        </is>
      </c>
      <c r="E5" s="12" t="inlineStr">
        <is>
          <t>KEEP YOUR VERSION (web plan R-61), under NR-STO-14 and NR-STO-16. A session whose hold lapsed and was taken over, or whose plan a colleague saved since it was opened, has its Save refused, and the only advice was Save as or Reload - the second discards the work on screen. The window now offers 'Save my version to My plans': a new file in the person's own workspaces folder, named with their name and the time and checked so it never lands on an existing file, after which the window works on it. The team's plan is never touched. Offered by a bar on either refusal and on the File menu at any time. test_python_app.py covers both refusals; the guard was proved by taking it out.</t>
        </is>
      </c>
      <c r="F5" s="11" t="inlineStr">
        <is>
          <t>Issued for review</t>
        </is>
      </c>
    </row>
    <row r="6">
      <c r="A6" s="11" t="inlineStr">
        <is>
          <t>1.16</t>
        </is>
      </c>
      <c r="B6" s="11" t="inlineStr">
        <is>
          <t>2026-10-08</t>
        </is>
      </c>
      <c r="C6" s="11" t="inlineStr">
        <is>
          <t>Claude Code</t>
        </is>
      </c>
      <c r="D6" s="11" t="inlineStr">
        <is>
          <t>-</t>
        </is>
      </c>
      <c r="E6" s="12" t="inlineStr">
        <is>
          <t>NR-DEP-17 AMENDED - A PAGE THAT HAS GONE QUIET NO LONGER STOPS THE APPLICATION (web plan R-58). Reported from the field as the audit trail not working: a save said 'Saved - but the change log could not be written to the audit folder ... Failed to fetch'. The archive itself works; what had happened is that the application behind the window had shut itself down. The backstop stopped it once the page's heartbeat had been silent for fifteen minutes - and that is exactly what a browser does to a tab it puts to sleep (Edge's sleeping tabs are on by default), and what a laptop lid does, and on Windows the clock compared against keeps running through sleep. The window still looked alive; nothing in it could reach the disk - not the change log, not Save. Only the close message now stops the application. The cost is that a browser killed outright leaves the console open until somebody closes it, against work that could not be saved. And when the application HAS stopped - its console closed - the window now says so in words and keeps a red bar up with two downloads that never needed it: the plan as it stands on screen, and the change-log entries that never reached the audit folder. test_python_app.py checks the archive on disk, a day-silent page surviving, and both downloads; each guard was proved by putting the fault back.</t>
        </is>
      </c>
      <c r="F6" s="11" t="inlineStr">
        <is>
          <t>Issued for review</t>
        </is>
      </c>
    </row>
    <row r="7">
      <c r="A7" s="11" t="inlineStr">
        <is>
          <t>1.15</t>
        </is>
      </c>
      <c r="B7" s="11" t="inlineStr">
        <is>
          <t>2026-09-17</t>
        </is>
      </c>
      <c r="C7" s="11" t="inlineStr">
        <is>
          <t>Claude Code</t>
        </is>
      </c>
      <c r="D7" s="11" t="inlineStr">
        <is>
          <t>-</t>
        </is>
      </c>
      <c r="E7" s="12"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c r="F7" s="11" t="inlineStr">
        <is>
          <t>Issued for review</t>
        </is>
      </c>
    </row>
    <row r="8">
      <c r="A8" s="11" t="inlineStr">
        <is>
          <t>1.14</t>
        </is>
      </c>
      <c r="B8" s="11" t="inlineStr">
        <is>
          <t>2026-09-13</t>
        </is>
      </c>
      <c r="C8" s="11" t="inlineStr">
        <is>
          <t>Claude Code</t>
        </is>
      </c>
      <c r="D8" s="11" t="inlineStr">
        <is>
          <t>-</t>
        </is>
      </c>
      <c r="E8" s="12" t="inlineStr">
        <is>
          <t>TWO CORRECTIONS, BOTH ABOUT THIS DOCUMENT RATHER THAN THE APPLICATION. No requirement, decision, risk or task changes, and no code is touched. A-N01 NOW CITES THE WEB PLAN INSTEAD OF COPYING IT. It used to read 'up to about 100 projects and 1,000 people', which was true of REQ-NFR-03 when it was written. That requirement was amended at R-47 to 100 projects and 150 people - measured rather than asserted - at which moment this row became a false statement about another document. The desktop line sets no volume of its own and never did: it renders the same tables from the same core/, so the binding cost is the same (projects + people) rows x horizon months. Citing the requirement instead of restating it means this row cannot go stale the next time the figure moves, which is the only fix that survives the next amendment. AND v1.13 IS BACK-FILLED BELOW, because it was issued with no row of its own. REQ-VC-04 says every re-issue adds a version-history row stating what changed and why; this document skipped one, in a document set whose own subject is keeping versions in step, and nothing was checking. check_consistency.py now requires every controlled document to carry a history row for the version it calls itself - the desktop specification had the same gap at v1.5 and is corrected the same way. The back-filled entry is taken from the change that made it, not reconstructed from memory.</t>
        </is>
      </c>
      <c r="F8" s="11" t="inlineStr">
        <is>
          <t>Issued for review</t>
        </is>
      </c>
    </row>
    <row r="9">
      <c r="A9" s="11" t="inlineStr">
        <is>
          <t>1.13</t>
        </is>
      </c>
      <c r="B9" s="11" t="inlineStr">
        <is>
          <t>2026-09-11</t>
        </is>
      </c>
      <c r="C9" s="11" t="inlineStr">
        <is>
          <t>Claude Code</t>
        </is>
      </c>
      <c r="D9" s="11" t="inlineStr">
        <is>
          <t>-</t>
        </is>
      </c>
      <c r="E9" s="12" t="inlineStr">
        <is>
          <t>BACK-FILLED AT v1.14 - this version was issued without a history row, which REQ-VC-04 requires. Recorded now from the change that produced it rather than reconstructed: NR-DEP-17 added. CLOSING THE BROWSER NOW CLOSES THE CONSOLE WINDOW TOO. Reported from the field: the console window that IS the application outlived the page that is its window, and then sat owning the port, the write claim on whichever plan was open and the data folder, with no way to be rid of it but to know it was there. Closing the last page stops it in about four seconds - and what made it more than one line is everything it must NOT do, each of which is a test: not before any page has ever connected, not on a reload (pagehide is indistinguishable from a close at the moment it fires, so F5 would otherwise lose the plan), not while another tab is open, and not while somebody is still typing their name at sign-in. The no-message backstop is deliberately slow - fifteen minutes - because a browser freezes the timers of a tab nobody is looking at, and shutting down on someone who left it in a background tab is worse than a console outliving its window on the rare occasion a browser dies without a word. --keep-running opts out. Desktop specification v1.5, Python package v1.17, tools/test_shutdown.py new. The web application was untouched.</t>
        </is>
      </c>
      <c r="F9" s="11" t="inlineStr">
        <is>
          <t>Issued</t>
        </is>
      </c>
    </row>
    <row r="10">
      <c r="A10" s="13" t="inlineStr">
        <is>
          <t>1.12</t>
        </is>
      </c>
      <c r="B10" s="13" t="inlineStr">
        <is>
          <t>2026-08-25</t>
        </is>
      </c>
      <c r="C10" s="13" t="inlineStr">
        <is>
          <t>Claude Code</t>
        </is>
      </c>
      <c r="D10" s="13" t="inlineStr">
        <is>
          <t>-</t>
        </is>
      </c>
      <c r="E10" s="14"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11">
      <c r="A11" s="15" t="inlineStr">
        <is>
          <t>1.11</t>
        </is>
      </c>
      <c r="B11" s="15" t="inlineStr">
        <is>
          <t>2026-08-22</t>
        </is>
      </c>
      <c r="C11" s="15" t="inlineStr">
        <is>
          <t>Claude Code</t>
        </is>
      </c>
      <c r="D11" s="15" t="inlineStr">
        <is>
          <t>-</t>
        </is>
      </c>
      <c r="E11" s="16"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12">
      <c r="A12" s="17" t="inlineStr">
        <is>
          <t>1.10</t>
        </is>
      </c>
      <c r="B12" s="17" t="inlineStr">
        <is>
          <t>2026-08-22</t>
        </is>
      </c>
      <c r="C12" s="17" t="inlineStr">
        <is>
          <t>Claude Code</t>
        </is>
      </c>
      <c r="D12" s="17" t="inlineStr">
        <is>
          <t>-</t>
        </is>
      </c>
      <c r="E12" s="18"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13">
      <c r="A13" s="15" t="inlineStr">
        <is>
          <t>1.9</t>
        </is>
      </c>
      <c r="B13" s="15" t="inlineStr">
        <is>
          <t>2026-08-18</t>
        </is>
      </c>
      <c r="C13" s="15" t="inlineStr">
        <is>
          <t>Claude Code</t>
        </is>
      </c>
      <c r="D13" s="15" t="inlineStr">
        <is>
          <t>-</t>
        </is>
      </c>
      <c r="E13" s="16"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14">
      <c r="A14" s="17" t="inlineStr">
        <is>
          <t>1.8</t>
        </is>
      </c>
      <c r="B14" s="17" t="inlineStr">
        <is>
          <t>2026-08-18</t>
        </is>
      </c>
      <c r="C14" s="17" t="inlineStr">
        <is>
          <t>Claude Code</t>
        </is>
      </c>
      <c r="D14" s="17" t="inlineStr">
        <is>
          <t>-</t>
        </is>
      </c>
      <c r="E14" s="18"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5">
      <c r="A15" s="15" t="inlineStr">
        <is>
          <t>1.7</t>
        </is>
      </c>
      <c r="B15" s="15" t="inlineStr">
        <is>
          <t>2026-08-15</t>
        </is>
      </c>
      <c r="C15" s="15" t="inlineStr">
        <is>
          <t>Claude Code</t>
        </is>
      </c>
      <c r="D15" s="15" t="inlineStr">
        <is>
          <t>-</t>
        </is>
      </c>
      <c r="E15"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6">
      <c r="A16" s="17" t="inlineStr">
        <is>
          <t>1.6</t>
        </is>
      </c>
      <c r="B16" s="17" t="inlineStr">
        <is>
          <t>2026-08-15</t>
        </is>
      </c>
      <c r="C16" s="17" t="inlineStr">
        <is>
          <t>Claude Code</t>
        </is>
      </c>
      <c r="D16" s="17" t="inlineStr">
        <is>
          <t>-</t>
        </is>
      </c>
      <c r="E16" s="18"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7">
      <c r="A17" s="15" t="inlineStr">
        <is>
          <t>1.5</t>
        </is>
      </c>
      <c r="B17" s="15" t="inlineStr">
        <is>
          <t>2026-08-13</t>
        </is>
      </c>
      <c r="C17" s="15" t="inlineStr">
        <is>
          <t>Claude Code</t>
        </is>
      </c>
      <c r="D17" s="15" t="inlineStr">
        <is>
          <t>-</t>
        </is>
      </c>
      <c r="E17"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8">
      <c r="A18" s="17" t="inlineStr">
        <is>
          <t>1.4</t>
        </is>
      </c>
      <c r="B18" s="17" t="inlineStr">
        <is>
          <t>2026-08-13</t>
        </is>
      </c>
      <c r="C18" s="17" t="inlineStr">
        <is>
          <t>Claude Code</t>
        </is>
      </c>
      <c r="D18" s="17" t="inlineStr">
        <is>
          <t>APPROVED</t>
        </is>
      </c>
      <c r="E18" s="18"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9">
      <c r="A19" s="15" t="inlineStr">
        <is>
          <t>1.3</t>
        </is>
      </c>
      <c r="B19" s="15" t="inlineStr">
        <is>
          <t>2026-08-13</t>
        </is>
      </c>
      <c r="C19" s="15" t="inlineStr">
        <is>
          <t>Claude Code</t>
        </is>
      </c>
      <c r="D19" s="15" t="inlineStr">
        <is>
          <t>Superseded</t>
        </is>
      </c>
      <c r="E19"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20">
      <c r="A20" s="17" t="inlineStr">
        <is>
          <t>1.2</t>
        </is>
      </c>
      <c r="B20" s="17" t="inlineStr">
        <is>
          <t>2026-08-13</t>
        </is>
      </c>
      <c r="C20" s="17" t="inlineStr">
        <is>
          <t>Claude Code</t>
        </is>
      </c>
      <c r="D20" s="17" t="inlineStr">
        <is>
          <t>-</t>
        </is>
      </c>
      <c r="E20" s="18"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21">
      <c r="A21" s="15" t="inlineStr">
        <is>
          <t>1.1</t>
        </is>
      </c>
      <c r="B21" s="15" t="inlineStr">
        <is>
          <t>2026-08-13</t>
        </is>
      </c>
      <c r="C21" s="15" t="inlineStr">
        <is>
          <t>Claude Code</t>
        </is>
      </c>
      <c r="D21" s="15" t="inlineStr">
        <is>
          <t>-</t>
        </is>
      </c>
      <c r="E21"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22">
      <c r="A22" s="17" t="inlineStr">
        <is>
          <t>1.0</t>
        </is>
      </c>
      <c r="B22" s="17" t="inlineStr">
        <is>
          <t>2026-08-13</t>
        </is>
      </c>
      <c r="C22" s="17" t="inlineStr">
        <is>
          <t>Claude Code</t>
        </is>
      </c>
      <c r="D22" s="17" t="inlineStr">
        <is>
          <t>APPROVED</t>
        </is>
      </c>
      <c r="E22" s="18"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23">
      <c r="A23" s="15" t="inlineStr">
        <is>
          <t>0.7</t>
        </is>
      </c>
      <c r="B23" s="15" t="inlineStr">
        <is>
          <t>2026-08-13</t>
        </is>
      </c>
      <c r="C23" s="15" t="inlineStr">
        <is>
          <t>Claude Code</t>
        </is>
      </c>
      <c r="D23" s="15" t="inlineStr">
        <is>
          <t>Superseded</t>
        </is>
      </c>
      <c r="E23"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24">
      <c r="A24" s="17" t="inlineStr">
        <is>
          <t>0.6</t>
        </is>
      </c>
      <c r="B24" s="17" t="inlineStr">
        <is>
          <t>2026-08-13</t>
        </is>
      </c>
      <c r="C24" s="17" t="inlineStr">
        <is>
          <t>Claude Code</t>
        </is>
      </c>
      <c r="D24" s="17" t="inlineStr">
        <is>
          <t>Superseded</t>
        </is>
      </c>
      <c r="E24" s="18"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5">
      <c r="A25" s="15" t="inlineStr">
        <is>
          <t>0.5</t>
        </is>
      </c>
      <c r="B25" s="15" t="inlineStr">
        <is>
          <t>2026-08-13</t>
        </is>
      </c>
      <c r="C25" s="15" t="inlineStr">
        <is>
          <t>Claude Code</t>
        </is>
      </c>
      <c r="D25" s="15" t="inlineStr">
        <is>
          <t>Superseded</t>
        </is>
      </c>
      <c r="E25"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6">
      <c r="A26" s="17" t="inlineStr">
        <is>
          <t>0.4</t>
        </is>
      </c>
      <c r="B26" s="17" t="inlineStr">
        <is>
          <t>2026-08-13</t>
        </is>
      </c>
      <c r="C26" s="17" t="inlineStr">
        <is>
          <t>Claude Code</t>
        </is>
      </c>
      <c r="D26" s="17" t="inlineStr">
        <is>
          <t>Superseded</t>
        </is>
      </c>
      <c r="E26" s="18"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7">
      <c r="A27" s="15" t="inlineStr">
        <is>
          <t>0.3</t>
        </is>
      </c>
      <c r="B27" s="15" t="inlineStr">
        <is>
          <t>2026-08-13</t>
        </is>
      </c>
      <c r="C27" s="15" t="inlineStr">
        <is>
          <t>Claude Code</t>
        </is>
      </c>
      <c r="D27" s="15" t="inlineStr">
        <is>
          <t>Superseded</t>
        </is>
      </c>
      <c r="E27"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8">
      <c r="A28" s="17" t="inlineStr">
        <is>
          <t>0.2</t>
        </is>
      </c>
      <c r="B28" s="17" t="inlineStr">
        <is>
          <t>2026-08-13</t>
        </is>
      </c>
      <c r="C28" s="17" t="inlineStr">
        <is>
          <t>Claude Code</t>
        </is>
      </c>
      <c r="D28" s="17" t="inlineStr">
        <is>
          <t>Superseded</t>
        </is>
      </c>
      <c r="E28" s="18"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9">
      <c r="A29" s="15" t="inlineStr">
        <is>
          <t>0.1</t>
        </is>
      </c>
      <c r="B29" s="15" t="inlineStr">
        <is>
          <t>2026-08-13</t>
        </is>
      </c>
      <c r="C29" s="15" t="inlineStr">
        <is>
          <t>Claude Code</t>
        </is>
      </c>
      <c r="D29" s="15" t="inlineStr">
        <is>
          <t>Superseded</t>
        </is>
      </c>
      <c r="E29"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31">
      <c r="A31" s="5" t="inlineStr">
        <is>
          <t>Numbering rules for this document line</t>
        </is>
      </c>
    </row>
    <row r="32" ht="28" customHeight="1">
      <c r="A32" s="10" t="inlineStr">
        <is>
          <t>Version</t>
        </is>
      </c>
      <c r="B32" s="10" t="inlineStr">
        <is>
          <t>Meaning</t>
        </is>
      </c>
    </row>
    <row r="33">
      <c r="A33" s="15" t="inlineStr">
        <is>
          <t>v0.x</t>
        </is>
      </c>
      <c r="B33" s="16" t="inlineStr">
        <is>
          <t>Draft issues during Step 1 review rounds.</t>
        </is>
      </c>
    </row>
    <row r="34">
      <c r="A34" s="17" t="inlineStr">
        <is>
          <t>v1.0</t>
        </is>
      </c>
      <c r="B34" s="18" t="inlineStr">
        <is>
          <t>The approved baseline, set at Gate N1.</t>
        </is>
      </c>
    </row>
    <row r="35">
      <c r="A35" s="15" t="inlineStr">
        <is>
          <t>v1.x</t>
        </is>
      </c>
      <c r="B35" s="16" t="inlineStr">
        <is>
          <t>Approved changes against that baseline, each separately approved.</t>
        </is>
      </c>
    </row>
    <row r="36">
      <c r="A36" s="17" t="inlineStr">
        <is>
          <t>v2.0</t>
        </is>
      </c>
      <c r="B36" s="18" t="inlineStr">
        <is>
          <t>Reserved for a structural change, on the same rule the web plan used.</t>
        </is>
      </c>
    </row>
    <row r="38">
      <c r="A38" s="8" t="inlineStr">
        <is>
          <t>Gate prefixes are N1..N5 throughout this document, so a reference such as 'G4' can never be confused between the two plans.</t>
        </is>
      </c>
    </row>
    <row r="39">
      <c r="A39" s="3" t="inlineStr">
        <is>
          <t>Legend</t>
        </is>
      </c>
    </row>
    <row r="40">
      <c r="A40" s="19" t="inlineStr">
        <is>
          <t>Green = new to the desktop application; nothing in the web application corresponds to it.</t>
        </is>
      </c>
    </row>
    <row r="41">
      <c r="A41" s="20" t="inlineStr">
        <is>
          <t>Orange = inherited from the web application but deliberately changed here.</t>
        </is>
      </c>
    </row>
    <row r="42">
      <c r="A42" s="21"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13" t="inlineStr">
        <is>
          <t>Form</t>
        </is>
      </c>
      <c r="B12" s="14" t="inlineStr">
        <is>
          <t>One HTML file, opened in a browser</t>
        </is>
      </c>
      <c r="C12" s="14" t="inlineStr">
        <is>
          <t>Program with its own window and icon, run from a copied folder - NOT installed</t>
        </is>
      </c>
      <c r="D12" s="13" t="inlineStr">
        <is>
          <t>NR-APP-01, NR-DEP-05</t>
        </is>
      </c>
    </row>
    <row r="13">
      <c r="A13" s="13" t="inlineStr">
        <is>
          <t>Platform</t>
        </is>
      </c>
      <c r="B13" s="14" t="inlineStr">
        <is>
          <t>Any browser on any OS</t>
        </is>
      </c>
      <c r="C13" s="14" t="inlineStr">
        <is>
          <t>Windows 10 / 11 only</t>
        </is>
      </c>
      <c r="D13" s="13" t="inlineStr">
        <is>
          <t>NR-DEP-01</t>
        </is>
      </c>
    </row>
    <row r="14">
      <c r="A14" s="13" t="inlineStr">
        <is>
          <t>Data after closing</t>
        </is>
      </c>
      <c r="B14" s="14" t="inlineStr">
        <is>
          <t>Lost - the file must be re-imported each session</t>
        </is>
      </c>
      <c r="C14" s="14" t="inlineStr">
        <is>
          <t>KEPT - the workspace reopens as it was left</t>
        </is>
      </c>
      <c r="D14" s="13" t="inlineStr">
        <is>
          <t>NR-STO-01</t>
        </is>
      </c>
    </row>
    <row r="15">
      <c r="A15" s="13" t="inlineStr">
        <is>
          <t>Source of truth</t>
        </is>
      </c>
      <c r="B15" s="14" t="inlineStr">
        <is>
          <t>The Excel workbook outside the application</t>
        </is>
      </c>
      <c r="C15" s="14" t="inlineStr">
        <is>
          <t>The workspace file the application owns; Excel becomes exchange</t>
        </is>
      </c>
      <c r="D15" s="13"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7" t="inlineStr">
        <is>
          <t>Data contract</t>
        </is>
      </c>
      <c r="B17" s="18" t="inlineStr">
        <is>
          <t>Schema version 5, ten sheets</t>
        </is>
      </c>
      <c r="C17" s="18" t="inlineStr">
        <is>
          <t>Identical, unchanged</t>
        </is>
      </c>
      <c r="D17" s="17"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13" t="inlineStr">
        <is>
          <t>Distribution</t>
        </is>
      </c>
      <c r="B19" s="14" t="inlineStr">
        <is>
          <t>Copy one file</t>
        </is>
      </c>
      <c r="C19" s="14" t="inlineStr">
        <is>
          <t>Copy one folder. No installer, no administrator rights, no registry. Size unconstrained</t>
        </is>
      </c>
      <c r="D19" s="13"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7" t="inlineStr">
        <is>
          <t>Network use</t>
        </is>
      </c>
      <c r="B21" s="18" t="inlineStr">
        <is>
          <t>None</t>
        </is>
      </c>
      <c r="C21" s="18" t="inlineStr">
        <is>
          <t>None</t>
        </is>
      </c>
      <c r="D21" s="17"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8"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8"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8"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8"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8"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8"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8" t="inlineStr">
        <is>
          <t>Multi-user or concurrent editing of one workspace.</t>
        </is>
      </c>
      <c r="B49" s="18"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8" t="inlineStr">
        <is>
          <t>macOS and Linux builds.</t>
        </is>
      </c>
      <c r="B51" s="18"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8" t="inlineStr">
        <is>
          <t>Automatic update over the network.</t>
        </is>
      </c>
      <c r="B53" s="18"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9" t="inlineStr">
        <is>
          <t>Green = new to the desktop application; nothing in the web application corresponds to it.</t>
        </is>
      </c>
    </row>
    <row r="58">
      <c r="A58" s="20" t="inlineStr">
        <is>
          <t>Orange = inherited from the web application but deliberately changed here.</t>
        </is>
      </c>
    </row>
    <row r="59">
      <c r="A59" s="21"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13" t="inlineStr">
        <is>
          <t>NR-APP-01</t>
        </is>
      </c>
      <c r="B11" s="13" t="inlineStr">
        <is>
          <t>Application form</t>
        </is>
      </c>
      <c r="C11" s="14" t="inlineStr">
        <is>
          <t>The application is a desktop program with its own window, icon and menu bar. No browser is visible to the user at any point.</t>
        </is>
      </c>
      <c r="D11" s="13" t="inlineStr">
        <is>
          <t>Must</t>
        </is>
      </c>
      <c r="E11" s="14" t="inlineStr">
        <is>
          <t>Your instruction</t>
        </is>
      </c>
      <c r="F11" s="13"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13" t="inlineStr">
        <is>
          <t>NR-APP-06</t>
        </is>
      </c>
      <c r="B16" s="13" t="inlineStr">
        <is>
          <t>Application form</t>
        </is>
      </c>
      <c r="C16" s="14" t="inlineStr">
        <is>
          <t>A recent-workspaces list of at least ten entries is available from the menu. It is stored in the application's own data folder, not in the registry or in the user profile.</t>
        </is>
      </c>
      <c r="D16" s="13" t="inlineStr">
        <is>
          <t>Should</t>
        </is>
      </c>
      <c r="E16" s="14" t="inlineStr">
        <is>
          <t>Desktop convention + NR-DEP-06</t>
        </is>
      </c>
      <c r="F16" s="13"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13" t="inlineStr">
        <is>
          <t>NR-STO-06</t>
        </is>
      </c>
      <c r="B24" s="13" t="inlineStr">
        <is>
          <t>Storage</t>
        </is>
      </c>
      <c r="C24" s="14" t="inlineStr">
        <is>
          <t>The previous committed version of a workspace is retained and can be restored from within the application. The number retained is a setting; its default is ONE, so a workspace directory holds the current file and the one before it.</t>
        </is>
      </c>
      <c r="D24" s="13" t="inlineStr">
        <is>
          <t>Should</t>
        </is>
      </c>
      <c r="E24" s="14" t="inlineStr">
        <is>
          <t>Q-N07</t>
        </is>
      </c>
      <c r="F24" s="13"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13" t="inlineStr">
        <is>
          <t>NR-STO-10</t>
        </is>
      </c>
      <c r="B28" s="13" t="inlineStr">
        <is>
          <t>Storage</t>
        </is>
      </c>
      <c r="C28" s="14" t="inlineStr">
        <is>
          <t>While one session is editing a workspace, no other session may update it. The claim is made when the FIRST EDIT is attempted - not when the workspace is opened - so that reading is never blocked.</t>
        </is>
      </c>
      <c r="D28" s="13" t="inlineStr">
        <is>
          <t>Must</t>
        </is>
      </c>
      <c r="E28" s="14" t="inlineStr">
        <is>
          <t>Your instruction, round 3</t>
        </is>
      </c>
      <c r="F28" s="13" t="inlineStr">
        <is>
          <t>N4</t>
        </is>
      </c>
    </row>
    <row r="29">
      <c r="A29" s="13" t="inlineStr">
        <is>
          <t>NR-STO-11</t>
        </is>
      </c>
      <c r="B29" s="13" t="inlineStr">
        <is>
          <t>Storage</t>
        </is>
      </c>
      <c r="C29" s="14" t="inlineStr">
        <is>
          <t>Reading is a full working mode, not a refusal: every figure, table, graph, filter and export is available to a session that does not hold the claim. Only writing to that workspace is withheld.</t>
        </is>
      </c>
      <c r="D29" s="13" t="inlineStr">
        <is>
          <t>Must</t>
        </is>
      </c>
      <c r="E29" s="14" t="inlineStr">
        <is>
          <t>Consequence of NR-STO-10</t>
        </is>
      </c>
      <c r="F29" s="13" t="inlineStr">
        <is>
          <t>N4</t>
        </is>
      </c>
    </row>
    <row r="30">
      <c r="A30" s="13" t="inlineStr">
        <is>
          <t>NR-STO-12</t>
        </is>
      </c>
      <c r="B30" s="13" t="inlineStr">
        <is>
          <t>Storage</t>
        </is>
      </c>
      <c r="C30" s="14" t="inlineStr">
        <is>
          <t>A session refused the claim is shown a message naming who holds it, how to reach them, since when, whether their session is still responding, and when the plan becomes free - never merely that the file is locked.</t>
        </is>
      </c>
      <c r="D30" s="13" t="inlineStr">
        <is>
          <t>Must</t>
        </is>
      </c>
      <c r="E30" s="14" t="inlineStr">
        <is>
          <t>Q-N17</t>
        </is>
      </c>
      <c r="F30" s="13"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13" t="inlineStr">
        <is>
          <t>NR-STO-14</t>
        </is>
      </c>
      <c r="B32" s="13" t="inlineStr">
        <is>
          <t>Storage</t>
        </is>
      </c>
      <c r="C32" s="14" t="inlineStr">
        <is>
          <t>A holding session refreshes its claim every 30 seconds while it lives, so the application always knows whether the holder is alive. A claim that has stopped being refreshed expires after 30 MINUTES, after which anybody may take it over.</t>
        </is>
      </c>
      <c r="D32" s="13" t="inlineStr">
        <is>
          <t>Must</t>
        </is>
      </c>
      <c r="E32" s="14" t="inlineStr">
        <is>
          <t>Q-N16</t>
        </is>
      </c>
      <c r="F32" s="13"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13" t="inlineStr">
        <is>
          <t>NR-IMP-01</t>
        </is>
      </c>
      <c r="B38" s="13" t="inlineStr">
        <is>
          <t>Import / export</t>
        </is>
      </c>
      <c r="C38" s="14" t="inlineStr">
        <is>
          <t>Import reads the Excel source workbook and prap-source-data JSON exactly as the web application does, using the same reader and reporting the same findings.</t>
        </is>
      </c>
      <c r="D38" s="13" t="inlineStr">
        <is>
          <t>Must</t>
        </is>
      </c>
      <c r="E38" s="14" t="inlineStr">
        <is>
          <t>Replaces nothing - REQ-IMP-01 inherited</t>
        </is>
      </c>
      <c r="F38" s="13" t="inlineStr">
        <is>
          <t>N4</t>
        </is>
      </c>
    </row>
    <row r="39">
      <c r="A39" s="13" t="inlineStr">
        <is>
          <t>NR-IMP-02</t>
        </is>
      </c>
      <c r="B39" s="13" t="inlineStr">
        <is>
          <t>Import / export</t>
        </is>
      </c>
      <c r="C39" s="14"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13" t="inlineStr">
        <is>
          <t>Must</t>
        </is>
      </c>
      <c r="E39" s="14" t="inlineStr">
        <is>
          <t>Q-N05</t>
        </is>
      </c>
      <c r="F39" s="13" t="inlineStr">
        <is>
          <t>N4</t>
        </is>
      </c>
    </row>
    <row r="40">
      <c r="A40" s="13" t="inlineStr">
        <is>
          <t>NR-IMP-03</t>
        </is>
      </c>
      <c r="B40" s="13" t="inlineStr">
        <is>
          <t>Import / export</t>
        </is>
      </c>
      <c r="C40" s="14" t="inlineStr">
        <is>
          <t>Export to Excel and to JSON produces byte-for-byte the same content the web application would produce from the same data.</t>
        </is>
      </c>
      <c r="D40" s="13" t="inlineStr">
        <is>
          <t>Must</t>
        </is>
      </c>
      <c r="E40" s="14" t="inlineStr">
        <is>
          <t>Parity</t>
        </is>
      </c>
      <c r="F40" s="13"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NR-DEP-17</t>
        </is>
      </c>
      <c r="B45" s="11" t="inlineStr">
        <is>
          <t>Deployment</t>
        </is>
      </c>
      <c r="C45" s="12" t="inlineStr">
        <is>
          <t>THE WINDOW AND THE APPLICATION GO TOGETHER. Closing the last page of the desktop shell stops the application - the console window closes by itself, within a few seconds. The console IS the application and the browser page is its window, and a console left running after the window has gone owns a port, a claim on a plan nobody has open and a data folder the next run then has to argue with, while the only way to be rid of it is to know it is there. FOUR THINGS IT MUST NOT DO, each of which is a way of losing somebody's work or their patience. NOT BEFORE A PAGE HAS EVER CONNECTED: a slow browser, or an address somebody is about to paste in, is not a countdown. NOT ON A RELOAD: the close signal fires on a reload exactly as it does on a close, so it is not believed until a grace period has passed with nobody saying hello again - otherwise refreshing the page would be a way of losing the plan in it. NOT WHILE ANOTHER PAGE IS OPEN: two windows, close one, it carries on. NOT WHILE SOMEBODY IS STILL SIGNING IN: liveness is registered before the start-up sequence, because part of that sequence waits on a person typing their name, and 'open it, look at it, close it again' is exactly the case this exists for. A QUIET PAGE IS NOT A CLOSED ONE (amended at v1.16). Only the close signal stops it. A heartbeat is still sent, but silence is never taken as closure: a browser freezes the timers of a tab it has put to sleep and a laptop lid stops everything, and an application that stopped on silence left a window that looked alive and could save nothing - which is how this was found. A browser killed outright therefore leaves the console open until somebody closes it, which is the better of the two failures. And if the application does stop with a window still open, that window says so and offers the browser's own download of the plan and of any change-log entries not yet archived. AND IT CAN BE TURNED OFF, with --keep-running, for a headless run or for somebody who wants to shut one browser window and open another.</t>
        </is>
      </c>
      <c r="D45" s="11" t="inlineStr">
        <is>
          <t>Must</t>
        </is>
      </c>
      <c r="E45" s="12" t="inlineStr">
        <is>
          <t>R-N24</t>
        </is>
      </c>
      <c r="F45" s="11" t="inlineStr">
        <is>
          <t>N3</t>
        </is>
      </c>
    </row>
    <row r="46">
      <c r="A46" s="11" t="inlineStr">
        <is>
          <t>NR-DEP-16</t>
        </is>
      </c>
      <c r="B46" s="11" t="inlineStr">
        <is>
          <t>Deployment</t>
        </is>
      </c>
      <c r="C46" s="12" t="inlineStr">
        <is>
          <t>The Python shell needs a Python 3.9 or newer interpreter and NOTHING else: standard library only, no pip install, no download, no administrator rights. What is delivered is readable source text, so it can be reviewed before it is run.</t>
        </is>
      </c>
      <c r="D46" s="11" t="inlineStr">
        <is>
          <t>Must</t>
        </is>
      </c>
      <c r="E46" s="12" t="inlineStr">
        <is>
          <t>R-N20, C-N02</t>
        </is>
      </c>
      <c r="F46" s="11" t="inlineStr">
        <is>
          <t>N4</t>
        </is>
      </c>
    </row>
    <row r="47">
      <c r="A47" s="11" t="inlineStr">
        <is>
          <t>NR-IMP-08</t>
        </is>
      </c>
      <c r="B47" s="11" t="inlineStr">
        <is>
          <t>Import / export</t>
        </is>
      </c>
      <c r="C47"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7" s="11" t="inlineStr">
        <is>
          <t>Must</t>
        </is>
      </c>
      <c r="E47" s="12" t="inlineStr">
        <is>
          <t>Gate N3 review - C-N01</t>
        </is>
      </c>
      <c r="F47" s="11" t="inlineStr">
        <is>
          <t>N4</t>
        </is>
      </c>
    </row>
    <row r="48">
      <c r="A48" s="13" t="inlineStr">
        <is>
          <t>NR-IMP-04</t>
        </is>
      </c>
      <c r="B48" s="13" t="inlineStr">
        <is>
          <t>Import / export</t>
        </is>
      </c>
      <c r="C48" s="14" t="inlineStr">
        <is>
          <t>A workspace can be opened by dragging it onto the running application's window. Double-clicking a workspace file in Explorer does NOT open it, because a file association would require a registry entry that NR-DEP-06 forbids.</t>
        </is>
      </c>
      <c r="D48" s="13" t="inlineStr">
        <is>
          <t>Could</t>
        </is>
      </c>
      <c r="E48" s="14" t="inlineStr">
        <is>
          <t>Reduced by the non-installed rule</t>
        </is>
      </c>
      <c r="F48" s="13" t="inlineStr">
        <is>
          <t>N4</t>
        </is>
      </c>
    </row>
    <row r="49">
      <c r="A49" s="11" t="inlineStr">
        <is>
          <t>NR-USR-01</t>
        </is>
      </c>
      <c r="B49" s="11" t="inlineStr">
        <is>
          <t>User identity</t>
        </is>
      </c>
      <c r="C49" s="12" t="inlineStr">
        <is>
          <t>The application asks who the user is when it starts, before any workspace is opened, and carries that identity for the session.</t>
        </is>
      </c>
      <c r="D49" s="11" t="inlineStr">
        <is>
          <t>Must</t>
        </is>
      </c>
      <c r="E49" s="12" t="inlineStr">
        <is>
          <t>Q-N17</t>
        </is>
      </c>
      <c r="F49" s="11" t="inlineStr">
        <is>
          <t>N4</t>
        </is>
      </c>
    </row>
    <row r="50">
      <c r="A50" s="11" t="inlineStr">
        <is>
          <t>NR-USR-02</t>
        </is>
      </c>
      <c r="B50" s="11" t="inlineStr">
        <is>
          <t>User identity</t>
        </is>
      </c>
      <c r="C50" s="12" t="inlineStr">
        <is>
          <t>It asks in full only the first time. Afterwards it shows what it remembers, pre-filled, for the user to confirm with one click - and offers 'not me' for a shared PC.</t>
        </is>
      </c>
      <c r="D50" s="11" t="inlineStr">
        <is>
          <t>Must</t>
        </is>
      </c>
      <c r="E50" s="12" t="inlineStr">
        <is>
          <t>Q-N17, usability</t>
        </is>
      </c>
      <c r="F50" s="11" t="inlineStr">
        <is>
          <t>N4</t>
        </is>
      </c>
    </row>
    <row r="51">
      <c r="A51" s="11" t="inlineStr">
        <is>
          <t>NR-USR-03</t>
        </is>
      </c>
      <c r="B51" s="11" t="inlineStr">
        <is>
          <t>User identity</t>
        </is>
      </c>
      <c r="C51" s="12" t="inlineStr">
        <is>
          <t>The name is pre-filled from the Windows account name the first time, so the common case is confirming rather than typing. It stays editable - a Windows account name is often not how colleagues know each other.</t>
        </is>
      </c>
      <c r="D51" s="11" t="inlineStr">
        <is>
          <t>Should</t>
        </is>
      </c>
      <c r="E51" s="12" t="inlineStr">
        <is>
          <t>Q-N17</t>
        </is>
      </c>
      <c r="F51" s="11" t="inlineStr">
        <is>
          <t>N4</t>
        </is>
      </c>
    </row>
    <row r="52">
      <c r="A52" s="13" t="inlineStr">
        <is>
          <t>NR-USR-04</t>
        </is>
      </c>
      <c r="B52" s="13" t="inlineStr">
        <is>
          <t>User identity</t>
        </is>
      </c>
      <c r="C52" s="14" t="inlineStr">
        <is>
          <t>An identity is a name and a DEPARTMENT. Both are recorded; no e-mail, telephone or other field is collected. A name and a department are what a colleague needs to find somebody in the company directory.</t>
        </is>
      </c>
      <c r="D52" s="13" t="inlineStr">
        <is>
          <t>Must</t>
        </is>
      </c>
      <c r="E52" s="14" t="inlineStr">
        <is>
          <t>Q-N18</t>
        </is>
      </c>
      <c r="F52" s="13" t="inlineStr">
        <is>
          <t>N4</t>
        </is>
      </c>
    </row>
    <row r="53">
      <c r="A53" s="11" t="inlineStr">
        <is>
          <t>NR-USR-05</t>
        </is>
      </c>
      <c r="B53" s="11" t="inlineStr">
        <is>
          <t>User identity</t>
        </is>
      </c>
      <c r="C53" s="12" t="inlineStr">
        <is>
          <t>A claim carries the holder's name and contact details, so the message a blocked colleague sees can be acted on rather than merely read. Those details are removed with the claim.</t>
        </is>
      </c>
      <c r="D53" s="11" t="inlineStr">
        <is>
          <t>Must</t>
        </is>
      </c>
      <c r="E53" s="12" t="inlineStr">
        <is>
          <t>Q-N17 - contact</t>
        </is>
      </c>
      <c r="F53" s="11" t="inlineStr">
        <is>
          <t>N4</t>
        </is>
      </c>
    </row>
    <row r="54">
      <c r="A54" s="13" t="inlineStr">
        <is>
          <t>NR-USR-06</t>
        </is>
      </c>
      <c r="B54" s="13" t="inlineStr">
        <is>
          <t>User identity</t>
        </is>
      </c>
      <c r="C54" s="14" t="inlineStr">
        <is>
          <t>The blocked message shows the holder's name and department together, and offers to copy them, so a colleague can look them up or ask their department without writing anything down.</t>
        </is>
      </c>
      <c r="D54" s="13" t="inlineStr">
        <is>
          <t>Should</t>
        </is>
      </c>
      <c r="E54" s="14" t="inlineStr">
        <is>
          <t>Q-N18</t>
        </is>
      </c>
      <c r="F54" s="13" t="inlineStr">
        <is>
          <t>N4</t>
        </is>
      </c>
    </row>
    <row r="55">
      <c r="A55" s="13" t="inlineStr">
        <is>
          <t>NR-USR-07</t>
        </is>
      </c>
      <c r="B55" s="13" t="inlineStr">
        <is>
          <t>User identity</t>
        </is>
      </c>
      <c r="C55" s="14" t="inlineStr">
        <is>
          <t>A workspace records who last saved it - name and department - and when, shown when it is opened. On a shared plan, knowing whose figures these are matters as much as knowing when they were made.</t>
        </is>
      </c>
      <c r="D55" s="13" t="inlineStr">
        <is>
          <t>Should</t>
        </is>
      </c>
      <c r="E55" s="14" t="inlineStr">
        <is>
          <t>Follows from having identities</t>
        </is>
      </c>
      <c r="F55" s="13" t="inlineStr">
        <is>
          <t>N4</t>
        </is>
      </c>
    </row>
    <row r="56">
      <c r="A56" s="11" t="inlineStr">
        <is>
          <t>NR-USR-08</t>
        </is>
      </c>
      <c r="B56" s="11" t="inlineStr">
        <is>
          <t>User identity</t>
        </is>
      </c>
      <c r="C56" s="12" t="inlineStr">
        <is>
          <t>This identity is DECLARED, not verified. The application states as much where it is entered, and nothing in it is treated as proof of who acted.</t>
        </is>
      </c>
      <c r="D56" s="11" t="inlineStr">
        <is>
          <t>Must</t>
        </is>
      </c>
      <c r="E56" s="12" t="inlineStr">
        <is>
          <t>Honesty about what it is</t>
        </is>
      </c>
      <c r="F56" s="11" t="inlineStr">
        <is>
          <t>N2</t>
        </is>
      </c>
    </row>
    <row r="57">
      <c r="A57" s="11" t="inlineStr">
        <is>
          <t>NR-USR-09</t>
        </is>
      </c>
      <c r="B57" s="11" t="inlineStr">
        <is>
          <t>User identity</t>
        </is>
      </c>
      <c r="C57" s="12" t="inlineStr">
        <is>
          <t>Identity is held per user in their own data folder, never in the shared application folder, so two people on one copy do not overwrite each other's details.</t>
        </is>
      </c>
      <c r="D57" s="11" t="inlineStr">
        <is>
          <t>Must</t>
        </is>
      </c>
      <c r="E57" s="12" t="inlineStr">
        <is>
          <t>NR-DEP-11</t>
        </is>
      </c>
      <c r="F57" s="11" t="inlineStr">
        <is>
          <t>N4</t>
        </is>
      </c>
    </row>
    <row r="58">
      <c r="A58" s="11" t="inlineStr">
        <is>
          <t>NR-USR-10</t>
        </is>
      </c>
      <c r="B58" s="11" t="inlineStr">
        <is>
          <t>User identity</t>
        </is>
      </c>
      <c r="C58"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8" s="11" t="inlineStr">
        <is>
          <t>Should</t>
        </is>
      </c>
      <c r="E58" s="12" t="inlineStr">
        <is>
          <t>Q-N18, Person.department</t>
        </is>
      </c>
      <c r="F58" s="11" t="inlineStr">
        <is>
          <t>N4</t>
        </is>
      </c>
    </row>
    <row r="59">
      <c r="A59" s="11" t="inlineStr">
        <is>
          <t>NR-USR-11</t>
        </is>
      </c>
      <c r="B59" s="11" t="inlineStr">
        <is>
          <t>User identity</t>
        </is>
      </c>
      <c r="C59" s="12" t="inlineStr">
        <is>
          <t>Where the declared name matches a person in the open workspace, that person's department is offered first. The user is usually one of the people in the plan, so their own record is the best answer available.</t>
        </is>
      </c>
      <c r="D59" s="11" t="inlineStr">
        <is>
          <t>Could</t>
        </is>
      </c>
      <c r="E59" s="12" t="inlineStr">
        <is>
          <t>Q-N18</t>
        </is>
      </c>
      <c r="F59" s="11" t="inlineStr">
        <is>
          <t>N4</t>
        </is>
      </c>
    </row>
    <row r="60">
      <c r="A60" s="11" t="inlineStr">
        <is>
          <t>NR-PAR-01</t>
        </is>
      </c>
      <c r="B60" s="11" t="inlineStr">
        <is>
          <t>Parity</t>
        </is>
      </c>
      <c r="C60" s="12" t="inlineStr">
        <is>
          <t>The calculation engine, the validation rules and the period derivation are ONE implementation shared by both applications, not two copies kept in step by hand.</t>
        </is>
      </c>
      <c r="D60" s="11" t="inlineStr">
        <is>
          <t>Must</t>
        </is>
      </c>
      <c r="E60" s="12" t="inlineStr">
        <is>
          <t>Your instruction to keep both</t>
        </is>
      </c>
      <c r="F60" s="11" t="inlineStr">
        <is>
          <t>N2</t>
        </is>
      </c>
    </row>
    <row r="61">
      <c r="A61" s="11" t="inlineStr">
        <is>
          <t>NR-PAR-02</t>
        </is>
      </c>
      <c r="B61" s="11" t="inlineStr">
        <is>
          <t>Parity</t>
        </is>
      </c>
      <c r="C61" s="12" t="inlineStr">
        <is>
          <t>Given identical input, both applications produce identical figures, identical findings and identical exports. This is proven by an automated test, not asserted.</t>
        </is>
      </c>
      <c r="D61" s="11" t="inlineStr">
        <is>
          <t>Must</t>
        </is>
      </c>
      <c r="E61" s="12" t="inlineStr">
        <is>
          <t>Derived from NR-PAR-01</t>
        </is>
      </c>
      <c r="F61" s="11" t="inlineStr">
        <is>
          <t>N4</t>
        </is>
      </c>
    </row>
    <row r="62">
      <c r="A62" s="11" t="inlineStr">
        <is>
          <t>NR-PAR-03</t>
        </is>
      </c>
      <c r="B62" s="11" t="inlineStr">
        <is>
          <t>Parity</t>
        </is>
      </c>
      <c r="C62" s="12" t="inlineStr">
        <is>
          <t>The HTML application continues to be built from the shared engine and its behaviour is unchanged by the refactor, proven by the existing 13 suites passing unmodified.</t>
        </is>
      </c>
      <c r="D62" s="11" t="inlineStr">
        <is>
          <t>Must</t>
        </is>
      </c>
      <c r="E62" s="12" t="inlineStr">
        <is>
          <t>Protects the finished product</t>
        </is>
      </c>
      <c r="F62" s="11" t="inlineStr">
        <is>
          <t>N2</t>
        </is>
      </c>
    </row>
    <row r="63">
      <c r="A63" s="11" t="inlineStr">
        <is>
          <t>NR-PAR-04</t>
        </is>
      </c>
      <c r="B63" s="11" t="inlineStr">
        <is>
          <t>Parity</t>
        </is>
      </c>
      <c r="C63" s="12" t="inlineStr">
        <is>
          <t>Screen layout, wording and interaction match the web application except where a desktop convention requires otherwise, and every such difference is listed.</t>
        </is>
      </c>
      <c r="D63" s="11" t="inlineStr">
        <is>
          <t>Should</t>
        </is>
      </c>
      <c r="E63" s="12" t="inlineStr">
        <is>
          <t>Two tools, one habit</t>
        </is>
      </c>
      <c r="F63" s="11" t="inlineStr">
        <is>
          <t>N3</t>
        </is>
      </c>
    </row>
    <row r="64">
      <c r="A64" s="13" t="inlineStr">
        <is>
          <t>NR-DEP-01</t>
        </is>
      </c>
      <c r="B64" s="13" t="inlineStr">
        <is>
          <t>Deployment</t>
        </is>
      </c>
      <c r="C64" s="14" t="inlineStr">
        <is>
          <t>The application runs on Windows 10 and Windows 11, 64-bit. No other operating system is supported or tested.</t>
        </is>
      </c>
      <c r="D64" s="13" t="inlineStr">
        <is>
          <t>Must</t>
        </is>
      </c>
      <c r="E64" s="14" t="inlineStr">
        <is>
          <t>Your instruction</t>
        </is>
      </c>
      <c r="F64" s="13" t="inlineStr">
        <is>
          <t>N5</t>
        </is>
      </c>
    </row>
    <row r="65">
      <c r="A65" s="13" t="inlineStr">
        <is>
          <t>NR-DEP-02</t>
        </is>
      </c>
      <c r="B65" s="13" t="inlineStr">
        <is>
          <t>Deployment</t>
        </is>
      </c>
      <c r="C65" s="14" t="inlineStr">
        <is>
          <t>There is NO INSTALLER. The application is a folder that is copied to wherever the user wants it and run from there. It requires no administrator rights, at any point, for any purpose.</t>
        </is>
      </c>
      <c r="D65" s="13" t="inlineStr">
        <is>
          <t>Must</t>
        </is>
      </c>
      <c r="E65" s="14" t="inlineStr">
        <is>
          <t>Your instruction</t>
        </is>
      </c>
      <c r="F65" s="13" t="inlineStr">
        <is>
          <t>N5</t>
        </is>
      </c>
    </row>
    <row r="66">
      <c r="A66" s="13" t="inlineStr">
        <is>
          <t>NR-DEP-03</t>
        </is>
      </c>
      <c r="B66" s="13" t="inlineStr">
        <is>
          <t>Deployment</t>
        </is>
      </c>
      <c r="C66" s="14" t="inlineStr">
        <is>
          <t>Updating means replacing the application files inside that folder. No workspace, setting or recent-file entry is touched by an update, and a workspace written by an older version opens in a newer one.</t>
        </is>
      </c>
      <c r="D66" s="13" t="inlineStr">
        <is>
          <t>Must</t>
        </is>
      </c>
      <c r="E66" s="14" t="inlineStr">
        <is>
          <t>Data safety</t>
        </is>
      </c>
      <c r="F66" s="13" t="inlineStr">
        <is>
          <t>N5</t>
        </is>
      </c>
    </row>
    <row r="67">
      <c r="A67" s="11" t="inlineStr">
        <is>
          <t>NR-DEP-04</t>
        </is>
      </c>
      <c r="B67" s="11" t="inlineStr">
        <is>
          <t>Deployment</t>
        </is>
      </c>
      <c r="C67" s="12" t="inlineStr">
        <is>
          <t>A workspace written by a NEWER version than the running one is refused with a clear message rather than partially read.</t>
        </is>
      </c>
      <c r="D67" s="11" t="inlineStr">
        <is>
          <t>Must</t>
        </is>
      </c>
      <c r="E67" s="12" t="inlineStr">
        <is>
          <t>Data safety</t>
        </is>
      </c>
      <c r="F67" s="11" t="inlineStr">
        <is>
          <t>N4</t>
        </is>
      </c>
    </row>
    <row r="68">
      <c r="A68" s="11" t="inlineStr">
        <is>
          <t>NR-DEP-05</t>
        </is>
      </c>
      <c r="B68" s="11" t="inlineStr">
        <is>
          <t>Deployment</t>
        </is>
      </c>
      <c r="C68" s="12" t="inlineStr">
        <is>
          <t>The application folder is self-contained: it carries its own browser engine and every other dependency, and requires nothing to be present on the machine beyond Windows itself. Package size is not constrained.</t>
        </is>
      </c>
      <c r="D68" s="11" t="inlineStr">
        <is>
          <t>Must</t>
        </is>
      </c>
      <c r="E68" s="12" t="inlineStr">
        <is>
          <t>Your instruction</t>
        </is>
      </c>
      <c r="F68" s="11" t="inlineStr">
        <is>
          <t>N5</t>
        </is>
      </c>
    </row>
    <row r="69">
      <c r="A69" s="13" t="inlineStr">
        <is>
          <t>NR-DEP-06</t>
        </is>
      </c>
      <c r="B69" s="13" t="inlineStr">
        <is>
          <t>Deployment</t>
        </is>
      </c>
      <c r="C69" s="14"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9" s="13" t="inlineStr">
        <is>
          <t>Must</t>
        </is>
      </c>
      <c r="E69" s="14" t="inlineStr">
        <is>
          <t>Non-installed rule, amended for the shared folder</t>
        </is>
      </c>
      <c r="F69" s="13" t="inlineStr">
        <is>
          <t>N5</t>
        </is>
      </c>
    </row>
    <row r="70">
      <c r="A70" s="11" t="inlineStr">
        <is>
          <t>NR-DEP-07</t>
        </is>
      </c>
      <c r="B70" s="11" t="inlineStr">
        <is>
          <t>Deployment</t>
        </is>
      </c>
      <c r="C70" s="12" t="inlineStr">
        <is>
          <t>Deleting the folder removes the application completely, leaving no trace on the machine.</t>
        </is>
      </c>
      <c r="D70" s="11" t="inlineStr">
        <is>
          <t>Must</t>
        </is>
      </c>
      <c r="E70" s="12" t="inlineStr">
        <is>
          <t>Non-installed rule</t>
        </is>
      </c>
      <c r="F70" s="11" t="inlineStr">
        <is>
          <t>N5</t>
        </is>
      </c>
    </row>
    <row r="71">
      <c r="A71" s="11" t="inlineStr">
        <is>
          <t>NR-DEP-08</t>
        </is>
      </c>
      <c r="B71" s="11" t="inlineStr">
        <is>
          <t>Deployment</t>
        </is>
      </c>
      <c r="C7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1" s="11" t="inlineStr">
        <is>
          <t>Must</t>
        </is>
      </c>
      <c r="E71" s="12" t="inlineStr">
        <is>
          <t>Non-installed rule</t>
        </is>
      </c>
      <c r="F71" s="11" t="inlineStr">
        <is>
          <t>N5</t>
        </is>
      </c>
    </row>
    <row r="72">
      <c r="A72" s="13" t="inlineStr">
        <is>
          <t>NR-DEP-09</t>
        </is>
      </c>
      <c r="B72" s="13" t="inlineStr">
        <is>
          <t>Deployment</t>
        </is>
      </c>
      <c r="C72" s="14" t="inlineStr">
        <is>
          <t>Where the application folder is read-only or shared - typically on a network folder - the application still runs, tells the user plainly that it cannot keep data beside itself, and keeps that data in a folder the user chooses instead.</t>
        </is>
      </c>
      <c r="D72" s="13" t="inlineStr">
        <is>
          <t>Must</t>
        </is>
      </c>
      <c r="E72" s="14" t="inlineStr">
        <is>
          <t>Raised from Should at round 2 - Q-N12</t>
        </is>
      </c>
      <c r="F72" s="13" t="inlineStr">
        <is>
          <t>N4</t>
        </is>
      </c>
    </row>
    <row r="73">
      <c r="A73" s="11" t="inlineStr">
        <is>
          <t>NR-DEP-10</t>
        </is>
      </c>
      <c r="B73" s="11" t="inlineStr">
        <is>
          <t>Deployment</t>
        </is>
      </c>
      <c r="C7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3" s="11" t="inlineStr">
        <is>
          <t>Must</t>
        </is>
      </c>
      <c r="E73" s="12" t="inlineStr">
        <is>
          <t>Q-N12</t>
        </is>
      </c>
      <c r="F73" s="11" t="inlineStr">
        <is>
          <t>N4</t>
        </is>
      </c>
    </row>
    <row r="74">
      <c r="A74" s="11" t="inlineStr">
        <is>
          <t>NR-DEP-11</t>
        </is>
      </c>
      <c r="B74" s="11" t="inlineStr">
        <is>
          <t>Deployment</t>
        </is>
      </c>
      <c r="C74" s="12" t="inlineStr">
        <is>
          <t>Where several people run one shared copy, each has their own settings, recent list, backups and default workspace folder. No user can see, overwrite or lock out another through the application.</t>
        </is>
      </c>
      <c r="D74" s="11" t="inlineStr">
        <is>
          <t>Must</t>
        </is>
      </c>
      <c r="E74" s="12" t="inlineStr">
        <is>
          <t>Q-N12</t>
        </is>
      </c>
      <c r="F74" s="11" t="inlineStr">
        <is>
          <t>N4</t>
        </is>
      </c>
    </row>
    <row r="75">
      <c r="A75" s="11" t="inlineStr">
        <is>
          <t>NR-DEP-12</t>
        </is>
      </c>
      <c r="B75" s="11" t="inlineStr">
        <is>
          <t>Deployment</t>
        </is>
      </c>
      <c r="C75" s="12" t="inlineStr">
        <is>
          <t>The application can create a personal desktop shortcut, at the user's request, that carries their own --data path. This is how a shared copy is used day to day without being asked anything at launch.</t>
        </is>
      </c>
      <c r="D75" s="11" t="inlineStr">
        <is>
          <t>Should</t>
        </is>
      </c>
      <c r="E75" s="12" t="inlineStr">
        <is>
          <t>Q-N12</t>
        </is>
      </c>
      <c r="F75" s="11" t="inlineStr">
        <is>
          <t>N4</t>
        </is>
      </c>
    </row>
    <row r="76">
      <c r="A76" s="13" t="inlineStr">
        <is>
          <t>NR-DEP-13</t>
        </is>
      </c>
      <c r="B76" s="13" t="inlineStr">
        <is>
          <t>Deployment</t>
        </is>
      </c>
      <c r="C76" s="14" t="inlineStr">
        <is>
          <t>The application runs correctly when launched from a UNC path (\\server\share\PM_APP) as well as from a mapped drive letter.</t>
        </is>
      </c>
      <c r="D76" s="13" t="inlineStr">
        <is>
          <t>Must</t>
        </is>
      </c>
      <c r="E76" s="14" t="inlineStr">
        <is>
          <t>Q-N12</t>
        </is>
      </c>
      <c r="F76" s="13" t="inlineStr">
        <is>
          <t>N5</t>
        </is>
      </c>
    </row>
    <row r="77">
      <c r="A77" s="11" t="inlineStr">
        <is>
          <t>NR-DEP-14</t>
        </is>
      </c>
      <c r="B77" s="11" t="inlineStr">
        <is>
          <t>Deployment</t>
        </is>
      </c>
      <c r="C77" s="12" t="inlineStr">
        <is>
          <t>Both arrangements are supported and both are tested: run in place from the shared folder, and copied from it to a local folder and run there. Neither is a second-class case, and the user guide states what each costs in launch time.</t>
        </is>
      </c>
      <c r="D77" s="11" t="inlineStr">
        <is>
          <t>Must</t>
        </is>
      </c>
      <c r="E77" s="12" t="inlineStr">
        <is>
          <t>Q-N14</t>
        </is>
      </c>
      <c r="F77" s="11" t="inlineStr">
        <is>
          <t>N5</t>
        </is>
      </c>
    </row>
    <row r="78">
      <c r="A78" s="11" t="inlineStr">
        <is>
          <t>NR-DEP-15</t>
        </is>
      </c>
      <c r="B78" s="11" t="inlineStr">
        <is>
          <t>Deployment</t>
        </is>
      </c>
      <c r="C78" s="12" t="inlineStr">
        <is>
          <t>On a writable shared folder, each person's data folder sits under the application's own data folder, one per user. Nobody has to choose a location, and nobody's settings meet anybody else's.</t>
        </is>
      </c>
      <c r="D78" s="11" t="inlineStr">
        <is>
          <t>Should</t>
        </is>
      </c>
      <c r="E78" s="12" t="inlineStr">
        <is>
          <t>Q-N15</t>
        </is>
      </c>
      <c r="F78" s="11" t="inlineStr">
        <is>
          <t>N4</t>
        </is>
      </c>
    </row>
    <row r="79">
      <c r="A79" s="13" t="inlineStr">
        <is>
          <t>NR-SEC-01</t>
        </is>
      </c>
      <c r="B79" s="13" t="inlineStr">
        <is>
          <t>Security</t>
        </is>
      </c>
      <c r="C79" s="14"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9" s="13" t="inlineStr">
        <is>
          <t>Must</t>
        </is>
      </c>
      <c r="E79" s="14" t="inlineStr">
        <is>
          <t>Offline by requirement; C-N02</t>
        </is>
      </c>
      <c r="F79" s="13" t="inlineStr">
        <is>
          <t>N5</t>
        </is>
      </c>
    </row>
    <row r="80">
      <c r="A80" s="11" t="inlineStr">
        <is>
          <t>NR-SEC-02</t>
        </is>
      </c>
      <c r="B80" s="11" t="inlineStr">
        <is>
          <t>Security</t>
        </is>
      </c>
      <c r="C80" s="12" t="inlineStr">
        <is>
          <t>The embedded browser engine runs with remote content disabled and Node integration off in the renderer, so a crafted workspace file cannot execute code.</t>
        </is>
      </c>
      <c r="D80" s="11" t="inlineStr">
        <is>
          <t>Must</t>
        </is>
      </c>
      <c r="E80" s="12" t="inlineStr">
        <is>
          <t>Standard hardening</t>
        </is>
      </c>
      <c r="F80" s="11" t="inlineStr">
        <is>
          <t>N4</t>
        </is>
      </c>
    </row>
    <row r="81">
      <c r="A81" s="11" t="inlineStr">
        <is>
          <t>NR-SEC-03</t>
        </is>
      </c>
      <c r="B81" s="11" t="inlineStr">
        <is>
          <t>Security</t>
        </is>
      </c>
      <c r="C81" s="12" t="inlineStr">
        <is>
          <t>Workspace files contain business data only - no credentials, no connection strings, nothing that would be sensitive if the file were mailed to a colleague.</t>
        </is>
      </c>
      <c r="D81" s="11" t="inlineStr">
        <is>
          <t>Must</t>
        </is>
      </c>
      <c r="E81" s="12" t="inlineStr">
        <is>
          <t>Data hygiene</t>
        </is>
      </c>
      <c r="F81" s="11" t="inlineStr">
        <is>
          <t>N2</t>
        </is>
      </c>
    </row>
    <row r="82">
      <c r="A82" s="11" t="inlineStr">
        <is>
          <t>NR-SEC-04</t>
        </is>
      </c>
      <c r="B82" s="11" t="inlineStr">
        <is>
          <t>Security</t>
        </is>
      </c>
      <c r="C82" s="12" t="inlineStr">
        <is>
          <t>Where a shell listens, it binds 127.0.0.1 only - never the network interface - on a port the operating system chooses at start. Nothing outside the machine can reach it, nothing is reserved, and Windows Firewall is never asked to allow anything.</t>
        </is>
      </c>
      <c r="D82" s="11" t="inlineStr">
        <is>
          <t>Must</t>
        </is>
      </c>
      <c r="E82" s="12" t="inlineStr">
        <is>
          <t>C-N02</t>
        </is>
      </c>
      <c r="F82" s="11" t="inlineStr">
        <is>
          <t>N4</t>
        </is>
      </c>
    </row>
    <row r="83">
      <c r="A83" s="11" t="inlineStr">
        <is>
          <t>NR-SEC-05</t>
        </is>
      </c>
      <c r="B83" s="11" t="inlineStr">
        <is>
          <t>Security</t>
        </is>
      </c>
      <c r="C83"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3" s="11" t="inlineStr">
        <is>
          <t>Must</t>
        </is>
      </c>
      <c r="E83" s="12" t="inlineStr">
        <is>
          <t>C-N02</t>
        </is>
      </c>
      <c r="F83" s="11" t="inlineStr">
        <is>
          <t>N4</t>
        </is>
      </c>
    </row>
    <row r="84">
      <c r="A84" s="11" t="inlineStr">
        <is>
          <t>NR-SEC-06</t>
        </is>
      </c>
      <c r="B84" s="11" t="inlineStr">
        <is>
          <t>Security</t>
        </is>
      </c>
      <c r="C84" s="12" t="inlineStr">
        <is>
          <t>The listener serves one page and one operation list. No URL is ever mapped onto a path on disk, so there is no directory to escape from.</t>
        </is>
      </c>
      <c r="D84" s="11" t="inlineStr">
        <is>
          <t>Must</t>
        </is>
      </c>
      <c r="E84" s="12" t="inlineStr">
        <is>
          <t>C-N02</t>
        </is>
      </c>
      <c r="F84" s="11" t="inlineStr">
        <is>
          <t>N4</t>
        </is>
      </c>
    </row>
    <row r="85">
      <c r="A85" s="13" t="inlineStr">
        <is>
          <t>NR-NFR-01</t>
        </is>
      </c>
      <c r="B85" s="13" t="inlineStr">
        <is>
          <t>Performance</t>
        </is>
      </c>
      <c r="C85" s="14" t="inlineStr">
        <is>
          <t>Launch to a usable window in under 5 seconds from a local disk, and reopening the last workspace adds no more than 2 seconds on the volumes in A-N01. Launch from a network folder is measured and stated rather than promised - see R-N12.</t>
        </is>
      </c>
      <c r="D85" s="13" t="inlineStr">
        <is>
          <t>Should</t>
        </is>
      </c>
      <c r="E85" s="14" t="inlineStr">
        <is>
          <t>Usability</t>
        </is>
      </c>
      <c r="F85" s="13" t="inlineStr">
        <is>
          <t>N4</t>
        </is>
      </c>
    </row>
    <row r="86">
      <c r="A86" s="11" t="inlineStr">
        <is>
          <t>NR-NFR-02</t>
        </is>
      </c>
      <c r="B86" s="11" t="inlineStr">
        <is>
          <t>Performance</t>
        </is>
      </c>
      <c r="C86" s="12" t="inlineStr">
        <is>
          <t>A Save completes in under 1 second at those volumes, so autosave is never felt.</t>
        </is>
      </c>
      <c r="D86" s="11" t="inlineStr">
        <is>
          <t>Should</t>
        </is>
      </c>
      <c r="E86" s="12" t="inlineStr">
        <is>
          <t>Usability</t>
        </is>
      </c>
      <c r="F86" s="11" t="inlineStr">
        <is>
          <t>N4</t>
        </is>
      </c>
    </row>
    <row r="88">
      <c r="A88" s="5" t="inlineStr">
        <is>
          <t>Count</t>
        </is>
      </c>
    </row>
    <row r="89" ht="28" customHeight="1">
      <c r="A89" s="10" t="inlineStr">
        <is>
          <t>Measure</t>
        </is>
      </c>
      <c r="B89" s="10" t="inlineStr">
        <is>
          <t>Count</t>
        </is>
      </c>
    </row>
    <row r="90">
      <c r="A90" s="15" t="inlineStr">
        <is>
          <t>Total requirements</t>
        </is>
      </c>
      <c r="B90" s="15">
        <f>COUNTA(A11:A86)</f>
        <v/>
      </c>
    </row>
    <row r="91">
      <c r="A91" s="17" t="inlineStr">
        <is>
          <t>Must</t>
        </is>
      </c>
      <c r="B91" s="17">
        <f>COUNTIF(D11:D86,"Must")</f>
        <v/>
      </c>
    </row>
    <row r="92">
      <c r="A92" s="15" t="inlineStr">
        <is>
          <t>Should</t>
        </is>
      </c>
      <c r="B92" s="15">
        <f>COUNTIF(D11:D86,"Should")</f>
        <v/>
      </c>
    </row>
    <row r="93">
      <c r="A93" s="17" t="inlineStr">
        <is>
          <t>Could</t>
        </is>
      </c>
      <c r="B93" s="17">
        <f>COUNTIF(D11:D86,"Could")</f>
        <v/>
      </c>
    </row>
    <row r="95">
      <c r="A95" s="8" t="inlineStr">
        <is>
          <t>Please mark any requirement you disagree with in the Priority column, or strike it out. The register is the contract for Steps 2 to 5, exactly as sheet 03 of the web plan was.</t>
        </is>
      </c>
    </row>
    <row r="96">
      <c r="A96" s="3" t="inlineStr">
        <is>
          <t>Legend</t>
        </is>
      </c>
    </row>
    <row r="97">
      <c r="A97" s="19" t="inlineStr">
        <is>
          <t>Green = new to the desktop application; nothing in the web application corresponds to it.</t>
        </is>
      </c>
    </row>
    <row r="98">
      <c r="A98" s="20" t="inlineStr">
        <is>
          <t>Orange = inherited from the web application but deliberately changed here.</t>
        </is>
      </c>
    </row>
    <row r="99">
      <c r="A99" s="21" t="inlineStr">
        <is>
          <t>Yellow = needs your decision before the work can proceed.</t>
        </is>
      </c>
    </row>
  </sheetData>
  <dataValidations count="1">
    <dataValidation sqref="D11: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7" t="inlineStr">
        <is>
          <t>ui/</t>
        </is>
      </c>
      <c r="B15" s="18" t="inlineStr">
        <is>
          <t>Tabs, tables, charts, filters, the provisional-edit model, the change log.</t>
        </is>
      </c>
      <c r="C15" s="18" t="inlineStr">
        <is>
          <t>Shared, identical</t>
        </is>
      </c>
      <c r="D15" s="18"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7" t="inlineStr">
        <is>
          <t>shell/web/</t>
        </is>
      </c>
      <c r="B17" s="18" t="inlineStr">
        <is>
          <t>Storage over the browser's own storage; the build step that emits the single HTML file.</t>
        </is>
      </c>
      <c r="C17" s="18" t="inlineStr">
        <is>
          <t>Web only</t>
        </is>
      </c>
      <c r="D17" s="18"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7" t="inlineStr">
        <is>
          <t>tools/</t>
        </is>
      </c>
      <c r="B19" s="18" t="inlineStr">
        <is>
          <t>The 13 verification suites, the document generators, the Python reference implementation.</t>
        </is>
      </c>
      <c r="C19" s="18" t="inlineStr">
        <is>
          <t>Shared</t>
        </is>
      </c>
      <c r="D19" s="18"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7" t="inlineStr">
        <is>
          <t>Tauri</t>
        </is>
      </c>
      <c r="B34" s="17" t="inlineStr">
        <is>
          <t>Later option</t>
        </is>
      </c>
      <c r="C34" s="18" t="inlineStr">
        <is>
          <t>Package around 10 MB, single executable. Same engine reuse.</t>
        </is>
      </c>
      <c r="D34" s="18"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7" t="inlineStr">
        <is>
          <t>Progressive web app</t>
        </is>
      </c>
      <c r="B36" s="17" t="inlineStr">
        <is>
          <t>Rejected</t>
        </is>
      </c>
      <c r="C36" s="18" t="inlineStr">
        <is>
          <t>No packaging at all.</t>
        </is>
      </c>
      <c r="D36" s="18"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7" t="inlineStr">
        <is>
          <t>Single self-extracting .exe</t>
        </is>
      </c>
      <c r="B46" s="17" t="inlineStr">
        <is>
          <t>REJECTED</t>
        </is>
      </c>
      <c r="C46" s="18"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7" t="inlineStr">
        <is>
          <t>ZIP of that folder</t>
        </is>
      </c>
      <c r="B48" s="17" t="inlineStr">
        <is>
          <t>How it is delivered</t>
        </is>
      </c>
      <c r="C48" s="18"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8" t="inlineStr">
        <is>
          <t>No Start-menu or taskbar entry appears by itself.</t>
        </is>
      </c>
      <c r="B56" s="18"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8" t="inlineStr">
        <is>
          <t>The folder must not be nested too deeply.</t>
        </is>
      </c>
      <c r="B58" s="18"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9" t="inlineStr">
        <is>
          <t>Green = new to the desktop application; nothing in the web application corresponds to it.</t>
        </is>
      </c>
    </row>
    <row r="63">
      <c r="A63" s="20" t="inlineStr">
        <is>
          <t>Orange = inherited from the web application but deliberately changed here.</t>
        </is>
      </c>
    </row>
    <row r="64">
      <c r="A64" s="21"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7" t="inlineStr">
        <is>
          <t>Why not SQLite</t>
        </is>
      </c>
      <c r="B19" s="18"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7"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7" t="inlineStr">
        <is>
          <t>Extension</t>
        </is>
      </c>
      <c r="B21" s="18" t="inlineStr">
        <is>
          <t>.prap - but NOT registered with Windows, because that would need a registry entry the non-installed rule forbids. Workspaces are opened from within the application, or dragged onto its window.</t>
        </is>
      </c>
      <c r="C21" s="17"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7" t="inlineStr">
        <is>
          <t>Readable</t>
        </is>
      </c>
      <c r="B23" s="18" t="inlineStr">
        <is>
          <t>Yes - it is JSON. A workspace can be inspected, diffed, version-controlled, or handed to an AI agent as-is.</t>
        </is>
      </c>
      <c r="C23" s="17"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8" t="inlineStr">
        <is>
          <t>Workspaces default into data\workspaces\ but are not confined there.</t>
        </is>
      </c>
      <c r="B42" s="18"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8" t="inlineStr">
        <is>
          <t>If the application folder is read-only, data\ cannot be created.</t>
        </is>
      </c>
      <c r="B44" s="18"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7" t="inlineStr">
        <is>
          <t>2</t>
        </is>
      </c>
      <c r="B61" s="17" t="inlineStr">
        <is>
          <t>The PRAP_DATA environment variable</t>
        </is>
      </c>
      <c r="C61" s="18" t="inlineStr">
        <is>
          <t>For a site that wants to set it centrally, by login script or group policy.</t>
        </is>
      </c>
      <c r="D61" s="17"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7" t="inlineStr">
        <is>
          <t>4</t>
        </is>
      </c>
      <c r="B63" s="17" t="inlineStr">
        <is>
          <t>Ask the user, once</t>
        </is>
      </c>
      <c r="C63" s="18" t="inlineStr">
        <is>
          <t>Only where the folder is read-only after all. The answer is not written to a hidden file - the application offers to create a desktop shortcut carrying --data, so the choice lives somewhere the user can see, move and delete.</t>
        </is>
      </c>
      <c r="D63" s="17"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7" t="inlineStr">
        <is>
          <t>2</t>
        </is>
      </c>
      <c r="B73" s="18" t="inlineStr">
        <is>
          <t>Write it to a temporary file in the same directory, and flush it to the physical disk.</t>
        </is>
      </c>
      <c r="C73" s="18"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7" t="inlineStr">
        <is>
          <t>4</t>
        </is>
      </c>
      <c r="B75" s="18" t="inlineStr">
        <is>
          <t>Rename the temporary file over the workspace file.</t>
        </is>
      </c>
      <c r="C75" s="18"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7" t="inlineStr">
        <is>
          <t>Save</t>
        </is>
      </c>
      <c r="B84" s="18" t="inlineStr">
        <is>
          <t>Commits as today, then writes the workspace.</t>
        </is>
      </c>
      <c r="C84" s="18"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7" t="inlineStr">
        <is>
          <t>Merge by key, source wins</t>
        </is>
      </c>
      <c r="B99" s="18" t="inlineStr">
        <is>
          <t>Keeps rows the import does not mention.</t>
        </is>
      </c>
      <c r="C99" s="18" t="inlineStr">
        <is>
          <t>Silently changes rows you edited deliberately.</t>
        </is>
      </c>
      <c r="D99" s="17"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7" t="inlineStr">
        <is>
          <t>Refuse; require a new workspace</t>
        </is>
      </c>
      <c r="B101" s="18" t="inlineStr">
        <is>
          <t>Impossible to lose anything.</t>
        </is>
      </c>
      <c r="C101" s="18" t="inlineStr">
        <is>
          <t>Makes the ordinary case - refreshed project dates - painful.</t>
        </is>
      </c>
      <c r="D101" s="17"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9" t="inlineStr">
        <is>
          <t>Green = new to the desktop application; nothing in the web application corresponds to it.</t>
        </is>
      </c>
    </row>
    <row r="106">
      <c r="A106" s="20" t="inlineStr">
        <is>
          <t>Orange = inherited from the web application but deliberately changed here.</t>
        </is>
      </c>
    </row>
    <row r="107">
      <c r="A107" s="21"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7" t="inlineStr">
        <is>
          <t>EDITING</t>
        </is>
      </c>
      <c r="B19" s="18" t="inlineStr">
        <is>
          <t>This session holds the claim.</t>
        </is>
      </c>
      <c r="C19" s="18" t="inlineStr">
        <is>
          <t>Everything. This is the ordinary working state, identical to the single-user case.</t>
        </is>
      </c>
      <c r="D19" s="18"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7" t="inlineStr">
        <is>
          <t>STALE</t>
        </is>
      </c>
      <c r="B21" s="18" t="inlineStr">
        <is>
          <t>Somebody else has saved this workspace since this session read it.</t>
        </is>
      </c>
      <c r="C21" s="18" t="inlineStr">
        <is>
          <t>Everything READING allows, with a standing offer to reload. Editing from a stale view is refused until it reloads.</t>
        </is>
      </c>
      <c r="D21" s="18"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7" t="inlineStr">
        <is>
          <t>2</t>
        </is>
      </c>
      <c r="B29" s="18" t="inlineStr">
        <is>
          <t>The file records user name, machine name, process, the application version, and the time.</t>
        </is>
      </c>
      <c r="C29" s="18"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7" t="inlineStr">
        <is>
          <t>4</t>
        </is>
      </c>
      <c r="B31" s="18" t="inlineStr">
        <is>
          <t>A claim whose heartbeat has not moved for 30 MINUTES expires and may be taken over.</t>
        </is>
      </c>
      <c r="C31" s="18"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7" t="inlineStr">
        <is>
          <t>Holder silent - heartbeat older than 30 seconds</t>
        </is>
      </c>
      <c r="B48" s="18" t="inlineStr">
        <is>
          <t>"Kim Min-jun's session has not responded since 09:14. The plan becomes free at 09:44."</t>
        </is>
      </c>
      <c r="C48" s="18"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7" t="inlineStr">
        <is>
          <t>What is recorded</t>
        </is>
      </c>
      <c r="B61" s="18" t="inlineStr">
        <is>
          <t>A name and a DEPARTMENT. Nothing else - no e-mail, no telephone. A name and a department are what a colleague needs to find somebody in the company directory, and they are two fields people will actually fill in.</t>
        </is>
      </c>
      <c r="C61" s="17"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7" t="inlineStr">
        <is>
          <t>Where it is kept</t>
        </is>
      </c>
      <c r="B63" s="18" t="inlineStr">
        <is>
          <t>In the user's own data folder - never in the shared application folder, where two people would overwrite each other.</t>
        </is>
      </c>
      <c r="C63" s="17"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7" t="inlineStr">
        <is>
          <t>What a blocked colleague sees</t>
        </is>
      </c>
      <c r="B65" s="18"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7"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8" t="inlineStr">
        <is>
          <t>The holder discards their edits (Leave without change).</t>
        </is>
      </c>
      <c r="B74" s="18"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8" t="inlineStr">
        <is>
          <t>The holder's session dies without warning.</t>
        </is>
      </c>
      <c r="B76" s="18"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8" t="inlineStr">
        <is>
          <t>Merging two people's changes.</t>
        </is>
      </c>
      <c r="B83" s="18"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8" t="inlineStr">
        <is>
          <t>An operating-system lock.</t>
        </is>
      </c>
      <c r="B85" s="18"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9" t="inlineStr">
        <is>
          <t>Green = new to the desktop application; nothing in the web application corresponds to it.</t>
        </is>
      </c>
    </row>
    <row r="90">
      <c r="A90" s="20" t="inlineStr">
        <is>
          <t>Orange = inherited from the web application but deliberately changed here.</t>
        </is>
      </c>
    </row>
    <row r="91">
      <c r="A91" s="21"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7" t="inlineStr">
        <is>
          <t>N-02</t>
        </is>
      </c>
      <c r="B6" s="18" t="inlineStr">
        <is>
          <t>The workspace is prap-source-data JSON, not SQLite and not xlsx.</t>
        </is>
      </c>
      <c r="C6" s="18"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7" t="inlineStr">
        <is>
          <t>N-04</t>
        </is>
      </c>
      <c r="B8" s="18" t="inlineStr">
        <is>
          <t>Many workspaces, chosen by the user, with a recent list.</t>
        </is>
      </c>
      <c r="C8" s="18"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7" t="inlineStr">
        <is>
          <t>N-06</t>
        </is>
      </c>
      <c r="B10" s="18" t="inlineStr">
        <is>
          <t>The HTML application is frozen in feature terms at its v1.0. Shared-engine fixes reach it; desktop-only features do not.</t>
        </is>
      </c>
      <c r="C10" s="18"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7" t="inlineStr">
        <is>
          <t>N-08</t>
        </is>
      </c>
      <c r="B12" s="18" t="inlineStr">
        <is>
          <t>Pending edits are journalled separately from the committed workspace.</t>
        </is>
      </c>
      <c r="C12" s="18"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7" t="inlineStr">
        <is>
          <t>N-10</t>
        </is>
      </c>
      <c r="B14" s="18" t="inlineStr">
        <is>
          <t>Engine parity between the applications is mandatory and tested; visual parity is best-effort and documented.</t>
        </is>
      </c>
      <c r="C14" s="18"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7" t="inlineStr">
        <is>
          <t>N-12</t>
        </is>
      </c>
      <c r="B16" s="18" t="inlineStr">
        <is>
          <t>A workspace from a newer application version is refused, not partially read.</t>
        </is>
      </c>
      <c r="C16" s="18"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7" t="inlineStr">
        <is>
          <t>N-14</t>
        </is>
      </c>
      <c r="B18" s="18" t="inlineStr">
        <is>
          <t>The package is a plain folder that runs in place, delivered as a zip - not a single self-extracting executable.</t>
        </is>
      </c>
      <c r="C18" s="18"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7" t="inlineStr">
        <is>
          <t>N-16</t>
        </is>
      </c>
      <c r="B20" s="18" t="inlineStr">
        <is>
          <t>Where data lives is resolved in one fixed order, and the chosen location is shown in the About dialog.</t>
        </is>
      </c>
      <c r="C20" s="18"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7" t="inlineStr">
        <is>
          <t>N-18</t>
        </is>
      </c>
      <c r="B22" s="18" t="inlineStr">
        <is>
          <t>Concurrent use is designed for unconditionally, not only if the shared folder is adopted.</t>
        </is>
      </c>
      <c r="C22" s="18"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7" t="inlineStr">
        <is>
          <t>N-20</t>
        </is>
      </c>
      <c r="B24" s="18" t="inlineStr">
        <is>
          <t>The claim covers the whole workspace, not a row or a section.</t>
        </is>
      </c>
      <c r="C24" s="18"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7" t="inlineStr">
        <is>
          <t>N-22</t>
        </is>
      </c>
      <c r="B26" s="18" t="inlineStr">
        <is>
          <t>Saving keeps the claim; only closing or discarding releases it.</t>
        </is>
      </c>
      <c r="C26" s="18"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7" t="inlineStr">
        <is>
          <t>N-24</t>
        </is>
      </c>
      <c r="B28" s="18" t="inlineStr">
        <is>
          <t>A user may reclaim their own stalled claim immediately, without waiting out the expiry.</t>
        </is>
      </c>
      <c r="C28" s="18"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7" t="inlineStr">
        <is>
          <t>N-26</t>
        </is>
      </c>
      <c r="B30" s="18" t="inlineStr">
        <is>
          <t>The name is pre-filled from the Windows account but stays editable.</t>
        </is>
      </c>
      <c r="C30" s="18"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7" t="inlineStr">
        <is>
          <t>N-28</t>
        </is>
      </c>
      <c r="B32" s="18" t="inlineStr">
        <is>
          <t>An identity is a name and a department, and nothing else.</t>
        </is>
      </c>
      <c r="C32" s="18"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7" t="inlineStr">
        <is>
          <t>N-30</t>
        </is>
      </c>
      <c r="B34" s="18" t="inlineStr">
        <is>
          <t>One previous version of a workspace is retained, and it is a setting rather than a constant.</t>
        </is>
      </c>
      <c r="C34" s="18"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7" t="inlineStr">
        <is>
          <t>N-32</t>
        </is>
      </c>
      <c r="B36" s="18" t="inlineStr">
        <is>
          <t>The application never encrypts anything itself; where files must be protected, the company's own protection is applied to the folder.</t>
        </is>
      </c>
      <c r="C36" s="18"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PRAP_NewApp_Development_Plan_v1.17.xlsx</t>
        </is>
      </c>
      <c r="E5" s="15" t="inlineStr">
        <is>
          <t>Complete - issued for review</t>
        </is>
      </c>
    </row>
    <row r="6">
      <c r="A6" s="17" t="inlineStr">
        <is>
          <t>N1</t>
        </is>
      </c>
      <c r="B6" s="17" t="inlineStr">
        <is>
          <t>N1.2</t>
        </is>
      </c>
      <c r="C6" s="18" t="inlineStr">
        <is>
          <t>Requester reviews across six rounds; all 18 questions answered.</t>
        </is>
      </c>
      <c r="D6" s="18" t="inlineStr">
        <is>
          <t>v0.6_reviewed mark-up</t>
        </is>
      </c>
      <c r="E6" s="17"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7" t="inlineStr">
        <is>
          <t>N1</t>
        </is>
      </c>
      <c r="B8" s="17" t="inlineStr">
        <is>
          <t>GN1</t>
        </is>
      </c>
      <c r="C8" s="18" t="inlineStr">
        <is>
          <t>GATE N1 CLOSED - approved by direction 2026-08-13. Decisions N-01..N-32 confirmed. Step N2 authorised.</t>
        </is>
      </c>
      <c r="D8" s="18" t="inlineStr">
        <is>
          <t>Plan v1.0</t>
        </is>
      </c>
      <c r="E8" s="17"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7" t="inlineStr">
        <is>
          <t>N2</t>
        </is>
      </c>
      <c r="B10" s="17" t="inlineStr">
        <is>
          <t>N2.2</t>
        </is>
      </c>
      <c r="C10" s="18" t="inlineStr">
        <is>
          <t>Prove the refactor changed nothing: the rebuilt file is byte-identical, and all 13 existing suites pass against it unmodified.</t>
        </is>
      </c>
      <c r="D10" s="18" t="inlineStr">
        <is>
          <t>tools/test_layers.py + suite run</t>
        </is>
      </c>
      <c r="E10" s="17"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7" t="inlineStr">
        <is>
          <t>N2</t>
        </is>
      </c>
      <c r="B12" s="17" t="inlineStr">
        <is>
          <t>N2.4</t>
        </is>
      </c>
      <c r="C12" s="18" t="inlineStr">
        <is>
          <t>Specify the desktop shell: window, menus, dialogs, recent files, drag-and-drop, About; and user identity.</t>
        </is>
      </c>
      <c r="D12" s="18" t="inlineStr">
        <is>
          <t>Specification sheets 05, 08</t>
        </is>
      </c>
      <c r="E12" s="17"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7" t="inlineStr">
        <is>
          <t>N2</t>
        </is>
      </c>
      <c r="B14" s="17" t="inlineStr">
        <is>
          <t>N2.6</t>
        </is>
      </c>
      <c r="C14" s="18" t="inlineStr">
        <is>
          <t>Specify the re-import difference report, the look-without-a-workspace path, and protected files.</t>
        </is>
      </c>
      <c r="D14" s="18" t="inlineStr">
        <is>
          <t>Specification sheet 09</t>
        </is>
      </c>
      <c r="E14" s="17"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7" t="inlineStr">
        <is>
          <t>N2</t>
        </is>
      </c>
      <c r="B16" s="17" t="inlineStr">
        <is>
          <t>N2.8</t>
        </is>
      </c>
      <c r="C16" s="18" t="inlineStr">
        <is>
          <t>Traceability matrix: every NR-id to a specification section, read from the plan rather than re-typed.</t>
        </is>
      </c>
      <c r="D16" s="18" t="inlineStr">
        <is>
          <t>Specification sheet 11</t>
        </is>
      </c>
      <c r="E16" s="17"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7" t="inlineStr">
        <is>
          <t>N3</t>
        </is>
      </c>
      <c r="B18" s="17" t="inlineStr">
        <is>
          <t>N3.1</t>
        </is>
      </c>
      <c r="C18" s="18" t="inlineStr">
        <is>
          <t>Desktop-specific UI design: eight screens, built as a clickable prototype; then the real application wrapped in the desktop chrome and loaded with the 62-project dummy dataset, so the figures and charts can be reviewed as they will be.</t>
        </is>
      </c>
      <c r="D18" s="18" t="inlineStr">
        <is>
          <t>app/PM_APP_Prototype_v0.2.html</t>
        </is>
      </c>
      <c r="E18" s="17"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7" t="inlineStr">
        <is>
          <t>N3</t>
        </is>
      </c>
      <c r="B20" s="17" t="inlineStr">
        <is>
          <t>N3.3</t>
        </is>
      </c>
      <c r="C20" s="18" t="inlineStr">
        <is>
          <t>Requester reviews the prototype and the component list.</t>
        </is>
      </c>
      <c r="D20" s="18" t="inlineStr">
        <is>
          <t>v0.2_reviewed mark-up</t>
        </is>
      </c>
      <c r="E20" s="17"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7" t="inlineStr">
        <is>
          <t>N4</t>
        </is>
      </c>
      <c r="B22" s="17" t="inlineStr">
        <is>
          <t>N4.1</t>
        </is>
      </c>
      <c r="C22" s="18" t="inlineStr">
        <is>
          <t>Desktop shell: application window, menu bar, native dialogs, window state.</t>
        </is>
      </c>
      <c r="D22" s="18" t="inlineStr">
        <is>
          <t>src/shell/desktop/main.js, preload.js, paths.js</t>
        </is>
      </c>
      <c r="E22" s="17"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7" t="inlineStr">
        <is>
          <t>N4</t>
        </is>
      </c>
      <c r="B24" s="17" t="inlineStr">
        <is>
          <t>N4.3</t>
        </is>
      </c>
      <c r="C24" s="18" t="inlineStr">
        <is>
          <t>Workspace lifecycle: new, open, save, save as, recent list, reopen last at launch.</t>
        </is>
      </c>
      <c r="D24" s="18" t="inlineStr">
        <is>
          <t>src/shell/desktop/main.js</t>
        </is>
      </c>
      <c r="E24" s="17"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7" t="inlineStr">
        <is>
          <t>N4</t>
        </is>
      </c>
      <c r="B26" s="17" t="inlineStr">
        <is>
          <t>N4.4b</t>
        </is>
      </c>
      <c r="C26" s="18" t="inlineStr">
        <is>
          <t>Data-location resolution, the About dialog that shows it, and the personal shortcut.</t>
        </is>
      </c>
      <c r="D26" s="18" t="inlineStr">
        <is>
          <t>src/shell/desktop/paths.js</t>
        </is>
      </c>
      <c r="E26" s="17"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7" t="inlineStr">
        <is>
          <t>N4</t>
        </is>
      </c>
      <c r="B28" s="17" t="inlineStr">
        <is>
          <t>N4.4d</t>
        </is>
      </c>
      <c r="C28" s="18" t="inlineStr">
        <is>
          <t>The four session states on screen: who holds the plan, the refusal that names them, the offer when it frees, and the staleness notice with its reload.</t>
        </is>
      </c>
      <c r="D28" s="18" t="inlineStr">
        <is>
          <t>ui/</t>
        </is>
      </c>
      <c r="E28" s="17"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7" t="inlineStr">
        <is>
          <t>N4</t>
        </is>
      </c>
      <c r="B30" s="17" t="inlineStr">
        <is>
          <t>N4.5</t>
        </is>
      </c>
      <c r="C30" s="18" t="inlineStr">
        <is>
          <t>Import into an occupied workspace: the difference view and the per-sheet decision.</t>
        </is>
      </c>
      <c r="D30" s="18" t="inlineStr">
        <is>
          <t>src/core/06a_diff.js + src/shell/python/importdiff.js</t>
        </is>
      </c>
      <c r="E30" s="17" t="inlineStr">
        <is>
          <t>Complete - 24 checks, including that a hand-typed row survives an import that never heard of it</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7" t="inlineStr">
        <is>
          <t>N4</t>
        </is>
      </c>
      <c r="B32" s="17" t="inlineStr">
        <is>
          <t>N4.7</t>
        </is>
      </c>
      <c r="C32" s="18" t="inlineStr">
        <is>
          <t>Persistence suite: save, close, relaunch, verify; kill mid-write, verify; recover pending edits.</t>
        </is>
      </c>
      <c r="D32" s="18" t="inlineStr">
        <is>
          <t>tools/test_persist.py</t>
        </is>
      </c>
      <c r="E32" s="17"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7" t="inlineStr">
        <is>
          <t>N4</t>
        </is>
      </c>
      <c r="B34" s="17" t="inlineStr">
        <is>
          <t>GN4</t>
        </is>
      </c>
      <c r="C34" s="18" t="inlineStr">
        <is>
          <t>GATE N4 - application functionally complete.</t>
        </is>
      </c>
      <c r="D34" s="18" t="inlineStr">
        <is>
          <t>Project Management APP v0.9</t>
        </is>
      </c>
      <c r="E34" s="17"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7" t="inlineStr">
        <is>
          <t>N4a</t>
        </is>
      </c>
      <c r="B36" s="17" t="inlineStr">
        <is>
          <t>N4a.2</t>
        </is>
      </c>
      <c r="C36" s="18" t="inlineStr">
        <is>
          <t>The local server that replaces Electron's main process, with the six controls NR-SEC-04..06 require.</t>
        </is>
      </c>
      <c r="D36" s="18" t="inlineStr">
        <is>
          <t>src/shell/python/server.py</t>
        </is>
      </c>
      <c r="E36" s="17" t="inlineStr">
        <is>
          <t>Complete - 11 of the 42 end-to-end checks are the security ones</t>
        </is>
      </c>
    </row>
    <row r="37">
      <c r="A37" s="15" t="inlineStr">
        <is>
          <t>N4a</t>
        </is>
      </c>
      <c r="B37" s="15" t="inlineStr">
        <is>
          <t>N4a.3</t>
        </is>
      </c>
      <c r="C37" s="16" t="inlineStr">
        <is>
          <t>Choosing a file WITHOUT the browser: a folder listing drawn in the page. A native tkinter dialog was drawn too, where tcl/tk existed, and was withdrawn at C-N03 - it made the .cmd and the .py look like different programs.</t>
        </is>
      </c>
      <c r="D37" s="16" t="inlineStr">
        <is>
          <t>src/shell/python/files.py, bridge.js</t>
        </is>
      </c>
      <c r="E37" s="15" t="inlineStr">
        <is>
          <t>Complete - and the page carries no file input at all (NR-IMP-09)</t>
        </is>
      </c>
    </row>
    <row r="38">
      <c r="A38" s="17" t="inlineStr">
        <is>
          <t>N4a</t>
        </is>
      </c>
      <c r="B38" s="17" t="inlineStr">
        <is>
          <t>N4a.4</t>
        </is>
      </c>
      <c r="C38" s="18" t="inlineStr">
        <is>
          <t>The window chrome the Electron menu bar used to provide, drawn in the page.</t>
        </is>
      </c>
      <c r="D38" s="18" t="inlineStr">
        <is>
          <t>src/shell/python/chrome.html, chrome.css</t>
        </is>
      </c>
      <c r="E38" s="17"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7" t="inlineStr">
        <is>
          <t>N4a</t>
        </is>
      </c>
      <c r="B40" s="17" t="inlineStr">
        <is>
          <t>N4a.6</t>
        </is>
      </c>
      <c r="C40" s="18" t="inlineStr">
        <is>
          <t>Prove it is the same application: 1,225 person-months compared against the independent Python reference on every run.</t>
        </is>
      </c>
      <c r="D40" s="18" t="inlineStr">
        <is>
          <t>tools/test_python_app.py</t>
        </is>
      </c>
      <c r="E40" s="17" t="inlineStr">
        <is>
          <t>Complete - worst difference 0.00e+00</t>
        </is>
      </c>
    </row>
    <row r="41">
      <c r="A41" s="15" t="inlineStr">
        <is>
          <t>N4a</t>
        </is>
      </c>
      <c r="B41" s="15" t="inlineStr">
        <is>
          <t>N4a.7</t>
        </is>
      </c>
      <c r="C41" s="16" t="inlineStr">
        <is>
          <t>Requester runs it on the company laptop and reports what happened.</t>
        </is>
      </c>
      <c r="D41" s="16" t="inlineStr">
        <is>
          <t>Your result, 2026-08-22</t>
        </is>
      </c>
      <c r="E41" s="15" t="inlineStr">
        <is>
          <t>COMPLETE - it arrived, it ran, it imported and it exported</t>
        </is>
      </c>
    </row>
    <row r="42">
      <c r="A42" s="17" t="inlineStr">
        <is>
          <t>N4a</t>
        </is>
      </c>
      <c r="B42" s="17" t="inlineStr">
        <is>
          <t>GN4a</t>
        </is>
      </c>
      <c r="C42" s="18" t="inlineStr">
        <is>
          <t>GATE N4a - the Python shell arrives, starts, and reads a workbook on the target machine.</t>
        </is>
      </c>
      <c r="D42" s="18" t="inlineStr">
        <is>
          <t>PM_APP Python v0.4</t>
        </is>
      </c>
      <c r="E42" s="17" t="inlineStr">
        <is>
          <t>CLOSED 2026-08-22</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7" t="inlineStr">
        <is>
          <t>N5</t>
        </is>
      </c>
      <c r="B44" s="17" t="inlineStr">
        <is>
          <t>N5.2</t>
        </is>
      </c>
      <c r="C44" s="18" t="inlineStr">
        <is>
          <t>Verify no socket is opened, offline, for a full session (NR-SEC-01).</t>
        </is>
      </c>
      <c r="D44" s="18" t="inlineStr">
        <is>
          <t>Test evidence</t>
        </is>
      </c>
      <c r="E44" s="17"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7" t="inlineStr">
        <is>
          <t>N5</t>
        </is>
      </c>
      <c r="B46" s="17" t="inlineStr">
        <is>
          <t>N5.4</t>
        </is>
      </c>
      <c r="C46" s="18" t="inlineStr">
        <is>
          <t>Cleanliness check: record every file and registry key touched during a full session; verify nothing outside the application folder is written, and that deleting the folder leaves nothing behind (NR-DEP-06, NR-DEP-07).</t>
        </is>
      </c>
      <c r="D46" s="18" t="inlineStr">
        <is>
          <t>Test evidence</t>
        </is>
      </c>
      <c r="E46" s="17"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7" t="inlineStr">
        <is>
          <t>N5</t>
        </is>
      </c>
      <c r="B48" s="17" t="inlineStr">
        <is>
          <t>N5.6</t>
        </is>
      </c>
      <c r="C48" s="18" t="inlineStr">
        <is>
          <t>Awkward-location tests: a deeply nested path (R-N10), a read-only network folder (R-N11), and a UNC path (NR-DEP-13).</t>
        </is>
      </c>
      <c r="D48" s="18" t="inlineStr">
        <is>
          <t>Test evidence</t>
        </is>
      </c>
      <c r="E48" s="17"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7" t="inlineStr">
        <is>
          <t>N5</t>
        </is>
      </c>
      <c r="B50" s="17" t="inlineStr">
        <is>
          <t>N5.6c</t>
        </is>
      </c>
      <c r="C50" s="18" t="inlineStr">
        <is>
          <t>Measure launch time from a local disk and from a network folder, and state both in the user guide rather than promising one.</t>
        </is>
      </c>
      <c r="D50" s="18" t="inlineStr">
        <is>
          <t>Test evidence</t>
        </is>
      </c>
      <c r="E50" s="17"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7" t="inlineStr">
        <is>
          <t>N5</t>
        </is>
      </c>
      <c r="B52" s="17" t="inlineStr">
        <is>
          <t>N5.8</t>
        </is>
      </c>
      <c r="C52" s="18" t="inlineStr">
        <is>
          <t>User guide: where to extract it, first launch and the SmartScreen prompt, workspaces, import and export, backup, updating, and what to do if it will not start.</t>
        </is>
      </c>
      <c r="D52" s="18" t="inlineStr">
        <is>
          <t>User guide</t>
        </is>
      </c>
      <c r="E52" s="17"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7" t="inlineStr">
        <is>
          <t>N5</t>
        </is>
      </c>
      <c r="B54" s="17" t="inlineStr">
        <is>
          <t>GN5</t>
        </is>
      </c>
      <c r="C54" s="18" t="inlineStr">
        <is>
          <t>GATE N5 - release.</t>
        </is>
      </c>
      <c r="D54" s="18" t="inlineStr">
        <is>
          <t>Project Management APP v1.0 (PM_APP)</t>
        </is>
      </c>
      <c r="E54" s="17"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7" t="inlineStr">
        <is>
          <t>Complete</t>
        </is>
      </c>
      <c r="B59" s="17">
        <f>COUNTIF(E5:E54,"Complete")+COUNTIF(E5:E54,"Complete - issued for review")</f>
        <v/>
      </c>
    </row>
    <row r="60">
      <c r="A60" s="15" t="inlineStr">
        <is>
          <t>Awaiting the requester</t>
        </is>
      </c>
      <c r="B60" s="15">
        <f>COUNTIF(E5:E54,"Pending you")</f>
        <v/>
      </c>
    </row>
    <row r="61">
      <c r="A61" s="17" t="inlineStr">
        <is>
          <t>Not started</t>
        </is>
      </c>
      <c r="B61" s="17">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7" t="inlineStr">
        <is>
          <t>The two applications agree</t>
        </is>
      </c>
      <c r="B6" s="18" t="inlineStr">
        <is>
          <t>tools/test_parity.py - one dataset through both, comparing every person-month figure, every validation finding and both export files.</t>
        </is>
      </c>
      <c r="C6" s="17" t="inlineStr">
        <is>
          <t>NR-PAR-02</t>
        </is>
      </c>
      <c r="D6" s="18"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7" t="inlineStr">
        <is>
          <t>A save is never half-written</t>
        </is>
      </c>
      <c r="B8" s="18" t="inlineStr">
        <is>
          <t>Kill the process during a write, relaunch, verify the workspace is wholly old or wholly new. Repeated across many timings.</t>
        </is>
      </c>
      <c r="C8" s="17" t="inlineStr">
        <is>
          <t>NR-STO-05</t>
        </is>
      </c>
      <c r="D8" s="18"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7" t="inlineStr">
        <is>
          <t>Re-import loses nothing</t>
        </is>
      </c>
      <c r="B10" s="18" t="inlineStr">
        <is>
          <t>Import a changed workbook over hand-entered data; verify every difference is shown and nothing changes without a decision.</t>
        </is>
      </c>
      <c r="C10" s="17" t="inlineStr">
        <is>
          <t>NR-IMP-02</t>
        </is>
      </c>
      <c r="D10" s="18"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13" t="inlineStr">
        <is>
          <t>It needs no installation</t>
        </is>
      </c>
      <c r="B13" s="14" t="inlineStr">
        <is>
          <t>Extract the zip, run the exe, use it, delete the folder - with no administrator rights at any point.</t>
        </is>
      </c>
      <c r="C13" s="13" t="inlineStr">
        <is>
          <t>NR-DEP-02</t>
        </is>
      </c>
      <c r="D13" s="14"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13" t="inlineStr">
        <is>
          <t>Only one session can write</t>
        </is>
      </c>
      <c r="B18" s="14" t="inlineStr">
        <is>
          <t>Two sessions attempt the first edit together, many times over; verify exactly one is granted it and the other is told who holds it. Then verify a save is refused if the claim was displaced beneath it.</t>
        </is>
      </c>
      <c r="C18" s="13" t="inlineStr">
        <is>
          <t>NR-STO-10, NR-STO-13</t>
        </is>
      </c>
      <c r="D18" s="14"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13" t="inlineStr">
        <is>
          <t>A crash does not strand a plan</t>
        </is>
      </c>
      <c r="B20" s="14" t="inlineStr">
        <is>
          <t>Kill the holding session; verify the heartbeat stops within 30 seconds and is reported as silent, that the claim expires at 30 minutes and can then be taken over naming whose it was, and that the SAME user on the SAME machine can reclaim it at once.</t>
        </is>
      </c>
      <c r="C20" s="13" t="inlineStr">
        <is>
          <t>NR-STO-14, NR-STO-19, R-N13</t>
        </is>
      </c>
      <c r="D20" s="14" t="inlineStr">
        <is>
          <t>Automated, at N5.6b</t>
        </is>
      </c>
    </row>
    <row r="21">
      <c r="A21" s="13" t="inlineStr">
        <is>
          <t>A blocked colleague can act</t>
        </is>
      </c>
      <c r="B21" s="14" t="inlineStr">
        <is>
          <t>Block a session and verify the message names the holder and their department, says whether they are still responding and when the plan frees, and copies name and department on request.</t>
        </is>
      </c>
      <c r="C21" s="13" t="inlineStr">
        <is>
          <t>NR-STO-12, NR-USR-05, NR-USR-06</t>
        </is>
      </c>
      <c r="D21" s="14"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9" t="inlineStr">
        <is>
          <t>Green = new to the desktop application; nothing in the web application corresponds to it.</t>
        </is>
      </c>
    </row>
    <row r="37">
      <c r="A37" s="20" t="inlineStr">
        <is>
          <t>Orange = inherited from the web application but deliberately changed here.</t>
        </is>
      </c>
    </row>
    <row r="38">
      <c r="A38" s="21"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7" t="inlineStr">
        <is>
          <t>Desktop specification</t>
        </is>
      </c>
      <c r="B6" s="18" t="inlineStr">
        <is>
          <t>PRAP_NewApp_Specification_v&lt;ver&gt;.xlsx</t>
        </is>
      </c>
      <c r="C6" s="17" t="inlineStr">
        <is>
          <t>docs/</t>
        </is>
      </c>
      <c r="D6" s="18"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7" t="inlineStr">
        <is>
          <t>Desktop application</t>
        </is>
      </c>
      <c r="B8" s="18" t="inlineStr">
        <is>
          <t>PM_APP_v&lt;ver&gt;.zip, extracting to a PM_APP\ folder</t>
        </is>
      </c>
      <c r="C8" s="17" t="inlineStr">
        <is>
          <t>dist/</t>
        </is>
      </c>
      <c r="D8" s="18"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7" t="inlineStr">
        <is>
          <t>User settings</t>
        </is>
      </c>
      <c r="B10" s="18" t="inlineStr">
        <is>
          <t>settings.json</t>
        </is>
      </c>
      <c r="C10" s="17" t="inlineStr">
        <is>
          <t>data\</t>
        </is>
      </c>
      <c r="D10" s="18"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7" t="inlineStr">
        <is>
          <t>Web application</t>
        </is>
      </c>
      <c r="B12" s="18" t="inlineStr">
        <is>
          <t>app/PRAP.html</t>
        </is>
      </c>
      <c r="C12" s="17" t="inlineStr">
        <is>
          <t>app/</t>
        </is>
      </c>
      <c r="D12" s="18"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7" t="inlineStr">
        <is>
          <t>Shared data contract</t>
        </is>
      </c>
      <c r="B14" s="18" t="inlineStr">
        <is>
          <t>schema_version in the Config sheet; format_version in the JSON</t>
        </is>
      </c>
      <c r="C14" s="17" t="inlineStr">
        <is>
          <t>templates/</t>
        </is>
      </c>
      <c r="D14" s="18"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8" t="inlineStr">
        <is>
          <t>The DATA contract versions once, for both.</t>
        </is>
      </c>
      <c r="B20" s="18"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8" t="inlineStr">
        <is>
          <t>A desktop feature does not reach the web application.</t>
        </is>
      </c>
      <c r="B22" s="18"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13" t="inlineStr">
        <is>
          <t>R-N01</t>
        </is>
      </c>
      <c r="B5" s="14" t="inlineStr">
        <is>
          <t>Corporate policy blocks the application from running at all - typically application allow-listing, or a rule against executables outside Program Files.</t>
        </is>
      </c>
      <c r="C5" s="13" t="inlineStr">
        <is>
          <t>Low</t>
        </is>
      </c>
      <c r="D5" s="13" t="inlineStr">
        <is>
          <t>Low</t>
        </is>
      </c>
      <c r="E5" s="14"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3" t="inlineStr">
        <is>
          <t>R-N09</t>
        </is>
      </c>
      <c r="B13" s="14" t="inlineStr">
        <is>
          <t>Windows SmartScreen warns about the executable, or anti-virus quarantines it, because it is unsigned and unknown.</t>
        </is>
      </c>
      <c r="C13" s="13" t="inlineStr">
        <is>
          <t>HIGH</t>
        </is>
      </c>
      <c r="D13" s="13" t="inlineStr">
        <is>
          <t>Low</t>
        </is>
      </c>
      <c r="E13" s="14"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3" t="inlineStr">
        <is>
          <t>R-N10</t>
        </is>
      </c>
      <c r="B14" s="14" t="inlineStr">
        <is>
          <t>The application fails in a deeply nested folder because Windows path limits are exceeded.</t>
        </is>
      </c>
      <c r="C14" s="13" t="inlineStr">
        <is>
          <t>Low</t>
        </is>
      </c>
      <c r="D14" s="13" t="inlineStr">
        <is>
          <t>Medium</t>
        </is>
      </c>
      <c r="E14" s="14"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13" t="inlineStr">
        <is>
          <t>R-N11</t>
        </is>
      </c>
      <c r="B15" s="14" t="inlineStr">
        <is>
          <t>The application folder is put on a read-only or shared network folder, so it cannot keep its data beside itself.</t>
        </is>
      </c>
      <c r="C15" s="13" t="inlineStr">
        <is>
          <t>HIGH</t>
        </is>
      </c>
      <c r="D15" s="13" t="inlineStr">
        <is>
          <t>Medium</t>
        </is>
      </c>
      <c r="E15" s="14"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13" t="inlineStr">
        <is>
          <t>R-N13</t>
        </is>
      </c>
      <c r="B17" s="14" t="inlineStr">
        <is>
          <t>A crash leaves a workspace claimed, and nobody can edit it.</t>
        </is>
      </c>
      <c r="C17" s="13" t="inlineStr">
        <is>
          <t>Medium</t>
        </is>
      </c>
      <c r="D17" s="13" t="inlineStr">
        <is>
          <t>Low</t>
        </is>
      </c>
      <c r="E17" s="14"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3" t="inlineStr">
        <is>
          <t>R-N16</t>
        </is>
      </c>
      <c r="B19" s="14" t="inlineStr">
        <is>
          <t>A declared name is mistaken for a verified one, and somebody relies on the tool to say who did what.</t>
        </is>
      </c>
      <c r="C19" s="13" t="inlineStr">
        <is>
          <t>Low</t>
        </is>
      </c>
      <c r="D19" s="13" t="inlineStr">
        <is>
          <t>Low</t>
        </is>
      </c>
      <c r="E19" s="14"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3" t="inlineStr">
        <is>
          <t>R-N20</t>
        </is>
      </c>
      <c r="B20" s="14" t="inlineStr">
        <is>
          <t>The company will not let an executable ARRIVE, whatever its policy on running one.</t>
        </is>
      </c>
      <c r="C20" s="13" t="inlineStr">
        <is>
          <t>Low</t>
        </is>
      </c>
      <c r="D20" s="13" t="inlineStr">
        <is>
          <t>HIGH</t>
        </is>
      </c>
      <c r="E20" s="14"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3" t="inlineStr">
        <is>
          <t>R-N21</t>
        </is>
      </c>
      <c r="B22" s="14" t="inlineStr">
        <is>
          <t>Data cannot enter a browser page at all - the company blocks the file picker, so the web application cannot be given a file.</t>
        </is>
      </c>
      <c r="C22" s="13" t="inlineStr">
        <is>
          <t>HIGH</t>
        </is>
      </c>
      <c r="D22" s="13" t="inlineStr">
        <is>
          <t>Low</t>
        </is>
      </c>
      <c r="E22" s="14"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7" t="inlineStr">
        <is>
          <t>What happens without it</t>
        </is>
      </c>
      <c r="B33" s="18"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7" t="inlineStr">
        <is>
          <t>What is bought</t>
        </is>
      </c>
      <c r="B35" s="18"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7" t="inlineStr">
        <is>
          <t>What else it needs</t>
        </is>
      </c>
      <c r="B37" s="18"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7" t="inlineStr">
        <is>
          <t>Is it needed?</t>
        </is>
      </c>
      <c r="B39" s="18"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3" t="inlineStr">
        <is>
          <t>A-N01</t>
        </is>
      </c>
      <c r="B45" s="14" t="inlineStr">
        <is>
          <t>Data volume is whatever the web plan's REQ-NFR-03 currently says, BY REFERENCE AND NOT RESTATED. The desktop line sets no volume of its own: it renders the same tables from the same core/, so the binding cost is the same one - (projects + people) rows x horizon months on the Overall tab.</t>
        </is>
      </c>
      <c r="C45" s="13" t="inlineStr">
        <is>
          <t>AMENDED at R-47. It used to restate the figure ('up to about 100 projects and 1,000 people'), and when REQ-NFR-03 was amended to 100 x 150 that restatement became a false claim about the web plan - in the document set whose own subject is keeping versions in step. Citing it instead of copying it means this row cannot go stale the next time the volume moves</t>
        </is>
      </c>
    </row>
    <row r="46">
      <c r="A46" s="13" t="inlineStr">
        <is>
          <t>A-N02</t>
        </is>
      </c>
      <c r="B46" s="14" t="inlineStr">
        <is>
          <t>Windows 10 or 11, 64-bit, is the only target. macOS and Linux are out of scope.</t>
        </is>
      </c>
      <c r="C46" s="13"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13" t="inlineStr">
        <is>
          <t>A-N09</t>
        </is>
      </c>
      <c r="B48" s="14" t="inlineStr">
        <is>
          <t>The user can extract a zip and run an executable from their own folder, and nothing will later block or remove it.</t>
        </is>
      </c>
      <c r="C48" s="13"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13" t="inlineStr">
        <is>
          <t>A-N03</t>
        </is>
      </c>
      <c r="B53" s="14" t="inlineStr">
        <is>
          <t>One person works on a given workspace at a time - but the application no longer RELIES on it, because a shared folder makes it unsafe to assume.</t>
        </is>
      </c>
      <c r="C53" s="13" t="inlineStr">
        <is>
          <t>WITHDRAWN as an assumption at round 2; enforced by NR-STO-10 instead</t>
        </is>
      </c>
    </row>
    <row r="54">
      <c r="A54" s="17" t="inlineStr">
        <is>
          <t>A-N04</t>
        </is>
      </c>
      <c r="B54" s="18" t="inlineStr">
        <is>
          <t>Package size is unconstrained.</t>
        </is>
      </c>
      <c r="C54" s="17"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7" t="inlineStr">
        <is>
          <t>A-N06</t>
        </is>
      </c>
      <c r="B56" s="18" t="inlineStr">
        <is>
          <t>The source Excel workbook continues to be maintained by hand, by someone other than the tool.</t>
        </is>
      </c>
      <c r="C56" s="17"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9" t="inlineStr">
        <is>
          <t>Green = new to the desktop application; nothing in the web application corresponds to it.</t>
        </is>
      </c>
    </row>
    <row r="61">
      <c r="A61" s="20" t="inlineStr">
        <is>
          <t>Orange = inherited from the web application but deliberately changed here.</t>
        </is>
      </c>
    </row>
    <row r="62">
      <c r="A62" s="21"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5" t="inlineStr">
        <is>
          <t>A</t>
        </is>
      </c>
      <c r="B27" s="15" t="inlineStr">
        <is>
          <t>Ask IT for the sanctioned channel</t>
        </is>
      </c>
      <c r="C27" s="16" t="inlineStr">
        <is>
          <t>The software-distribution share, the internal artifact store, or an allow-list entry. Nothing is rebuilt - the package is finished and tested.</t>
        </is>
      </c>
      <c r="D27" s="16" t="inlineStr">
        <is>
          <t>Best fidelity, no work. Depends entirely on somebody else, and the answer may be no or slow.</t>
        </is>
      </c>
      <c r="E27" s="16" t="inlineStr">
        <is>
          <t>NOT NEEDED for route B - it arrived by e-mail. Still the only way the Electron package could</t>
        </is>
      </c>
    </row>
    <row r="28">
      <c r="A28" s="17" t="inlineStr">
        <is>
          <t>B</t>
        </is>
      </c>
      <c r="B28" s="17" t="inlineStr">
        <is>
          <t>Replace the Electron shell with a PYTHON one   [DELIVERED 2026-08-22]</t>
        </is>
      </c>
      <c r="C28" s="18"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8" t="inlineStr">
        <is>
          <t>Removes the executable from one problem and the upload from the other. Needs Python on the laptop. Roughly 700 lines of new Python, no new engine.</t>
        </is>
      </c>
      <c r="E28" s="18" t="inlineStr">
        <is>
          <t>RECOMMENDED - and now the only route that answers both refusals</t>
        </is>
      </c>
    </row>
    <row r="29">
      <c r="A29" s="15" t="inlineStr">
        <is>
          <t>C</t>
        </is>
      </c>
      <c r="B29" s="15" t="inlineStr">
        <is>
          <t>Persistence in the web application instead</t>
        </is>
      </c>
      <c r="C29" s="16" t="inlineStr">
        <is>
          <t>Give the existing HTML file real storage, through the browser's own file access. It already arrives - it is a document.</t>
        </is>
      </c>
      <c r="D29" s="16" t="inlineStr">
        <is>
          <t>RULED OUT 2026-08-18. It depends on the browser's file access, which is the exact interface the import control intercepts (R-N21). It was never going to keep the shared folder either; now it cannot even get the first file in.</t>
        </is>
      </c>
      <c r="E29" s="16"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5" t="inlineStr">
        <is>
          <t>Decision N-05 survives</t>
        </is>
      </c>
      <c r="B62" s="16" t="inlineStr">
        <is>
          <t>There is still ONE engine. The numbers stay in core/, in the browser. Python touches files and nothing else - if a calculation appears in the Python, something has gone wrong.</t>
        </is>
      </c>
      <c r="C62" s="15" t="inlineStr">
        <is>
          <t>N-05</t>
        </is>
      </c>
    </row>
    <row r="63">
      <c r="A63" s="17" t="inlineStr">
        <is>
          <t>No pip install</t>
        </is>
      </c>
      <c r="B63" s="18" t="inlineStr">
        <is>
          <t>http.server, json, pathlib, zipfile and xml are all standard library. The xlsx reading and writing stays in the browser, where it is already dependency-free - so Python never needs openpyxl.</t>
        </is>
      </c>
      <c r="C63" s="17" t="inlineStr">
        <is>
          <t>NR-DEP-05</t>
        </is>
      </c>
    </row>
    <row r="64">
      <c r="A64" s="15" t="inlineStr">
        <is>
          <t>The storage design carries over intact</t>
        </is>
      </c>
      <c r="B64" s="16" t="inlineStr">
        <is>
          <t>Atomic save, retained version, journal, the claim with its heartbeat and expiry - all of it is filesystem work, and all of it ports directly. The 33 checks in test_storage.mjs become 33 checks in Python.</t>
        </is>
      </c>
      <c r="C64" s="15" t="inlineStr">
        <is>
          <t>NR-STO-04..19</t>
        </is>
      </c>
    </row>
    <row r="65">
      <c r="A65" s="17" t="inlineStr">
        <is>
          <t>The shared folder still works</t>
        </is>
      </c>
      <c r="B65" s="18" t="inlineStr">
        <is>
          <t>Which route C cannot offer. Real files, real claim files, several people on one plan - the whole of sheet 07 keeps its meaning.</t>
        </is>
      </c>
      <c r="C65" s="17" t="inlineStr">
        <is>
          <t>NR-STO-10</t>
        </is>
      </c>
    </row>
    <row r="66">
      <c r="A66" s="15" t="inlineStr">
        <is>
          <t>What is lost</t>
        </is>
      </c>
      <c r="B66" s="16" t="inlineStr">
        <is>
          <t>A window of its own. The application would open in the browser, pointed at a local address, launched from a shortcut. It looks like the web application because it IS the web application - which is a fair trade for arriving at all.</t>
        </is>
      </c>
      <c r="C66" s="15"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6" t="inlineStr">
        <is>
          <t>Is Python installed on the laptop, and which version?</t>
        </is>
      </c>
      <c r="B72" s="16" t="inlineStr">
        <is>
          <t>`python --version` at a command prompt. 3.9 or newer is enough. If it is absent, route B needs IT to install it - which is the same conversation as route A, but for a runtime that is far easier to approve than an unknown application.</t>
        </is>
      </c>
    </row>
    <row r="73">
      <c r="A73" s="18" t="inlineStr">
        <is>
          <t>What internal route exists for files that are not e-mail?</t>
        </is>
      </c>
      <c r="B73" s="18" t="inlineStr">
        <is>
          <t>SharePoint, Teams, an internal GitLab, a software share. Route B still has to arrive; .py is text rather than an executable, which most filters treat differently, but the sanctioned route is better than the tolerated one.</t>
        </is>
      </c>
    </row>
    <row r="74">
      <c r="A74" s="16" t="inlineStr">
        <is>
          <t>Would IT rather approve a runtime than an application?</t>
        </is>
      </c>
      <c r="B74" s="16" t="inlineStr">
        <is>
          <t>Usually yes, and it is worth asking in those terms. 'May I have Python' is a smaller request than 'may I run this 142 MB thing a contractor sent me'.</t>
        </is>
      </c>
    </row>
    <row r="75">
      <c r="A75" s="18" t="inlineStr">
        <is>
          <t>What did the import security message actually say - which product, which policy name?</t>
        </is>
      </c>
      <c r="B75" s="18"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13" t="inlineStr">
        <is>
          <t>Q-N01</t>
        </is>
      </c>
      <c r="B5" s="13" t="inlineStr">
        <is>
          <t>Deployment</t>
        </is>
      </c>
      <c r="C5" s="14" t="inlineStr">
        <is>
          <t>Which operating systems must this run on?</t>
        </is>
      </c>
      <c r="D5" s="14" t="inlineStr">
        <is>
          <t>ANSWERED 2026-08-13: Windows only. Closed - A-N02, NR-DEP-01. macOS and Linux are out of scope.</t>
        </is>
      </c>
      <c r="E5" s="22" t="inlineStr">
        <is>
          <t>Windows. CLOSED</t>
        </is>
      </c>
    </row>
    <row r="6">
      <c r="A6" s="13" t="inlineStr">
        <is>
          <t>Q-N02</t>
        </is>
      </c>
      <c r="B6" s="13" t="inlineStr">
        <is>
          <t>Deployment</t>
        </is>
      </c>
      <c r="C6" s="14" t="inlineStr">
        <is>
          <t>Can you extract a zip into your own folder and run the .exe inside it?</t>
        </is>
      </c>
      <c r="D6" s="14"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13" t="inlineStr">
        <is>
          <t>Q-N03</t>
        </is>
      </c>
      <c r="B7" s="13" t="inlineStr">
        <is>
          <t>Deployment</t>
        </is>
      </c>
      <c r="C7" s="14" t="inlineStr">
        <is>
          <t>Is a company code-signing certificate obtainable, and by whom?</t>
        </is>
      </c>
      <c r="D7" s="14"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13" t="inlineStr">
        <is>
          <t>Q-N04</t>
        </is>
      </c>
      <c r="B8" s="13" t="inlineStr">
        <is>
          <t>Storage</t>
        </is>
      </c>
      <c r="C8" s="14" t="inlineStr">
        <is>
          <t>Where should workspaces live by default?</t>
        </is>
      </c>
      <c r="D8" s="14"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13" t="inlineStr">
        <is>
          <t>Q-N05</t>
        </is>
      </c>
      <c r="B9" s="13" t="inlineStr">
        <is>
          <t>Storage</t>
        </is>
      </c>
      <c r="C9" s="14" t="inlineStr">
        <is>
          <t>When you re-import a source workbook over a workspace that already holds your hand-entered data, what should happen?</t>
        </is>
      </c>
      <c r="D9" s="14"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13" t="inlineStr">
        <is>
          <t>Q-N06</t>
        </is>
      </c>
      <c r="B10" s="13" t="inlineStr">
        <is>
          <t>Storage</t>
        </is>
      </c>
      <c r="C10" s="14" t="inlineStr">
        <is>
          <t>Will more than one person ever have the same workspace open at once?</t>
        </is>
      </c>
      <c r="D10" s="14"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13" t="inlineStr">
        <is>
          <t>Q-N07</t>
        </is>
      </c>
      <c r="B11" s="13" t="inlineStr">
        <is>
          <t>Storage</t>
        </is>
      </c>
      <c r="C11" s="14" t="inlineStr">
        <is>
          <t>How many previous versions of a workspace should be retained?</t>
        </is>
      </c>
      <c r="D11" s="14"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13" t="inlineStr">
        <is>
          <t>Q-N08</t>
        </is>
      </c>
      <c r="B12" s="13" t="inlineStr">
        <is>
          <t>Deployment</t>
        </is>
      </c>
      <c r="C12" s="14" t="inlineStr">
        <is>
          <t>How will updates reach you?</t>
        </is>
      </c>
      <c r="D12" s="14"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13" t="inlineStr">
        <is>
          <t>Q-N09</t>
        </is>
      </c>
      <c r="B13" s="13" t="inlineStr">
        <is>
          <t>Governance</t>
        </is>
      </c>
      <c r="C13" s="14" t="inlineStr">
        <is>
          <t>Does this tool fall under any internal validation or record-keeping obligation, now that it HOLDS data rather than only displaying it?</t>
        </is>
      </c>
      <c r="D13" s="14"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13" t="inlineStr">
        <is>
          <t>Q-N10</t>
        </is>
      </c>
      <c r="B14" s="13" t="inlineStr">
        <is>
          <t>Scope</t>
        </is>
      </c>
      <c r="C14" s="14" t="inlineStr">
        <is>
          <t>Should the application be able to open a source workbook for a quick look, without creating a workspace?</t>
        </is>
      </c>
      <c r="D14" s="14"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13" t="inlineStr">
        <is>
          <t>Q-N11</t>
        </is>
      </c>
      <c r="B15" s="13" t="inlineStr">
        <is>
          <t>Naming</t>
        </is>
      </c>
      <c r="C15" s="14" t="inlineStr">
        <is>
          <t>What should the application be called on screen?</t>
        </is>
      </c>
      <c r="D15" s="14"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13" t="inlineStr">
        <is>
          <t>Q-N12</t>
        </is>
      </c>
      <c r="B16" s="13" t="inlineStr">
        <is>
          <t>Deployment</t>
        </is>
      </c>
      <c r="C16" s="14" t="inlineStr">
        <is>
          <t>Where will you keep the application folder?</t>
        </is>
      </c>
      <c r="D16" s="14"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13" t="inlineStr">
        <is>
          <t>Q-N13</t>
        </is>
      </c>
      <c r="B17" s="13" t="inlineStr">
        <is>
          <t>Deployment</t>
        </is>
      </c>
      <c r="C17" s="14" t="inlineStr">
        <is>
          <t>Is it acceptable that double-clicking a .prap file in Explorer will NOT open the application?</t>
        </is>
      </c>
      <c r="D17" s="14" t="inlineStr">
        <is>
          <t>ANSWERED 2026-08-13: not needed, drag-and-drop is fine. Closed. NR-IMP-04 stands as reduced, decision N-15 is unchallenged, and no registry entry will be written for any reason.</t>
        </is>
      </c>
      <c r="E17" s="22" t="inlineStr">
        <is>
          <t>Not needed. CLOSED</t>
        </is>
      </c>
    </row>
    <row r="18">
      <c r="A18" s="13" t="inlineStr">
        <is>
          <t>Q-N14</t>
        </is>
      </c>
      <c r="B18" s="13" t="inlineStr">
        <is>
          <t>Deployment</t>
        </is>
      </c>
      <c r="C18" s="14" t="inlineStr">
        <is>
          <t>Is the share where people RUN it from, or where they copy it from once?</t>
        </is>
      </c>
      <c r="D18" s="14"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13" t="inlineStr">
        <is>
          <t>Q-N15</t>
        </is>
      </c>
      <c r="B19" s="13" t="inlineStr">
        <is>
          <t>Deployment</t>
        </is>
      </c>
      <c r="C19" s="14" t="inlineStr">
        <is>
          <t>Would the share be writable, or read-only?</t>
        </is>
      </c>
      <c r="D19" s="14"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13" t="inlineStr">
        <is>
          <t>Q-N16</t>
        </is>
      </c>
      <c r="B20" s="13" t="inlineStr">
        <is>
          <t>Sharing</t>
        </is>
      </c>
      <c r="C20" s="14" t="inlineStr">
        <is>
          <t>How long should a silent session hold a plan before others may take it over?</t>
        </is>
      </c>
      <c r="D20" s="14"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13" t="inlineStr">
        <is>
          <t>Q-N17</t>
        </is>
      </c>
      <c r="B21" s="13" t="inlineStr">
        <is>
          <t>Sharing</t>
        </is>
      </c>
      <c r="C21" s="14" t="inlineStr">
        <is>
          <t>Should the application be able to say who is editing, and let a blocked colleague contact them?</t>
        </is>
      </c>
      <c r="D21" s="14"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13" t="inlineStr">
        <is>
          <t>Q-N18</t>
        </is>
      </c>
      <c r="B22" s="13" t="inlineStr">
        <is>
          <t>User identity</t>
        </is>
      </c>
      <c r="C22" s="14" t="inlineStr">
        <is>
          <t>Which details should the application record beside the name?</t>
        </is>
      </c>
      <c r="D22" s="14"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9" t="inlineStr">
        <is>
          <t>Green = new to the desktop application; nothing in the web application corresponds to it.</t>
        </is>
      </c>
    </row>
    <row r="27">
      <c r="A27" s="20" t="inlineStr">
        <is>
          <t>Orange = inherited from the web application but deliberately changed here.</t>
        </is>
      </c>
    </row>
    <row r="28">
      <c r="A28" s="21"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7" t="inlineStr">
        <is>
          <t>2</t>
        </is>
      </c>
      <c r="B6" s="17" t="inlineStr">
        <is>
          <t>Instruction 2026-08-13</t>
        </is>
      </c>
      <c r="C6" s="18" t="inlineStr">
        <is>
          <t>Change the data flow to keep imported data even after the application closes.</t>
        </is>
      </c>
      <c r="D6" s="18" t="inlineStr">
        <is>
          <t>Accepted.</t>
        </is>
      </c>
      <c r="E6" s="18" t="inlineStr">
        <is>
          <t>NR-STO-01..09; sheet 05 sets out the workspace model, the write protocol and the recovery behaviour; decisions N-02, N-03, N-08; risk R-N03 records the new risk this creates.</t>
        </is>
      </c>
      <c r="F6" s="17"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7" t="inlineStr">
        <is>
          <t>4</t>
        </is>
      </c>
      <c r="B8" s="17" t="inlineStr">
        <is>
          <t>Instruction 2026-08-13</t>
        </is>
      </c>
      <c r="C8" s="18" t="inlineStr">
        <is>
          <t>Develop the new application under a separate plan with a different name.</t>
        </is>
      </c>
      <c r="D8" s="18" t="inlineStr">
        <is>
          <t>Accepted.</t>
        </is>
      </c>
      <c r="E8" s="18" t="inlineStr">
        <is>
          <t>This document, PRAP-NAPP-PLAN-001, in its own version line from v0.1 with its own gates N1..N5. The web application plan is not amended.</t>
        </is>
      </c>
      <c r="F8" s="17"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7" t="inlineStr">
        <is>
          <t>6</t>
        </is>
      </c>
      <c r="B10" s="17" t="inlineStr">
        <is>
          <t>-</t>
        </is>
      </c>
      <c r="C10" s="18" t="inlineStr">
        <is>
          <t>Not requester input - raised while drafting.</t>
        </is>
      </c>
      <c r="D10" s="18" t="inlineStr">
        <is>
          <t>Two claims in this plan cannot be verified from the development environment.</t>
        </is>
      </c>
      <c r="E10" s="18"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7"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7" t="inlineStr">
        <is>
          <t>8</t>
        </is>
      </c>
      <c r="B12" s="17" t="inlineStr">
        <is>
          <t>Instruction 2026-08-13 (round 1)</t>
        </is>
      </c>
      <c r="C12" s="18" t="inlineStr">
        <is>
          <t>It should be a non-installed application.</t>
        </is>
      </c>
      <c r="D12" s="18" t="inlineStr">
        <is>
          <t>Accepted, and it reaches further than one requirement.</t>
        </is>
      </c>
      <c r="E12" s="18"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7"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7" t="inlineStr">
        <is>
          <t>10</t>
        </is>
      </c>
      <c r="B14" s="17" t="inlineStr">
        <is>
          <t>-</t>
        </is>
      </c>
      <c r="C14" s="18" t="inlineStr">
        <is>
          <t>Not requester input - found while applying item 8.</t>
        </is>
      </c>
      <c r="D14" s="18" t="inlineStr">
        <is>
          <t>Non-installed makes one thing HARDER, not easier.</t>
        </is>
      </c>
      <c r="E14" s="18"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7"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7" t="inlineStr">
        <is>
          <t>12</t>
        </is>
      </c>
      <c r="B16" s="17" t="inlineStr">
        <is>
          <t>Q-N12 answer (round 2)</t>
        </is>
      </c>
      <c r="C16" s="18" t="inlineStr">
        <is>
          <t>A shared network folder could be considered.</t>
        </is>
      </c>
      <c r="D16" s="18" t="inlineStr">
        <is>
          <t>Accepted, and planned for as though it will happen.</t>
        </is>
      </c>
      <c r="E16" s="18"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7"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7" t="inlineStr">
        <is>
          <t>14</t>
        </is>
      </c>
      <c r="B18" s="17" t="inlineStr">
        <is>
          <t>-</t>
        </is>
      </c>
      <c r="C18" s="18" t="inlineStr">
        <is>
          <t>Not requester input - found while applying item 12.</t>
        </is>
      </c>
      <c r="D18" s="18" t="inlineStr">
        <is>
          <t>Where does a portable application remember its data location, if it cannot write beside itself?</t>
        </is>
      </c>
      <c r="E18" s="18"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7"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7" t="inlineStr">
        <is>
          <t>16</t>
        </is>
      </c>
      <c r="B20" s="17" t="inlineStr">
        <is>
          <t>Instruction 2026-08-13 (round 3)</t>
        </is>
      </c>
      <c r="C20" s="18" t="inlineStr">
        <is>
          <t>Block other sessions from updating while someone starts editing.</t>
        </is>
      </c>
      <c r="D20" s="18" t="inlineStr">
        <is>
          <t>Accepted, and it settles the sharing model: single writer, many readers.</t>
        </is>
      </c>
      <c r="E20" s="18"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7"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7" t="inlineStr">
        <is>
          <t>18</t>
        </is>
      </c>
      <c r="B22" s="17" t="inlineStr">
        <is>
          <t>-</t>
        </is>
      </c>
      <c r="C22" s="18" t="inlineStr">
        <is>
          <t>Not requester input - a gap in v0.3 that item 16 makes plain.</t>
        </is>
      </c>
      <c r="D22" s="18" t="inlineStr">
        <is>
          <t>Blocking writers is not enough on its own: a READER can be misled just as badly.</t>
        </is>
      </c>
      <c r="E22" s="18"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7"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7" t="inlineStr">
        <is>
          <t>20</t>
        </is>
      </c>
      <c r="B24" s="17" t="inlineStr">
        <is>
          <t>Q-N16 answer (round 4)</t>
        </is>
      </c>
      <c r="C24" s="18" t="inlineStr">
        <is>
          <t>A silent session may hold a plan for 30 minutes.</t>
        </is>
      </c>
      <c r="D24" s="18" t="inlineStr">
        <is>
          <t>Accepted - twenty times the 90 seconds proposed, and coherent with the Q-N17 answer.</t>
        </is>
      </c>
      <c r="E24" s="18"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7"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7" t="inlineStr">
        <is>
          <t>22</t>
        </is>
      </c>
      <c r="B26" s="17" t="inlineStr">
        <is>
          <t>-</t>
        </is>
      </c>
      <c r="C26" s="18" t="inlineStr">
        <is>
          <t>Not requester input - noticed while applying items 20 and 21.</t>
        </is>
      </c>
      <c r="D26" s="18" t="inlineStr">
        <is>
          <t>The two answers are stronger together than separately.</t>
        </is>
      </c>
      <c r="E26" s="18"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7"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7" t="inlineStr">
        <is>
          <t>24</t>
        </is>
      </c>
      <c r="B28" s="17" t="inlineStr">
        <is>
          <t>-</t>
        </is>
      </c>
      <c r="C28" s="18" t="inlineStr">
        <is>
          <t>Not requester input - raised while applying item 21.</t>
        </is>
      </c>
      <c r="D28" s="18" t="inlineStr">
        <is>
          <t>What a typed name is, and is not.</t>
        </is>
      </c>
      <c r="E28" s="18"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7"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7" t="inlineStr">
        <is>
          <t>26</t>
        </is>
      </c>
      <c r="B30" s="17" t="inlineStr">
        <is>
          <t>-</t>
        </is>
      </c>
      <c r="C30" s="18" t="inlineStr">
        <is>
          <t>Not requester input - noticed while applying item 25.</t>
        </is>
      </c>
      <c r="D30" s="18" t="inlineStr">
        <is>
          <t>The answer fits a column the data model already has.</t>
        </is>
      </c>
      <c r="E30" s="18"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7"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7" t="inlineStr">
        <is>
          <t>28</t>
        </is>
      </c>
      <c r="B32" s="17" t="inlineStr">
        <is>
          <t>v0.6_reviewed - Q-N03</t>
        </is>
      </c>
      <c r="C32" s="18" t="inlineStr">
        <is>
          <t>Not an answer: 'elaborate the question more easily. What IT purchase is needed? What is the company code-signing certificate?'</t>
        </is>
      </c>
      <c r="D32" s="18" t="inlineStr">
        <is>
          <t>Fair - the question assumed knowledge it should have supplied.</t>
        </is>
      </c>
      <c r="E32" s="18"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7"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7" t="inlineStr">
        <is>
          <t>30</t>
        </is>
      </c>
      <c r="B34" s="17" t="inlineStr">
        <is>
          <t>v0.6_reviewed - Q-N05</t>
        </is>
      </c>
      <c r="C34" s="18" t="inlineStr">
        <is>
          <t>Ask whether to update existing data, and give a difference report so the user decides what may be overridden.</t>
        </is>
      </c>
      <c r="D34" s="18" t="inlineStr">
        <is>
          <t>Accepted - confirms the v0.3 proposal and adds an explicit first question.</t>
        </is>
      </c>
      <c r="E34" s="18"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7"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7" t="inlineStr">
        <is>
          <t>32</t>
        </is>
      </c>
      <c r="B36" s="17" t="inlineStr">
        <is>
          <t>v0.6_reviewed - Q-N09</t>
        </is>
      </c>
      <c r="C36" s="18" t="inlineStr">
        <is>
          <t>No internal validation or record-keeping obligation.</t>
        </is>
      </c>
      <c r="D36" s="18" t="inlineStr">
        <is>
          <t>Accepted - and it settles an open risk.</t>
        </is>
      </c>
      <c r="E36" s="18" t="inlineStr">
        <is>
          <t>Assumption A-N11. R-N16 falls from Medium/Medium to Low/Low: with nothing formal resting on it, a declared user name is a courtesy rather than a control. It also keeps Step N5 to functional verification rather than qualification evidence.</t>
        </is>
      </c>
      <c r="F36" s="17"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7" t="inlineStr">
        <is>
          <t>34</t>
        </is>
      </c>
      <c r="B38" s="17" t="inlineStr">
        <is>
          <t>v0.6_reviewed - Q-N11</t>
        </is>
      </c>
      <c r="C38" s="18" t="inlineStr">
        <is>
          <t>'Project Management APP' or 'PM_APP'.</t>
        </is>
      </c>
      <c r="D38" s="18" t="inlineStr">
        <is>
          <t>Accepted, with one thing to confirm.</t>
        </is>
      </c>
      <c r="E38" s="18"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7"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7" t="inlineStr">
        <is>
          <t>36</t>
        </is>
      </c>
      <c r="B40" s="17" t="inlineStr">
        <is>
          <t>-</t>
        </is>
      </c>
      <c r="C40" s="18" t="inlineStr">
        <is>
          <t>Not requester input - the state of the document.</t>
        </is>
      </c>
      <c r="D40" s="18" t="inlineStr">
        <is>
          <t>Every question is answered.</t>
        </is>
      </c>
      <c r="E40" s="18"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7"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7" t="inlineStr">
        <is>
          <t>38</t>
        </is>
      </c>
      <c r="B42" s="17" t="inlineStr">
        <is>
          <t>Instruction 2026-08-18</t>
        </is>
      </c>
      <c r="C42" s="18" t="inlineStr">
        <is>
          <t>IT bans any data upload into HTML. How is that limitation solved?</t>
        </is>
      </c>
      <c r="D42" s="18" t="inlineStr">
        <is>
          <t>Accepted as a constraint, and diagnosed before it was recorded.</t>
        </is>
      </c>
      <c r="E42" s="18"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7"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4">
      <c r="A44" s="17" t="inlineStr">
        <is>
          <t>40</t>
        </is>
      </c>
      <c r="B44" s="17" t="inlineStr">
        <is>
          <t>Answers 2026-08-20</t>
        </is>
      </c>
      <c r="C44" s="18" t="inlineStr">
        <is>
          <t>Python 3.14 is installed. No internal file route is allowed yet - use e-mail with Python code. The import message said data upload is not allowed except to permitted paths.</t>
        </is>
      </c>
      <c r="D44" s="18" t="inlineStr">
        <is>
          <t>All three decided the route, and the third decided whether the route existed.</t>
        </is>
      </c>
      <c r="E44" s="18"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7" t="inlineStr">
        <is>
          <t>Closed</t>
        </is>
      </c>
    </row>
    <row r="45">
      <c r="A45" s="15" t="inlineStr">
        <is>
          <t>41</t>
        </is>
      </c>
      <c r="B45" s="15" t="inlineStr">
        <is>
          <t>Result 2026-08-22</t>
        </is>
      </c>
      <c r="C45" s="16" t="inlineStr">
        <is>
          <t>The Python package went through e-mail with no problem. The earlier refusal was caused by the EXECUTABLE enclosed in the zip.</t>
        </is>
      </c>
      <c r="D45" s="16" t="inlineStr">
        <is>
          <t>Decisive, and it narrows a risk this plan had recorded too widely.</t>
        </is>
      </c>
      <c r="E45" s="16"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5"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2026-10-08T09:27:41Z</dcterms:created>
  <dcterms:modified xsi:type="dcterms:W3CDTF">2026-10-08T09:27:41Z</dcterms:modified>
</cp:coreProperties>
</file>