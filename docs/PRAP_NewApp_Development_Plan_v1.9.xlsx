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5a_Sharing" sheetId="7" state="visible" r:id="rId7"/>
    <sheet name="06_Decisions" sheetId="8" state="visible" r:id="rId8"/>
    <sheet name="07_WBS_Schedule" sheetId="9" state="visible" r:id="rId9"/>
    <sheet name="08_Verification" sheetId="10" state="visible" r:id="rId10"/>
    <sheet name="09_Version_Control" sheetId="11" state="visible" r:id="rId11"/>
    <sheet name="10_Risks" sheetId="12" state="visible" r:id="rId12"/>
    <sheet name="10a_Delivery" sheetId="13" state="visible" r:id="rId13"/>
    <sheet name="11_Open_Questions" sheetId="14" state="visible" r:id="rId14"/>
    <sheet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v1.9</t>
        </is>
      </c>
    </row>
    <row r="7" ht="30" customHeight="1">
      <c r="A7" s="3" t="inlineStr">
        <is>
          <t>Status</t>
        </is>
      </c>
      <c r="B7" s="4" t="inlineStr">
        <is>
          <t>Baseline v1.0 + changes C-N01 and C-N02. Gates N1-N3 closed; Step N4 in progress and Step N4a - the Python shell - BUILT AND TESTED, awaiting your run on the company laptop. Two company controls are measured rather than feared: an executable may run but may not arrive (R-N20), and data may not enter a browser page through the file picker (R-N21). Both are answered on sheet 10a, and neither is worked around.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PRAP_NewApp_Development_Plan_v1.9.xlsx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1.9</t>
        </is>
      </c>
      <c r="B5" s="11" t="inlineStr">
        <is>
          <t>2026-08-18</t>
        </is>
      </c>
      <c r="C5" s="11" t="inlineStr">
        <is>
          <t>Claude Code</t>
        </is>
      </c>
      <c r="D5" s="11" t="inlineStr">
        <is>
          <t>-</t>
        </is>
      </c>
      <c r="E5" s="12" t="inlineStr">
        <is>
          <t>CHANGE C-N02 - THE PYTHON SHELL, BUILT. The two answers that were missing arrived: Python 3.14 is installed on the laptop, and e-mail is the only route in. Route B on sheet 10a is therefore the route, and it is no longer a proposal - src/storage/python/ and src/shell/python/ exist, 80 storage checks and 42 end-to-end checks pass, and the packaged application is 107 KB of readable Python text that fits in an e-mail. What it changes in this plan: NR-SEC-01 is AMENDED (a loopback listener is permitted, an outbound connection is still forbidden) with NR-SEC-04..06 specifying the controls around it; NR-IMP-09 requires that the page carry no browser file interface at all; NR-DEP-16 fixes the runtime at Python 3.9+, standard library only. Risk R-N22 records the socket as an attack surface and what answers it. Step N4a is added to sheet 08. The Electron shell is NOT withdrawn - it stays the better application wherever it can be delivered, and both are built from one engine.</t>
        </is>
      </c>
    </row>
    <row r="6">
      <c r="A6" s="13" t="inlineStr">
        <is>
          <t>1.8</t>
        </is>
      </c>
      <c r="B6" s="13" t="inlineStr">
        <is>
          <t>2026-08-18</t>
        </is>
      </c>
      <c r="C6" s="13" t="inlineStr">
        <is>
          <t>Claude Code</t>
        </is>
      </c>
      <c r="D6" s="13" t="inlineStr">
        <is>
          <t>-</t>
        </is>
      </c>
      <c r="E6" s="14"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7">
      <c r="A7" s="15" t="inlineStr">
        <is>
          <t>1.7</t>
        </is>
      </c>
      <c r="B7" s="15" t="inlineStr">
        <is>
          <t>2026-08-15</t>
        </is>
      </c>
      <c r="C7" s="15" t="inlineStr">
        <is>
          <t>Claude Code</t>
        </is>
      </c>
      <c r="D7" s="15" t="inlineStr">
        <is>
          <t>-</t>
        </is>
      </c>
      <c r="E7" s="16"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8">
      <c r="A8" s="13" t="inlineStr">
        <is>
          <t>1.6</t>
        </is>
      </c>
      <c r="B8" s="13" t="inlineStr">
        <is>
          <t>2026-08-15</t>
        </is>
      </c>
      <c r="C8" s="13" t="inlineStr">
        <is>
          <t>Claude Code</t>
        </is>
      </c>
      <c r="D8" s="13" t="inlineStr">
        <is>
          <t>-</t>
        </is>
      </c>
      <c r="E8" s="14"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9">
      <c r="A9" s="15" t="inlineStr">
        <is>
          <t>1.5</t>
        </is>
      </c>
      <c r="B9" s="15" t="inlineStr">
        <is>
          <t>2026-08-13</t>
        </is>
      </c>
      <c r="C9" s="15" t="inlineStr">
        <is>
          <t>Claude Code</t>
        </is>
      </c>
      <c r="D9" s="15" t="inlineStr">
        <is>
          <t>-</t>
        </is>
      </c>
      <c r="E9" s="16"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10">
      <c r="A10" s="13" t="inlineStr">
        <is>
          <t>1.4</t>
        </is>
      </c>
      <c r="B10" s="13" t="inlineStr">
        <is>
          <t>2026-08-13</t>
        </is>
      </c>
      <c r="C10" s="13" t="inlineStr">
        <is>
          <t>Claude Code</t>
        </is>
      </c>
      <c r="D10" s="13" t="inlineStr">
        <is>
          <t>APPROVED</t>
        </is>
      </c>
      <c r="E10" s="14"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11">
      <c r="A11" s="15" t="inlineStr">
        <is>
          <t>1.3</t>
        </is>
      </c>
      <c r="B11" s="15" t="inlineStr">
        <is>
          <t>2026-08-13</t>
        </is>
      </c>
      <c r="C11" s="15" t="inlineStr">
        <is>
          <t>Claude Code</t>
        </is>
      </c>
      <c r="D11" s="15" t="inlineStr">
        <is>
          <t>Superseded</t>
        </is>
      </c>
      <c r="E11" s="16"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12">
      <c r="A12" s="13" t="inlineStr">
        <is>
          <t>1.2</t>
        </is>
      </c>
      <c r="B12" s="13" t="inlineStr">
        <is>
          <t>2026-08-13</t>
        </is>
      </c>
      <c r="C12" s="13" t="inlineStr">
        <is>
          <t>Claude Code</t>
        </is>
      </c>
      <c r="D12" s="13" t="inlineStr">
        <is>
          <t>-</t>
        </is>
      </c>
      <c r="E12" s="14"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13">
      <c r="A13" s="15" t="inlineStr">
        <is>
          <t>1.1</t>
        </is>
      </c>
      <c r="B13" s="15" t="inlineStr">
        <is>
          <t>2026-08-13</t>
        </is>
      </c>
      <c r="C13" s="15" t="inlineStr">
        <is>
          <t>Claude Code</t>
        </is>
      </c>
      <c r="D13" s="15" t="inlineStr">
        <is>
          <t>-</t>
        </is>
      </c>
      <c r="E13" s="16"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14">
      <c r="A14" s="13" t="inlineStr">
        <is>
          <t>1.0</t>
        </is>
      </c>
      <c r="B14" s="13" t="inlineStr">
        <is>
          <t>2026-08-13</t>
        </is>
      </c>
      <c r="C14" s="13" t="inlineStr">
        <is>
          <t>Claude Code</t>
        </is>
      </c>
      <c r="D14" s="13" t="inlineStr">
        <is>
          <t>APPROVED</t>
        </is>
      </c>
      <c r="E14" s="14"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15">
      <c r="A15" s="15" t="inlineStr">
        <is>
          <t>0.7</t>
        </is>
      </c>
      <c r="B15" s="15" t="inlineStr">
        <is>
          <t>2026-08-13</t>
        </is>
      </c>
      <c r="C15" s="15" t="inlineStr">
        <is>
          <t>Claude Code</t>
        </is>
      </c>
      <c r="D15" s="15" t="inlineStr">
        <is>
          <t>Superseded</t>
        </is>
      </c>
      <c r="E15"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16">
      <c r="A16" s="13" t="inlineStr">
        <is>
          <t>0.6</t>
        </is>
      </c>
      <c r="B16" s="13" t="inlineStr">
        <is>
          <t>2026-08-13</t>
        </is>
      </c>
      <c r="C16" s="13" t="inlineStr">
        <is>
          <t>Claude Code</t>
        </is>
      </c>
      <c r="D16" s="13" t="inlineStr">
        <is>
          <t>Superseded</t>
        </is>
      </c>
      <c r="E16" s="14"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17">
      <c r="A17" s="15" t="inlineStr">
        <is>
          <t>0.5</t>
        </is>
      </c>
      <c r="B17" s="15" t="inlineStr">
        <is>
          <t>2026-08-13</t>
        </is>
      </c>
      <c r="C17" s="15" t="inlineStr">
        <is>
          <t>Claude Code</t>
        </is>
      </c>
      <c r="D17" s="15" t="inlineStr">
        <is>
          <t>Superseded</t>
        </is>
      </c>
      <c r="E17"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18">
      <c r="A18" s="13" t="inlineStr">
        <is>
          <t>0.4</t>
        </is>
      </c>
      <c r="B18" s="13" t="inlineStr">
        <is>
          <t>2026-08-13</t>
        </is>
      </c>
      <c r="C18" s="13" t="inlineStr">
        <is>
          <t>Claude Code</t>
        </is>
      </c>
      <c r="D18" s="13" t="inlineStr">
        <is>
          <t>Superseded</t>
        </is>
      </c>
      <c r="E18" s="14"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19">
      <c r="A19" s="15" t="inlineStr">
        <is>
          <t>0.3</t>
        </is>
      </c>
      <c r="B19" s="15" t="inlineStr">
        <is>
          <t>2026-08-13</t>
        </is>
      </c>
      <c r="C19" s="15" t="inlineStr">
        <is>
          <t>Claude Code</t>
        </is>
      </c>
      <c r="D19" s="15" t="inlineStr">
        <is>
          <t>Superseded</t>
        </is>
      </c>
      <c r="E19"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20">
      <c r="A20" s="13" t="inlineStr">
        <is>
          <t>0.2</t>
        </is>
      </c>
      <c r="B20" s="13" t="inlineStr">
        <is>
          <t>2026-08-13</t>
        </is>
      </c>
      <c r="C20" s="13" t="inlineStr">
        <is>
          <t>Claude Code</t>
        </is>
      </c>
      <c r="D20" s="13" t="inlineStr">
        <is>
          <t>Superseded</t>
        </is>
      </c>
      <c r="E20" s="14"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21">
      <c r="A21" s="15" t="inlineStr">
        <is>
          <t>0.1</t>
        </is>
      </c>
      <c r="B21" s="15" t="inlineStr">
        <is>
          <t>2026-08-13</t>
        </is>
      </c>
      <c r="C21" s="15" t="inlineStr">
        <is>
          <t>Claude Code</t>
        </is>
      </c>
      <c r="D21" s="15" t="inlineStr">
        <is>
          <t>Superseded</t>
        </is>
      </c>
      <c r="E21"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23">
      <c r="A23" s="5" t="inlineStr">
        <is>
          <t>Numbering rules for this document line</t>
        </is>
      </c>
    </row>
    <row r="24" ht="28" customHeight="1">
      <c r="A24" s="10" t="inlineStr">
        <is>
          <t>Version</t>
        </is>
      </c>
      <c r="B24" s="10" t="inlineStr">
        <is>
          <t>Meaning</t>
        </is>
      </c>
    </row>
    <row r="25">
      <c r="A25" s="15" t="inlineStr">
        <is>
          <t>v0.x</t>
        </is>
      </c>
      <c r="B25" s="16" t="inlineStr">
        <is>
          <t>Draft issues during Step 1 review rounds.</t>
        </is>
      </c>
    </row>
    <row r="26">
      <c r="A26" s="13" t="inlineStr">
        <is>
          <t>v1.0</t>
        </is>
      </c>
      <c r="B26" s="14" t="inlineStr">
        <is>
          <t>The approved baseline, set at Gate N1.</t>
        </is>
      </c>
    </row>
    <row r="27">
      <c r="A27" s="15" t="inlineStr">
        <is>
          <t>v1.x</t>
        </is>
      </c>
      <c r="B27" s="16" t="inlineStr">
        <is>
          <t>Approved changes against that baseline, each separately approved.</t>
        </is>
      </c>
    </row>
    <row r="28">
      <c r="A28" s="13" t="inlineStr">
        <is>
          <t>v2.0</t>
        </is>
      </c>
      <c r="B28" s="14" t="inlineStr">
        <is>
          <t>Reserved for a structural change, on the same rule the web plan used.</t>
        </is>
      </c>
    </row>
    <row r="30">
      <c r="A30" s="8" t="inlineStr">
        <is>
          <t>Gate prefixes are N1..N5 throughout this document, so a reference such as 'G4' can never be confused between the two plans.</t>
        </is>
      </c>
    </row>
    <row r="31">
      <c r="A31" s="3" t="inlineStr">
        <is>
          <t>Legend</t>
        </is>
      </c>
    </row>
    <row r="32">
      <c r="A32" s="17" t="inlineStr">
        <is>
          <t>Green = new to the desktop application; nothing in the web application corresponds to it.</t>
        </is>
      </c>
    </row>
    <row r="33">
      <c r="A33" s="18" t="inlineStr">
        <is>
          <t>Orange = inherited from the web application but deliberately changed here.</t>
        </is>
      </c>
    </row>
    <row r="34">
      <c r="A34"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8"/>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20" t="inlineStr">
        <is>
          <t>NR-STO-06</t>
        </is>
      </c>
      <c r="B24" s="20" t="inlineStr">
        <is>
          <t>Storage</t>
        </is>
      </c>
      <c r="C24" s="21" t="inlineStr">
        <is>
          <t>The previous committed version of a workspace is retained and can be restored from within the application. The number retained is a setting; its default is ONE, so a workspace directory holds the current file and the one before it.</t>
        </is>
      </c>
      <c r="D24" s="20" t="inlineStr">
        <is>
          <t>Should</t>
        </is>
      </c>
      <c r="E24" s="21" t="inlineStr">
        <is>
          <t>Q-N07</t>
        </is>
      </c>
      <c r="F24" s="20"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20" t="inlineStr">
        <is>
          <t>NR-STO-10</t>
        </is>
      </c>
      <c r="B28" s="20" t="inlineStr">
        <is>
          <t>Storage</t>
        </is>
      </c>
      <c r="C28" s="21" t="inlineStr">
        <is>
          <t>While one session is editing a workspace, no other session may update it. The claim is made when the FIRST EDIT is attempted - not when the workspace is opened - so that reading is never blocked.</t>
        </is>
      </c>
      <c r="D28" s="20" t="inlineStr">
        <is>
          <t>Must</t>
        </is>
      </c>
      <c r="E28" s="21" t="inlineStr">
        <is>
          <t>Your instruction, round 3</t>
        </is>
      </c>
      <c r="F28" s="20" t="inlineStr">
        <is>
          <t>N4</t>
        </is>
      </c>
    </row>
    <row r="29">
      <c r="A29" s="20" t="inlineStr">
        <is>
          <t>NR-STO-11</t>
        </is>
      </c>
      <c r="B29" s="20" t="inlineStr">
        <is>
          <t>Storage</t>
        </is>
      </c>
      <c r="C29" s="21" t="inlineStr">
        <is>
          <t>Reading is a full working mode, not a refusal: every figure, table, graph, filter and export is available to a session that does not hold the claim. Only writing to that workspace is withheld.</t>
        </is>
      </c>
      <c r="D29" s="20" t="inlineStr">
        <is>
          <t>Must</t>
        </is>
      </c>
      <c r="E29" s="21" t="inlineStr">
        <is>
          <t>Consequence of NR-STO-10</t>
        </is>
      </c>
      <c r="F29" s="20" t="inlineStr">
        <is>
          <t>N4</t>
        </is>
      </c>
    </row>
    <row r="30">
      <c r="A30" s="20" t="inlineStr">
        <is>
          <t>NR-STO-12</t>
        </is>
      </c>
      <c r="B30" s="20" t="inlineStr">
        <is>
          <t>Storage</t>
        </is>
      </c>
      <c r="C30" s="21" t="inlineStr">
        <is>
          <t>A session refused the claim is shown a message naming who holds it, how to reach them, since when, whether their session is still responding, and when the plan becomes free - never merely that the file is locked.</t>
        </is>
      </c>
      <c r="D30" s="20" t="inlineStr">
        <is>
          <t>Must</t>
        </is>
      </c>
      <c r="E30" s="21" t="inlineStr">
        <is>
          <t>Q-N17</t>
        </is>
      </c>
      <c r="F30" s="20"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20" t="inlineStr">
        <is>
          <t>NR-STO-14</t>
        </is>
      </c>
      <c r="B32" s="20" t="inlineStr">
        <is>
          <t>Storage</t>
        </is>
      </c>
      <c r="C32" s="21" t="inlineStr">
        <is>
          <t>A holding session refreshes its claim every 30 seconds while it lives, so the application always knows whether the holder is alive. A claim that has stopped being refreshed expires after 30 MINUTES, after which anybody may take it over.</t>
        </is>
      </c>
      <c r="D32" s="20" t="inlineStr">
        <is>
          <t>Must</t>
        </is>
      </c>
      <c r="E32" s="21" t="inlineStr">
        <is>
          <t>Q-N16</t>
        </is>
      </c>
      <c r="F32" s="20"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20" t="inlineStr">
        <is>
          <t>NR-IMP-01</t>
        </is>
      </c>
      <c r="B38" s="20" t="inlineStr">
        <is>
          <t>Import / export</t>
        </is>
      </c>
      <c r="C38" s="21" t="inlineStr">
        <is>
          <t>Import reads the Excel source workbook and prap-source-data JSON exactly as the web application does, using the same reader and reporting the same findings.</t>
        </is>
      </c>
      <c r="D38" s="20" t="inlineStr">
        <is>
          <t>Must</t>
        </is>
      </c>
      <c r="E38" s="21" t="inlineStr">
        <is>
          <t>Replaces nothing - REQ-IMP-01 inherited</t>
        </is>
      </c>
      <c r="F38" s="20" t="inlineStr">
        <is>
          <t>N4</t>
        </is>
      </c>
    </row>
    <row r="39">
      <c r="A39" s="20" t="inlineStr">
        <is>
          <t>NR-IMP-02</t>
        </is>
      </c>
      <c r="B39" s="20" t="inlineStr">
        <is>
          <t>Import / export</t>
        </is>
      </c>
      <c r="C39" s="21"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20" t="inlineStr">
        <is>
          <t>Must</t>
        </is>
      </c>
      <c r="E39" s="21" t="inlineStr">
        <is>
          <t>Q-N05</t>
        </is>
      </c>
      <c r="F39" s="20" t="inlineStr">
        <is>
          <t>N4</t>
        </is>
      </c>
    </row>
    <row r="40">
      <c r="A40" s="20" t="inlineStr">
        <is>
          <t>NR-IMP-03</t>
        </is>
      </c>
      <c r="B40" s="20" t="inlineStr">
        <is>
          <t>Import / export</t>
        </is>
      </c>
      <c r="C40" s="21" t="inlineStr">
        <is>
          <t>Export to Excel and to JSON produces byte-for-byte the same content the web application would produce from the same data.</t>
        </is>
      </c>
      <c r="D40" s="20" t="inlineStr">
        <is>
          <t>Must</t>
        </is>
      </c>
      <c r="E40" s="21" t="inlineStr">
        <is>
          <t>Parity</t>
        </is>
      </c>
      <c r="F40" s="20"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NR-IMP-09</t>
        </is>
      </c>
      <c r="B44" s="11" t="inlineStr">
        <is>
          <t>Import / export</t>
        </is>
      </c>
      <c r="C44" s="12" t="inlineStr">
        <is>
          <t>Where a shell is built for a machine that blocks data entering a browser page, the page carries NO browser file interface at all: no file input, no drop handler, no File API call. The shell reads the chosen file and hands the bytes to the page. The web application's own picker is REMOVED at start-up rather than hidden, because a button that opens a dialog and then loses the file teaches its user that the application is broken.</t>
        </is>
      </c>
      <c r="D44" s="11" t="inlineStr">
        <is>
          <t>Must</t>
        </is>
      </c>
      <c r="E44" s="12" t="inlineStr">
        <is>
          <t>R-N21, C-N02</t>
        </is>
      </c>
      <c r="F44" s="11" t="inlineStr">
        <is>
          <t>N4</t>
        </is>
      </c>
    </row>
    <row r="45">
      <c r="A45" s="11" t="inlineStr">
        <is>
          <t>NR-DEP-16</t>
        </is>
      </c>
      <c r="B45" s="11" t="inlineStr">
        <is>
          <t>Deployment</t>
        </is>
      </c>
      <c r="C45" s="12" t="inlineStr">
        <is>
          <t>The Python shell needs a Python 3.9 or newer interpreter and NOTHING else: standard library only, no pip install, no download, no administrator rights. What is delivered is readable source text, so it can be reviewed before it is run.</t>
        </is>
      </c>
      <c r="D45" s="11" t="inlineStr">
        <is>
          <t>Must</t>
        </is>
      </c>
      <c r="E45" s="12" t="inlineStr">
        <is>
          <t>R-N20, C-N02</t>
        </is>
      </c>
      <c r="F45" s="11" t="inlineStr">
        <is>
          <t>N4</t>
        </is>
      </c>
    </row>
    <row r="46">
      <c r="A46" s="11" t="inlineStr">
        <is>
          <t>NR-IMP-08</t>
        </is>
      </c>
      <c r="B46" s="11" t="inlineStr">
        <is>
          <t>Import / export</t>
        </is>
      </c>
      <c r="C46"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6" s="11" t="inlineStr">
        <is>
          <t>Must</t>
        </is>
      </c>
      <c r="E46" s="12" t="inlineStr">
        <is>
          <t>Gate N3 review - C-N01</t>
        </is>
      </c>
      <c r="F46" s="11" t="inlineStr">
        <is>
          <t>N4</t>
        </is>
      </c>
    </row>
    <row r="47">
      <c r="A47" s="20" t="inlineStr">
        <is>
          <t>NR-IMP-04</t>
        </is>
      </c>
      <c r="B47" s="20" t="inlineStr">
        <is>
          <t>Import / export</t>
        </is>
      </c>
      <c r="C47" s="21" t="inlineStr">
        <is>
          <t>A workspace can be opened by dragging it onto the running application's window. Double-clicking a workspace file in Explorer does NOT open it, because a file association would require a registry entry that NR-DEP-06 forbids.</t>
        </is>
      </c>
      <c r="D47" s="20" t="inlineStr">
        <is>
          <t>Could</t>
        </is>
      </c>
      <c r="E47" s="21" t="inlineStr">
        <is>
          <t>Reduced by the non-installed rule</t>
        </is>
      </c>
      <c r="F47" s="20" t="inlineStr">
        <is>
          <t>N4</t>
        </is>
      </c>
    </row>
    <row r="48">
      <c r="A48" s="11" t="inlineStr">
        <is>
          <t>NR-USR-01</t>
        </is>
      </c>
      <c r="B48" s="11" t="inlineStr">
        <is>
          <t>User identity</t>
        </is>
      </c>
      <c r="C48" s="12" t="inlineStr">
        <is>
          <t>The application asks who the user is when it starts, before any workspace is opened, and carries that identity for the session.</t>
        </is>
      </c>
      <c r="D48" s="11" t="inlineStr">
        <is>
          <t>Must</t>
        </is>
      </c>
      <c r="E48" s="12" t="inlineStr">
        <is>
          <t>Q-N17</t>
        </is>
      </c>
      <c r="F48" s="11" t="inlineStr">
        <is>
          <t>N4</t>
        </is>
      </c>
    </row>
    <row r="49">
      <c r="A49" s="11" t="inlineStr">
        <is>
          <t>NR-USR-02</t>
        </is>
      </c>
      <c r="B49" s="11" t="inlineStr">
        <is>
          <t>User identity</t>
        </is>
      </c>
      <c r="C49" s="12" t="inlineStr">
        <is>
          <t>It asks in full only the first time. Afterwards it shows what it remembers, pre-filled, for the user to confirm with one click - and offers 'not me' for a shared PC.</t>
        </is>
      </c>
      <c r="D49" s="11" t="inlineStr">
        <is>
          <t>Must</t>
        </is>
      </c>
      <c r="E49" s="12" t="inlineStr">
        <is>
          <t>Q-N17, usability</t>
        </is>
      </c>
      <c r="F49" s="11" t="inlineStr">
        <is>
          <t>N4</t>
        </is>
      </c>
    </row>
    <row r="50">
      <c r="A50" s="11" t="inlineStr">
        <is>
          <t>NR-USR-03</t>
        </is>
      </c>
      <c r="B50" s="11" t="inlineStr">
        <is>
          <t>User identity</t>
        </is>
      </c>
      <c r="C50" s="12" t="inlineStr">
        <is>
          <t>The name is pre-filled from the Windows account name the first time, so the common case is confirming rather than typing. It stays editable - a Windows account name is often not how colleagues know each other.</t>
        </is>
      </c>
      <c r="D50" s="11" t="inlineStr">
        <is>
          <t>Should</t>
        </is>
      </c>
      <c r="E50" s="12" t="inlineStr">
        <is>
          <t>Q-N17</t>
        </is>
      </c>
      <c r="F50" s="11" t="inlineStr">
        <is>
          <t>N4</t>
        </is>
      </c>
    </row>
    <row r="51">
      <c r="A51" s="20" t="inlineStr">
        <is>
          <t>NR-USR-04</t>
        </is>
      </c>
      <c r="B51" s="20" t="inlineStr">
        <is>
          <t>User identity</t>
        </is>
      </c>
      <c r="C51" s="21" t="inlineStr">
        <is>
          <t>An identity is a name and a DEPARTMENT. Both are recorded; no e-mail, telephone or other field is collected. A name and a department are what a colleague needs to find somebody in the company directory.</t>
        </is>
      </c>
      <c r="D51" s="20" t="inlineStr">
        <is>
          <t>Must</t>
        </is>
      </c>
      <c r="E51" s="21" t="inlineStr">
        <is>
          <t>Q-N18</t>
        </is>
      </c>
      <c r="F51" s="20" t="inlineStr">
        <is>
          <t>N4</t>
        </is>
      </c>
    </row>
    <row r="52">
      <c r="A52" s="11" t="inlineStr">
        <is>
          <t>NR-USR-05</t>
        </is>
      </c>
      <c r="B52" s="11" t="inlineStr">
        <is>
          <t>User identity</t>
        </is>
      </c>
      <c r="C52" s="12" t="inlineStr">
        <is>
          <t>A claim carries the holder's name and contact details, so the message a blocked colleague sees can be acted on rather than merely read. Those details are removed with the claim.</t>
        </is>
      </c>
      <c r="D52" s="11" t="inlineStr">
        <is>
          <t>Must</t>
        </is>
      </c>
      <c r="E52" s="12" t="inlineStr">
        <is>
          <t>Q-N17 - contact</t>
        </is>
      </c>
      <c r="F52" s="11" t="inlineStr">
        <is>
          <t>N4</t>
        </is>
      </c>
    </row>
    <row r="53">
      <c r="A53" s="20" t="inlineStr">
        <is>
          <t>NR-USR-06</t>
        </is>
      </c>
      <c r="B53" s="20" t="inlineStr">
        <is>
          <t>User identity</t>
        </is>
      </c>
      <c r="C53" s="21" t="inlineStr">
        <is>
          <t>The blocked message shows the holder's name and department together, and offers to copy them, so a colleague can look them up or ask their department without writing anything down.</t>
        </is>
      </c>
      <c r="D53" s="20" t="inlineStr">
        <is>
          <t>Should</t>
        </is>
      </c>
      <c r="E53" s="21" t="inlineStr">
        <is>
          <t>Q-N18</t>
        </is>
      </c>
      <c r="F53" s="20" t="inlineStr">
        <is>
          <t>N4</t>
        </is>
      </c>
    </row>
    <row r="54">
      <c r="A54" s="20" t="inlineStr">
        <is>
          <t>NR-USR-07</t>
        </is>
      </c>
      <c r="B54" s="20" t="inlineStr">
        <is>
          <t>User identity</t>
        </is>
      </c>
      <c r="C54" s="21" t="inlineStr">
        <is>
          <t>A workspace records who last saved it - name and department - and when, shown when it is opened. On a shared plan, knowing whose figures these are matters as much as knowing when they were made.</t>
        </is>
      </c>
      <c r="D54" s="20" t="inlineStr">
        <is>
          <t>Should</t>
        </is>
      </c>
      <c r="E54" s="21" t="inlineStr">
        <is>
          <t>Follows from having identities</t>
        </is>
      </c>
      <c r="F54" s="20" t="inlineStr">
        <is>
          <t>N4</t>
        </is>
      </c>
    </row>
    <row r="55">
      <c r="A55" s="11" t="inlineStr">
        <is>
          <t>NR-USR-08</t>
        </is>
      </c>
      <c r="B55" s="11" t="inlineStr">
        <is>
          <t>User identity</t>
        </is>
      </c>
      <c r="C55" s="12" t="inlineStr">
        <is>
          <t>This identity is DECLARED, not verified. The application states as much where it is entered, and nothing in it is treated as proof of who acted.</t>
        </is>
      </c>
      <c r="D55" s="11" t="inlineStr">
        <is>
          <t>Must</t>
        </is>
      </c>
      <c r="E55" s="12" t="inlineStr">
        <is>
          <t>Honesty about what it is</t>
        </is>
      </c>
      <c r="F55" s="11" t="inlineStr">
        <is>
          <t>N2</t>
        </is>
      </c>
    </row>
    <row r="56">
      <c r="A56" s="11" t="inlineStr">
        <is>
          <t>NR-USR-09</t>
        </is>
      </c>
      <c r="B56" s="11" t="inlineStr">
        <is>
          <t>User identity</t>
        </is>
      </c>
      <c r="C56" s="12" t="inlineStr">
        <is>
          <t>Identity is held per user in their own data folder, never in the shared application folder, so two people on one copy do not overwrite each other's details.</t>
        </is>
      </c>
      <c r="D56" s="11" t="inlineStr">
        <is>
          <t>Must</t>
        </is>
      </c>
      <c r="E56" s="12" t="inlineStr">
        <is>
          <t>NR-DEP-11</t>
        </is>
      </c>
      <c r="F56" s="11" t="inlineStr">
        <is>
          <t>N4</t>
        </is>
      </c>
    </row>
    <row r="57">
      <c r="A57" s="11" t="inlineStr">
        <is>
          <t>NR-USR-10</t>
        </is>
      </c>
      <c r="B57" s="11" t="inlineStr">
        <is>
          <t>User identity</t>
        </is>
      </c>
      <c r="C57"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7" s="11" t="inlineStr">
        <is>
          <t>Should</t>
        </is>
      </c>
      <c r="E57" s="12" t="inlineStr">
        <is>
          <t>Q-N18, Person.department</t>
        </is>
      </c>
      <c r="F57" s="11" t="inlineStr">
        <is>
          <t>N4</t>
        </is>
      </c>
    </row>
    <row r="58">
      <c r="A58" s="11" t="inlineStr">
        <is>
          <t>NR-USR-11</t>
        </is>
      </c>
      <c r="B58" s="11" t="inlineStr">
        <is>
          <t>User identity</t>
        </is>
      </c>
      <c r="C58" s="12" t="inlineStr">
        <is>
          <t>Where the declared name matches a person in the open workspace, that person's department is offered first. The user is usually one of the people in the plan, so their own record is the best answer available.</t>
        </is>
      </c>
      <c r="D58" s="11" t="inlineStr">
        <is>
          <t>Could</t>
        </is>
      </c>
      <c r="E58" s="12" t="inlineStr">
        <is>
          <t>Q-N18</t>
        </is>
      </c>
      <c r="F58" s="11" t="inlineStr">
        <is>
          <t>N4</t>
        </is>
      </c>
    </row>
    <row r="59">
      <c r="A59" s="11" t="inlineStr">
        <is>
          <t>NR-PAR-01</t>
        </is>
      </c>
      <c r="B59" s="11" t="inlineStr">
        <is>
          <t>Parity</t>
        </is>
      </c>
      <c r="C59" s="12" t="inlineStr">
        <is>
          <t>The calculation engine, the validation rules and the period derivation are ONE implementation shared by both applications, not two copies kept in step by hand.</t>
        </is>
      </c>
      <c r="D59" s="11" t="inlineStr">
        <is>
          <t>Must</t>
        </is>
      </c>
      <c r="E59" s="12" t="inlineStr">
        <is>
          <t>Your instruction to keep both</t>
        </is>
      </c>
      <c r="F59" s="11" t="inlineStr">
        <is>
          <t>N2</t>
        </is>
      </c>
    </row>
    <row r="60">
      <c r="A60" s="11" t="inlineStr">
        <is>
          <t>NR-PAR-02</t>
        </is>
      </c>
      <c r="B60" s="11" t="inlineStr">
        <is>
          <t>Parity</t>
        </is>
      </c>
      <c r="C60" s="12" t="inlineStr">
        <is>
          <t>Given identical input, both applications produce identical figures, identical findings and identical exports. This is proven by an automated test, not asserted.</t>
        </is>
      </c>
      <c r="D60" s="11" t="inlineStr">
        <is>
          <t>Must</t>
        </is>
      </c>
      <c r="E60" s="12" t="inlineStr">
        <is>
          <t>Derived from NR-PAR-01</t>
        </is>
      </c>
      <c r="F60" s="11" t="inlineStr">
        <is>
          <t>N4</t>
        </is>
      </c>
    </row>
    <row r="61">
      <c r="A61" s="11" t="inlineStr">
        <is>
          <t>NR-PAR-03</t>
        </is>
      </c>
      <c r="B61" s="11" t="inlineStr">
        <is>
          <t>Parity</t>
        </is>
      </c>
      <c r="C61" s="12" t="inlineStr">
        <is>
          <t>The HTML application continues to be built from the shared engine and its behaviour is unchanged by the refactor, proven by the existing 13 suites passing unmodified.</t>
        </is>
      </c>
      <c r="D61" s="11" t="inlineStr">
        <is>
          <t>Must</t>
        </is>
      </c>
      <c r="E61" s="12" t="inlineStr">
        <is>
          <t>Protects the finished product</t>
        </is>
      </c>
      <c r="F61" s="11" t="inlineStr">
        <is>
          <t>N2</t>
        </is>
      </c>
    </row>
    <row r="62">
      <c r="A62" s="11" t="inlineStr">
        <is>
          <t>NR-PAR-04</t>
        </is>
      </c>
      <c r="B62" s="11" t="inlineStr">
        <is>
          <t>Parity</t>
        </is>
      </c>
      <c r="C62" s="12" t="inlineStr">
        <is>
          <t>Screen layout, wording and interaction match the web application except where a desktop convention requires otherwise, and every such difference is listed.</t>
        </is>
      </c>
      <c r="D62" s="11" t="inlineStr">
        <is>
          <t>Should</t>
        </is>
      </c>
      <c r="E62" s="12" t="inlineStr">
        <is>
          <t>Two tools, one habit</t>
        </is>
      </c>
      <c r="F62" s="11" t="inlineStr">
        <is>
          <t>N3</t>
        </is>
      </c>
    </row>
    <row r="63">
      <c r="A63" s="20" t="inlineStr">
        <is>
          <t>NR-DEP-01</t>
        </is>
      </c>
      <c r="B63" s="20" t="inlineStr">
        <is>
          <t>Deployment</t>
        </is>
      </c>
      <c r="C63" s="21" t="inlineStr">
        <is>
          <t>The application runs on Windows 10 and Windows 11, 64-bit. No other operating system is supported or tested.</t>
        </is>
      </c>
      <c r="D63" s="20" t="inlineStr">
        <is>
          <t>Must</t>
        </is>
      </c>
      <c r="E63" s="21" t="inlineStr">
        <is>
          <t>Your instruction</t>
        </is>
      </c>
      <c r="F63" s="20" t="inlineStr">
        <is>
          <t>N5</t>
        </is>
      </c>
    </row>
    <row r="64">
      <c r="A64" s="20" t="inlineStr">
        <is>
          <t>NR-DEP-02</t>
        </is>
      </c>
      <c r="B64" s="20" t="inlineStr">
        <is>
          <t>Deployment</t>
        </is>
      </c>
      <c r="C64" s="21" t="inlineStr">
        <is>
          <t>There is NO INSTALLER. The application is a folder that is copied to wherever the user wants it and run from there. It requires no administrator rights, at any point, for any purpose.</t>
        </is>
      </c>
      <c r="D64" s="20" t="inlineStr">
        <is>
          <t>Must</t>
        </is>
      </c>
      <c r="E64" s="21" t="inlineStr">
        <is>
          <t>Your instruction</t>
        </is>
      </c>
      <c r="F64" s="20" t="inlineStr">
        <is>
          <t>N5</t>
        </is>
      </c>
    </row>
    <row r="65">
      <c r="A65" s="20" t="inlineStr">
        <is>
          <t>NR-DEP-03</t>
        </is>
      </c>
      <c r="B65" s="20" t="inlineStr">
        <is>
          <t>Deployment</t>
        </is>
      </c>
      <c r="C65" s="21" t="inlineStr">
        <is>
          <t>Updating means replacing the application files inside that folder. No workspace, setting or recent-file entry is touched by an update, and a workspace written by an older version opens in a newer one.</t>
        </is>
      </c>
      <c r="D65" s="20" t="inlineStr">
        <is>
          <t>Must</t>
        </is>
      </c>
      <c r="E65" s="21" t="inlineStr">
        <is>
          <t>Data safety</t>
        </is>
      </c>
      <c r="F65" s="20" t="inlineStr">
        <is>
          <t>N5</t>
        </is>
      </c>
    </row>
    <row r="66">
      <c r="A66" s="11" t="inlineStr">
        <is>
          <t>NR-DEP-04</t>
        </is>
      </c>
      <c r="B66" s="11" t="inlineStr">
        <is>
          <t>Deployment</t>
        </is>
      </c>
      <c r="C66" s="12" t="inlineStr">
        <is>
          <t>A workspace written by a NEWER version than the running one is refused with a clear message rather than partially read.</t>
        </is>
      </c>
      <c r="D66" s="11" t="inlineStr">
        <is>
          <t>Must</t>
        </is>
      </c>
      <c r="E66" s="12" t="inlineStr">
        <is>
          <t>Data safety</t>
        </is>
      </c>
      <c r="F66" s="11" t="inlineStr">
        <is>
          <t>N4</t>
        </is>
      </c>
    </row>
    <row r="67">
      <c r="A67" s="11" t="inlineStr">
        <is>
          <t>NR-DEP-05</t>
        </is>
      </c>
      <c r="B67" s="11" t="inlineStr">
        <is>
          <t>Deployment</t>
        </is>
      </c>
      <c r="C67" s="12" t="inlineStr">
        <is>
          <t>The application folder is self-contained: it carries its own browser engine and every other dependency, and requires nothing to be present on the machine beyond Windows itself. Package size is not constrained.</t>
        </is>
      </c>
      <c r="D67" s="11" t="inlineStr">
        <is>
          <t>Must</t>
        </is>
      </c>
      <c r="E67" s="12" t="inlineStr">
        <is>
          <t>Your instruction</t>
        </is>
      </c>
      <c r="F67" s="11" t="inlineStr">
        <is>
          <t>N5</t>
        </is>
      </c>
    </row>
    <row r="68">
      <c r="A68" s="20" t="inlineStr">
        <is>
          <t>NR-DEP-06</t>
        </is>
      </c>
      <c r="B68" s="20" t="inlineStr">
        <is>
          <t>Deployment</t>
        </is>
      </c>
      <c r="C68"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8" s="20" t="inlineStr">
        <is>
          <t>Must</t>
        </is>
      </c>
      <c r="E68" s="21" t="inlineStr">
        <is>
          <t>Non-installed rule, amended for the shared folder</t>
        </is>
      </c>
      <c r="F68" s="20" t="inlineStr">
        <is>
          <t>N5</t>
        </is>
      </c>
    </row>
    <row r="69">
      <c r="A69" s="11" t="inlineStr">
        <is>
          <t>NR-DEP-07</t>
        </is>
      </c>
      <c r="B69" s="11" t="inlineStr">
        <is>
          <t>Deployment</t>
        </is>
      </c>
      <c r="C69" s="12" t="inlineStr">
        <is>
          <t>Deleting the folder removes the application completely, leaving no trace on the machine.</t>
        </is>
      </c>
      <c r="D69" s="11" t="inlineStr">
        <is>
          <t>Must</t>
        </is>
      </c>
      <c r="E69" s="12" t="inlineStr">
        <is>
          <t>Non-installed rule</t>
        </is>
      </c>
      <c r="F69" s="11" t="inlineStr">
        <is>
          <t>N5</t>
        </is>
      </c>
    </row>
    <row r="70">
      <c r="A70" s="11" t="inlineStr">
        <is>
          <t>NR-DEP-08</t>
        </is>
      </c>
      <c r="B70" s="11" t="inlineStr">
        <is>
          <t>Deployment</t>
        </is>
      </c>
      <c r="C70"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70" s="11" t="inlineStr">
        <is>
          <t>Must</t>
        </is>
      </c>
      <c r="E70" s="12" t="inlineStr">
        <is>
          <t>Non-installed rule</t>
        </is>
      </c>
      <c r="F70" s="11" t="inlineStr">
        <is>
          <t>N5</t>
        </is>
      </c>
    </row>
    <row r="71">
      <c r="A71" s="20" t="inlineStr">
        <is>
          <t>NR-DEP-09</t>
        </is>
      </c>
      <c r="B71" s="20" t="inlineStr">
        <is>
          <t>Deployment</t>
        </is>
      </c>
      <c r="C71" s="21" t="inlineStr">
        <is>
          <t>Where the application folder is read-only or shared - typically on a network folder - the application still runs, tells the user plainly that it cannot keep data beside itself, and keeps that data in a folder the user chooses instead.</t>
        </is>
      </c>
      <c r="D71" s="20" t="inlineStr">
        <is>
          <t>Must</t>
        </is>
      </c>
      <c r="E71" s="21" t="inlineStr">
        <is>
          <t>Raised from Should at round 2 - Q-N12</t>
        </is>
      </c>
      <c r="F71" s="20" t="inlineStr">
        <is>
          <t>N4</t>
        </is>
      </c>
    </row>
    <row r="72">
      <c r="A72" s="11" t="inlineStr">
        <is>
          <t>NR-DEP-10</t>
        </is>
      </c>
      <c r="B72" s="11" t="inlineStr">
        <is>
          <t>Deployment</t>
        </is>
      </c>
      <c r="C72"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2" s="11" t="inlineStr">
        <is>
          <t>Must</t>
        </is>
      </c>
      <c r="E72" s="12" t="inlineStr">
        <is>
          <t>Q-N12</t>
        </is>
      </c>
      <c r="F72" s="11" t="inlineStr">
        <is>
          <t>N4</t>
        </is>
      </c>
    </row>
    <row r="73">
      <c r="A73" s="11" t="inlineStr">
        <is>
          <t>NR-DEP-11</t>
        </is>
      </c>
      <c r="B73" s="11" t="inlineStr">
        <is>
          <t>Deployment</t>
        </is>
      </c>
      <c r="C73" s="12" t="inlineStr">
        <is>
          <t>Where several people run one shared copy, each has their own settings, recent list, backups and default workspace folder. No user can see, overwrite or lock out another through the application.</t>
        </is>
      </c>
      <c r="D73" s="11" t="inlineStr">
        <is>
          <t>Must</t>
        </is>
      </c>
      <c r="E73" s="12" t="inlineStr">
        <is>
          <t>Q-N12</t>
        </is>
      </c>
      <c r="F73" s="11" t="inlineStr">
        <is>
          <t>N4</t>
        </is>
      </c>
    </row>
    <row r="74">
      <c r="A74" s="11" t="inlineStr">
        <is>
          <t>NR-DEP-12</t>
        </is>
      </c>
      <c r="B74" s="11" t="inlineStr">
        <is>
          <t>Deployment</t>
        </is>
      </c>
      <c r="C74" s="12" t="inlineStr">
        <is>
          <t>The application can create a personal desktop shortcut, at the user's request, that carries their own --data path. This is how a shared copy is used day to day without being asked anything at launch.</t>
        </is>
      </c>
      <c r="D74" s="11" t="inlineStr">
        <is>
          <t>Should</t>
        </is>
      </c>
      <c r="E74" s="12" t="inlineStr">
        <is>
          <t>Q-N12</t>
        </is>
      </c>
      <c r="F74" s="11" t="inlineStr">
        <is>
          <t>N4</t>
        </is>
      </c>
    </row>
    <row r="75">
      <c r="A75" s="20" t="inlineStr">
        <is>
          <t>NR-DEP-13</t>
        </is>
      </c>
      <c r="B75" s="20" t="inlineStr">
        <is>
          <t>Deployment</t>
        </is>
      </c>
      <c r="C75" s="21" t="inlineStr">
        <is>
          <t>The application runs correctly when launched from a UNC path (\\server\share\PM_APP) as well as from a mapped drive letter.</t>
        </is>
      </c>
      <c r="D75" s="20" t="inlineStr">
        <is>
          <t>Must</t>
        </is>
      </c>
      <c r="E75" s="21" t="inlineStr">
        <is>
          <t>Q-N12</t>
        </is>
      </c>
      <c r="F75" s="20" t="inlineStr">
        <is>
          <t>N5</t>
        </is>
      </c>
    </row>
    <row r="76">
      <c r="A76" s="11" t="inlineStr">
        <is>
          <t>NR-DEP-14</t>
        </is>
      </c>
      <c r="B76" s="11" t="inlineStr">
        <is>
          <t>Deployment</t>
        </is>
      </c>
      <c r="C76" s="12" t="inlineStr">
        <is>
          <t>Both arrangements are supported and both are tested: run in place from the shared folder, and copied from it to a local folder and run there. Neither is a second-class case, and the user guide states what each costs in launch time.</t>
        </is>
      </c>
      <c r="D76" s="11" t="inlineStr">
        <is>
          <t>Must</t>
        </is>
      </c>
      <c r="E76" s="12" t="inlineStr">
        <is>
          <t>Q-N14</t>
        </is>
      </c>
      <c r="F76" s="11" t="inlineStr">
        <is>
          <t>N5</t>
        </is>
      </c>
    </row>
    <row r="77">
      <c r="A77" s="11" t="inlineStr">
        <is>
          <t>NR-DEP-15</t>
        </is>
      </c>
      <c r="B77" s="11" t="inlineStr">
        <is>
          <t>Deployment</t>
        </is>
      </c>
      <c r="C77" s="12" t="inlineStr">
        <is>
          <t>On a writable shared folder, each person's data folder sits under the application's own data folder, one per user. Nobody has to choose a location, and nobody's settings meet anybody else's.</t>
        </is>
      </c>
      <c r="D77" s="11" t="inlineStr">
        <is>
          <t>Should</t>
        </is>
      </c>
      <c r="E77" s="12" t="inlineStr">
        <is>
          <t>Q-N15</t>
        </is>
      </c>
      <c r="F77" s="11" t="inlineStr">
        <is>
          <t>N4</t>
        </is>
      </c>
    </row>
    <row r="78">
      <c r="A78" s="20" t="inlineStr">
        <is>
          <t>NR-SEC-01</t>
        </is>
      </c>
      <c r="B78" s="20" t="inlineStr">
        <is>
          <t>Security</t>
        </is>
      </c>
      <c r="C78" s="21" t="inlineStr">
        <is>
          <t>No telemetry, no crash reporting to any server, no automatic update check, no font or script loaded from a remote host, and NO OUTBOUND CONNECTION OF ANY KIND. AMENDED by change C-N02: the Python shell must LISTEN on 127.0.0.1, because that is how a browser and a local program talk to each other. Listening on loopback is permitted and specified at NR-SEC-04..06; connecting anywhere remains forbidden.</t>
        </is>
      </c>
      <c r="D78" s="20" t="inlineStr">
        <is>
          <t>Must</t>
        </is>
      </c>
      <c r="E78" s="21" t="inlineStr">
        <is>
          <t>Offline by requirement; C-N02</t>
        </is>
      </c>
      <c r="F78" s="20" t="inlineStr">
        <is>
          <t>N5</t>
        </is>
      </c>
    </row>
    <row r="79">
      <c r="A79" s="11" t="inlineStr">
        <is>
          <t>NR-SEC-02</t>
        </is>
      </c>
      <c r="B79" s="11" t="inlineStr">
        <is>
          <t>Security</t>
        </is>
      </c>
      <c r="C79" s="12" t="inlineStr">
        <is>
          <t>The embedded browser engine runs with remote content disabled and Node integration off in the renderer, so a crafted workspace file cannot execute code.</t>
        </is>
      </c>
      <c r="D79" s="11" t="inlineStr">
        <is>
          <t>Must</t>
        </is>
      </c>
      <c r="E79" s="12" t="inlineStr">
        <is>
          <t>Standard hardening</t>
        </is>
      </c>
      <c r="F79" s="11" t="inlineStr">
        <is>
          <t>N4</t>
        </is>
      </c>
    </row>
    <row r="80">
      <c r="A80" s="11" t="inlineStr">
        <is>
          <t>NR-SEC-03</t>
        </is>
      </c>
      <c r="B80" s="11" t="inlineStr">
        <is>
          <t>Security</t>
        </is>
      </c>
      <c r="C80" s="12" t="inlineStr">
        <is>
          <t>Workspace files contain business data only - no credentials, no connection strings, nothing that would be sensitive if the file were mailed to a colleague.</t>
        </is>
      </c>
      <c r="D80" s="11" t="inlineStr">
        <is>
          <t>Must</t>
        </is>
      </c>
      <c r="E80" s="12" t="inlineStr">
        <is>
          <t>Data hygiene</t>
        </is>
      </c>
      <c r="F80" s="11" t="inlineStr">
        <is>
          <t>N2</t>
        </is>
      </c>
    </row>
    <row r="81">
      <c r="A81" s="11" t="inlineStr">
        <is>
          <t>NR-SEC-04</t>
        </is>
      </c>
      <c r="B81" s="11" t="inlineStr">
        <is>
          <t>Security</t>
        </is>
      </c>
      <c r="C81" s="12" t="inlineStr">
        <is>
          <t>Where a shell listens, it binds 127.0.0.1 only - never the network interface - on a port the operating system chooses at start. Nothing outside the machine can reach it, nothing is reserved, and Windows Firewall is never asked to allow anything.</t>
        </is>
      </c>
      <c r="D81" s="11" t="inlineStr">
        <is>
          <t>Must</t>
        </is>
      </c>
      <c r="E81" s="12" t="inlineStr">
        <is>
          <t>C-N02</t>
        </is>
      </c>
      <c r="F81" s="11" t="inlineStr">
        <is>
          <t>N4</t>
        </is>
      </c>
    </row>
    <row r="82">
      <c r="A82" s="11" t="inlineStr">
        <is>
          <t>NR-SEC-05</t>
        </is>
      </c>
      <c r="B82" s="11" t="inlineStr">
        <is>
          <t>Security</t>
        </is>
      </c>
      <c r="C82" s="12" t="inlineStr">
        <is>
          <t>Every request to that listener must carry a key generated at start-up and never written to disk; the Host header must be a loopback name; and any cross-site request is refused outright, with no CORS header ever sent. Another program on the machine cannot guess the key, and another web page cannot read it.</t>
        </is>
      </c>
      <c r="D82" s="11" t="inlineStr">
        <is>
          <t>Must</t>
        </is>
      </c>
      <c r="E82" s="12" t="inlineStr">
        <is>
          <t>C-N02</t>
        </is>
      </c>
      <c r="F82" s="11" t="inlineStr">
        <is>
          <t>N4</t>
        </is>
      </c>
    </row>
    <row r="83">
      <c r="A83" s="11" t="inlineStr">
        <is>
          <t>NR-SEC-06</t>
        </is>
      </c>
      <c r="B83" s="11" t="inlineStr">
        <is>
          <t>Security</t>
        </is>
      </c>
      <c r="C83" s="12" t="inlineStr">
        <is>
          <t>The listener serves one page and one operation list. No URL is ever mapped onto a path on disk, so there is no directory to escape from.</t>
        </is>
      </c>
      <c r="D83" s="11" t="inlineStr">
        <is>
          <t>Must</t>
        </is>
      </c>
      <c r="E83" s="12" t="inlineStr">
        <is>
          <t>C-N02</t>
        </is>
      </c>
      <c r="F83" s="11" t="inlineStr">
        <is>
          <t>N4</t>
        </is>
      </c>
    </row>
    <row r="84">
      <c r="A84" s="20" t="inlineStr">
        <is>
          <t>NR-NFR-01</t>
        </is>
      </c>
      <c r="B84" s="20" t="inlineStr">
        <is>
          <t>Performance</t>
        </is>
      </c>
      <c r="C84" s="21" t="inlineStr">
        <is>
          <t>Launch to a usable window in under 5 seconds from a local disk, and reopening the last workspace adds no more than 2 seconds on the volumes in A-N01. Launch from a network folder is measured and stated rather than promised - see R-N12.</t>
        </is>
      </c>
      <c r="D84" s="20" t="inlineStr">
        <is>
          <t>Should</t>
        </is>
      </c>
      <c r="E84" s="21" t="inlineStr">
        <is>
          <t>Usability</t>
        </is>
      </c>
      <c r="F84" s="20" t="inlineStr">
        <is>
          <t>N4</t>
        </is>
      </c>
    </row>
    <row r="85">
      <c r="A85" s="11" t="inlineStr">
        <is>
          <t>NR-NFR-02</t>
        </is>
      </c>
      <c r="B85" s="11" t="inlineStr">
        <is>
          <t>Performance</t>
        </is>
      </c>
      <c r="C85" s="12" t="inlineStr">
        <is>
          <t>A Save completes in under 1 second at those volumes, so autosave is never felt.</t>
        </is>
      </c>
      <c r="D85" s="11" t="inlineStr">
        <is>
          <t>Should</t>
        </is>
      </c>
      <c r="E85" s="12" t="inlineStr">
        <is>
          <t>Usability</t>
        </is>
      </c>
      <c r="F85" s="11" t="inlineStr">
        <is>
          <t>N4</t>
        </is>
      </c>
    </row>
    <row r="87">
      <c r="A87" s="5" t="inlineStr">
        <is>
          <t>Count</t>
        </is>
      </c>
    </row>
    <row r="88" ht="28" customHeight="1">
      <c r="A88" s="10" t="inlineStr">
        <is>
          <t>Measure</t>
        </is>
      </c>
      <c r="B88" s="10" t="inlineStr">
        <is>
          <t>Count</t>
        </is>
      </c>
    </row>
    <row r="89">
      <c r="A89" s="15" t="inlineStr">
        <is>
          <t>Total requirements</t>
        </is>
      </c>
      <c r="B89" s="15">
        <f>COUNTA(A11:A85)</f>
        <v/>
      </c>
    </row>
    <row r="90">
      <c r="A90" s="13" t="inlineStr">
        <is>
          <t>Must</t>
        </is>
      </c>
      <c r="B90" s="13">
        <f>COUNTIF(D11:D85,"Must")</f>
        <v/>
      </c>
    </row>
    <row r="91">
      <c r="A91" s="15" t="inlineStr">
        <is>
          <t>Should</t>
        </is>
      </c>
      <c r="B91" s="15">
        <f>COUNTIF(D11:D85,"Should")</f>
        <v/>
      </c>
    </row>
    <row r="92">
      <c r="A92" s="13" t="inlineStr">
        <is>
          <t>Could</t>
        </is>
      </c>
      <c r="B92" s="13">
        <f>COUNTIF(D11:D85,"Could")</f>
        <v/>
      </c>
    </row>
    <row r="94">
      <c r="A94" s="8" t="inlineStr">
        <is>
          <t>Please mark any requirement you disagree with in the Priority column, or strike it out. The register is the contract for Steps 2 to 5, exactly as sheet 03 of the web plan was.</t>
        </is>
      </c>
    </row>
    <row r="95">
      <c r="A95" s="3" t="inlineStr">
        <is>
          <t>Legend</t>
        </is>
      </c>
    </row>
    <row r="96">
      <c r="A96" s="17" t="inlineStr">
        <is>
          <t>Green = new to the desktop application; nothing in the web application corresponds to it.</t>
        </is>
      </c>
    </row>
    <row r="97">
      <c r="A97" s="18" t="inlineStr">
        <is>
          <t>Orange = inherited from the web application but deliberately changed here.</t>
        </is>
      </c>
    </row>
    <row r="98">
      <c r="A98" s="19" t="inlineStr">
        <is>
          <t>Yellow = needs your decision before the work can proceed.</t>
        </is>
      </c>
    </row>
  </sheetData>
  <dataValidations count="1">
    <dataValidation sqref="D11: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4" t="inlineStr">
        <is>
          <t>Workspaces default into data\workspaces\ but are not confined there.</t>
        </is>
      </c>
      <c r="B42" s="14"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4" t="inlineStr">
        <is>
          <t>If the application folder is read-only, data\ cannot be created.</t>
        </is>
      </c>
      <c r="B44" s="14"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3" t="inlineStr">
        <is>
          <t>2</t>
        </is>
      </c>
      <c r="B61" s="13" t="inlineStr">
        <is>
          <t>The PRAP_DATA environment variable</t>
        </is>
      </c>
      <c r="C61" s="14" t="inlineStr">
        <is>
          <t>For a site that wants to set it centrally, by login script or group policy.</t>
        </is>
      </c>
      <c r="D61" s="13"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3" t="inlineStr">
        <is>
          <t>4</t>
        </is>
      </c>
      <c r="B63" s="13" t="inlineStr">
        <is>
          <t>Ask the user, once</t>
        </is>
      </c>
      <c r="C63" s="14" t="inlineStr">
        <is>
          <t>Only where the folder is read-only after all. The answer is not written to a hidden file - the application offers to create a desktop shortcut carrying --data, so the choice lives somewhere the user can see, move and delete.</t>
        </is>
      </c>
      <c r="D63" s="13"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3" t="inlineStr">
        <is>
          <t>2</t>
        </is>
      </c>
      <c r="B73" s="14" t="inlineStr">
        <is>
          <t>Write it to a temporary file in the same directory, and flush it to the physical disk.</t>
        </is>
      </c>
      <c r="C73" s="14"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3" t="inlineStr">
        <is>
          <t>4</t>
        </is>
      </c>
      <c r="B75" s="14" t="inlineStr">
        <is>
          <t>Rename the temporary file over the workspace file.</t>
        </is>
      </c>
      <c r="C75" s="14"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3" t="inlineStr">
        <is>
          <t>Save</t>
        </is>
      </c>
      <c r="B84" s="14" t="inlineStr">
        <is>
          <t>Commits as today, then writes the workspace.</t>
        </is>
      </c>
      <c r="C84" s="14"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3" t="inlineStr">
        <is>
          <t>Merge by key, source wins</t>
        </is>
      </c>
      <c r="B99" s="14" t="inlineStr">
        <is>
          <t>Keeps rows the import does not mention.</t>
        </is>
      </c>
      <c r="C99" s="14" t="inlineStr">
        <is>
          <t>Silently changes rows you edited deliberately.</t>
        </is>
      </c>
      <c r="D99" s="13"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3" t="inlineStr">
        <is>
          <t>Refuse; require a new workspace</t>
        </is>
      </c>
      <c r="B101" s="14" t="inlineStr">
        <is>
          <t>Impossible to lose anything.</t>
        </is>
      </c>
      <c r="C101" s="14" t="inlineStr">
        <is>
          <t>Makes the ordinary case - refreshed project dates - painful.</t>
        </is>
      </c>
      <c r="D101" s="13"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7" t="inlineStr">
        <is>
          <t>Green = new to the desktop application; nothing in the web application corresponds to it.</t>
        </is>
      </c>
    </row>
    <row r="106">
      <c r="A106" s="18" t="inlineStr">
        <is>
          <t>Orange = inherited from the web application but deliberately changed here.</t>
        </is>
      </c>
    </row>
    <row r="107">
      <c r="A107"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3" t="inlineStr">
        <is>
          <t>EDITING</t>
        </is>
      </c>
      <c r="B19" s="14" t="inlineStr">
        <is>
          <t>This session holds the claim.</t>
        </is>
      </c>
      <c r="C19" s="14" t="inlineStr">
        <is>
          <t>Everything. This is the ordinary working state, identical to the single-user case.</t>
        </is>
      </c>
      <c r="D19" s="14"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3" t="inlineStr">
        <is>
          <t>STALE</t>
        </is>
      </c>
      <c r="B21" s="14" t="inlineStr">
        <is>
          <t>Somebody else has saved this workspace since this session read it.</t>
        </is>
      </c>
      <c r="C21" s="14" t="inlineStr">
        <is>
          <t>Everything READING allows, with a standing offer to reload. Editing from a stale view is refused until it reloads.</t>
        </is>
      </c>
      <c r="D21" s="14"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3" t="inlineStr">
        <is>
          <t>2</t>
        </is>
      </c>
      <c r="B29" s="14" t="inlineStr">
        <is>
          <t>The file records user name, machine name, process, the application version, and the time.</t>
        </is>
      </c>
      <c r="C29" s="14"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3" t="inlineStr">
        <is>
          <t>4</t>
        </is>
      </c>
      <c r="B31" s="14" t="inlineStr">
        <is>
          <t>A claim whose heartbeat has not moved for 30 MINUTES expires and may be taken over.</t>
        </is>
      </c>
      <c r="C31" s="14"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3" t="inlineStr">
        <is>
          <t>Holder silent - heartbeat older than 30 seconds</t>
        </is>
      </c>
      <c r="B48" s="14" t="inlineStr">
        <is>
          <t>"Kim Min-jun's session has not responded since 09:14. The plan becomes free at 09:44."</t>
        </is>
      </c>
      <c r="C48" s="14"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3" t="inlineStr">
        <is>
          <t>What is recorded</t>
        </is>
      </c>
      <c r="B61" s="14" t="inlineStr">
        <is>
          <t>A name and a DEPARTMENT. Nothing else - no e-mail, no telephone. A name and a department are what a colleague needs to find somebody in the company directory, and they are two fields people will actually fill in.</t>
        </is>
      </c>
      <c r="C61" s="13"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3" t="inlineStr">
        <is>
          <t>Where it is kept</t>
        </is>
      </c>
      <c r="B63" s="14" t="inlineStr">
        <is>
          <t>In the user's own data folder - never in the shared application folder, where two people would overwrite each other.</t>
        </is>
      </c>
      <c r="C63" s="13"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3" t="inlineStr">
        <is>
          <t>What a blocked colleague sees</t>
        </is>
      </c>
      <c r="B65" s="14"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3"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4" t="inlineStr">
        <is>
          <t>The holder discards their edits (Leave without change).</t>
        </is>
      </c>
      <c r="B74" s="14"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4" t="inlineStr">
        <is>
          <t>The holder's session dies without warning.</t>
        </is>
      </c>
      <c r="B76" s="14"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4" t="inlineStr">
        <is>
          <t>Merging two people's changes.</t>
        </is>
      </c>
      <c r="B83" s="14"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4" t="inlineStr">
        <is>
          <t>An operating-system lock.</t>
        </is>
      </c>
      <c r="B85" s="14"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7" t="inlineStr">
        <is>
          <t>Green = new to the desktop application; nothing in the web application corresponds to it.</t>
        </is>
      </c>
    </row>
    <row r="90">
      <c r="A90" s="18" t="inlineStr">
        <is>
          <t>Orange = inherited from the web application but deliberately changed here.</t>
        </is>
      </c>
    </row>
    <row r="91">
      <c r="A91" s="19"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3" t="inlineStr">
        <is>
          <t>N-04</t>
        </is>
      </c>
      <c r="B8" s="14" t="inlineStr">
        <is>
          <t>Many workspaces, chosen by the user, with a recent list.</t>
        </is>
      </c>
      <c r="C8" s="14"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3" t="inlineStr">
        <is>
          <t>N-20</t>
        </is>
      </c>
      <c r="B24" s="14" t="inlineStr">
        <is>
          <t>The claim covers the whole workspace, not a row or a section.</t>
        </is>
      </c>
      <c r="C24" s="14"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3" t="inlineStr">
        <is>
          <t>N-22</t>
        </is>
      </c>
      <c r="B26" s="14" t="inlineStr">
        <is>
          <t>Saving keeps the claim; only closing or discarding releases it.</t>
        </is>
      </c>
      <c r="C26" s="14"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3" t="inlineStr">
        <is>
          <t>N-24</t>
        </is>
      </c>
      <c r="B28" s="14" t="inlineStr">
        <is>
          <t>A user may reclaim their own stalled claim immediately, without waiting out the expiry.</t>
        </is>
      </c>
      <c r="C28" s="14"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3" t="inlineStr">
        <is>
          <t>N-26</t>
        </is>
      </c>
      <c r="B30" s="14" t="inlineStr">
        <is>
          <t>The name is pre-filled from the Windows account but stays editable.</t>
        </is>
      </c>
      <c r="C30" s="14"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3" t="inlineStr">
        <is>
          <t>N-28</t>
        </is>
      </c>
      <c r="B32" s="14" t="inlineStr">
        <is>
          <t>An identity is a name and a department, and nothing else.</t>
        </is>
      </c>
      <c r="C32" s="14"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3" t="inlineStr">
        <is>
          <t>N-30</t>
        </is>
      </c>
      <c r="B34" s="14" t="inlineStr">
        <is>
          <t>One previous version of a workspace is retained, and it is a setting rather than a constant.</t>
        </is>
      </c>
      <c r="C34" s="14"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3" t="inlineStr">
        <is>
          <t>N-32</t>
        </is>
      </c>
      <c r="B36" s="14" t="inlineStr">
        <is>
          <t>The application never encrypts anything itself; where files must be protected, the company's own protection is applied to the folder.</t>
        </is>
      </c>
      <c r="C36" s="14"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PRAP_NewApp_Development_Plan_v1.9.xlsx</t>
        </is>
      </c>
      <c r="E5" s="15" t="inlineStr">
        <is>
          <t>Complete - issued for review</t>
        </is>
      </c>
    </row>
    <row r="6">
      <c r="A6" s="13" t="inlineStr">
        <is>
          <t>N1</t>
        </is>
      </c>
      <c r="B6" s="13" t="inlineStr">
        <is>
          <t>N1.2</t>
        </is>
      </c>
      <c r="C6" s="14" t="inlineStr">
        <is>
          <t>Requester reviews across six rounds; all 18 questions answered.</t>
        </is>
      </c>
      <c r="D6" s="14" t="inlineStr">
        <is>
          <t>v0.6_reviewed mark-up</t>
        </is>
      </c>
      <c r="E6" s="13"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3" t="inlineStr">
        <is>
          <t>N1</t>
        </is>
      </c>
      <c r="B8" s="13" t="inlineStr">
        <is>
          <t>GN1</t>
        </is>
      </c>
      <c r="C8" s="14" t="inlineStr">
        <is>
          <t>GATE N1 CLOSED - approved by direction 2026-08-13. Decisions N-01..N-32 confirmed. Step N2 authorised.</t>
        </is>
      </c>
      <c r="D8" s="14" t="inlineStr">
        <is>
          <t>Plan v1.0</t>
        </is>
      </c>
      <c r="E8" s="13"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3" t="inlineStr">
        <is>
          <t>N2</t>
        </is>
      </c>
      <c r="B10" s="13" t="inlineStr">
        <is>
          <t>N2.2</t>
        </is>
      </c>
      <c r="C10" s="14" t="inlineStr">
        <is>
          <t>Prove the refactor changed nothing: the rebuilt file is byte-identical, and all 13 existing suites pass against it unmodified.</t>
        </is>
      </c>
      <c r="D10" s="14" t="inlineStr">
        <is>
          <t>tools/test_layers.py + suite run</t>
        </is>
      </c>
      <c r="E10" s="13"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3" t="inlineStr">
        <is>
          <t>N2</t>
        </is>
      </c>
      <c r="B12" s="13" t="inlineStr">
        <is>
          <t>N2.4</t>
        </is>
      </c>
      <c r="C12" s="14" t="inlineStr">
        <is>
          <t>Specify the desktop shell: window, menus, dialogs, recent files, drag-and-drop, About; and user identity.</t>
        </is>
      </c>
      <c r="D12" s="14" t="inlineStr">
        <is>
          <t>Specification sheets 05, 08</t>
        </is>
      </c>
      <c r="E12" s="13"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3" t="inlineStr">
        <is>
          <t>N2</t>
        </is>
      </c>
      <c r="B14" s="13" t="inlineStr">
        <is>
          <t>N2.6</t>
        </is>
      </c>
      <c r="C14" s="14" t="inlineStr">
        <is>
          <t>Specify the re-import difference report, the look-without-a-workspace path, and protected files.</t>
        </is>
      </c>
      <c r="D14" s="14" t="inlineStr">
        <is>
          <t>Specification sheet 09</t>
        </is>
      </c>
      <c r="E14" s="13"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3" t="inlineStr">
        <is>
          <t>N2</t>
        </is>
      </c>
      <c r="B16" s="13" t="inlineStr">
        <is>
          <t>N2.8</t>
        </is>
      </c>
      <c r="C16" s="14" t="inlineStr">
        <is>
          <t>Traceability matrix: every NR-id to a specification section, read from the plan rather than re-typed.</t>
        </is>
      </c>
      <c r="D16" s="14" t="inlineStr">
        <is>
          <t>Specification sheet 11</t>
        </is>
      </c>
      <c r="E16" s="13"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3" t="inlineStr">
        <is>
          <t>N3</t>
        </is>
      </c>
      <c r="B18" s="13" t="inlineStr">
        <is>
          <t>N3.1</t>
        </is>
      </c>
      <c r="C18" s="14" t="inlineStr">
        <is>
          <t>Desktop-specific UI design: eight screens, built as a clickable prototype; then the real application wrapped in the desktop chrome and loaded with the 62-project dummy dataset, so the figures and charts can be reviewed as they will be.</t>
        </is>
      </c>
      <c r="D18" s="14" t="inlineStr">
        <is>
          <t>app/PM_APP_Prototype_v0.2.html</t>
        </is>
      </c>
      <c r="E18" s="13"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3" t="inlineStr">
        <is>
          <t>N3</t>
        </is>
      </c>
      <c r="B20" s="13" t="inlineStr">
        <is>
          <t>N3.3</t>
        </is>
      </c>
      <c r="C20" s="14" t="inlineStr">
        <is>
          <t>Requester reviews the prototype and the component list.</t>
        </is>
      </c>
      <c r="D20" s="14" t="inlineStr">
        <is>
          <t>v0.2_reviewed mark-up</t>
        </is>
      </c>
      <c r="E20" s="13"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3" t="inlineStr">
        <is>
          <t>N4</t>
        </is>
      </c>
      <c r="B22" s="13" t="inlineStr">
        <is>
          <t>N4.1</t>
        </is>
      </c>
      <c r="C22" s="14" t="inlineStr">
        <is>
          <t>Desktop shell: application window, menu bar, native dialogs, window state.</t>
        </is>
      </c>
      <c r="D22" s="14" t="inlineStr">
        <is>
          <t>src/shell/desktop/main.js, preload.js, paths.js</t>
        </is>
      </c>
      <c r="E22" s="13"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3" t="inlineStr">
        <is>
          <t>N4</t>
        </is>
      </c>
      <c r="B24" s="13" t="inlineStr">
        <is>
          <t>N4.3</t>
        </is>
      </c>
      <c r="C24" s="14" t="inlineStr">
        <is>
          <t>Workspace lifecycle: new, open, save, save as, recent list, reopen last at launch.</t>
        </is>
      </c>
      <c r="D24" s="14" t="inlineStr">
        <is>
          <t>src/shell/desktop/main.js</t>
        </is>
      </c>
      <c r="E24" s="13"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3" t="inlineStr">
        <is>
          <t>N4</t>
        </is>
      </c>
      <c r="B26" s="13" t="inlineStr">
        <is>
          <t>N4.4b</t>
        </is>
      </c>
      <c r="C26" s="14" t="inlineStr">
        <is>
          <t>Data-location resolution, the About dialog that shows it, and the personal shortcut.</t>
        </is>
      </c>
      <c r="D26" s="14" t="inlineStr">
        <is>
          <t>src/shell/desktop/paths.js</t>
        </is>
      </c>
      <c r="E26" s="13"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3" t="inlineStr">
        <is>
          <t>N4</t>
        </is>
      </c>
      <c r="B28" s="13" t="inlineStr">
        <is>
          <t>N4.4d</t>
        </is>
      </c>
      <c r="C28" s="14" t="inlineStr">
        <is>
          <t>The four session states on screen: who holds the plan, the refusal that names them, the offer when it frees, and the staleness notice with its reload.</t>
        </is>
      </c>
      <c r="D28" s="14" t="inlineStr">
        <is>
          <t>ui/</t>
        </is>
      </c>
      <c r="E28" s="13"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3" t="inlineStr">
        <is>
          <t>N4</t>
        </is>
      </c>
      <c r="B30" s="13" t="inlineStr">
        <is>
          <t>N4.5</t>
        </is>
      </c>
      <c r="C30" s="14" t="inlineStr">
        <is>
          <t>Import into an occupied workspace: the difference view and the per-sheet decision.</t>
        </is>
      </c>
      <c r="D30" s="14" t="inlineStr">
        <is>
          <t>ui/</t>
        </is>
      </c>
      <c r="E30" s="13" t="inlineStr">
        <is>
          <t>Not started</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3" t="inlineStr">
        <is>
          <t>N4</t>
        </is>
      </c>
      <c r="B32" s="13" t="inlineStr">
        <is>
          <t>N4.7</t>
        </is>
      </c>
      <c r="C32" s="14" t="inlineStr">
        <is>
          <t>Persistence suite: save, close, relaunch, verify; kill mid-write, verify; recover pending edits.</t>
        </is>
      </c>
      <c r="D32" s="14" t="inlineStr">
        <is>
          <t>tools/test_persist.py</t>
        </is>
      </c>
      <c r="E32" s="13"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3" t="inlineStr">
        <is>
          <t>N4</t>
        </is>
      </c>
      <c r="B34" s="13" t="inlineStr">
        <is>
          <t>GN4</t>
        </is>
      </c>
      <c r="C34" s="14" t="inlineStr">
        <is>
          <t>GATE N4 - application functionally complete.</t>
        </is>
      </c>
      <c r="D34" s="14" t="inlineStr">
        <is>
          <t>Project Management APP v0.9</t>
        </is>
      </c>
      <c r="E34" s="13" t="inlineStr">
        <is>
          <t>Not started</t>
        </is>
      </c>
    </row>
    <row r="35">
      <c r="A35" s="15" t="inlineStr">
        <is>
          <t>N4a</t>
        </is>
      </c>
      <c r="B35" s="15" t="inlineStr">
        <is>
          <t>N4a.1</t>
        </is>
      </c>
      <c r="C35" s="16" t="inlineStr">
        <is>
          <t>Port the storage layer to Python: workspaces, atomic save, versions, journal, the write claim.</t>
        </is>
      </c>
      <c r="D35" s="16" t="inlineStr">
        <is>
          <t>src/storage/python/</t>
        </is>
      </c>
      <c r="E35" s="15" t="inlineStr">
        <is>
          <t>Complete - 80 checks, including 12 kills mid-save and 8 processes racing for one claim</t>
        </is>
      </c>
    </row>
    <row r="36">
      <c r="A36" s="13" t="inlineStr">
        <is>
          <t>N4a</t>
        </is>
      </c>
      <c r="B36" s="13" t="inlineStr">
        <is>
          <t>N4a.2</t>
        </is>
      </c>
      <c r="C36" s="14" t="inlineStr">
        <is>
          <t>The local server that replaces Electron's main process, with the six controls NR-SEC-04..06 require.</t>
        </is>
      </c>
      <c r="D36" s="14" t="inlineStr">
        <is>
          <t>src/shell/python/server.py</t>
        </is>
      </c>
      <c r="E36" s="13" t="inlineStr">
        <is>
          <t>Complete - 11 of the 42 end-to-end checks are the security ones</t>
        </is>
      </c>
    </row>
    <row r="37">
      <c r="A37" s="15" t="inlineStr">
        <is>
          <t>N4a</t>
        </is>
      </c>
      <c r="B37" s="15" t="inlineStr">
        <is>
          <t>N4a.3</t>
        </is>
      </c>
      <c r="C37" s="16" t="inlineStr">
        <is>
          <t>Choosing a file WITHOUT the browser: a native dialog where tkinter exists, a folder listing in the page where it does not.</t>
        </is>
      </c>
      <c r="D37" s="16" t="inlineStr">
        <is>
          <t>src/shell/python/files.py, bridge.js</t>
        </is>
      </c>
      <c r="E37" s="15" t="inlineStr">
        <is>
          <t>Complete - and the page carries no file input at all (NR-IMP-09)</t>
        </is>
      </c>
    </row>
    <row r="38">
      <c r="A38" s="13" t="inlineStr">
        <is>
          <t>N4a</t>
        </is>
      </c>
      <c r="B38" s="13" t="inlineStr">
        <is>
          <t>N4a.4</t>
        </is>
      </c>
      <c r="C38" s="14" t="inlineStr">
        <is>
          <t>The window chrome the Electron menu bar used to provide, drawn in the page.</t>
        </is>
      </c>
      <c r="D38" s="14" t="inlineStr">
        <is>
          <t>src/shell/python/chrome.html, chrome.css</t>
        </is>
      </c>
      <c r="E38" s="13" t="inlineStr">
        <is>
          <t>Complete</t>
        </is>
      </c>
    </row>
    <row r="39">
      <c r="A39" s="15" t="inlineStr">
        <is>
          <t>N4a</t>
        </is>
      </c>
      <c r="B39" s="15" t="inlineStr">
        <is>
          <t>N4a.5</t>
        </is>
      </c>
      <c r="C39" s="16" t="inlineStr">
        <is>
          <t>Build and package: one command, 107 KB of readable Python text.</t>
        </is>
      </c>
      <c r="D39" s="16" t="inlineStr">
        <is>
          <t>tools/build_python_app.py</t>
        </is>
      </c>
      <c r="E39" s="15" t="inlineStr">
        <is>
          <t>Complete - dist/PM_APP_python_v0.2.zip</t>
        </is>
      </c>
    </row>
    <row r="40">
      <c r="A40" s="13" t="inlineStr">
        <is>
          <t>N4a</t>
        </is>
      </c>
      <c r="B40" s="13" t="inlineStr">
        <is>
          <t>N4a.6</t>
        </is>
      </c>
      <c r="C40" s="14" t="inlineStr">
        <is>
          <t>Prove it is the same application: 1,225 person-months compared against the independent Python reference on every run.</t>
        </is>
      </c>
      <c r="D40" s="14" t="inlineStr">
        <is>
          <t>tools/test_python_app.py</t>
        </is>
      </c>
      <c r="E40" s="13" t="inlineStr">
        <is>
          <t>Complete - worst difference 0.00e+00</t>
        </is>
      </c>
    </row>
    <row r="41">
      <c r="A41" s="15" t="inlineStr">
        <is>
          <t>N4a</t>
        </is>
      </c>
      <c r="B41" s="15" t="inlineStr">
        <is>
          <t>N4a.7</t>
        </is>
      </c>
      <c r="C41" s="16" t="inlineStr">
        <is>
          <t>Requester runs it on the company laptop and reports what happened.</t>
        </is>
      </c>
      <c r="D41" s="16" t="inlineStr">
        <is>
          <t>Your result</t>
        </is>
      </c>
      <c r="E41" s="15" t="inlineStr">
        <is>
          <t>WAITING ON YOU</t>
        </is>
      </c>
    </row>
    <row r="42">
      <c r="A42" s="13" t="inlineStr">
        <is>
          <t>N4a</t>
        </is>
      </c>
      <c r="B42" s="13" t="inlineStr">
        <is>
          <t>GN4a</t>
        </is>
      </c>
      <c r="C42" s="14" t="inlineStr">
        <is>
          <t>GATE N4a - the Python shell arrives, starts, and reads a workbook on the target machine.</t>
        </is>
      </c>
      <c r="D42" s="14" t="inlineStr">
        <is>
          <t>PM_APP Python v0.2</t>
        </is>
      </c>
      <c r="E42" s="13" t="inlineStr">
        <is>
          <t>Not started</t>
        </is>
      </c>
    </row>
    <row r="43">
      <c r="A43" s="15" t="inlineStr">
        <is>
          <t>N5</t>
        </is>
      </c>
      <c r="B43" s="15" t="inlineStr">
        <is>
          <t>N5.1</t>
        </is>
      </c>
      <c r="C43" s="16" t="inlineStr">
        <is>
          <t>Package as a plain Windows folder delivered in a zip; verify it launches with no installation and no administrator rights.</t>
        </is>
      </c>
      <c r="D43" s="16" t="inlineStr">
        <is>
          <t>PM_APP_v&lt;ver&gt;.zip</t>
        </is>
      </c>
      <c r="E43" s="15" t="inlineStr">
        <is>
          <t>Not started</t>
        </is>
      </c>
    </row>
    <row r="44">
      <c r="A44" s="13" t="inlineStr">
        <is>
          <t>N5</t>
        </is>
      </c>
      <c r="B44" s="13" t="inlineStr">
        <is>
          <t>N5.2</t>
        </is>
      </c>
      <c r="C44" s="14" t="inlineStr">
        <is>
          <t>Verify no socket is opened, offline, for a full session (NR-SEC-01).</t>
        </is>
      </c>
      <c r="D44" s="14" t="inlineStr">
        <is>
          <t>Test evidence</t>
        </is>
      </c>
      <c r="E44" s="13" t="inlineStr">
        <is>
          <t>Not started</t>
        </is>
      </c>
    </row>
    <row r="45">
      <c r="A45" s="15" t="inlineStr">
        <is>
          <t>N5</t>
        </is>
      </c>
      <c r="B45" s="15" t="inlineStr">
        <is>
          <t>N5.3</t>
        </is>
      </c>
      <c r="C45" s="16" t="inlineStr">
        <is>
          <t>Portability suite: run the folder, then copy it to another path and another PC and run it again; verify the recent list and settings survive (NR-DEP-08).</t>
        </is>
      </c>
      <c r="D45" s="16" t="inlineStr">
        <is>
          <t>tools/test_portable.py</t>
        </is>
      </c>
      <c r="E45" s="15" t="inlineStr">
        <is>
          <t>Not started</t>
        </is>
      </c>
    </row>
    <row r="46">
      <c r="A46" s="13" t="inlineStr">
        <is>
          <t>N5</t>
        </is>
      </c>
      <c r="B46" s="13" t="inlineStr">
        <is>
          <t>N5.4</t>
        </is>
      </c>
      <c r="C46" s="14" t="inlineStr">
        <is>
          <t>Cleanliness check: record every file and registry key touched during a full session; verify nothing outside the application folder is written, and that deleting the folder leaves nothing behind (NR-DEP-06, NR-DEP-07).</t>
        </is>
      </c>
      <c r="D46" s="14" t="inlineStr">
        <is>
          <t>Test evidence</t>
        </is>
      </c>
      <c r="E46" s="13" t="inlineStr">
        <is>
          <t>Not started</t>
        </is>
      </c>
    </row>
    <row r="47">
      <c r="A47" s="15" t="inlineStr">
        <is>
          <t>N5</t>
        </is>
      </c>
      <c r="B47" s="15" t="inlineStr">
        <is>
          <t>N5.5</t>
        </is>
      </c>
      <c r="C47" s="16" t="inlineStr">
        <is>
          <t>Update check: extract a newer zip over an existing folder; verify workspaces, backups and settings are untouched (NR-DEP-03).</t>
        </is>
      </c>
      <c r="D47" s="16" t="inlineStr">
        <is>
          <t>Test evidence</t>
        </is>
      </c>
      <c r="E47" s="15" t="inlineStr">
        <is>
          <t>Not started</t>
        </is>
      </c>
    </row>
    <row r="48">
      <c r="A48" s="13" t="inlineStr">
        <is>
          <t>N5</t>
        </is>
      </c>
      <c r="B48" s="13" t="inlineStr">
        <is>
          <t>N5.6</t>
        </is>
      </c>
      <c r="C48" s="14" t="inlineStr">
        <is>
          <t>Awkward-location tests: a deeply nested path (R-N10), a read-only network folder (R-N11), and a UNC path (NR-DEP-13).</t>
        </is>
      </c>
      <c r="D48" s="14" t="inlineStr">
        <is>
          <t>Test evidence</t>
        </is>
      </c>
      <c r="E48" s="13" t="inlineStr">
        <is>
          <t>Not started</t>
        </is>
      </c>
    </row>
    <row r="49">
      <c r="A49" s="15" t="inlineStr">
        <is>
          <t>N5</t>
        </is>
      </c>
      <c r="B49" s="15" t="inlineStr">
        <is>
          <t>N5.6b</t>
        </is>
      </c>
      <c r="C49"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9" s="16" t="inlineStr">
        <is>
          <t>tools/test_shared.py</t>
        </is>
      </c>
      <c r="E49" s="15" t="inlineStr">
        <is>
          <t>Not started</t>
        </is>
      </c>
    </row>
    <row r="50">
      <c r="A50" s="13" t="inlineStr">
        <is>
          <t>N5</t>
        </is>
      </c>
      <c r="B50" s="13" t="inlineStr">
        <is>
          <t>N5.6c</t>
        </is>
      </c>
      <c r="C50" s="14" t="inlineStr">
        <is>
          <t>Measure launch time from a local disk and from a network folder, and state both in the user guide rather than promising one.</t>
        </is>
      </c>
      <c r="D50" s="14" t="inlineStr">
        <is>
          <t>Test evidence</t>
        </is>
      </c>
      <c r="E50" s="13" t="inlineStr">
        <is>
          <t>Not started</t>
        </is>
      </c>
    </row>
    <row r="51">
      <c r="A51" s="15" t="inlineStr">
        <is>
          <t>N5</t>
        </is>
      </c>
      <c r="B51" s="15" t="inlineStr">
        <is>
          <t>N5.7</t>
        </is>
      </c>
      <c r="C51" s="16" t="inlineStr">
        <is>
          <t>Run on a real company PC - the only place execution policy, SmartScreen and anti-virus can be judged.</t>
        </is>
      </c>
      <c r="D51" s="16" t="inlineStr">
        <is>
          <t>Test evidence</t>
        </is>
      </c>
      <c r="E51" s="15" t="inlineStr">
        <is>
          <t>Pending you</t>
        </is>
      </c>
    </row>
    <row r="52">
      <c r="A52" s="13" t="inlineStr">
        <is>
          <t>N5</t>
        </is>
      </c>
      <c r="B52" s="13" t="inlineStr">
        <is>
          <t>N5.8</t>
        </is>
      </c>
      <c r="C52" s="14" t="inlineStr">
        <is>
          <t>User guide: where to extract it, first launch and the SmartScreen prompt, workspaces, import and export, backup, updating, and what to do if it will not start.</t>
        </is>
      </c>
      <c r="D52" s="14" t="inlineStr">
        <is>
          <t>User guide</t>
        </is>
      </c>
      <c r="E52" s="13" t="inlineStr">
        <is>
          <t>Not started</t>
        </is>
      </c>
    </row>
    <row r="53">
      <c r="A53" s="15" t="inlineStr">
        <is>
          <t>N5</t>
        </is>
      </c>
      <c r="B53" s="15" t="inlineStr">
        <is>
          <t>N5.9</t>
        </is>
      </c>
      <c r="C53" s="16" t="inlineStr">
        <is>
          <t>Full pass over the traceability matrix; version alignment across both product lines.</t>
        </is>
      </c>
      <c r="D53" s="16" t="inlineStr">
        <is>
          <t>Traceability matrix</t>
        </is>
      </c>
      <c r="E53" s="15" t="inlineStr">
        <is>
          <t>Not started</t>
        </is>
      </c>
    </row>
    <row r="54">
      <c r="A54" s="13" t="inlineStr">
        <is>
          <t>N5</t>
        </is>
      </c>
      <c r="B54" s="13" t="inlineStr">
        <is>
          <t>GN5</t>
        </is>
      </c>
      <c r="C54" s="14" t="inlineStr">
        <is>
          <t>GATE N5 - release.</t>
        </is>
      </c>
      <c r="D54" s="14" t="inlineStr">
        <is>
          <t>Project Management APP v1.0 (PM_APP)</t>
        </is>
      </c>
      <c r="E54" s="13" t="inlineStr">
        <is>
          <t>Not started</t>
        </is>
      </c>
    </row>
    <row r="56">
      <c r="A56" s="5" t="inlineStr">
        <is>
          <t>Progress</t>
        </is>
      </c>
    </row>
    <row r="57" ht="28" customHeight="1">
      <c r="A57" s="10" t="inlineStr">
        <is>
          <t>Measure</t>
        </is>
      </c>
      <c r="B57" s="10" t="inlineStr">
        <is>
          <t>Count</t>
        </is>
      </c>
    </row>
    <row r="58">
      <c r="A58" s="15" t="inlineStr">
        <is>
          <t>Tasks total</t>
        </is>
      </c>
      <c r="B58" s="15">
        <f>COUNTA(B5:B54)</f>
        <v/>
      </c>
    </row>
    <row r="59">
      <c r="A59" s="13" t="inlineStr">
        <is>
          <t>Complete</t>
        </is>
      </c>
      <c r="B59" s="13">
        <f>COUNTIF(E5:E54,"Complete")+COUNTIF(E5:E54,"Complete - issued for review")</f>
        <v/>
      </c>
    </row>
    <row r="60">
      <c r="A60" s="15" t="inlineStr">
        <is>
          <t>Awaiting the requester</t>
        </is>
      </c>
      <c r="B60" s="15">
        <f>COUNTIF(E5:E54,"Pending you")</f>
        <v/>
      </c>
    </row>
    <row r="61">
      <c r="A61" s="13" t="inlineStr">
        <is>
          <t>Not started</t>
        </is>
      </c>
      <c r="B61" s="13">
        <f>COUNTIF(E5:E54,"Not started")</f>
        <v/>
      </c>
    </row>
    <row r="64">
      <c r="A6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20" t="inlineStr">
        <is>
          <t>Only one session can write</t>
        </is>
      </c>
      <c r="B18" s="21" t="inlineStr">
        <is>
          <t>Two sessions attempt the first edit together, many times over; verify exactly one is granted it and the other is told who holds it. Then verify a save is refused if the claim was displaced beneath it.</t>
        </is>
      </c>
      <c r="C18" s="20" t="inlineStr">
        <is>
          <t>NR-STO-10, NR-STO-13</t>
        </is>
      </c>
      <c r="D18" s="21"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20" t="inlineStr">
        <is>
          <t>A crash does not strand a plan</t>
        </is>
      </c>
      <c r="B20" s="21" t="inlineStr">
        <is>
          <t>Kill the holding session; verify the heartbeat stops within 30 seconds and is reported as silent, that the claim expires at 30 minutes and can then be taken over naming whose it was, and that the SAME user on the SAME machine can reclaim it at once.</t>
        </is>
      </c>
      <c r="C20" s="20" t="inlineStr">
        <is>
          <t>NR-STO-14, NR-STO-19, R-N13</t>
        </is>
      </c>
      <c r="D20" s="21" t="inlineStr">
        <is>
          <t>Automated, at N5.6b</t>
        </is>
      </c>
    </row>
    <row r="21">
      <c r="A21" s="20" t="inlineStr">
        <is>
          <t>A blocked colleague can act</t>
        </is>
      </c>
      <c r="B21" s="21" t="inlineStr">
        <is>
          <t>Block a session and verify the message names the holder and their department, says whether they are still responding and when the plan frees, and copies name and department on request.</t>
        </is>
      </c>
      <c r="C21" s="20" t="inlineStr">
        <is>
          <t>NR-STO-12, NR-USR-05, NR-USR-06</t>
        </is>
      </c>
      <c r="D21" s="21"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7" t="inlineStr">
        <is>
          <t>Green = new to the desktop application; nothing in the web application corresponds to it.</t>
        </is>
      </c>
    </row>
    <row r="37">
      <c r="A37" s="18" t="inlineStr">
        <is>
          <t>Orange = inherited from the web application but deliberately changed here.</t>
        </is>
      </c>
    </row>
    <row r="38">
      <c r="A38" s="19"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PM_APP_v&lt;ver&gt;.zip, extracting to a PM_APP\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Low</t>
        </is>
      </c>
      <c r="D5" s="20" t="inlineStr">
        <is>
          <t>HIGH</t>
        </is>
      </c>
      <c r="E5" s="21" t="inlineStr">
        <is>
          <t>LARGELY SETTLED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20" t="inlineStr">
        <is>
          <t>R-N10</t>
        </is>
      </c>
      <c r="B14" s="21" t="inlineStr">
        <is>
          <t>The application fails in a deeply nested folder because Windows path limits are exceeded.</t>
        </is>
      </c>
      <c r="C14" s="20" t="inlineStr">
        <is>
          <t>Low</t>
        </is>
      </c>
      <c r="D14" s="20" t="inlineStr">
        <is>
          <t>Medium</t>
        </is>
      </c>
      <c r="E14" s="21"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20" t="inlineStr">
        <is>
          <t>R-N13</t>
        </is>
      </c>
      <c r="B17" s="21" t="inlineStr">
        <is>
          <t>A crash leaves a workspace claimed, and nobody can edit it.</t>
        </is>
      </c>
      <c r="C17" s="20" t="inlineStr">
        <is>
          <t>Medium</t>
        </is>
      </c>
      <c r="D17" s="20" t="inlineStr">
        <is>
          <t>Low</t>
        </is>
      </c>
      <c r="E17" s="21"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20" t="inlineStr">
        <is>
          <t>R-N16</t>
        </is>
      </c>
      <c r="B19" s="21" t="inlineStr">
        <is>
          <t>A declared name is mistaken for a verified one, and somebody relies on the tool to say who did what.</t>
        </is>
      </c>
      <c r="C19" s="20" t="inlineStr">
        <is>
          <t>Low</t>
        </is>
      </c>
      <c r="D19" s="20" t="inlineStr">
        <is>
          <t>Low</t>
        </is>
      </c>
      <c r="E19" s="21"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1" t="inlineStr">
        <is>
          <t>R-N20</t>
        </is>
      </c>
      <c r="B20" s="12" t="inlineStr">
        <is>
          <t>The company will not let an executable ARRIVE, whatever its policy on running one.</t>
        </is>
      </c>
      <c r="C20" s="11" t="inlineStr">
        <is>
          <t>HIGH</t>
        </is>
      </c>
      <c r="D20" s="11" t="inlineStr">
        <is>
          <t>HIGH</t>
        </is>
      </c>
      <c r="E20" s="12" t="inlineStr">
        <is>
          <t>PROVEN 2026-08-15, and it is now the binding constraint.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R-N22</t>
        </is>
      </c>
      <c r="B21" s="12" t="inlineStr">
        <is>
          <t>The Python shell listens on a socket, and a listening socket on a company laptop is an attack surface.</t>
        </is>
      </c>
      <c r="C21" s="11" t="inlineStr">
        <is>
          <t>Low</t>
        </is>
      </c>
      <c r="D21" s="11" t="inlineStr">
        <is>
          <t>HIGH</t>
        </is>
      </c>
      <c r="E21" s="12" t="inlineStr">
        <is>
          <t>CREATED by change C-N02, and the honest price of route B: a browser and a local program can only talk over one. It is answered rather than accepted. Loopback only, so nothing off the machine can reach it and Windows Firewall is never asked for anything (NR-SEC-04). A port the operating system picks at start, so nothing is predictable. A 32-byte key on every request, generated at start and never written to disk - another program cannot guess it, and another web page cannot read it because same-origin policy keeps this page's DOM to itself (NR-SEC-05). The Host header must be loopback, which is what stops DNS rebinding. No CORS header is ever sent and any cross-site request is refused. No URL is mapped onto a path on disk, so there is nothing to escape from (NR-SEC-06). Every one of those is checked by tools/test_python_app.py on each run - eleven checks, before the application is even looked at.</t>
        </is>
      </c>
    </row>
    <row r="22">
      <c r="A22" s="11" t="inlineStr">
        <is>
          <t>R-N21</t>
        </is>
      </c>
      <c r="B22" s="12" t="inlineStr">
        <is>
          <t>Data cannot enter a browser page at all - the company blocks the file picker, so the web application cannot be given a file.</t>
        </is>
      </c>
      <c r="C22" s="11" t="inlineStr">
        <is>
          <t>HIGH</t>
        </is>
      </c>
      <c r="D22" s="11" t="inlineStr">
        <is>
          <t>HIGH</t>
        </is>
      </c>
      <c r="E22" s="12" t="inlineStr">
        <is>
          <t>PROVEN 2026-08-18, by diagnostic rather than by report.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3">
      <c r="A23" s="11" t="inlineStr">
        <is>
          <t>R-N18</t>
        </is>
      </c>
      <c r="B23" s="12" t="inlineStr">
        <is>
          <t>Company file protection encrypts a workbook or a workspace, and the application cannot read it.</t>
        </is>
      </c>
      <c r="C23" s="11" t="inlineStr">
        <is>
          <t>Medium</t>
        </is>
      </c>
      <c r="D23" s="11" t="inlineStr">
        <is>
          <t>Medium</t>
        </is>
      </c>
      <c r="E23"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4">
      <c r="A24" s="11" t="inlineStr">
        <is>
          <t>R-N19</t>
        </is>
      </c>
      <c r="B24" s="12" t="inlineStr">
        <is>
          <t>Two bad saves in a row leave nothing good to go back to.</t>
        </is>
      </c>
      <c r="C24" s="11" t="inlineStr">
        <is>
          <t>Low</t>
        </is>
      </c>
      <c r="D24" s="11" t="inlineStr">
        <is>
          <t>Medium</t>
        </is>
      </c>
      <c r="E24"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5">
      <c r="A25" s="11" t="inlineStr">
        <is>
          <t>R-N17</t>
        </is>
      </c>
      <c r="B25" s="12" t="inlineStr">
        <is>
          <t>A plan is stranded for up to 30 minutes after a crash, and somebody needs it now.</t>
        </is>
      </c>
      <c r="C25" s="11" t="inlineStr">
        <is>
          <t>Medium</t>
        </is>
      </c>
      <c r="D25" s="11" t="inlineStr">
        <is>
          <t>Low</t>
        </is>
      </c>
      <c r="E25"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6">
      <c r="A26" s="11" t="inlineStr">
        <is>
          <t>R-N15</t>
        </is>
      </c>
      <c r="B26" s="12" t="inlineStr">
        <is>
          <t>A blocked user takes a Save As copy, works in it, and the plan quietly forks in two.</t>
        </is>
      </c>
      <c r="C26" s="11" t="inlineStr">
        <is>
          <t>Medium</t>
        </is>
      </c>
      <c r="D26" s="11" t="inlineStr">
        <is>
          <t>Medium</t>
        </is>
      </c>
      <c r="E26"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8">
      <c r="A28" s="5" t="inlineStr">
        <is>
          <t>Code signing, in plain terms   [asked at Q-N03]</t>
        </is>
      </c>
    </row>
    <row r="29">
      <c r="A29" s="6" t="inlineStr">
        <is>
          <t>You asked what the purchase actually is. Here it is without the jargon.</t>
        </is>
      </c>
    </row>
    <row r="31" ht="28" customHeight="1">
      <c r="A31" s="10" t="inlineStr">
        <is>
          <t>Question</t>
        </is>
      </c>
      <c r="B31" s="10" t="inlineStr">
        <is>
          <t>Answer</t>
        </is>
      </c>
    </row>
    <row r="32">
      <c r="A32" s="15" t="inlineStr">
        <is>
          <t>What it is</t>
        </is>
      </c>
      <c r="B32" s="16" t="inlineStr">
        <is>
          <t>A digital seal applied to the .exe that says which ORGANISATION published it. Windows checks the seal when the file is run.</t>
        </is>
      </c>
    </row>
    <row r="33">
      <c r="A33" s="13" t="inlineStr">
        <is>
          <t>What happens without it</t>
        </is>
      </c>
      <c r="B33" s="14"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4">
      <c r="A34" s="15" t="inlineStr">
        <is>
          <t>What happens with it</t>
        </is>
      </c>
      <c r="B34" s="16" t="inlineStr">
        <is>
          <t>The warning names your company instead, and usually disappears entirely once the file has been seen a few times. Anti-virus is far less likely to quarantine it.</t>
        </is>
      </c>
    </row>
    <row r="35">
      <c r="A35" s="13" t="inlineStr">
        <is>
          <t>What is bought</t>
        </is>
      </c>
      <c r="B35" s="14"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6">
      <c r="A36" s="15" t="inlineStr">
        <is>
          <t>Why the COMPANY has to buy it</t>
        </is>
      </c>
      <c r="B36" s="16" t="inlineStr">
        <is>
          <t>The authority verifies the ORGANISATION exists before issuing - company registration documents, a verifiable telephone number, that sort of thing. An individual cannot buy a certificate in the company's name, which is the whole point of it.</t>
        </is>
      </c>
    </row>
    <row r="37">
      <c r="A37" s="13" t="inlineStr">
        <is>
          <t>What else it needs</t>
        </is>
      </c>
      <c r="B37" s="14" t="inlineStr">
        <is>
          <t>Industry rules now require the signing key to live on a hardware token or in a cloud signing service, so somebody has to hold that token and run the signing step when a new version is built.</t>
        </is>
      </c>
    </row>
    <row r="38">
      <c r="A38" s="15" t="inlineStr">
        <is>
          <t>Who would own it</t>
        </is>
      </c>
      <c r="B38" s="16" t="inlineStr">
        <is>
          <t>Whoever owns software distribution or endpoint security - IT or InfoSec. It is a procurement request, not a development task.</t>
        </is>
      </c>
    </row>
    <row r="39">
      <c r="A39" s="13" t="inlineStr">
        <is>
          <t>Is it needed?</t>
        </is>
      </c>
      <c r="B39" s="14"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1">
      <c r="A41"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3">
      <c r="A43" s="5" t="inlineStr">
        <is>
          <t>Assumptions</t>
        </is>
      </c>
    </row>
    <row r="44" ht="28" customHeight="1">
      <c r="A44" s="10" t="inlineStr">
        <is>
          <t>ID</t>
        </is>
      </c>
      <c r="B44" s="10" t="inlineStr">
        <is>
          <t>Assumption</t>
        </is>
      </c>
      <c r="C44" s="10" t="inlineStr">
        <is>
          <t>Status</t>
        </is>
      </c>
    </row>
    <row r="45">
      <c r="A45" s="15" t="inlineStr">
        <is>
          <t>A-N01</t>
        </is>
      </c>
      <c r="B45" s="16" t="inlineStr">
        <is>
          <t>Data volume stays as assumed by the web plan - up to about 100 projects and 1,000 people.</t>
        </is>
      </c>
      <c r="C45" s="15" t="inlineStr">
        <is>
          <t>Inherited, standing</t>
        </is>
      </c>
    </row>
    <row r="46">
      <c r="A46" s="20" t="inlineStr">
        <is>
          <t>A-N02</t>
        </is>
      </c>
      <c r="B46" s="21" t="inlineStr">
        <is>
          <t>Windows 10 or 11, 64-bit, is the only target. macOS and Linux are out of scope.</t>
        </is>
      </c>
      <c r="C46" s="20" t="inlineStr">
        <is>
          <t>CONFIRMED at review round 1</t>
        </is>
      </c>
    </row>
    <row r="47">
      <c r="A47" s="11" t="inlineStr">
        <is>
          <t>A-N08</t>
        </is>
      </c>
      <c r="B47" s="12" t="inlineStr">
        <is>
          <t>The application is never installed: it is copied as a folder and run in place, and the machine is unchanged by its presence.</t>
        </is>
      </c>
      <c r="C47" s="11" t="inlineStr">
        <is>
          <t>CONFIRMED at review round 1</t>
        </is>
      </c>
    </row>
    <row r="48">
      <c r="A48" s="20" t="inlineStr">
        <is>
          <t>A-N09</t>
        </is>
      </c>
      <c r="B48" s="21" t="inlineStr">
        <is>
          <t>The user can extract a zip and run an executable from their own folder, and nothing will later block or remove it.</t>
        </is>
      </c>
      <c r="C48" s="20" t="inlineStr">
        <is>
          <t>CONFIRMED IN PART 2026-08-15 - an unsigned .exe extracted from a zip ran on BOOK-R8USOPHQ11 and wrote beside itself. The clause about a LARGE package and anti-virus is still untested</t>
        </is>
      </c>
    </row>
    <row r="49">
      <c r="A49" s="11" t="inlineStr">
        <is>
          <t>A-N11</t>
        </is>
      </c>
      <c r="B49" s="12" t="inlineStr">
        <is>
          <t>No internal validation, qualification or record-keeping obligation applies to this tool.</t>
        </is>
      </c>
      <c r="C49" s="11" t="inlineStr">
        <is>
          <t>CONFIRMED at Q-N09</t>
        </is>
      </c>
    </row>
    <row r="50">
      <c r="A50" s="11" t="inlineStr">
        <is>
          <t>A-N12</t>
        </is>
      </c>
      <c r="B50" s="12" t="inlineStr">
        <is>
          <t>The shared folder, if used, is writable by the people using it.</t>
        </is>
      </c>
      <c r="C50" s="11" t="inlineStr">
        <is>
          <t>CONFIRMED at Q-N15</t>
        </is>
      </c>
    </row>
    <row r="51">
      <c r="A51" s="11" t="inlineStr">
        <is>
          <t>A-N10</t>
        </is>
      </c>
      <c r="B51" s="12" t="inlineStr">
        <is>
          <t>If a shared network folder is used, it is reachable whenever the application is needed. A plan kept only on an unreachable share cannot be opened.</t>
        </is>
      </c>
      <c r="C51" s="11" t="inlineStr">
        <is>
          <t>Standing - the user guide will recommend keeping working copies locally</t>
        </is>
      </c>
    </row>
    <row r="52">
      <c r="A52" s="11" t="inlineStr">
        <is>
          <t>A-N13</t>
        </is>
      </c>
      <c r="B52" s="12" t="inlineStr">
        <is>
          <t>Bulk editing outside the application is done by exporting, changing the file, and giving it to ONE person - the application's manager - who imports it. Every user does not import their own files.</t>
        </is>
      </c>
      <c r="C52" s="11" t="inlineStr">
        <is>
          <t>CONFIRMED at the Gate N3 review</t>
        </is>
      </c>
    </row>
    <row r="53">
      <c r="A53" s="20" t="inlineStr">
        <is>
          <t>A-N03</t>
        </is>
      </c>
      <c r="B53" s="21" t="inlineStr">
        <is>
          <t>One person works on a given workspace at a time - but the application no longer RELIES on it, because a shared folder makes it unsafe to assume.</t>
        </is>
      </c>
      <c r="C53" s="20" t="inlineStr">
        <is>
          <t>WITHDRAWN as an assumption at round 2; enforced by NR-STO-10 instead</t>
        </is>
      </c>
    </row>
    <row r="54">
      <c r="A54" s="13" t="inlineStr">
        <is>
          <t>A-N04</t>
        </is>
      </c>
      <c r="B54" s="14" t="inlineStr">
        <is>
          <t>Package size is unconstrained.</t>
        </is>
      </c>
      <c r="C54" s="13" t="inlineStr">
        <is>
          <t>CONFIRMED by your instruction, 2026-08-13</t>
        </is>
      </c>
    </row>
    <row r="55">
      <c r="A55" s="15" t="inlineStr">
        <is>
          <t>A-N05</t>
        </is>
      </c>
      <c r="B55" s="16" t="inlineStr">
        <is>
          <t>Both applications remain in service indefinitely; neither is a migration path away from the other.</t>
        </is>
      </c>
      <c r="C55" s="15" t="inlineStr">
        <is>
          <t>CONFIRMED by your instruction, 2026-08-13</t>
        </is>
      </c>
    </row>
    <row r="56">
      <c r="A56" s="13" t="inlineStr">
        <is>
          <t>A-N06</t>
        </is>
      </c>
      <c r="B56" s="14" t="inlineStr">
        <is>
          <t>The source Excel workbook continues to be maintained by hand, by someone other than the tool.</t>
        </is>
      </c>
      <c r="C56" s="13" t="inlineStr">
        <is>
          <t>Inherited A-04, standing</t>
        </is>
      </c>
    </row>
    <row r="57">
      <c r="A57" s="15" t="inlineStr">
        <is>
          <t>A-N07</t>
        </is>
      </c>
      <c r="B57" s="16" t="inlineStr">
        <is>
          <t>The user can copy a package into their own profile or a network share and run it from there.</t>
        </is>
      </c>
      <c r="C57" s="15" t="inlineStr">
        <is>
          <t>To confirm - Q-N02</t>
        </is>
      </c>
    </row>
    <row r="59">
      <c r="A59" s="3" t="inlineStr">
        <is>
          <t>Legend</t>
        </is>
      </c>
    </row>
    <row r="60">
      <c r="A60" s="17" t="inlineStr">
        <is>
          <t>Green = new to the desktop application; nothing in the web application corresponds to it.</t>
        </is>
      </c>
    </row>
    <row r="61">
      <c r="A61" s="18" t="inlineStr">
        <is>
          <t>Orange = inherited from the web application but deliberately changed here.</t>
        </is>
      </c>
    </row>
    <row r="62">
      <c r="A62"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0"/>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6" t="inlineStr"/>
    </row>
    <row r="10">
      <c r="A10" s="7" t="inlineStr">
        <is>
          <t xml:space="preserve">  ...while TRANSFERRING and OPENING the HTML file itself was not restricted at all.</t>
        </is>
      </c>
    </row>
    <row r="11">
      <c r="A11" s="6" t="inlineStr"/>
    </row>
    <row r="12">
      <c r="A12" s="6" t="inlineStr">
        <is>
          <t>Four different controls, and the two refusals sit at opposite ends: one stops the desktop</t>
        </is>
      </c>
    </row>
    <row r="13">
      <c r="A13" s="6" t="inlineStr">
        <is>
          <t>application ARRIVING, the other stops the web application being GIVEN DATA. Neither can be fixed by</t>
        </is>
      </c>
    </row>
    <row r="14">
      <c r="A14" s="6" t="inlineStr">
        <is>
          <t>working on the thing it blocks - an Electron build is an .exe however it is zipped, and every way</t>
        </is>
      </c>
    </row>
    <row r="15">
      <c r="A15" s="6" t="inlineStr">
        <is>
          <t>the web application can be handed a file (picker, drag-and-drop, .json) ends at the same File API</t>
        </is>
      </c>
    </row>
    <row r="16">
      <c r="A16" s="6" t="inlineStr">
        <is>
          <t>the control is watching.</t>
        </is>
      </c>
    </row>
    <row r="18">
      <c r="A18"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0">
      <c r="A20" s="5" t="inlineStr">
        <is>
          <t>The three routes</t>
        </is>
      </c>
    </row>
    <row r="21" ht="28" customHeight="1">
      <c r="A21" s="10" t="inlineStr"/>
      <c r="B21" s="10" t="inlineStr">
        <is>
          <t>Route</t>
        </is>
      </c>
      <c r="C21" s="10" t="inlineStr">
        <is>
          <t>What it is</t>
        </is>
      </c>
      <c r="D21" s="10" t="inlineStr">
        <is>
          <t>What it costs</t>
        </is>
      </c>
      <c r="E21" s="10" t="inlineStr">
        <is>
          <t>Verdict</t>
        </is>
      </c>
    </row>
    <row r="22">
      <c r="A22" s="15" t="inlineStr">
        <is>
          <t>A</t>
        </is>
      </c>
      <c r="B22" s="15" t="inlineStr">
        <is>
          <t>Ask IT for the sanctioned channel</t>
        </is>
      </c>
      <c r="C22" s="16" t="inlineStr">
        <is>
          <t>The software-distribution share, the internal artifact store, or an allow-list entry. Nothing is rebuilt - the package is finished and tested.</t>
        </is>
      </c>
      <c r="D22" s="16" t="inlineStr">
        <is>
          <t>Best fidelity, no work. Depends entirely on somebody else, and the answer may be no or slow.</t>
        </is>
      </c>
      <c r="E22" s="16" t="inlineStr">
        <is>
          <t>Ask first - it costs one conversation</t>
        </is>
      </c>
    </row>
    <row r="23">
      <c r="A23" s="13" t="inlineStr">
        <is>
          <t>B</t>
        </is>
      </c>
      <c r="B23" s="13" t="inlineStr">
        <is>
          <t>Replace the Electron shell with a PYTHON one</t>
        </is>
      </c>
      <c r="C23" s="14"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3" s="14" t="inlineStr">
        <is>
          <t>Removes the executable from one problem and the upload from the other. Needs Python on the laptop. Roughly 700 lines of new Python, no new engine.</t>
        </is>
      </c>
      <c r="E23" s="14" t="inlineStr">
        <is>
          <t>RECOMMENDED - and now the only route that answers both refusals</t>
        </is>
      </c>
    </row>
    <row r="24">
      <c r="A24" s="15" t="inlineStr">
        <is>
          <t>C</t>
        </is>
      </c>
      <c r="B24" s="15" t="inlineStr">
        <is>
          <t>Persistence in the web application instead</t>
        </is>
      </c>
      <c r="C24" s="16" t="inlineStr">
        <is>
          <t>Give the existing HTML file real storage, through the browser's own file access. It already arrives - it is a document.</t>
        </is>
      </c>
      <c r="D24" s="16" t="inlineStr">
        <is>
          <t>RULED OUT 2026-08-18. It depends on the browser's file access, which is the exact interface the import control intercepts (R-N21). It was never going to keep the shared folder either; now it cannot even get the first file in.</t>
        </is>
      </c>
      <c r="E24" s="16" t="inlineStr">
        <is>
          <t>RULED OUT - not partial</t>
        </is>
      </c>
    </row>
    <row r="27">
      <c r="A27" s="5" t="inlineStr">
        <is>
          <t>Why the import control does not touch route B</t>
        </is>
      </c>
    </row>
    <row r="28">
      <c r="A28" s="6" t="inlineStr">
        <is>
          <t>The control watches data crossing INTO the page. So the design simply does not cross there.</t>
        </is>
      </c>
    </row>
    <row r="29">
      <c r="A29" s="6" t="inlineStr"/>
    </row>
    <row r="30">
      <c r="A30" s="7" t="inlineStr">
        <is>
          <t xml:space="preserve">    Web application, today          Route B</t>
        </is>
      </c>
    </row>
    <row r="31">
      <c r="A31" s="7" t="inlineStr">
        <is>
          <t xml:space="preserve">    ----------------------          -------</t>
        </is>
      </c>
    </row>
    <row r="32">
      <c r="A32" s="7" t="inlineStr">
        <is>
          <t xml:space="preserve">    user picks a file               user picks a file  (in a PYTHON dialog, not the page)</t>
        </is>
      </c>
    </row>
    <row r="33">
      <c r="A33" s="7" t="inlineStr">
        <is>
          <t xml:space="preserve">    &lt;input type="file"&gt;             Python opens it with open()</t>
        </is>
      </c>
    </row>
    <row r="34">
      <c r="A34" s="7" t="inlineStr">
        <is>
          <t xml:space="preserve">    File API reads the bytes        Python reads the bytes</t>
        </is>
      </c>
    </row>
    <row r="35">
      <c r="A35" s="7" t="inlineStr">
        <is>
          <t xml:space="preserve">    ^^^ INTERCEPTED HERE            page fetches them from 127.0.0.1 as ordinary page content</t>
        </is>
      </c>
    </row>
    <row r="36">
      <c r="A36" s="7" t="inlineStr">
        <is>
          <t xml:space="preserve">    page parses the xlsx            page parses the xlsx   &lt;- unchanged, same code</t>
        </is>
      </c>
    </row>
    <row r="37">
      <c r="A37" s="6" t="inlineStr"/>
    </row>
    <row r="38">
      <c r="A38" s="6" t="inlineStr">
        <is>
          <t>The page keeps the xlsx reader it already has and the figures it already produces. What it loses is</t>
        </is>
      </c>
    </row>
    <row r="39">
      <c r="A39" s="6" t="inlineStr">
        <is>
          <t>the upload element, the drag-and-drop handler and every File API call - the three things a DLP</t>
        </is>
      </c>
    </row>
    <row r="40">
      <c r="A40" s="6" t="inlineStr">
        <is>
          <t>upload control actually watches. Nothing is disabled, evaded or hidden: the file never travels that</t>
        </is>
      </c>
    </row>
    <row r="41">
      <c r="A41" s="6" t="inlineStr">
        <is>
          <t>path, because a program the user ran on their own machine read it and served it.</t>
        </is>
      </c>
    </row>
    <row r="43">
      <c r="A43"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45">
      <c r="A45" s="5" t="inlineStr">
        <is>
          <t>Why route B is a swap rather than a rewrite</t>
        </is>
      </c>
    </row>
    <row r="46">
      <c r="A46" s="6" t="inlineStr">
        <is>
          <t>Because the seam is already there. Specification sheet 03 defines thirteen storage operations, and</t>
        </is>
      </c>
    </row>
    <row r="47">
      <c r="A47" s="6" t="inlineStr">
        <is>
          <t>preload.js already exposes exactly those to the page. A Python shell implements the same thirteen</t>
        </is>
      </c>
    </row>
    <row r="48">
      <c r="A48" s="6" t="inlineStr">
        <is>
          <t>over HTTP instead of IPC; the page calls fetch() instead of ipcRenderer.invoke(). Nothing above that</t>
        </is>
      </c>
    </row>
    <row r="49">
      <c r="A49" s="6" t="inlineStr">
        <is>
          <t>line moves.</t>
        </is>
      </c>
    </row>
    <row r="50">
      <c r="A50" s="6" t="inlineStr"/>
    </row>
    <row r="51">
      <c r="A51" s="6" t="inlineStr">
        <is>
          <t xml:space="preserve">    core/    unchanged   the same JavaScript, the same figures, in the browser</t>
        </is>
      </c>
    </row>
    <row r="52">
      <c r="A52" s="6" t="inlineStr">
        <is>
          <t xml:space="preserve">    ui/      unchanged   the same tabs, tables and charts the reviewer approved</t>
        </is>
      </c>
    </row>
    <row r="53">
      <c r="A53" s="6" t="inlineStr">
        <is>
          <t xml:space="preserve">    storage/ NEW         workspace.py and claim.py, ported from the .js beside them</t>
        </is>
      </c>
    </row>
    <row r="54">
      <c r="A54" s="6" t="inlineStr">
        <is>
          <t xml:space="preserve">    shell/   NEW         http.server, about 200 lines, serving the page and the thirteen calls</t>
        </is>
      </c>
    </row>
    <row r="56" ht="28" customHeight="1">
      <c r="A56" s="10" t="inlineStr">
        <is>
          <t>Point</t>
        </is>
      </c>
      <c r="B56" s="10" t="inlineStr">
        <is>
          <t>Detail</t>
        </is>
      </c>
      <c r="C56" s="10" t="inlineStr">
        <is>
          <t>Ref</t>
        </is>
      </c>
    </row>
    <row r="57">
      <c r="A57" s="15" t="inlineStr">
        <is>
          <t>Decision N-05 survives</t>
        </is>
      </c>
      <c r="B57" s="16" t="inlineStr">
        <is>
          <t>There is still ONE engine. The numbers stay in core/, in the browser. Python touches files and nothing else - if a calculation appears in the Python, something has gone wrong.</t>
        </is>
      </c>
      <c r="C57" s="15" t="inlineStr">
        <is>
          <t>N-05</t>
        </is>
      </c>
    </row>
    <row r="58">
      <c r="A58" s="13" t="inlineStr">
        <is>
          <t>No pip install</t>
        </is>
      </c>
      <c r="B58" s="14" t="inlineStr">
        <is>
          <t>http.server, json, pathlib, zipfile and xml are all standard library. The xlsx reading and writing stays in the browser, where it is already dependency-free - so Python never needs openpyxl.</t>
        </is>
      </c>
      <c r="C58" s="13" t="inlineStr">
        <is>
          <t>NR-DEP-05</t>
        </is>
      </c>
    </row>
    <row r="59">
      <c r="A59" s="15" t="inlineStr">
        <is>
          <t>The storage design carries over intact</t>
        </is>
      </c>
      <c r="B59" s="16" t="inlineStr">
        <is>
          <t>Atomic save, retained version, journal, the claim with its heartbeat and expiry - all of it is filesystem work, and all of it ports directly. The 33 checks in test_storage.mjs become 33 checks in Python.</t>
        </is>
      </c>
      <c r="C59" s="15" t="inlineStr">
        <is>
          <t>NR-STO-04..19</t>
        </is>
      </c>
    </row>
    <row r="60">
      <c r="A60" s="13" t="inlineStr">
        <is>
          <t>The shared folder still works</t>
        </is>
      </c>
      <c r="B60" s="14" t="inlineStr">
        <is>
          <t>Which route C cannot offer. Real files, real claim files, several people on one plan - the whole of sheet 07 keeps its meaning.</t>
        </is>
      </c>
      <c r="C60" s="13" t="inlineStr">
        <is>
          <t>NR-STO-10</t>
        </is>
      </c>
    </row>
    <row r="61">
      <c r="A61" s="15" t="inlineStr">
        <is>
          <t>What is lost</t>
        </is>
      </c>
      <c r="B61" s="16" t="inlineStr">
        <is>
          <t>A window of its own. The application would open in the browser, pointed at a local address, launched from a shortcut. It looks like the web application because it IS the web application - which is a fair trade for arriving at all.</t>
        </is>
      </c>
      <c r="C61" s="15" t="inlineStr">
        <is>
          <t>D-N01..D-N09</t>
        </is>
      </c>
    </row>
    <row r="63">
      <c r="A63"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65">
      <c r="A65" s="5" t="inlineStr">
        <is>
          <t>What has to be known before route B is chosen</t>
        </is>
      </c>
    </row>
    <row r="66" ht="28" customHeight="1">
      <c r="A66" s="10" t="inlineStr">
        <is>
          <t>Question</t>
        </is>
      </c>
      <c r="B66" s="10" t="inlineStr">
        <is>
          <t>Why it decides the route</t>
        </is>
      </c>
    </row>
    <row r="67">
      <c r="A67" s="16" t="inlineStr">
        <is>
          <t>Is Python installed on the laptop, and which version?</t>
        </is>
      </c>
      <c r="B67" s="16" t="inlineStr">
        <is>
          <t>`python --version` at a command prompt. 3.9 or newer is enough. If it is absent, route B needs IT to install it - which is the same conversation as route A, but for a runtime that is far easier to approve than an unknown application.</t>
        </is>
      </c>
    </row>
    <row r="68">
      <c r="A68" s="14" t="inlineStr">
        <is>
          <t>What internal route exists for files that are not e-mail?</t>
        </is>
      </c>
      <c r="B68" s="14" t="inlineStr">
        <is>
          <t>SharePoint, Teams, an internal GitLab, a software share. Route B still has to arrive; .py is text rather than an executable, which most filters treat differently, but the sanctioned route is better than the tolerated one.</t>
        </is>
      </c>
    </row>
    <row r="69">
      <c r="A69" s="16" t="inlineStr">
        <is>
          <t>Would IT rather approve a runtime than an application?</t>
        </is>
      </c>
      <c r="B69" s="16" t="inlineStr">
        <is>
          <t>Usually yes, and it is worth asking in those terms. 'May I have Python' is a smaller request than 'may I run this 142 MB thing a contractor sent me'.</t>
        </is>
      </c>
    </row>
    <row r="70">
      <c r="A70" s="14" t="inlineStr">
        <is>
          <t>What did the import security message actually say - which product, which policy name?</t>
        </is>
      </c>
      <c r="B70" s="14"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2" t="inlineStr">
        <is>
          <t>Windows. CLOSED</t>
        </is>
      </c>
    </row>
    <row r="6">
      <c r="A6" s="20" t="inlineStr">
        <is>
          <t>Q-N02</t>
        </is>
      </c>
      <c r="B6" s="20" t="inlineStr">
        <is>
          <t>Deployment</t>
        </is>
      </c>
      <c r="C6" s="21" t="inlineStr">
        <is>
          <t>Can you extract a zip into your own folder and run the .exe inside it?</t>
        </is>
      </c>
      <c r="D6" s="21"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20" t="inlineStr">
        <is>
          <t>Q-N03</t>
        </is>
      </c>
      <c r="B7" s="20" t="inlineStr">
        <is>
          <t>Deployment</t>
        </is>
      </c>
      <c r="C7" s="21" t="inlineStr">
        <is>
          <t>Is a company code-signing certificate obtainable, and by whom?</t>
        </is>
      </c>
      <c r="D7" s="21"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20" t="inlineStr">
        <is>
          <t>Q-N04</t>
        </is>
      </c>
      <c r="B8" s="20" t="inlineStr">
        <is>
          <t>Storage</t>
        </is>
      </c>
      <c r="C8" s="21" t="inlineStr">
        <is>
          <t>Where should workspaces live by default?</t>
        </is>
      </c>
      <c r="D8" s="21"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20" t="inlineStr">
        <is>
          <t>Q-N05</t>
        </is>
      </c>
      <c r="B9" s="20" t="inlineStr">
        <is>
          <t>Storage</t>
        </is>
      </c>
      <c r="C9" s="21" t="inlineStr">
        <is>
          <t>When you re-import a source workbook over a workspace that already holds your hand-entered data, what should happen?</t>
        </is>
      </c>
      <c r="D9" s="21"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20" t="inlineStr">
        <is>
          <t>Q-N07</t>
        </is>
      </c>
      <c r="B11" s="20" t="inlineStr">
        <is>
          <t>Storage</t>
        </is>
      </c>
      <c r="C11" s="21" t="inlineStr">
        <is>
          <t>How many previous versions of a workspace should be retained?</t>
        </is>
      </c>
      <c r="D11" s="21"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20" t="inlineStr">
        <is>
          <t>Q-N08</t>
        </is>
      </c>
      <c r="B12" s="20" t="inlineStr">
        <is>
          <t>Deployment</t>
        </is>
      </c>
      <c r="C12" s="21" t="inlineStr">
        <is>
          <t>How will updates reach you?</t>
        </is>
      </c>
      <c r="D12" s="21"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20" t="inlineStr">
        <is>
          <t>Q-N09</t>
        </is>
      </c>
      <c r="B13" s="20" t="inlineStr">
        <is>
          <t>Governance</t>
        </is>
      </c>
      <c r="C13" s="21" t="inlineStr">
        <is>
          <t>Does this tool fall under any internal validation or record-keeping obligation, now that it HOLDS data rather than only displaying it?</t>
        </is>
      </c>
      <c r="D13" s="21"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20" t="inlineStr">
        <is>
          <t>Q-N10</t>
        </is>
      </c>
      <c r="B14" s="20" t="inlineStr">
        <is>
          <t>Scope</t>
        </is>
      </c>
      <c r="C14" s="21" t="inlineStr">
        <is>
          <t>Should the application be able to open a source workbook for a quick look, without creating a workspace?</t>
        </is>
      </c>
      <c r="D14" s="21"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20" t="inlineStr">
        <is>
          <t>Q-N11</t>
        </is>
      </c>
      <c r="B15" s="20" t="inlineStr">
        <is>
          <t>Naming</t>
        </is>
      </c>
      <c r="C15" s="21" t="inlineStr">
        <is>
          <t>What should the application be called on screen?</t>
        </is>
      </c>
      <c r="D15" s="21"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2" t="inlineStr">
        <is>
          <t>Not needed. CLOSED</t>
        </is>
      </c>
    </row>
    <row r="18">
      <c r="A18" s="20" t="inlineStr">
        <is>
          <t>Q-N14</t>
        </is>
      </c>
      <c r="B18" s="20" t="inlineStr">
        <is>
          <t>Deployment</t>
        </is>
      </c>
      <c r="C18" s="21" t="inlineStr">
        <is>
          <t>Is the share where people RUN it from, or where they copy it from once?</t>
        </is>
      </c>
      <c r="D18" s="21"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20" t="inlineStr">
        <is>
          <t>Q-N15</t>
        </is>
      </c>
      <c r="B19" s="20" t="inlineStr">
        <is>
          <t>Deployment</t>
        </is>
      </c>
      <c r="C19" s="21" t="inlineStr">
        <is>
          <t>Would the share be writable, or read-only?</t>
        </is>
      </c>
      <c r="D19" s="21"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20" t="inlineStr">
        <is>
          <t>Q-N16</t>
        </is>
      </c>
      <c r="B20" s="20" t="inlineStr">
        <is>
          <t>Sharing</t>
        </is>
      </c>
      <c r="C20" s="21" t="inlineStr">
        <is>
          <t>How long should a silent session hold a plan before others may take it over?</t>
        </is>
      </c>
      <c r="D20" s="21"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20" t="inlineStr">
        <is>
          <t>Q-N17</t>
        </is>
      </c>
      <c r="B21" s="20" t="inlineStr">
        <is>
          <t>Sharing</t>
        </is>
      </c>
      <c r="C21" s="21" t="inlineStr">
        <is>
          <t>Should the application be able to say who is editing, and let a blocked colleague contact them?</t>
        </is>
      </c>
      <c r="D21" s="21"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20" t="inlineStr">
        <is>
          <t>Q-N18</t>
        </is>
      </c>
      <c r="B22" s="20" t="inlineStr">
        <is>
          <t>User identity</t>
        </is>
      </c>
      <c r="C22" s="21" t="inlineStr">
        <is>
          <t>Which details should the application record beside the name?</t>
        </is>
      </c>
      <c r="D22" s="21"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1"/>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3" t="inlineStr">
        <is>
          <t>16</t>
        </is>
      </c>
      <c r="B20" s="13" t="inlineStr">
        <is>
          <t>Instruction 2026-08-13 (round 3)</t>
        </is>
      </c>
      <c r="C20" s="14" t="inlineStr">
        <is>
          <t>Block other sessions from updating while someone starts editing.</t>
        </is>
      </c>
      <c r="D20" s="14" t="inlineStr">
        <is>
          <t>Accepted, and it settles the sharing model: single writer, many readers.</t>
        </is>
      </c>
      <c r="E20" s="14"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3"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3" t="inlineStr">
        <is>
          <t>18</t>
        </is>
      </c>
      <c r="B22" s="13" t="inlineStr">
        <is>
          <t>-</t>
        </is>
      </c>
      <c r="C22" s="14" t="inlineStr">
        <is>
          <t>Not requester input - a gap in v0.3 that item 16 makes plain.</t>
        </is>
      </c>
      <c r="D22" s="14" t="inlineStr">
        <is>
          <t>Blocking writers is not enough on its own: a READER can be misled just as badly.</t>
        </is>
      </c>
      <c r="E22" s="14"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3"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3" t="inlineStr">
        <is>
          <t>20</t>
        </is>
      </c>
      <c r="B24" s="13" t="inlineStr">
        <is>
          <t>Q-N16 answer (round 4)</t>
        </is>
      </c>
      <c r="C24" s="14" t="inlineStr">
        <is>
          <t>A silent session may hold a plan for 30 minutes.</t>
        </is>
      </c>
      <c r="D24" s="14" t="inlineStr">
        <is>
          <t>Accepted - twenty times the 90 seconds proposed, and coherent with the Q-N17 answer.</t>
        </is>
      </c>
      <c r="E24" s="14"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3"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3" t="inlineStr">
        <is>
          <t>22</t>
        </is>
      </c>
      <c r="B26" s="13" t="inlineStr">
        <is>
          <t>-</t>
        </is>
      </c>
      <c r="C26" s="14" t="inlineStr">
        <is>
          <t>Not requester input - noticed while applying items 20 and 21.</t>
        </is>
      </c>
      <c r="D26" s="14" t="inlineStr">
        <is>
          <t>The two answers are stronger together than separately.</t>
        </is>
      </c>
      <c r="E26" s="14"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3"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3" t="inlineStr">
        <is>
          <t>24</t>
        </is>
      </c>
      <c r="B28" s="13" t="inlineStr">
        <is>
          <t>-</t>
        </is>
      </c>
      <c r="C28" s="14" t="inlineStr">
        <is>
          <t>Not requester input - raised while applying item 21.</t>
        </is>
      </c>
      <c r="D28" s="14" t="inlineStr">
        <is>
          <t>What a typed name is, and is not.</t>
        </is>
      </c>
      <c r="E28" s="14"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3"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3" t="inlineStr">
        <is>
          <t>26</t>
        </is>
      </c>
      <c r="B30" s="13" t="inlineStr">
        <is>
          <t>-</t>
        </is>
      </c>
      <c r="C30" s="14" t="inlineStr">
        <is>
          <t>Not requester input - noticed while applying item 25.</t>
        </is>
      </c>
      <c r="D30" s="14" t="inlineStr">
        <is>
          <t>The answer fits a column the data model already has.</t>
        </is>
      </c>
      <c r="E30" s="14"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3"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3" t="inlineStr">
        <is>
          <t>28</t>
        </is>
      </c>
      <c r="B32" s="13" t="inlineStr">
        <is>
          <t>v0.6_reviewed - Q-N03</t>
        </is>
      </c>
      <c r="C32" s="14" t="inlineStr">
        <is>
          <t>Not an answer: 'elaborate the question more easily. What IT purchase is needed? What is the company code-signing certificate?'</t>
        </is>
      </c>
      <c r="D32" s="14" t="inlineStr">
        <is>
          <t>Fair - the question assumed knowledge it should have supplied.</t>
        </is>
      </c>
      <c r="E32" s="14"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3"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3" t="inlineStr">
        <is>
          <t>30</t>
        </is>
      </c>
      <c r="B34" s="13" t="inlineStr">
        <is>
          <t>v0.6_reviewed - Q-N05</t>
        </is>
      </c>
      <c r="C34" s="14" t="inlineStr">
        <is>
          <t>Ask whether to update existing data, and give a difference report so the user decides what may be overridden.</t>
        </is>
      </c>
      <c r="D34" s="14" t="inlineStr">
        <is>
          <t>Accepted - confirms the v0.3 proposal and adds an explicit first question.</t>
        </is>
      </c>
      <c r="E34" s="14"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3"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3" t="inlineStr">
        <is>
          <t>32</t>
        </is>
      </c>
      <c r="B36" s="13" t="inlineStr">
        <is>
          <t>v0.6_reviewed - Q-N09</t>
        </is>
      </c>
      <c r="C36" s="14" t="inlineStr">
        <is>
          <t>No internal validation or record-keeping obligation.</t>
        </is>
      </c>
      <c r="D36" s="14" t="inlineStr">
        <is>
          <t>Accepted - and it settles an open risk.</t>
        </is>
      </c>
      <c r="E36" s="14" t="inlineStr">
        <is>
          <t>Assumption A-N11. R-N16 falls from Medium/Medium to Low/Low: with nothing formal resting on it, a declared user name is a courtesy rather than a control. It also keeps Step N5 to functional verification rather than qualification evidence.</t>
        </is>
      </c>
      <c r="F36" s="13"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3" t="inlineStr">
        <is>
          <t>34</t>
        </is>
      </c>
      <c r="B38" s="13" t="inlineStr">
        <is>
          <t>v0.6_reviewed - Q-N11</t>
        </is>
      </c>
      <c r="C38" s="14" t="inlineStr">
        <is>
          <t>'Project Management APP' or 'PM_APP'.</t>
        </is>
      </c>
      <c r="D38" s="14" t="inlineStr">
        <is>
          <t>Accepted, with one thing to confirm.</t>
        </is>
      </c>
      <c r="E38" s="14"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3"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3" t="inlineStr">
        <is>
          <t>36</t>
        </is>
      </c>
      <c r="B40" s="13" t="inlineStr">
        <is>
          <t>-</t>
        </is>
      </c>
      <c r="C40" s="14" t="inlineStr">
        <is>
          <t>Not requester input - the state of the document.</t>
        </is>
      </c>
      <c r="D40" s="14" t="inlineStr">
        <is>
          <t>Every question is answered.</t>
        </is>
      </c>
      <c r="E40" s="14"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3"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2">
      <c r="A42" s="13" t="inlineStr">
        <is>
          <t>38</t>
        </is>
      </c>
      <c r="B42" s="13" t="inlineStr">
        <is>
          <t>Instruction 2026-08-18</t>
        </is>
      </c>
      <c r="C42" s="14" t="inlineStr">
        <is>
          <t>IT bans any data upload into HTML. How is that limitation solved?</t>
        </is>
      </c>
      <c r="D42" s="14" t="inlineStr">
        <is>
          <t>Accepted as a constraint, and diagnosed before it was recorded.</t>
        </is>
      </c>
      <c r="E42" s="14"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3" t="inlineStr">
        <is>
          <t>Closed</t>
        </is>
      </c>
    </row>
    <row r="43">
      <c r="A43" s="15" t="inlineStr">
        <is>
          <t>39</t>
        </is>
      </c>
      <c r="B43" s="15" t="inlineStr">
        <is>
          <t>Diagnostic 2026-08-18</t>
        </is>
      </c>
      <c r="C43" s="16" t="inlineStr">
        <is>
          <t>The file dialog opens normally; after choosing the file a company security message appeared and nothing was imported. No limitation on transferring or opening the HTML file.</t>
        </is>
      </c>
      <c r="D43" s="16" t="inlineStr">
        <is>
          <t>Decisive - it names the control exactly.</t>
        </is>
      </c>
      <c r="E43" s="16"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5" t="inlineStr">
        <is>
          <t>Closed</t>
        </is>
      </c>
    </row>
    <row r="45">
      <c r="A45"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7">
      <c r="A47" s="5" t="inlineStr">
        <is>
          <t>Approval - Gate N1</t>
        </is>
      </c>
    </row>
    <row r="48" ht="28" customHeight="1">
      <c r="A48" s="10" t="inlineStr">
        <is>
          <t>Document</t>
        </is>
      </c>
      <c r="B48" s="10" t="inlineStr">
        <is>
          <t>Approver</t>
        </is>
      </c>
      <c r="C48" s="10" t="inlineStr">
        <is>
          <t>Date</t>
        </is>
      </c>
      <c r="D48" s="10" t="inlineStr">
        <is>
          <t>Decision</t>
        </is>
      </c>
    </row>
    <row r="49">
      <c r="A49" s="11" t="inlineStr">
        <is>
          <t>PRAP NewApp Development Plan v1.0</t>
        </is>
      </c>
      <c r="B49" s="11" t="inlineStr">
        <is>
          <t>Dan</t>
        </is>
      </c>
      <c r="C49" s="11" t="inlineStr">
        <is>
          <t>2026-08-13</t>
        </is>
      </c>
      <c r="D49"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1">
      <c r="A51"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3"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2026-08-18T11:06:48Z</dcterms:created>
  <dcterms:modified xsi:type="dcterms:W3CDTF">2026-08-18T11:06:48Z</dcterms:modified>
</cp:coreProperties>
</file>