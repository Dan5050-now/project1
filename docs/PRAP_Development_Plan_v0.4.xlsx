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5" borderId="1" applyAlignment="1" pivotButton="0" quotePrefix="0" xfId="0">
      <alignment vertical="top" wrapText="1"/>
    </xf>
    <xf numFmtId="0" fontId="4" fillId="5" borderId="1" applyAlignment="1" pivotButton="0" quotePrefix="0" xfId="0">
      <alignment vertical="top"/>
    </xf>
    <xf numFmtId="0" fontId="4" fillId="4" borderId="1" applyAlignment="1" pivotButton="0" quotePrefix="0" xfId="0">
      <alignment vertical="top" wrapText="1"/>
    </xf>
    <xf numFmtId="0" fontId="4" fillId="4" borderId="1" applyAlignment="1" pivotButton="0" quotePrefix="0" xfId="0">
      <alignment vertical="top"/>
    </xf>
    <xf numFmtId="0" fontId="9" fillId="0" borderId="0" pivotButton="0" quotePrefix="0" xfId="0"/>
    <xf numFmtId="0" fontId="4" fillId="6" borderId="1" applyAlignment="1" pivotButton="0" quotePrefix="0" xfId="0">
      <alignment vertical="top" wrapText="1"/>
    </xf>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t>
        </is>
      </c>
    </row>
    <row r="6">
      <c r="A6" s="3" t="inlineStr">
        <is>
          <t>Version</t>
        </is>
      </c>
      <c r="B6" s="4" t="inlineStr">
        <is>
          <t>v0.4</t>
        </is>
      </c>
    </row>
    <row r="7">
      <c r="A7" s="3" t="inlineStr">
        <is>
          <t>Status</t>
        </is>
      </c>
      <c r="B7" s="4" t="inlineStr">
        <is>
          <t>Draft 4 - third review round incorporated, re-issued for review</t>
        </is>
      </c>
    </row>
    <row r="8">
      <c r="A8" s="3" t="inlineStr">
        <is>
          <t>Issue date</t>
        </is>
      </c>
      <c r="B8" s="4" t="inlineStr">
        <is>
          <t>2026-07-31</t>
        </is>
      </c>
    </row>
    <row r="9">
      <c r="A9" s="3" t="inlineStr">
        <is>
          <t>Author</t>
        </is>
      </c>
      <c r="B9" s="4" t="inlineStr">
        <is>
          <t>Claude Code</t>
        </is>
      </c>
    </row>
    <row r="10">
      <c r="A10" s="3" t="inlineStr">
        <is>
          <t>Reviewer</t>
        </is>
      </c>
      <c r="B10" s="4" t="inlineStr">
        <is>
          <t>Requester - three review rounds: v0.11_reviewed, v0.2_reviewed, v0.3_reviewed</t>
        </is>
      </c>
    </row>
    <row r="11">
      <c r="A11" s="3" t="inlineStr">
        <is>
          <t>Repository</t>
        </is>
      </c>
      <c r="B11" s="4" t="inlineStr">
        <is>
          <t>Dan5050-now/project1</t>
        </is>
      </c>
    </row>
    <row r="12">
      <c r="A12" s="3" t="inlineStr">
        <is>
          <t>Branch</t>
        </is>
      </c>
      <c r="B12" s="4" t="inlineStr">
        <is>
          <t>claude/project-resource-assignment-app-1vjdzh</t>
        </is>
      </c>
    </row>
    <row r="13">
      <c r="A13" s="3" t="inlineStr">
        <is>
          <t>Supersedes</t>
        </is>
      </c>
      <c r="B13" s="4" t="inlineStr">
        <is>
          <t>v0.3 (2026-07-31)</t>
        </is>
      </c>
    </row>
    <row r="15">
      <c r="A15" s="5" t="inlineStr">
        <is>
          <t>What changed in v0.4</t>
        </is>
      </c>
    </row>
    <row r="16">
      <c r="A16" s="6" t="inlineStr">
        <is>
          <t>The third review round answered Q-21 to Q-26 and settled the period model. The three coverage gaps</t>
        </is>
      </c>
    </row>
    <row r="17">
      <c r="A17" s="6" t="inlineStr">
        <is>
          <t>found in v0.3 are closed - by your rules, not by my assumptions - and one answer changed the shape of</t>
        </is>
      </c>
    </row>
    <row r="18">
      <c r="A18" s="6" t="inlineStr">
        <is>
          <t>the data model:</t>
        </is>
      </c>
    </row>
    <row r="19">
      <c r="A19" s="6" t="inlineStr"/>
    </row>
    <row r="20">
      <c r="A20" s="6" t="inlineStr">
        <is>
          <t xml:space="preserve">  1. Close-out now starts 3 months before the DB lock, not 2 (Q-22). Conduct ends the day before it.</t>
        </is>
      </c>
    </row>
    <row r="21">
      <c r="A21" s="6" t="inlineStr">
        <is>
          <t xml:space="preserve">  2. A trial with an interim DB lock gets TWO close-out periods (Q-23): 'Close-out (interim)' and</t>
        </is>
      </c>
    </row>
    <row r="22">
      <c r="A22" s="6" t="inlineStr">
        <is>
          <t xml:space="preserve">     'Close-out (final)', with Conduct resuming in between. This is the structural change - 'Conduct'</t>
        </is>
      </c>
    </row>
    <row r="23">
      <c r="A23" s="6" t="inlineStr">
        <is>
          <t xml:space="preserve">     can now occur TWICE in one project, as two separate stretches. A period name is therefore no</t>
        </is>
      </c>
    </row>
    <row r="24">
      <c r="A24" s="6" t="inlineStr">
        <is>
          <t xml:space="preserve">     longer unique within a project, and ProjectPeriod gains a sequence number to keep the segments</t>
        </is>
      </c>
    </row>
    <row r="25">
      <c r="A25" s="6" t="inlineStr">
        <is>
          <t xml:space="preserve">     apart. The clinical-trial period set grows from four names to five.</t>
        </is>
      </c>
    </row>
    <row r="26">
      <c r="A26" s="6" t="inlineStr">
        <is>
          <t xml:space="preserve">  3. Project weight is keyed on clinical_phase for clinical trials (Q-26). PeriodWeightStandard is</t>
        </is>
      </c>
    </row>
    <row r="27">
      <c r="A27" s="6" t="inlineStr">
        <is>
          <t xml:space="preserve">     re-keyed accordingly, and clinical_phase stops being merely descriptive - it now drives the</t>
        </is>
      </c>
    </row>
    <row r="28">
      <c r="A28" s="6" t="inlineStr">
        <is>
          <t xml:space="preserve">     simulation, so a missing phase is an error rather than a note.</t>
        </is>
      </c>
    </row>
    <row r="29">
      <c r="A29" s="6" t="inlineStr">
        <is>
          <t xml:space="preserve">  4. 'Protocol (v1)' is the eighth milestone (Q-24). 'Others' projects have no milestone mapping and</t>
        </is>
      </c>
    </row>
    <row r="30">
      <c r="A30" s="6" t="inlineStr">
        <is>
          <t xml:space="preserve">     their periods are entered by hand (Q-25), confirming what v0.3 assumed.</t>
        </is>
      </c>
    </row>
    <row r="31">
      <c r="A31" s="6" t="inlineStr"/>
    </row>
    <row r="32">
      <c r="A32" s="6" t="inlineStr">
        <is>
          <t>The derivation was tested against five timelines - the normal case, an interim and final lock only one</t>
        </is>
      </c>
    </row>
    <row r="33">
      <c r="A33" s="6" t="inlineStr">
        <is>
          <t>month apart, no interim lock, a CTA submission earlier than the project start, and a trial too short</t>
        </is>
      </c>
    </row>
    <row r="34">
      <c r="A34" s="6" t="inlineStr">
        <is>
          <t>to have a Conduct phase at all. All five come out contiguous, with no gap and no overlap. Where a</t>
        </is>
      </c>
    </row>
    <row r="35">
      <c r="A35" s="6" t="inlineStr">
        <is>
          <t>period is squeezed to nothing it is omitted rather than written with a negative length; the rules are</t>
        </is>
      </c>
    </row>
    <row r="36">
      <c r="A36" s="6" t="inlineStr">
        <is>
          <t>on sheet 05.</t>
        </is>
      </c>
    </row>
    <row r="37">
      <c r="A37" s="6" t="inlineStr"/>
    </row>
    <row r="38">
      <c r="A38" s="6" t="inlineStr">
        <is>
          <t>Two small questions remain, Q-27 and Q-28. Neither blocks Step 2.</t>
        </is>
      </c>
    </row>
    <row r="40">
      <c r="A40" s="5" t="inlineStr">
        <is>
          <t>How to read this workbook</t>
        </is>
      </c>
    </row>
    <row r="41" ht="28" customHeight="1">
      <c r="A41" s="7" t="inlineStr">
        <is>
          <t>Sheet</t>
        </is>
      </c>
      <c r="B41" s="7" t="inlineStr">
        <is>
          <t>Contents</t>
        </is>
      </c>
    </row>
    <row r="42">
      <c r="A42" s="8" t="inlineStr">
        <is>
          <t>00_Cover</t>
        </is>
      </c>
      <c r="B42" s="9" t="inlineStr">
        <is>
          <t>Document control, what changed, reading guide.</t>
        </is>
      </c>
    </row>
    <row r="43">
      <c r="A43" s="10" t="inlineStr">
        <is>
          <t>01_Version_History</t>
        </is>
      </c>
      <c r="B43" s="11" t="inlineStr">
        <is>
          <t>Change log for this plan.</t>
        </is>
      </c>
    </row>
    <row r="44">
      <c r="A44" s="8" t="inlineStr">
        <is>
          <t>02_Scope</t>
        </is>
      </c>
      <c r="B44" s="9" t="inlineStr">
        <is>
          <t>Background, objectives, in scope / out of scope.</t>
        </is>
      </c>
    </row>
    <row r="45">
      <c r="A45" s="10" t="inlineStr">
        <is>
          <t>03_Requirements</t>
        </is>
      </c>
      <c r="B45" s="11" t="inlineStr">
        <is>
          <t>Numbered requirement register - the contract for Steps 2-5.</t>
        </is>
      </c>
    </row>
    <row r="46">
      <c r="A46" s="8" t="inlineStr">
        <is>
          <t>04_Data_Model</t>
        </is>
      </c>
      <c r="B46" s="9" t="inlineStr">
        <is>
          <t>Every sheet and column of the single source workbook, with rules.</t>
        </is>
      </c>
    </row>
    <row r="47">
      <c r="A47" s="10" t="inlineStr">
        <is>
          <t>05_Resource_Logic</t>
        </is>
      </c>
      <c r="B47" s="11" t="inlineStr">
        <is>
          <t>The calculation that turns assignments and weights into monthly FTE.</t>
        </is>
      </c>
    </row>
    <row r="48">
      <c r="A48" s="8" t="inlineStr">
        <is>
          <t>06_Dashboard_Design</t>
        </is>
      </c>
      <c r="B48" s="9" t="inlineStr">
        <is>
          <t>The three dashboard tabs: tables, graphs, filters, editing.</t>
        </is>
      </c>
    </row>
    <row r="49">
      <c r="A49" s="10" t="inlineStr">
        <is>
          <t>07_Architecture</t>
        </is>
      </c>
      <c r="B49" s="11" t="inlineStr">
        <is>
          <t>Single-file HTML + Excel-on-disk design and the file-access decision.</t>
        </is>
      </c>
    </row>
    <row r="50">
      <c r="A50" s="8" t="inlineStr">
        <is>
          <t>08_WBS_Schedule</t>
        </is>
      </c>
      <c r="B50" s="9" t="inlineStr">
        <is>
          <t>The five steps broken into tasks, deliverables and review gates.</t>
        </is>
      </c>
    </row>
    <row r="51">
      <c r="A51" s="10" t="inlineStr">
        <is>
          <t>09_Version_Control</t>
        </is>
      </c>
      <c r="B51" s="11" t="inlineStr">
        <is>
          <t>How plan, specification and output files are versioned together.</t>
        </is>
      </c>
    </row>
    <row r="52">
      <c r="A52" s="8" t="inlineStr">
        <is>
          <t>10_Risks</t>
        </is>
      </c>
      <c r="B52" s="9" t="inlineStr">
        <is>
          <t>Risks and assumptions with mitigations.</t>
        </is>
      </c>
    </row>
    <row r="53">
      <c r="A53" s="10" t="inlineStr">
        <is>
          <t>11_Open_Questions</t>
        </is>
      </c>
      <c r="B53" s="11" t="inlineStr">
        <is>
          <t>Your answers to Q-01..Q-26, and the two open items Q-27..Q-28.</t>
        </is>
      </c>
    </row>
    <row r="54">
      <c r="A54" s="8" t="inlineStr">
        <is>
          <t>12_Review_Log</t>
        </is>
      </c>
      <c r="B54" s="9" t="inlineStr">
        <is>
          <t>Every change made in v0.2, v0.3 and v0.4, and why.</t>
        </is>
      </c>
    </row>
    <row r="56">
      <c r="A56" s="3" t="inlineStr">
        <is>
          <t>Legend</t>
        </is>
      </c>
    </row>
    <row r="57">
      <c r="A57" s="12" t="inlineStr">
        <is>
          <t>Green = new in v0.2, added from your review answers.</t>
        </is>
      </c>
    </row>
    <row r="58">
      <c r="A58" s="13" t="inlineStr">
        <is>
          <t>Orange = changed in v0.2 as a consequence of your review.</t>
        </is>
      </c>
    </row>
    <row r="59">
      <c r="A59"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Pending</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Draft for review</t>
        </is>
      </c>
    </row>
    <row r="13">
      <c r="A13"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7" t="inlineStr">
        <is>
          <t>Import of all project and person data from ONE Excel workbook via a browser file picker or drag-and-drop.</t>
        </is>
      </c>
      <c r="B22" s="18" t="inlineStr">
        <is>
          <t>Q-09</t>
        </is>
      </c>
    </row>
    <row r="23">
      <c r="A23" s="19" t="inlineStr">
        <is>
          <t>Editing imported data inside the application, with the edits carried into the export.</t>
        </is>
      </c>
      <c r="B23" s="20" t="inlineStr">
        <is>
          <t>REQ-IMP-07</t>
        </is>
      </c>
    </row>
    <row r="24">
      <c r="A24" s="11" t="inlineStr">
        <is>
          <t>Export of the current working data back to .xlsx, so the workbook remains the archive of record.</t>
        </is>
      </c>
      <c r="B24" s="10" t="inlineStr">
        <is>
          <t>v0.1</t>
        </is>
      </c>
    </row>
    <row r="25">
      <c r="A25" s="17" t="inlineStr">
        <is>
          <t>Monthly resource simulation in FTE per project and per person, default 24-month horizon, expandable to the latest project end date.</t>
        </is>
      </c>
      <c r="B25" s="18"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9" t="inlineStr">
        <is>
          <t>Over-allocation and under-allocation detection against the agreed FTE thresholds.</t>
        </is>
      </c>
      <c r="B28" s="20"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1"/>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18" t="inlineStr">
        <is>
          <t>REQ-OUT-03</t>
        </is>
      </c>
      <c r="B7" s="18" t="inlineStr">
        <is>
          <t>Output</t>
        </is>
      </c>
      <c r="C7" s="17" t="inlineStr">
        <is>
          <t>Source data lives in ONE Excel workbook held separately from the HTML file, and that workbook is the archive of record.</t>
        </is>
      </c>
      <c r="D7" s="18" t="inlineStr">
        <is>
          <t>Must</t>
        </is>
      </c>
      <c r="E7" s="18" t="inlineStr">
        <is>
          <t>Q-09</t>
        </is>
      </c>
      <c r="F7" s="18"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10" t="inlineStr">
        <is>
          <t>REQ-PRJ-01</t>
        </is>
      </c>
      <c r="B10" s="10" t="inlineStr">
        <is>
          <t>Project data</t>
        </is>
      </c>
      <c r="C10" s="11" t="inlineStr">
        <is>
          <t>Each project records a project type, restricted to 'Clinical Trial' or 'Others'.</t>
        </is>
      </c>
      <c r="D10" s="10" t="inlineStr">
        <is>
          <t>Must</t>
        </is>
      </c>
      <c r="E10" s="10" t="inlineStr">
        <is>
          <t>Requester</t>
        </is>
      </c>
      <c r="F10" s="10" t="inlineStr">
        <is>
          <t>2</t>
        </is>
      </c>
    </row>
    <row r="11">
      <c r="A11" s="8" t="inlineStr">
        <is>
          <t>REQ-PRJ-02</t>
        </is>
      </c>
      <c r="B11" s="8" t="inlineStr">
        <is>
          <t>Project data</t>
        </is>
      </c>
      <c r="C11" s="9" t="inlineStr">
        <is>
          <t>Each project records a project category. Where type = 'Clinical Trial' the category is the product name; the field is optional for 'Others'.</t>
        </is>
      </c>
      <c r="D11" s="8" t="inlineStr">
        <is>
          <t>Must</t>
        </is>
      </c>
      <c r="E11" s="8" t="inlineStr">
        <is>
          <t>Requester</t>
        </is>
      </c>
      <c r="F11" s="8"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18" t="inlineStr">
        <is>
          <t>REQ-PRJ-04</t>
        </is>
      </c>
      <c r="B13" s="18" t="inlineStr">
        <is>
          <t>Project data</t>
        </is>
      </c>
      <c r="C13" s="17" t="inlineStr">
        <is>
          <t>Each project records its conditions: outsourcing type ('Full outsourcing' / 'Partial outsourcing' / 'Full In-house') and the number of project members.</t>
        </is>
      </c>
      <c r="D13" s="18" t="inlineStr">
        <is>
          <t>Must</t>
        </is>
      </c>
      <c r="E13" s="18" t="inlineStr">
        <is>
          <t>Q-14</t>
        </is>
      </c>
      <c r="F13" s="18" t="inlineStr">
        <is>
          <t>2</t>
        </is>
      </c>
    </row>
    <row r="14">
      <c r="A14" s="18" t="inlineStr">
        <is>
          <t>REQ-PRJ-06</t>
        </is>
      </c>
      <c r="B14" s="18" t="inlineStr">
        <is>
          <t>Project data</t>
        </is>
      </c>
      <c r="C14" s="17" t="inlineStr">
        <is>
          <t>Each project carries a resource weight per period. For a clinical trial the standard weight is keyed on clinical phase; for 'Others' a single standard set applies.</t>
        </is>
      </c>
      <c r="D14" s="18" t="inlineStr">
        <is>
          <t>Must</t>
        </is>
      </c>
      <c r="E14" s="18" t="inlineStr">
        <is>
          <t>Q-26</t>
        </is>
      </c>
      <c r="F14" s="18"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18" t="inlineStr">
        <is>
          <t>REQ-PRJ-12</t>
        </is>
      </c>
      <c r="B18" s="18" t="inlineStr">
        <is>
          <t>Project data</t>
        </is>
      </c>
      <c r="C18" s="17" t="inlineStr">
        <is>
          <t>The set of periods a project carries depends on its type: 'Clinical Trial' uses Before-Start-up / Start-up / Conduct / Close-out (interim) / Close-out (final); 'Others' uses Planning / Develop / Close.</t>
        </is>
      </c>
      <c r="D18" s="18" t="inlineStr">
        <is>
          <t>Must</t>
        </is>
      </c>
      <c r="E18" s="18" t="inlineStr">
        <is>
          <t>Q-18, Q-23</t>
        </is>
      </c>
      <c r="F18" s="18" t="inlineStr">
        <is>
          <t>2</t>
        </is>
      </c>
    </row>
    <row r="19">
      <c r="A19" s="18" t="inlineStr">
        <is>
          <t>REQ-PRJ-09</t>
        </is>
      </c>
      <c r="B19" s="18" t="inlineStr">
        <is>
          <t>Project data</t>
        </is>
      </c>
      <c r="C19" s="17" t="inlineStr">
        <is>
          <t>A 'Clinical Trial' project records its clinical phase (phase 1 / 2 / 3 / 4). The phase determines the project's period weights, so it drives the simulation rather than merely describing the project.</t>
        </is>
      </c>
      <c r="D19" s="18" t="inlineStr">
        <is>
          <t>Must</t>
        </is>
      </c>
      <c r="E19" s="18" t="inlineStr">
        <is>
          <t>Q-26</t>
        </is>
      </c>
      <c r="F19" s="18" t="inlineStr">
        <is>
          <t>2</t>
        </is>
      </c>
    </row>
    <row r="20">
      <c r="A20" s="20" t="inlineStr">
        <is>
          <t>REQ-PRJ-10</t>
        </is>
      </c>
      <c r="B20" s="20" t="inlineStr">
        <is>
          <t>Project data</t>
        </is>
      </c>
      <c r="C20" s="19" t="inlineStr">
        <is>
          <t>A 'Clinical Trial' project records who performs each of EDC set-up, data-review-system set-up, RBQM set-up and DM conduct ('by CRO' / 'by SB').</t>
        </is>
      </c>
      <c r="D20" s="20" t="inlineStr">
        <is>
          <t>Must</t>
        </is>
      </c>
      <c r="E20" s="20" t="inlineStr">
        <is>
          <t>Reviewer v0.11</t>
        </is>
      </c>
      <c r="F20" s="20" t="inlineStr">
        <is>
          <t>2</t>
        </is>
      </c>
    </row>
    <row r="21">
      <c r="A21" s="20" t="inlineStr">
        <is>
          <t>REQ-PRJ-11</t>
        </is>
      </c>
      <c r="B21" s="20" t="inlineStr">
        <is>
          <t>Project data</t>
        </is>
      </c>
      <c r="C21" s="19" t="inlineStr">
        <is>
          <t>A 'Clinical Trial' project records the EDC system, data review system and RBQM system in use, from data-driven value lists.</t>
        </is>
      </c>
      <c r="D21" s="20" t="inlineStr">
        <is>
          <t>Must</t>
        </is>
      </c>
      <c r="E21" s="20" t="inlineStr">
        <is>
          <t>Reviewer v0.11</t>
        </is>
      </c>
      <c r="F21" s="20" t="inlineStr">
        <is>
          <t>2</t>
        </is>
      </c>
    </row>
    <row r="22">
      <c r="A22" s="10" t="inlineStr">
        <is>
          <t>REQ-PSN-01</t>
        </is>
      </c>
      <c r="B22" s="10" t="inlineStr">
        <is>
          <t>Person data</t>
        </is>
      </c>
      <c r="C22" s="11" t="inlineStr">
        <is>
          <t>Data is managed by person, by project assigned, and by project role assigned.</t>
        </is>
      </c>
      <c r="D22" s="10" t="inlineStr">
        <is>
          <t>Must</t>
        </is>
      </c>
      <c r="E22" s="10" t="inlineStr">
        <is>
          <t>Requester</t>
        </is>
      </c>
      <c r="F22" s="10" t="inlineStr">
        <is>
          <t>2</t>
        </is>
      </c>
    </row>
    <row r="23">
      <c r="A23" s="8" t="inlineStr">
        <is>
          <t>REQ-PSN-02</t>
        </is>
      </c>
      <c r="B23" s="8" t="inlineStr">
        <is>
          <t>Person data</t>
        </is>
      </c>
      <c r="C23" s="9" t="inlineStr">
        <is>
          <t>Each assignment records the project(s) the person is assigned to.</t>
        </is>
      </c>
      <c r="D23" s="8" t="inlineStr">
        <is>
          <t>Must</t>
        </is>
      </c>
      <c r="E23" s="8" t="inlineStr">
        <is>
          <t>Requester</t>
        </is>
      </c>
      <c r="F23" s="8" t="inlineStr">
        <is>
          <t>2</t>
        </is>
      </c>
    </row>
    <row r="24">
      <c r="A24" s="18" t="inlineStr">
        <is>
          <t>REQ-PSN-03</t>
        </is>
      </c>
      <c r="B24" s="18" t="inlineStr">
        <is>
          <t>Person data</t>
        </is>
      </c>
      <c r="C24" s="17" t="inlineStr">
        <is>
          <t>Each assignment records the role(s) the person holds on that project, drawn from the role list valid for that project's type.</t>
        </is>
      </c>
      <c r="D24" s="18" t="inlineStr">
        <is>
          <t>Must</t>
        </is>
      </c>
      <c r="E24" s="18" t="inlineStr">
        <is>
          <t>Q-03</t>
        </is>
      </c>
      <c r="F24" s="18" t="inlineStr">
        <is>
          <t>2</t>
        </is>
      </c>
    </row>
    <row r="25">
      <c r="A25" s="8" t="inlineStr">
        <is>
          <t>REQ-PSN-04</t>
        </is>
      </c>
      <c r="B25" s="8" t="inlineStr">
        <is>
          <t>Person data</t>
        </is>
      </c>
      <c r="C25" s="9" t="inlineStr">
        <is>
          <t>Each assignment records the start date the person joins and the end date they leave that study.</t>
        </is>
      </c>
      <c r="D25" s="8" t="inlineStr">
        <is>
          <t>Must</t>
        </is>
      </c>
      <c r="E25" s="8" t="inlineStr">
        <is>
          <t>Requester</t>
        </is>
      </c>
      <c r="F25" s="8" t="inlineStr">
        <is>
          <t>2</t>
        </is>
      </c>
    </row>
    <row r="26">
      <c r="A26" s="18" t="inlineStr">
        <is>
          <t>REQ-PSN-05</t>
        </is>
      </c>
      <c r="B26" s="18" t="inlineStr">
        <is>
          <t>Person data</t>
        </is>
      </c>
      <c r="C26" s="17" t="inlineStr">
        <is>
          <t>Each assignment carries a person weight saying how much that person works on that project, with optional period-specific overrides.</t>
        </is>
      </c>
      <c r="D26" s="18" t="inlineStr">
        <is>
          <t>Must</t>
        </is>
      </c>
      <c r="E26" s="18" t="inlineStr">
        <is>
          <t>Q-01</t>
        </is>
      </c>
      <c r="F26" s="18" t="inlineStr">
        <is>
          <t>2</t>
        </is>
      </c>
    </row>
    <row r="27">
      <c r="A27" s="8" t="inlineStr">
        <is>
          <t>REQ-PSN-06</t>
        </is>
      </c>
      <c r="B27" s="8" t="inlineStr">
        <is>
          <t>Person data</t>
        </is>
      </c>
      <c r="C27" s="9" t="inlineStr">
        <is>
          <t>The person record accepts further project-related information without a schema change.</t>
        </is>
      </c>
      <c r="D27" s="8" t="inlineStr">
        <is>
          <t>Should</t>
        </is>
      </c>
      <c r="E27" s="8" t="inlineStr">
        <is>
          <t>Requester</t>
        </is>
      </c>
      <c r="F27" s="8" t="inlineStr">
        <is>
          <t>2</t>
        </is>
      </c>
    </row>
    <row r="28">
      <c r="A28" s="10" t="inlineStr">
        <is>
          <t>REQ-PSN-07</t>
        </is>
      </c>
      <c r="B28" s="10" t="inlineStr">
        <is>
          <t>Person data</t>
        </is>
      </c>
      <c r="C28" s="11" t="inlineStr">
        <is>
          <t>One person may hold assignments on several projects simultaneously, and may hold more than one role on the same project.</t>
        </is>
      </c>
      <c r="D28" s="10" t="inlineStr">
        <is>
          <t>Must</t>
        </is>
      </c>
      <c r="E28" s="10" t="inlineStr">
        <is>
          <t>Derived</t>
        </is>
      </c>
      <c r="F28" s="10" t="inlineStr">
        <is>
          <t>2</t>
        </is>
      </c>
    </row>
    <row r="29">
      <c r="A29" s="18" t="inlineStr">
        <is>
          <t>REQ-CAL-01</t>
        </is>
      </c>
      <c r="B29" s="18" t="inlineStr">
        <is>
          <t>Calculation</t>
        </is>
      </c>
      <c r="C29" s="17" t="inlineStr">
        <is>
          <t>Resource is simulated on a monthly grid, default horizon 24 months, expandable to the latest project end date.</t>
        </is>
      </c>
      <c r="D29" s="18" t="inlineStr">
        <is>
          <t>Must</t>
        </is>
      </c>
      <c r="E29" s="18" t="inlineStr">
        <is>
          <t>Q-11</t>
        </is>
      </c>
      <c r="F29" s="18" t="inlineStr">
        <is>
          <t>4</t>
        </is>
      </c>
    </row>
    <row r="30">
      <c r="A30" s="18" t="inlineStr">
        <is>
          <t>REQ-CAL-02</t>
        </is>
      </c>
      <c r="B30" s="18" t="inlineStr">
        <is>
          <t>Calculation</t>
        </is>
      </c>
      <c r="C30" s="17" t="inlineStr">
        <is>
          <t>Monthly load for an assignment = project period weight x role factor x person weight x fraction of the month covered. There is no separate base allocation.</t>
        </is>
      </c>
      <c r="D30" s="18" t="inlineStr">
        <is>
          <t>Must</t>
        </is>
      </c>
      <c r="E30" s="18" t="inlineStr">
        <is>
          <t>Q-01</t>
        </is>
      </c>
      <c r="F30" s="18" t="inlineStr">
        <is>
          <t>2,4</t>
        </is>
      </c>
    </row>
    <row r="31">
      <c r="A31" s="8" t="inlineStr">
        <is>
          <t>REQ-CAL-03</t>
        </is>
      </c>
      <c r="B31" s="8" t="inlineStr">
        <is>
          <t>Calculation</t>
        </is>
      </c>
      <c r="C31" s="9" t="inlineStr">
        <is>
          <t>Project monthly load is the sum of its assignments; person monthly load is the sum across all their projects.</t>
        </is>
      </c>
      <c r="D31" s="8" t="inlineStr">
        <is>
          <t>Must</t>
        </is>
      </c>
      <c r="E31" s="8" t="inlineStr">
        <is>
          <t>Requester</t>
        </is>
      </c>
      <c r="F31" s="8" t="inlineStr">
        <is>
          <t>4</t>
        </is>
      </c>
    </row>
    <row r="32">
      <c r="A32" s="18" t="inlineStr">
        <is>
          <t>REQ-CAL-04</t>
        </is>
      </c>
      <c r="B32" s="18" t="inlineStr">
        <is>
          <t>Calculation</t>
        </is>
      </c>
      <c r="C32" s="17" t="inlineStr">
        <is>
          <t>A person-month whose total exceeds the over-allocation threshold (default 1.50 FTE) is flagged as over-allocated.</t>
        </is>
      </c>
      <c r="D32" s="18" t="inlineStr">
        <is>
          <t>Must</t>
        </is>
      </c>
      <c r="E32" s="18" t="inlineStr">
        <is>
          <t>Q-08</t>
        </is>
      </c>
      <c r="F32" s="18" t="inlineStr">
        <is>
          <t>4</t>
        </is>
      </c>
    </row>
    <row r="33">
      <c r="A33" s="18" t="inlineStr">
        <is>
          <t>REQ-CAL-05</t>
        </is>
      </c>
      <c r="B33" s="18" t="inlineStr">
        <is>
          <t>Calculation</t>
        </is>
      </c>
      <c r="C33" s="17" t="inlineStr">
        <is>
          <t>A partial first or last month is pro-rated by calendar days worked, not counted as a whole month.</t>
        </is>
      </c>
      <c r="D33" s="18" t="inlineStr">
        <is>
          <t>Must</t>
        </is>
      </c>
      <c r="E33" s="18" t="inlineStr">
        <is>
          <t>Q-02</t>
        </is>
      </c>
      <c r="F33" s="18" t="inlineStr">
        <is>
          <t>4</t>
        </is>
      </c>
    </row>
    <row r="34">
      <c r="A34" s="10" t="inlineStr">
        <is>
          <t>REQ-CAL-06</t>
        </is>
      </c>
      <c r="B34" s="10" t="inlineStr">
        <is>
          <t>Calculation</t>
        </is>
      </c>
      <c r="C34" s="11" t="inlineStr">
        <is>
          <t>All weights, factors and thresholds are data, held in the source workbook, never hardcoded in the program.</t>
        </is>
      </c>
      <c r="D34" s="10" t="inlineStr">
        <is>
          <t>Must</t>
        </is>
      </c>
      <c r="E34" s="10" t="inlineStr">
        <is>
          <t>Derived</t>
        </is>
      </c>
      <c r="F34" s="10" t="inlineStr">
        <is>
          <t>4</t>
        </is>
      </c>
    </row>
    <row r="35">
      <c r="A35" s="20" t="inlineStr">
        <is>
          <t>REQ-CAL-07</t>
        </is>
      </c>
      <c r="B35" s="20" t="inlineStr">
        <is>
          <t>Calculation</t>
        </is>
      </c>
      <c r="C35" s="19" t="inlineStr">
        <is>
          <t>A person whose monthly total stays below the under-allocation threshold (default 0.80 FTE) for three or more consecutive months is flagged as under-allocated, with the run's start and length reported.</t>
        </is>
      </c>
      <c r="D35" s="20" t="inlineStr">
        <is>
          <t>Must</t>
        </is>
      </c>
      <c r="E35" s="20" t="inlineStr">
        <is>
          <t>Q-08</t>
        </is>
      </c>
      <c r="F35" s="20" t="inlineStr">
        <is>
          <t>4</t>
        </is>
      </c>
    </row>
    <row r="36">
      <c r="A36" s="20" t="inlineStr">
        <is>
          <t>REQ-CAL-08</t>
        </is>
      </c>
      <c r="B36" s="20" t="inlineStr">
        <is>
          <t>Calculation</t>
        </is>
      </c>
      <c r="C36" s="19" t="inlineStr">
        <is>
          <t>Load is expressed in FTE, where 1.00 FTE = 160 hours per month (8 h/day x 5 days/week x 20 days/month). Hours are shown alongside FTE where useful.</t>
        </is>
      </c>
      <c r="D36" s="20" t="inlineStr">
        <is>
          <t>Must</t>
        </is>
      </c>
      <c r="E36" s="20" t="inlineStr">
        <is>
          <t>Q-08</t>
        </is>
      </c>
      <c r="F36" s="20" t="inlineStr">
        <is>
          <t>4</t>
        </is>
      </c>
    </row>
    <row r="37">
      <c r="A37" s="18" t="inlineStr">
        <is>
          <t>REQ-CAL-09</t>
        </is>
      </c>
      <c r="B37" s="18" t="inlineStr">
        <is>
          <t>Calculation</t>
        </is>
      </c>
      <c r="C37" s="17" t="inlineStr">
        <is>
          <t>For a 'Clinical Trial' project, period boundaries are computed from milestone dates plus fixed month offsets (sheet 05), so a timeline change re-shapes the periods without re-typing them. For 'Others', periods are entered directly - those projects have no milestone mapping.</t>
        </is>
      </c>
      <c r="D37" s="18" t="inlineStr">
        <is>
          <t>Must</t>
        </is>
      </c>
      <c r="E37" s="18" t="inlineStr">
        <is>
          <t>Q-16, Q-22, Q-23, Q-25</t>
        </is>
      </c>
      <c r="F37" s="18" t="inlineStr">
        <is>
          <t>2,4</t>
        </is>
      </c>
    </row>
    <row r="38">
      <c r="A38" s="20" t="inlineStr">
        <is>
          <t>REQ-CAL-10</t>
        </is>
      </c>
      <c r="B38" s="20" t="inlineStr">
        <is>
          <t>Calculation</t>
        </is>
      </c>
      <c r="C38" s="19" t="inlineStr">
        <is>
          <t>Every month of a project's timeline falls in exactly one period. A month left uncovered by the derivation is reported and carries weight 1.00 rather than being dropped from the simulation.</t>
        </is>
      </c>
      <c r="D38" s="20" t="inlineStr">
        <is>
          <t>Must</t>
        </is>
      </c>
      <c r="E38" s="20" t="inlineStr">
        <is>
          <t>Derived from Q-16</t>
        </is>
      </c>
      <c r="F38" s="20" t="inlineStr">
        <is>
          <t>2,4</t>
        </is>
      </c>
    </row>
    <row r="39">
      <c r="A39" s="20" t="inlineStr">
        <is>
          <t>REQ-CAL-11</t>
        </is>
      </c>
      <c r="B39" s="20" t="inlineStr">
        <is>
          <t>Calculation</t>
        </is>
      </c>
      <c r="C39" s="19" t="inlineStr">
        <is>
          <t>A period name may occur more than once in one project: 'Conduct' runs as two separate stretches where an interim DB lock splits it. Each occurrence is its own row with its own dates and a sequence number.</t>
        </is>
      </c>
      <c r="D39" s="20" t="inlineStr">
        <is>
          <t>Must</t>
        </is>
      </c>
      <c r="E39" s="20" t="inlineStr">
        <is>
          <t>Q-23</t>
        </is>
      </c>
      <c r="F39" s="20" t="inlineStr">
        <is>
          <t>2,4</t>
        </is>
      </c>
    </row>
    <row r="40">
      <c r="A40" s="20" t="inlineStr">
        <is>
          <t>REQ-CAL-12</t>
        </is>
      </c>
      <c r="B40" s="20" t="inlineStr">
        <is>
          <t>Calculation</t>
        </is>
      </c>
      <c r="C40" s="19" t="inlineStr">
        <is>
          <t>Where a timeline squeezes a derived period to zero or negative length, that period is omitted and the omission reported. Boundaries are applied in order so the periods always stay contiguous.</t>
        </is>
      </c>
      <c r="D40" s="20" t="inlineStr">
        <is>
          <t>Must</t>
        </is>
      </c>
      <c r="E40" s="20" t="inlineStr">
        <is>
          <t>Derived from Q-22, Q-23</t>
        </is>
      </c>
      <c r="F40" s="20" t="inlineStr">
        <is>
          <t>2,4</t>
        </is>
      </c>
    </row>
    <row r="41">
      <c r="A41" s="8" t="inlineStr">
        <is>
          <t>REQ-DSH-01</t>
        </is>
      </c>
      <c r="B41" s="8" t="inlineStr">
        <is>
          <t>Dashboard</t>
        </is>
      </c>
      <c r="C41" s="9" t="inlineStr">
        <is>
          <t>Tab 'Overall' shows monthly resource simulation per project and per person as tables.</t>
        </is>
      </c>
      <c r="D41" s="8" t="inlineStr">
        <is>
          <t>Must</t>
        </is>
      </c>
      <c r="E41" s="8" t="inlineStr">
        <is>
          <t>Requester</t>
        </is>
      </c>
      <c r="F41" s="8" t="inlineStr">
        <is>
          <t>3,4</t>
        </is>
      </c>
    </row>
    <row r="42">
      <c r="A42" s="10" t="inlineStr">
        <is>
          <t>REQ-DSH-02</t>
        </is>
      </c>
      <c r="B42" s="10" t="inlineStr">
        <is>
          <t>Dashboard</t>
        </is>
      </c>
      <c r="C42" s="11" t="inlineStr">
        <is>
          <t>Tab 'Overall' shows appropriate graphs of the same simulation.</t>
        </is>
      </c>
      <c r="D42" s="10" t="inlineStr">
        <is>
          <t>Must</t>
        </is>
      </c>
      <c r="E42" s="10" t="inlineStr">
        <is>
          <t>Requester</t>
        </is>
      </c>
      <c r="F42" s="10" t="inlineStr">
        <is>
          <t>3,4</t>
        </is>
      </c>
    </row>
    <row r="43">
      <c r="A43" s="8" t="inlineStr">
        <is>
          <t>REQ-DSH-03</t>
        </is>
      </c>
      <c r="B43" s="8" t="inlineStr">
        <is>
          <t>Dashboard</t>
        </is>
      </c>
      <c r="C43" s="9" t="inlineStr">
        <is>
          <t>Tab 'Source data (project)' shows project information as a table.</t>
        </is>
      </c>
      <c r="D43" s="8" t="inlineStr">
        <is>
          <t>Must</t>
        </is>
      </c>
      <c r="E43" s="8" t="inlineStr">
        <is>
          <t>Requester</t>
        </is>
      </c>
      <c r="F43" s="8" t="inlineStr">
        <is>
          <t>3,4</t>
        </is>
      </c>
    </row>
    <row r="44">
      <c r="A44" s="10" t="inlineStr">
        <is>
          <t>REQ-DSH-04</t>
        </is>
      </c>
      <c r="B44" s="10" t="inlineStr">
        <is>
          <t>Dashboard</t>
        </is>
      </c>
      <c r="C44" s="11" t="inlineStr">
        <is>
          <t>Tab 'Source data (person)' shows person information as a table.</t>
        </is>
      </c>
      <c r="D44" s="10" t="inlineStr">
        <is>
          <t>Must</t>
        </is>
      </c>
      <c r="E44" s="10" t="inlineStr">
        <is>
          <t>Requester</t>
        </is>
      </c>
      <c r="F44" s="10" t="inlineStr">
        <is>
          <t>3,4</t>
        </is>
      </c>
    </row>
    <row r="45">
      <c r="A45" s="8" t="inlineStr">
        <is>
          <t>REQ-DSH-05</t>
        </is>
      </c>
      <c r="B45" s="8" t="inlineStr">
        <is>
          <t>Dashboard</t>
        </is>
      </c>
      <c r="C45" s="9" t="inlineStr">
        <is>
          <t>Tables can be filtered by date horizon, project type, project, person and role.</t>
        </is>
      </c>
      <c r="D45" s="8" t="inlineStr">
        <is>
          <t>Should</t>
        </is>
      </c>
      <c r="E45" s="8" t="inlineStr">
        <is>
          <t>Derived</t>
        </is>
      </c>
      <c r="F45" s="8" t="inlineStr">
        <is>
          <t>3,4</t>
        </is>
      </c>
    </row>
    <row r="46">
      <c r="A46" s="10" t="inlineStr">
        <is>
          <t>REQ-DSH-06</t>
        </is>
      </c>
      <c r="B46" s="10" t="inlineStr">
        <is>
          <t>Dashboard</t>
        </is>
      </c>
      <c r="C46" s="11" t="inlineStr">
        <is>
          <t>Any table on screen can be exported to Excel.</t>
        </is>
      </c>
      <c r="D46" s="10" t="inlineStr">
        <is>
          <t>Should</t>
        </is>
      </c>
      <c r="E46" s="10" t="inlineStr">
        <is>
          <t>Derived</t>
        </is>
      </c>
      <c r="F46" s="10" t="inlineStr">
        <is>
          <t>4</t>
        </is>
      </c>
    </row>
    <row r="47">
      <c r="A47" s="20" t="inlineStr">
        <is>
          <t>REQ-DSH-07</t>
        </is>
      </c>
      <c r="B47" s="20" t="inlineStr">
        <is>
          <t>Dashboard</t>
        </is>
      </c>
      <c r="C47" s="19" t="inlineStr">
        <is>
          <t>The horizon control offers 24 months by default and a one-click expansion to cover the latest project end date across all projects.</t>
        </is>
      </c>
      <c r="D47" s="20" t="inlineStr">
        <is>
          <t>Must</t>
        </is>
      </c>
      <c r="E47" s="20" t="inlineStr">
        <is>
          <t>Q-11</t>
        </is>
      </c>
      <c r="F47" s="20" t="inlineStr">
        <is>
          <t>3,4</t>
        </is>
      </c>
    </row>
    <row r="48">
      <c r="A48" s="20" t="inlineStr">
        <is>
          <t>REQ-DSH-08</t>
        </is>
      </c>
      <c r="B48" s="20" t="inlineStr">
        <is>
          <t>Dashboard</t>
        </is>
      </c>
      <c r="C48" s="19" t="inlineStr">
        <is>
          <t>Over-allocated and under-allocated person-months are distinguishable at a glance, and both are counted in the summary tiles.</t>
        </is>
      </c>
      <c r="D48" s="20" t="inlineStr">
        <is>
          <t>Must</t>
        </is>
      </c>
      <c r="E48" s="20" t="inlineStr">
        <is>
          <t>Q-08</t>
        </is>
      </c>
      <c r="F48" s="20" t="inlineStr">
        <is>
          <t>3,4</t>
        </is>
      </c>
    </row>
    <row r="49">
      <c r="A49" s="18" t="inlineStr">
        <is>
          <t>REQ-IMP-01</t>
        </is>
      </c>
      <c r="B49" s="18" t="inlineStr">
        <is>
          <t>Import/Export</t>
        </is>
      </c>
      <c r="C49" s="17" t="inlineStr">
        <is>
          <t>The user loads the source workbook through a file picker or drag-and-drop, chosen because a local HTML page cannot open a file from disk unaided.</t>
        </is>
      </c>
      <c r="D49" s="18" t="inlineStr">
        <is>
          <t>Must</t>
        </is>
      </c>
      <c r="E49" s="18" t="inlineStr">
        <is>
          <t>Decision D-01</t>
        </is>
      </c>
      <c r="F49" s="18" t="inlineStr">
        <is>
          <t>4</t>
        </is>
      </c>
    </row>
    <row r="50">
      <c r="A50" s="10" t="inlineStr">
        <is>
          <t>REQ-IMP-02</t>
        </is>
      </c>
      <c r="B50" s="10" t="inlineStr">
        <is>
          <t>Import/Export</t>
        </is>
      </c>
      <c r="C50" s="11" t="inlineStr">
        <is>
          <t>Loading validates the workbook and reports every problem found - missing sheet, missing column, bad date, unknown project reference - without stopping at the first one.</t>
        </is>
      </c>
      <c r="D50" s="10" t="inlineStr">
        <is>
          <t>Must</t>
        </is>
      </c>
      <c r="E50" s="10" t="inlineStr">
        <is>
          <t>Derived</t>
        </is>
      </c>
      <c r="F50" s="10" t="inlineStr">
        <is>
          <t>4</t>
        </is>
      </c>
    </row>
    <row r="51">
      <c r="A51" s="18" t="inlineStr">
        <is>
          <t>REQ-IMP-03</t>
        </is>
      </c>
      <c r="B51" s="18" t="inlineStr">
        <is>
          <t>Import/Export</t>
        </is>
      </c>
      <c r="C51" s="17" t="inlineStr">
        <is>
          <t>A blank source workbook template with correct sheet names, headers, value lists and one example row is delivered with the application.</t>
        </is>
      </c>
      <c r="D51" s="18" t="inlineStr">
        <is>
          <t>Must</t>
        </is>
      </c>
      <c r="E51" s="18" t="inlineStr">
        <is>
          <t>Derived</t>
        </is>
      </c>
      <c r="F51" s="18" t="inlineStr">
        <is>
          <t>4</t>
        </is>
      </c>
    </row>
    <row r="52">
      <c r="A52" s="10" t="inlineStr">
        <is>
          <t>REQ-IMP-04</t>
        </is>
      </c>
      <c r="B52" s="10" t="inlineStr">
        <is>
          <t>Import/Export</t>
        </is>
      </c>
      <c r="C52" s="11" t="inlineStr">
        <is>
          <t>The user can export current data back to .xlsx, preserving the template layout so the export can be re-imported.</t>
        </is>
      </c>
      <c r="D52" s="10" t="inlineStr">
        <is>
          <t>Must</t>
        </is>
      </c>
      <c r="E52" s="10" t="inlineStr">
        <is>
          <t>Derived</t>
        </is>
      </c>
      <c r="F52" s="10" t="inlineStr">
        <is>
          <t>4</t>
        </is>
      </c>
    </row>
    <row r="53">
      <c r="A53" s="8" t="inlineStr">
        <is>
          <t>REQ-IMP-05</t>
        </is>
      </c>
      <c r="B53" s="8" t="inlineStr">
        <is>
          <t>Import/Export</t>
        </is>
      </c>
      <c r="C53" s="9" t="inlineStr">
        <is>
          <t>The application records which file was loaded, and when, and shows it on screen.</t>
        </is>
      </c>
      <c r="D53" s="8" t="inlineStr">
        <is>
          <t>Should</t>
        </is>
      </c>
      <c r="E53" s="8" t="inlineStr">
        <is>
          <t>Derived</t>
        </is>
      </c>
      <c r="F53" s="8" t="inlineStr">
        <is>
          <t>4</t>
        </is>
      </c>
    </row>
    <row r="54">
      <c r="A54" s="10" t="inlineStr">
        <is>
          <t>REQ-IMP-06</t>
        </is>
      </c>
      <c r="B54" s="10" t="inlineStr">
        <is>
          <t>Import/Export</t>
        </is>
      </c>
      <c r="C54" s="11" t="inlineStr">
        <is>
          <t>Loaded data may be cached in the browser so re-opening the page does not force a re-import; the cache never replaces the workbook as the record.</t>
        </is>
      </c>
      <c r="D54" s="10" t="inlineStr">
        <is>
          <t>Could</t>
        </is>
      </c>
      <c r="E54" s="10" t="inlineStr">
        <is>
          <t>Derived</t>
        </is>
      </c>
      <c r="F54" s="10" t="inlineStr">
        <is>
          <t>4</t>
        </is>
      </c>
    </row>
    <row r="55">
      <c r="A55" s="20" t="inlineStr">
        <is>
          <t>REQ-IMP-07</t>
        </is>
      </c>
      <c r="B55" s="20" t="inlineStr">
        <is>
          <t>Import/Export</t>
        </is>
      </c>
      <c r="C55" s="19" t="inlineStr">
        <is>
          <t>After import, the application lets the user update the data on screen, and those updates are carried into the file produced on export.</t>
        </is>
      </c>
      <c r="D55" s="20" t="inlineStr">
        <is>
          <t>Must</t>
        </is>
      </c>
      <c r="E55" s="20" t="inlineStr">
        <is>
          <t>Reviewer v0.11</t>
        </is>
      </c>
      <c r="F55" s="20" t="inlineStr">
        <is>
          <t>4</t>
        </is>
      </c>
    </row>
    <row r="56">
      <c r="A56" s="20" t="inlineStr">
        <is>
          <t>REQ-IMP-08</t>
        </is>
      </c>
      <c r="B56" s="20" t="inlineStr">
        <is>
          <t>Import/Export</t>
        </is>
      </c>
      <c r="C56" s="19" t="inlineStr">
        <is>
          <t>Unsaved edits are visible as such, and the user is warned before any action that would discard them (closing the page, loading another file).</t>
        </is>
      </c>
      <c r="D56" s="20" t="inlineStr">
        <is>
          <t>Must</t>
        </is>
      </c>
      <c r="E56" s="20" t="inlineStr">
        <is>
          <t>Derived from REQ-IMP-07</t>
        </is>
      </c>
      <c r="F56" s="20" t="inlineStr">
        <is>
          <t>4</t>
        </is>
      </c>
    </row>
    <row r="57">
      <c r="A57" s="18" t="inlineStr">
        <is>
          <t>REQ-IMP-09</t>
        </is>
      </c>
      <c r="B57" s="18" t="inlineStr">
        <is>
          <t>Import/Export</t>
        </is>
      </c>
      <c r="C57" s="17" t="inlineStr">
        <is>
          <t>Every field is editable, including identifiers. An on-screen edit is re-validated against the same rules as an imported value, so editing cannot introduce data the import would have rejected.</t>
        </is>
      </c>
      <c r="D57" s="18" t="inlineStr">
        <is>
          <t>Must</t>
        </is>
      </c>
      <c r="E57" s="18" t="inlineStr">
        <is>
          <t>Q-20</t>
        </is>
      </c>
      <c r="F57" s="18" t="inlineStr">
        <is>
          <t>4</t>
        </is>
      </c>
    </row>
    <row r="58">
      <c r="A58" s="20" t="inlineStr">
        <is>
          <t>REQ-IMP-10</t>
        </is>
      </c>
      <c r="B58" s="20" t="inlineStr">
        <is>
          <t>Import/Export</t>
        </is>
      </c>
      <c r="C58" s="19" t="inlineStr">
        <is>
          <t>Editing an identifier that other sheets reference cascades to every referencing row, after showing how many rows will change. Deleting a referenced row is refused, naming what still points at it.</t>
        </is>
      </c>
      <c r="D58" s="20" t="inlineStr">
        <is>
          <t>Must</t>
        </is>
      </c>
      <c r="E58" s="20" t="inlineStr">
        <is>
          <t>Q-20</t>
        </is>
      </c>
      <c r="F58" s="20" t="inlineStr">
        <is>
          <t>4</t>
        </is>
      </c>
    </row>
    <row r="59">
      <c r="A59" s="8" t="inlineStr">
        <is>
          <t>REQ-VC-01</t>
        </is>
      </c>
      <c r="B59" s="8" t="inlineStr">
        <is>
          <t>Version control</t>
        </is>
      </c>
      <c r="C59" s="9" t="inlineStr">
        <is>
          <t>Development plan, programming specification and output files are version-controlled together and their versions are cross-referenced.</t>
        </is>
      </c>
      <c r="D59" s="8" t="inlineStr">
        <is>
          <t>Must</t>
        </is>
      </c>
      <c r="E59" s="8" t="inlineStr">
        <is>
          <t>Requester</t>
        </is>
      </c>
      <c r="F59" s="8" t="inlineStr">
        <is>
          <t>1-5</t>
        </is>
      </c>
    </row>
    <row r="60">
      <c r="A60" s="10" t="inlineStr">
        <is>
          <t>REQ-VC-02</t>
        </is>
      </c>
      <c r="B60" s="10" t="inlineStr">
        <is>
          <t>Version control</t>
        </is>
      </c>
      <c r="C60" s="11" t="inlineStr">
        <is>
          <t>The application displays its own version, and the version of the source data schema it expects.</t>
        </is>
      </c>
      <c r="D60" s="10" t="inlineStr">
        <is>
          <t>Must</t>
        </is>
      </c>
      <c r="E60" s="10" t="inlineStr">
        <is>
          <t>Requester</t>
        </is>
      </c>
      <c r="F60" s="10" t="inlineStr">
        <is>
          <t>4</t>
        </is>
      </c>
    </row>
    <row r="61">
      <c r="A61" s="8" t="inlineStr">
        <is>
          <t>REQ-VC-03</t>
        </is>
      </c>
      <c r="B61" s="8" t="inlineStr">
        <is>
          <t>Version control</t>
        </is>
      </c>
      <c r="C61" s="9" t="inlineStr">
        <is>
          <t>Loading a source file whose schema version is newer or older than the application expects produces a clear warning.</t>
        </is>
      </c>
      <c r="D61" s="8" t="inlineStr">
        <is>
          <t>Should</t>
        </is>
      </c>
      <c r="E61" s="8" t="inlineStr">
        <is>
          <t>Derived</t>
        </is>
      </c>
      <c r="F61" s="8" t="inlineStr">
        <is>
          <t>4</t>
        </is>
      </c>
    </row>
    <row r="62">
      <c r="A62" s="10" t="inlineStr">
        <is>
          <t>REQ-VC-04</t>
        </is>
      </c>
      <c r="B62" s="10" t="inlineStr">
        <is>
          <t>Version control</t>
        </is>
      </c>
      <c r="C62" s="11" t="inlineStr">
        <is>
          <t>Every document re-issue adds a version-history row stating what changed and why.</t>
        </is>
      </c>
      <c r="D62" s="10" t="inlineStr">
        <is>
          <t>Must</t>
        </is>
      </c>
      <c r="E62" s="10" t="inlineStr">
        <is>
          <t>Requester</t>
        </is>
      </c>
      <c r="F62" s="10" t="inlineStr">
        <is>
          <t>1-5</t>
        </is>
      </c>
    </row>
    <row r="63">
      <c r="A63" s="8" t="inlineStr">
        <is>
          <t>REQ-NFR-01</t>
        </is>
      </c>
      <c r="B63" s="8" t="inlineStr">
        <is>
          <t>Non-functional</t>
        </is>
      </c>
      <c r="C63" s="9" t="inlineStr">
        <is>
          <t>The application is built so later requirements can be added without restructuring: parsing, calculation and presentation are separated.</t>
        </is>
      </c>
      <c r="D63" s="8" t="inlineStr">
        <is>
          <t>Must</t>
        </is>
      </c>
      <c r="E63" s="8" t="inlineStr">
        <is>
          <t>Requester</t>
        </is>
      </c>
      <c r="F63" s="8" t="inlineStr">
        <is>
          <t>4</t>
        </is>
      </c>
    </row>
    <row r="64">
      <c r="A64" s="10" t="inlineStr">
        <is>
          <t>REQ-NFR-02</t>
        </is>
      </c>
      <c r="B64" s="10" t="inlineStr">
        <is>
          <t>Non-functional</t>
        </is>
      </c>
      <c r="C64" s="11" t="inlineStr">
        <is>
          <t>Works in Microsoft Edge and Google Chrome on Windows 10/11, offline.</t>
        </is>
      </c>
      <c r="D64" s="10" t="inlineStr">
        <is>
          <t>Must</t>
        </is>
      </c>
      <c r="E64" s="10" t="inlineStr">
        <is>
          <t>Q-05</t>
        </is>
      </c>
      <c r="F64" s="10" t="inlineStr">
        <is>
          <t>4</t>
        </is>
      </c>
    </row>
    <row r="65">
      <c r="A65" s="18" t="inlineStr">
        <is>
          <t>REQ-NFR-03</t>
        </is>
      </c>
      <c r="B65" s="18" t="inlineStr">
        <is>
          <t>Non-functional</t>
        </is>
      </c>
      <c r="C65" s="17" t="inlineStr">
        <is>
          <t>Handles the working data volume - 20 projects, 30 people - with headroom to 50 projects, 100 people, 500 assignments and a 60-month horizon, redrawing in under about 1 second.</t>
        </is>
      </c>
      <c r="D65" s="18" t="inlineStr">
        <is>
          <t>Should</t>
        </is>
      </c>
      <c r="E65" s="18" t="inlineStr">
        <is>
          <t>Q-06</t>
        </is>
      </c>
      <c r="F65" s="18" t="inlineStr">
        <is>
          <t>4</t>
        </is>
      </c>
    </row>
    <row r="66">
      <c r="A66" s="10" t="inlineStr">
        <is>
          <t>REQ-NFR-04</t>
        </is>
      </c>
      <c r="B66" s="10" t="inlineStr">
        <is>
          <t>Non-functional</t>
        </is>
      </c>
      <c r="C66" s="11" t="inlineStr">
        <is>
          <t>No data leaves the PC: no network calls, no external CDN, no telemetry.</t>
        </is>
      </c>
      <c r="D66" s="10" t="inlineStr">
        <is>
          <t>Must</t>
        </is>
      </c>
      <c r="E66" s="10" t="inlineStr">
        <is>
          <t>Derived</t>
        </is>
      </c>
      <c r="F66" s="10" t="inlineStr">
        <is>
          <t>4</t>
        </is>
      </c>
    </row>
    <row r="67">
      <c r="A67" s="8" t="inlineStr">
        <is>
          <t>REQ-NFR-05</t>
        </is>
      </c>
      <c r="B67" s="8" t="inlineStr">
        <is>
          <t>Non-functional</t>
        </is>
      </c>
      <c r="C67" s="9" t="inlineStr">
        <is>
          <t>Dates are handled unambiguously (ISO yyyy-mm-dd internally) regardless of Windows regional settings.</t>
        </is>
      </c>
      <c r="D67" s="8" t="inlineStr">
        <is>
          <t>Must</t>
        </is>
      </c>
      <c r="E67" s="8" t="inlineStr">
        <is>
          <t>Derived</t>
        </is>
      </c>
      <c r="F67" s="8" t="inlineStr">
        <is>
          <t>4</t>
        </is>
      </c>
    </row>
    <row r="69">
      <c r="A69" s="5" t="inlineStr">
        <is>
          <t>Requirement count by priority</t>
        </is>
      </c>
    </row>
    <row r="70" ht="28" customHeight="1">
      <c r="A70" s="7" t="inlineStr">
        <is>
          <t>Priority</t>
        </is>
      </c>
      <c r="B70" s="7" t="inlineStr">
        <is>
          <t>Count</t>
        </is>
      </c>
    </row>
    <row r="71">
      <c r="A71" s="8" t="inlineStr">
        <is>
          <t>Must</t>
        </is>
      </c>
      <c r="B71" s="8">
        <f>COUNTIF(D5:D67,"Must")</f>
        <v/>
      </c>
    </row>
    <row r="72">
      <c r="A72" s="10" t="inlineStr">
        <is>
          <t>Should</t>
        </is>
      </c>
      <c r="B72" s="10">
        <f>COUNTIF(D5:D67,"Should")</f>
        <v/>
      </c>
    </row>
    <row r="73">
      <c r="A73" s="8" t="inlineStr">
        <is>
          <t>Could</t>
        </is>
      </c>
      <c r="B73" s="8">
        <f>COUNTIF(D5:D67,"Could")</f>
        <v/>
      </c>
    </row>
    <row r="74">
      <c r="A74" s="10" t="inlineStr">
        <is>
          <t>Total</t>
        </is>
      </c>
      <c r="B74" s="10">
        <f>COUNTA(A5:A67)</f>
        <v/>
      </c>
    </row>
    <row r="76">
      <c r="A76" s="16" t="inlineStr">
        <is>
          <t>47 requirements at v0.1, 58 at v0.2, 61 at v0.3. v0.4 adds 2 and rewords 5.</t>
        </is>
      </c>
    </row>
    <row r="77">
      <c r="A77" s="16" t="inlineStr">
        <is>
          <t>'Source' = Requester (in the original request), a Q-number (answered at v0.11 review), 'Reviewer v0.11' (added by the reviewer directly), Derived (engineering consequence), or a Decision ID from 07_Architecture.</t>
        </is>
      </c>
    </row>
    <row r="78">
      <c r="A78" s="3" t="inlineStr">
        <is>
          <t>Legend</t>
        </is>
      </c>
    </row>
    <row r="79">
      <c r="A79" s="12" t="inlineStr">
        <is>
          <t>Green = new in v0.2, added from your review answers.</t>
        </is>
      </c>
    </row>
    <row r="80">
      <c r="A80" s="13" t="inlineStr">
        <is>
          <t>Orange = changed in v0.2 as a consequence of your review.</t>
        </is>
      </c>
    </row>
    <row r="81">
      <c r="A81" s="14" t="inlineStr">
        <is>
          <t>Yellow = still needs your input.</t>
        </is>
      </c>
    </row>
  </sheetData>
  <dataValidations count="1">
    <dataValidation sqref="D5:D67"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0"/>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20" t="inlineStr">
        <is>
          <t>ProjectPeriod</t>
        </is>
      </c>
      <c r="B8" s="19" t="inlineStr">
        <is>
          <t>The four standard periods per project, with their start/end and weight.</t>
        </is>
      </c>
      <c r="C8" s="20" t="inlineStr">
        <is>
          <t>Child of Project</t>
        </is>
      </c>
    </row>
    <row r="9">
      <c r="A9" s="20" t="inlineStr">
        <is>
          <t>PeriodWeightStandard</t>
        </is>
      </c>
      <c r="B9" s="19" t="inlineStr">
        <is>
          <t>Default weight per project category x period. Seeds ProjectPeriod.</t>
        </is>
      </c>
      <c r="C9" s="20" t="inlineStr">
        <is>
          <t>Reference</t>
        </is>
      </c>
    </row>
    <row r="10">
      <c r="A10" s="8" t="inlineStr">
        <is>
          <t>RoleFactor</t>
        </is>
      </c>
      <c r="B10" s="9" t="inlineStr">
        <is>
          <t>Role list and burden factor, per project type.</t>
        </is>
      </c>
      <c r="C10" s="8"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20" t="inlineStr">
        <is>
          <t>Lists</t>
        </is>
      </c>
      <c r="B14" s="19" t="inlineStr">
        <is>
          <t>Value lists for every data-driven dropdown, so lists change without code.</t>
        </is>
      </c>
      <c r="C14" s="20"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8" t="inlineStr">
        <is>
          <t>project_type</t>
        </is>
      </c>
      <c r="B21" s="8" t="inlineStr">
        <is>
          <t>List</t>
        </is>
      </c>
      <c r="C21" s="8" t="inlineStr">
        <is>
          <t>Yes</t>
        </is>
      </c>
      <c r="D21" s="9" t="inlineStr">
        <is>
          <t>'Clinical Trial' or 'Others'.</t>
        </is>
      </c>
      <c r="E21" s="8" t="inlineStr">
        <is>
          <t>REQ-PRJ-01</t>
        </is>
      </c>
    </row>
    <row r="22">
      <c r="A22" s="10" t="inlineStr">
        <is>
          <t>project_category</t>
        </is>
      </c>
      <c r="B22" s="10" t="inlineStr">
        <is>
          <t>Text</t>
        </is>
      </c>
      <c r="C22" s="10" t="inlineStr">
        <is>
          <t>Conditional</t>
        </is>
      </c>
      <c r="D22" s="11" t="inlineStr">
        <is>
          <t>Product name. Required when project_type = 'Clinical Trial'.</t>
        </is>
      </c>
      <c r="E22" s="10" t="inlineStr">
        <is>
          <t>REQ-PRJ-02</t>
        </is>
      </c>
    </row>
    <row r="23">
      <c r="A23" s="20" t="inlineStr">
        <is>
          <t>clinical_phase</t>
        </is>
      </c>
      <c r="B23" s="20" t="inlineStr">
        <is>
          <t>List</t>
        </is>
      </c>
      <c r="C23" s="20" t="inlineStr">
        <is>
          <t>Conditional</t>
        </is>
      </c>
      <c r="D23" s="19" t="inlineStr">
        <is>
          <t>'Phase 1' / 'Phase 2' / 'Phase 3' / 'Phase 4'. Required when project_type = 'Clinical Trial'.</t>
        </is>
      </c>
      <c r="E23" s="20" t="inlineStr">
        <is>
          <t>REQ-PRJ-09</t>
        </is>
      </c>
    </row>
    <row r="24">
      <c r="A24" s="18" t="inlineStr">
        <is>
          <t>outsourcing_type</t>
        </is>
      </c>
      <c r="B24" s="18" t="inlineStr">
        <is>
          <t>List</t>
        </is>
      </c>
      <c r="C24" s="18" t="inlineStr">
        <is>
          <t>Yes</t>
        </is>
      </c>
      <c r="D24" s="17" t="inlineStr">
        <is>
          <t>'Full outsourcing' / 'Partial outsourcing' / 'Full In-house'. Three values, fixed at Q-14.</t>
        </is>
      </c>
      <c r="E24" s="18" t="inlineStr">
        <is>
          <t>REQ-PRJ-04</t>
        </is>
      </c>
    </row>
    <row r="25">
      <c r="A25" s="20" t="inlineStr">
        <is>
          <t>EDC_setup</t>
        </is>
      </c>
      <c r="B25" s="20" t="inlineStr">
        <is>
          <t>List</t>
        </is>
      </c>
      <c r="C25" s="20" t="inlineStr">
        <is>
          <t>Conditional</t>
        </is>
      </c>
      <c r="D25" s="19" t="inlineStr">
        <is>
          <t>Who sets up the EDC system. 'by CRO' / 'by SB'. Required when project_type = 'Clinical Trial'.</t>
        </is>
      </c>
      <c r="E25" s="20" t="inlineStr">
        <is>
          <t>REQ-PRJ-10</t>
        </is>
      </c>
    </row>
    <row r="26">
      <c r="A26" s="20" t="inlineStr">
        <is>
          <t>DataReviewSystem_setup</t>
        </is>
      </c>
      <c r="B26" s="20" t="inlineStr">
        <is>
          <t>List</t>
        </is>
      </c>
      <c r="C26" s="20" t="inlineStr">
        <is>
          <t>Conditional</t>
        </is>
      </c>
      <c r="D26" s="19" t="inlineStr">
        <is>
          <t>Who sets up the data review system. 'by CRO' / 'by SB'.</t>
        </is>
      </c>
      <c r="E26" s="20" t="inlineStr">
        <is>
          <t>REQ-PRJ-10</t>
        </is>
      </c>
    </row>
    <row r="27">
      <c r="A27" s="20" t="inlineStr">
        <is>
          <t>RBQM_setup</t>
        </is>
      </c>
      <c r="B27" s="20" t="inlineStr">
        <is>
          <t>List</t>
        </is>
      </c>
      <c r="C27" s="20" t="inlineStr">
        <is>
          <t>Conditional</t>
        </is>
      </c>
      <c r="D27" s="19" t="inlineStr">
        <is>
          <t>Who sets up the RBQM system. 'by CRO' / 'by SB'.</t>
        </is>
      </c>
      <c r="E27" s="20" t="inlineStr">
        <is>
          <t>REQ-PRJ-10</t>
        </is>
      </c>
    </row>
    <row r="28">
      <c r="A28" s="20" t="inlineStr">
        <is>
          <t>DM_conduct</t>
        </is>
      </c>
      <c r="B28" s="20" t="inlineStr">
        <is>
          <t>List</t>
        </is>
      </c>
      <c r="C28" s="20" t="inlineStr">
        <is>
          <t>Conditional</t>
        </is>
      </c>
      <c r="D28" s="19" t="inlineStr">
        <is>
          <t>Who reviews the clinical trial data. 'by CRO' / 'by SB'.</t>
        </is>
      </c>
      <c r="E28" s="20" t="inlineStr">
        <is>
          <t>REQ-PRJ-10</t>
        </is>
      </c>
    </row>
    <row r="29">
      <c r="A29" s="20" t="inlineStr">
        <is>
          <t>EDC_system</t>
        </is>
      </c>
      <c r="B29" s="20" t="inlineStr">
        <is>
          <t>List</t>
        </is>
      </c>
      <c r="C29" s="20" t="inlineStr">
        <is>
          <t>Conditional</t>
        </is>
      </c>
      <c r="D29" s="19" t="inlineStr">
        <is>
          <t>EDC system name, e.g. 'Veeva EDC' / 'Rave' / 'eSOURCE'. Data-driven list.</t>
        </is>
      </c>
      <c r="E29" s="20" t="inlineStr">
        <is>
          <t>REQ-PRJ-11</t>
        </is>
      </c>
    </row>
    <row r="30">
      <c r="A30" s="20" t="inlineStr">
        <is>
          <t>DataReviewSystem</t>
        </is>
      </c>
      <c r="B30" s="20" t="inlineStr">
        <is>
          <t>List</t>
        </is>
      </c>
      <c r="C30" s="20" t="inlineStr">
        <is>
          <t>Conditional</t>
        </is>
      </c>
      <c r="D30" s="19" t="inlineStr">
        <is>
          <t>e.g. 'Veeva DQS' / 'Medidata CDS' / 'No system (manual)'. Data-driven list.</t>
        </is>
      </c>
      <c r="E30" s="20" t="inlineStr">
        <is>
          <t>REQ-PRJ-11</t>
        </is>
      </c>
    </row>
    <row r="31">
      <c r="A31" s="20" t="inlineStr">
        <is>
          <t>RBQM_system</t>
        </is>
      </c>
      <c r="B31" s="20" t="inlineStr">
        <is>
          <t>List</t>
        </is>
      </c>
      <c r="C31" s="20" t="inlineStr">
        <is>
          <t>Conditional</t>
        </is>
      </c>
      <c r="D31" s="19" t="inlineStr">
        <is>
          <t>e.g. 'CluePoints' / 'Medidata CDS' / 'No system (manual)'. Data-driven list.</t>
        </is>
      </c>
      <c r="E31" s="20"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20" t="inlineStr">
        <is>
          <t>project_name</t>
        </is>
      </c>
      <c r="B43" s="20" t="inlineStr">
        <is>
          <t>Text</t>
        </is>
      </c>
      <c r="C43" s="20" t="inlineStr">
        <is>
          <t>No</t>
        </is>
      </c>
      <c r="D43" s="19" t="inlineStr">
        <is>
          <t>Display convenience added at v0.11. Not authoritative: checked against Project on import and refreshed from it, so a mismatch cannot corrupt the link.</t>
        </is>
      </c>
      <c r="E43" s="20" t="inlineStr">
        <is>
          <t>REQ-PRJ-05</t>
        </is>
      </c>
    </row>
    <row r="44">
      <c r="A44" s="18" t="inlineStr">
        <is>
          <t>milestone_name</t>
        </is>
      </c>
      <c r="B44" s="18" t="inlineStr">
        <is>
          <t>List</t>
        </is>
      </c>
      <c r="C44" s="18" t="inlineStr">
        <is>
          <t>Yes</t>
        </is>
      </c>
      <c r="D44" s="17" t="inlineStr">
        <is>
          <t>Standard list (8), settled at Q-15 and Q-24: 'Protocol (v1)', 'CTA submission', 'First SIV', 'LPI', 'interim DB lock cut-off', 'interim DB lock', 'final DB lock cut-off', 'final DB lock'. FPI is no longer standard. Held in Lists, not fixed in code, so a project may add its own.</t>
        </is>
      </c>
      <c r="E44" s="18" t="inlineStr">
        <is>
          <t>REQ-PRJ-05</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8">
      <c r="A48" s="16" t="inlineStr">
        <is>
          <t>Of the eight, only CTA submission and the DB locks set period boundaries. 'Protocol (v1)', 'First SIV', 'LPI' and the two cut-off dates are markers shown on the timeline.</t>
        </is>
      </c>
    </row>
    <row r="49">
      <c r="A49" s="5" t="inlineStr">
        <is>
          <t>Sheet: ProjectPeriod  [was ProjectPeriodWeight]</t>
        </is>
      </c>
    </row>
    <row r="50" ht="28" customHeight="1">
      <c r="A50" s="7" t="inlineStr">
        <is>
          <t>Column</t>
        </is>
      </c>
      <c r="B50" s="7" t="inlineStr">
        <is>
          <t>Type</t>
        </is>
      </c>
      <c r="C50" s="7" t="inlineStr">
        <is>
          <t>Required</t>
        </is>
      </c>
      <c r="D50" s="7" t="inlineStr">
        <is>
          <t>Definition / rule</t>
        </is>
      </c>
      <c r="E50" s="7" t="inlineStr">
        <is>
          <t>REQ-ID</t>
        </is>
      </c>
    </row>
    <row r="51">
      <c r="A51" s="8" t="inlineStr">
        <is>
          <t>project_id</t>
        </is>
      </c>
      <c r="B51" s="8" t="inlineStr">
        <is>
          <t>Text</t>
        </is>
      </c>
      <c r="C51" s="8" t="inlineStr">
        <is>
          <t>Yes</t>
        </is>
      </c>
      <c r="D51" s="9" t="inlineStr">
        <is>
          <t>Foreign key to Project.</t>
        </is>
      </c>
      <c r="E51" s="8" t="inlineStr">
        <is>
          <t>REQ-PRJ-06</t>
        </is>
      </c>
    </row>
    <row r="52">
      <c r="A52" s="18" t="inlineStr">
        <is>
          <t>period_name</t>
        </is>
      </c>
      <c r="B52" s="18" t="inlineStr">
        <is>
          <t>List</t>
        </is>
      </c>
      <c r="C52" s="18" t="inlineStr">
        <is>
          <t>Yes</t>
        </is>
      </c>
      <c r="D52" s="17" t="inlineStr">
        <is>
          <t>From the period set for the project's TYPE - see the two sets below. A period name from the wrong set is rejected. NOT unique within a project: 'Conduct' occurs twice where an interim DB lock splits it.</t>
        </is>
      </c>
      <c r="E52" s="18" t="inlineStr">
        <is>
          <t>REQ-PRJ-12, REQ-CAL-11</t>
        </is>
      </c>
    </row>
    <row r="53">
      <c r="A53" s="20" t="inlineStr">
        <is>
          <t>period_seq</t>
        </is>
      </c>
      <c r="B53" s="20" t="inlineStr">
        <is>
          <t>Integer</t>
        </is>
      </c>
      <c r="C53" s="20" t="inlineStr">
        <is>
          <t>Yes</t>
        </is>
      </c>
      <c r="D53" s="19" t="inlineStr">
        <is>
          <t>Orders the periods along the timeline and tells the two 'Conduct' stretches apart. Unique within a project.</t>
        </is>
      </c>
      <c r="E53" s="20" t="inlineStr">
        <is>
          <t>REQ-CAL-11</t>
        </is>
      </c>
    </row>
    <row r="54">
      <c r="A54" s="18" t="inlineStr">
        <is>
          <t>period_start</t>
        </is>
      </c>
      <c r="B54" s="18" t="inlineStr">
        <is>
          <t>Date</t>
        </is>
      </c>
      <c r="C54" s="18" t="inlineStr">
        <is>
          <t>Yes</t>
        </is>
      </c>
      <c r="D54" s="17" t="inlineStr">
        <is>
          <t>Inclusive. For Clinical Trial, computed from milestones (sheet 05) and then editable. For Others, entered directly.</t>
        </is>
      </c>
      <c r="E54" s="18" t="inlineStr">
        <is>
          <t>REQ-CAL-09</t>
        </is>
      </c>
    </row>
    <row r="55">
      <c r="A55" s="18" t="inlineStr">
        <is>
          <t>period_end</t>
        </is>
      </c>
      <c r="B55" s="18" t="inlineStr">
        <is>
          <t>Date</t>
        </is>
      </c>
      <c r="C55" s="18" t="inlineStr">
        <is>
          <t>Yes</t>
        </is>
      </c>
      <c r="D55" s="17" t="inlineStr">
        <is>
          <t>Inclusive. Periods for one project must not overlap and must leave no gap (REQ-CAL-10).</t>
        </is>
      </c>
      <c r="E55" s="18" t="inlineStr">
        <is>
          <t>REQ-CAL-09</t>
        </is>
      </c>
    </row>
    <row r="56">
      <c r="A56" s="18" t="inlineStr">
        <is>
          <t>weight</t>
        </is>
      </c>
      <c r="B56" s="18" t="inlineStr">
        <is>
          <t>Decimal</t>
        </is>
      </c>
      <c r="C56" s="18" t="inlineStr">
        <is>
          <t>Yes</t>
        </is>
      </c>
      <c r="D56" s="17" t="inlineStr">
        <is>
          <t>Effort multiplier for this period. Seeded from PeriodWeightStandard, then editable per project. Values are supplied as data (Q-17), not fixed in this plan.</t>
        </is>
      </c>
      <c r="E56" s="18" t="inlineStr">
        <is>
          <t>REQ-PRJ-06</t>
        </is>
      </c>
    </row>
    <row r="58">
      <c r="A58" s="16" t="inlineStr">
        <is>
          <t>Period sets are type-specific (Q-18). The derivation itself is on sheet 05.</t>
        </is>
      </c>
    </row>
    <row r="59" ht="28" customHeight="1">
      <c r="A59" s="7" t="inlineStr">
        <is>
          <t>project_type</t>
        </is>
      </c>
      <c r="B59" s="7" t="inlineStr">
        <is>
          <t>Period set</t>
        </is>
      </c>
      <c r="C59" s="7" t="inlineStr">
        <is>
          <t>How boundaries are set</t>
        </is>
      </c>
    </row>
    <row r="60">
      <c r="A60" s="8" t="inlineStr">
        <is>
          <t>Clinical Trial</t>
        </is>
      </c>
      <c r="B60" s="9" t="inlineStr">
        <is>
          <t>Before-Start-up, Start-up, Conduct, Close-out (interim), Close-out (final)</t>
        </is>
      </c>
      <c r="C60" s="9" t="inlineStr">
        <is>
          <t>Computed from milestone dates plus month offsets. 'Conduct' may appear twice; 'Close-out (interim)' only where an interim DB lock exists.</t>
        </is>
      </c>
    </row>
    <row r="61">
      <c r="A61" s="10" t="inlineStr">
        <is>
          <t>Others</t>
        </is>
      </c>
      <c r="B61" s="11" t="inlineStr">
        <is>
          <t>Planning, Develop, Close</t>
        </is>
      </c>
      <c r="C61" s="11" t="inlineStr">
        <is>
          <t>Entered directly - confirmed at Q-25 that 'Others' projects have no milestone mapping.</t>
        </is>
      </c>
    </row>
    <row r="63">
      <c r="A63" s="5" t="inlineStr">
        <is>
          <t>Sheet: PeriodWeightStandard</t>
        </is>
      </c>
    </row>
    <row r="64" ht="28" customHeight="1">
      <c r="A64" s="7" t="inlineStr">
        <is>
          <t>Column</t>
        </is>
      </c>
      <c r="B64" s="7" t="inlineStr">
        <is>
          <t>Type</t>
        </is>
      </c>
      <c r="C64" s="7" t="inlineStr">
        <is>
          <t>Required</t>
        </is>
      </c>
      <c r="D64" s="7" t="inlineStr">
        <is>
          <t>Definition / rule</t>
        </is>
      </c>
      <c r="E64" s="7" t="inlineStr">
        <is>
          <t>Basis</t>
        </is>
      </c>
    </row>
    <row r="65">
      <c r="A65" s="20" t="inlineStr">
        <is>
          <t>project_type</t>
        </is>
      </c>
      <c r="B65" s="20" t="inlineStr">
        <is>
          <t>List</t>
        </is>
      </c>
      <c r="C65" s="20" t="inlineStr">
        <is>
          <t>Yes</t>
        </is>
      </c>
      <c r="D65" s="19" t="inlineStr">
        <is>
          <t>'Clinical Trial' or 'Others'. Determines which period set the row may use.</t>
        </is>
      </c>
      <c r="E65" s="20" t="inlineStr">
        <is>
          <t>Q-18</t>
        </is>
      </c>
    </row>
    <row r="66">
      <c r="A66" s="18" t="inlineStr">
        <is>
          <t>clinical_phase</t>
        </is>
      </c>
      <c r="B66" s="18" t="inlineStr">
        <is>
          <t>List</t>
        </is>
      </c>
      <c r="C66" s="18" t="inlineStr">
        <is>
          <t>Yes</t>
        </is>
      </c>
      <c r="D66" s="17" t="inlineStr">
        <is>
          <t>The phase the standard applies to, for clinical trials. Use '*' for 'Others' projects, which have no phase.</t>
        </is>
      </c>
      <c r="E66" s="18" t="inlineStr">
        <is>
          <t>Q-26</t>
        </is>
      </c>
    </row>
    <row r="67">
      <c r="A67" s="8" t="inlineStr">
        <is>
          <t>period_name</t>
        </is>
      </c>
      <c r="B67" s="8" t="inlineStr">
        <is>
          <t>List</t>
        </is>
      </c>
      <c r="C67" s="8" t="inlineStr">
        <is>
          <t>Yes</t>
        </is>
      </c>
      <c r="D67" s="9" t="inlineStr">
        <is>
          <t>A period from that type's set.</t>
        </is>
      </c>
      <c r="E67" s="8" t="inlineStr">
        <is>
          <t>Q-04, Q-18</t>
        </is>
      </c>
    </row>
    <row r="68">
      <c r="A68" s="18" t="inlineStr">
        <is>
          <t>weight</t>
        </is>
      </c>
      <c r="B68" s="18" t="inlineStr">
        <is>
          <t>Decimal</t>
        </is>
      </c>
      <c r="C68" s="18" t="inlineStr">
        <is>
          <t>Yes</t>
        </is>
      </c>
      <c r="D68" s="17" t="inlineStr">
        <is>
          <t>Default multiplier. You fill these in the source workbook (Q-17); the plan fixes only where they live.</t>
        </is>
      </c>
      <c r="E68" s="18" t="inlineStr">
        <is>
          <t>Q-01</t>
        </is>
      </c>
    </row>
    <row r="70">
      <c r="A70" s="16" t="inlineStr">
        <is>
          <t>Re-keyed at Q-26: a clinical trial's weights come from its CLINICAL PHASE, not its product category. So a phase 1 trial and a phase 3 trial of the same product carry different period weights, which is the intended behaviour. 'Others' projects have no phase, so they use the '*' rows - see Q-28.</t>
        </is>
      </c>
    </row>
    <row r="71">
      <c r="A71" s="5" t="inlineStr">
        <is>
          <t>Sheet: RoleFactor</t>
        </is>
      </c>
    </row>
    <row r="72" ht="28" customHeight="1">
      <c r="A72" s="7" t="inlineStr">
        <is>
          <t>Column</t>
        </is>
      </c>
      <c r="B72" s="7" t="inlineStr">
        <is>
          <t>Type</t>
        </is>
      </c>
      <c r="C72" s="7" t="inlineStr">
        <is>
          <t>Required</t>
        </is>
      </c>
      <c r="D72" s="7" t="inlineStr">
        <is>
          <t>Definition / rule</t>
        </is>
      </c>
      <c r="E72" s="7" t="inlineStr">
        <is>
          <t>Basis</t>
        </is>
      </c>
    </row>
    <row r="73">
      <c r="A73" s="20" t="inlineStr">
        <is>
          <t>project_type</t>
        </is>
      </c>
      <c r="B73" s="20" t="inlineStr">
        <is>
          <t>List</t>
        </is>
      </c>
      <c r="C73" s="20" t="inlineStr">
        <is>
          <t>Yes</t>
        </is>
      </c>
      <c r="D73" s="19" t="inlineStr">
        <is>
          <t>'Clinical Trial' or 'Others'. Roles differ by type, so the same role name cannot leak across types.</t>
        </is>
      </c>
      <c r="E73" s="20" t="inlineStr">
        <is>
          <t>Q-03</t>
        </is>
      </c>
    </row>
    <row r="74">
      <c r="A74" s="18" t="inlineStr">
        <is>
          <t>role_name</t>
        </is>
      </c>
      <c r="B74" s="18" t="inlineStr">
        <is>
          <t>Text</t>
        </is>
      </c>
      <c r="C74" s="18" t="inlineStr">
        <is>
          <t>Yes</t>
        </is>
      </c>
      <c r="D74" s="17" t="inlineStr">
        <is>
          <t>Clinical Trial: 'Project oversight', 'Lead data manager', 'Clinical Data Associator', 'Clinical Database Programmer', 'Data Analyst'. Others: 'Project lead', 'Main staff', 'Other staff'.</t>
        </is>
      </c>
      <c r="E74" s="18" t="inlineStr">
        <is>
          <t>Q-03</t>
        </is>
      </c>
    </row>
    <row r="75">
      <c r="A75" s="18" t="inlineStr">
        <is>
          <t>role_factor</t>
        </is>
      </c>
      <c r="B75" s="18" t="inlineStr">
        <is>
          <t>Decimal</t>
        </is>
      </c>
      <c r="C75" s="18" t="inlineStr">
        <is>
          <t>Yes</t>
        </is>
      </c>
      <c r="D75" s="17" t="inlineStr">
        <is>
          <t>Relative burden of the role, the same for everyone holding it. Values still to be supplied - see Q-17.</t>
        </is>
      </c>
      <c r="E75" s="18" t="inlineStr">
        <is>
          <t>Q-01</t>
        </is>
      </c>
    </row>
    <row r="76">
      <c r="A76" s="10" t="inlineStr">
        <is>
          <t>role_note</t>
        </is>
      </c>
      <c r="B76" s="10" t="inlineStr">
        <is>
          <t>Text</t>
        </is>
      </c>
      <c r="C76" s="10" t="inlineStr">
        <is>
          <t>No</t>
        </is>
      </c>
      <c r="D76" s="11" t="inlineStr">
        <is>
          <t>Basis for the factor.</t>
        </is>
      </c>
      <c r="E76" s="10" t="inlineStr">
        <is>
          <t>REQ-CAL-06</t>
        </is>
      </c>
    </row>
    <row r="78">
      <c r="A78" s="5" t="inlineStr">
        <is>
          <t>Sheet: Person</t>
        </is>
      </c>
    </row>
    <row r="79" ht="28" customHeight="1">
      <c r="A79" s="7" t="inlineStr">
        <is>
          <t>Column</t>
        </is>
      </c>
      <c r="B79" s="7" t="inlineStr">
        <is>
          <t>Type</t>
        </is>
      </c>
      <c r="C79" s="7" t="inlineStr">
        <is>
          <t>Required</t>
        </is>
      </c>
      <c r="D79" s="7" t="inlineStr">
        <is>
          <t>Definition / rule</t>
        </is>
      </c>
      <c r="E79" s="7" t="inlineStr">
        <is>
          <t>REQ-ID</t>
        </is>
      </c>
    </row>
    <row r="80">
      <c r="A80" s="8" t="inlineStr">
        <is>
          <t>person_id</t>
        </is>
      </c>
      <c r="B80" s="8" t="inlineStr">
        <is>
          <t>Text</t>
        </is>
      </c>
      <c r="C80" s="8" t="inlineStr">
        <is>
          <t>Yes</t>
        </is>
      </c>
      <c r="D80" s="9" t="inlineStr">
        <is>
          <t>Unique key, e.g. PSN-001.</t>
        </is>
      </c>
      <c r="E80" s="8" t="inlineStr">
        <is>
          <t>REQ-PSN-01</t>
        </is>
      </c>
    </row>
    <row r="81">
      <c r="A81" s="10" t="inlineStr">
        <is>
          <t>person_name</t>
        </is>
      </c>
      <c r="B81" s="10" t="inlineStr">
        <is>
          <t>Text</t>
        </is>
      </c>
      <c r="C81" s="10" t="inlineStr">
        <is>
          <t>Yes</t>
        </is>
      </c>
      <c r="D81" s="11" t="inlineStr">
        <is>
          <t>Display name.</t>
        </is>
      </c>
      <c r="E81" s="10" t="inlineStr">
        <is>
          <t>REQ-PSN-01</t>
        </is>
      </c>
    </row>
    <row r="82">
      <c r="A82" s="8" t="inlineStr">
        <is>
          <t>department</t>
        </is>
      </c>
      <c r="B82" s="8" t="inlineStr">
        <is>
          <t>Text</t>
        </is>
      </c>
      <c r="C82" s="8" t="inlineStr">
        <is>
          <t>No</t>
        </is>
      </c>
      <c r="D82" s="9" t="inlineStr">
        <is>
          <t>Grouping for the dashboard.</t>
        </is>
      </c>
      <c r="E82" s="8" t="inlineStr">
        <is>
          <t>REQ-PSN-06</t>
        </is>
      </c>
    </row>
    <row r="83">
      <c r="A83" s="10" t="inlineStr">
        <is>
          <t>primary_role</t>
        </is>
      </c>
      <c r="B83" s="10" t="inlineStr">
        <is>
          <t>Text</t>
        </is>
      </c>
      <c r="C83" s="10" t="inlineStr">
        <is>
          <t>No</t>
        </is>
      </c>
      <c r="D83" s="11" t="inlineStr">
        <is>
          <t>Usual role; an assignment can override it.</t>
        </is>
      </c>
      <c r="E83" s="10" t="inlineStr">
        <is>
          <t>REQ-PSN-03</t>
        </is>
      </c>
    </row>
    <row r="84">
      <c r="A84" s="18" t="inlineStr">
        <is>
          <t>capacity_fte</t>
        </is>
      </c>
      <c r="B84" s="18" t="inlineStr">
        <is>
          <t>Decimal</t>
        </is>
      </c>
      <c r="C84" s="18" t="inlineStr">
        <is>
          <t>No</t>
        </is>
      </c>
      <c r="D84" s="17" t="inlineStr">
        <is>
          <t>Available capacity in FTE, default 1.00 (= 160 h/month). Lower it for a part-timer.</t>
        </is>
      </c>
      <c r="E84" s="18" t="inlineStr">
        <is>
          <t>REQ-CAL-08</t>
        </is>
      </c>
    </row>
    <row r="85">
      <c r="A85" s="10" t="inlineStr">
        <is>
          <t>employment_start / employment_end</t>
        </is>
      </c>
      <c r="B85" s="10" t="inlineStr">
        <is>
          <t>Date</t>
        </is>
      </c>
      <c r="C85" s="10" t="inlineStr">
        <is>
          <t>No</t>
        </is>
      </c>
      <c r="D85" s="11" t="inlineStr">
        <is>
          <t>Bounds availability; blank end = open.</t>
        </is>
      </c>
      <c r="E85" s="10" t="inlineStr">
        <is>
          <t>REQ-PSN-04</t>
        </is>
      </c>
    </row>
    <row r="86">
      <c r="A86" s="8" t="inlineStr">
        <is>
          <t>note_1 .. note_5</t>
        </is>
      </c>
      <c r="B86" s="8" t="inlineStr">
        <is>
          <t>Text</t>
        </is>
      </c>
      <c r="C86" s="8" t="inlineStr">
        <is>
          <t>No</t>
        </is>
      </c>
      <c r="D86" s="9" t="inlineStr">
        <is>
          <t>Free extension columns.</t>
        </is>
      </c>
      <c r="E86" s="8" t="inlineStr">
        <is>
          <t>REQ-PSN-06</t>
        </is>
      </c>
    </row>
    <row r="88">
      <c r="A88" s="5" t="inlineStr">
        <is>
          <t>Sheet: Assignment</t>
        </is>
      </c>
    </row>
    <row r="89" ht="28" customHeight="1">
      <c r="A89" s="7" t="inlineStr">
        <is>
          <t>Column</t>
        </is>
      </c>
      <c r="B89" s="7" t="inlineStr">
        <is>
          <t>Type</t>
        </is>
      </c>
      <c r="C89" s="7" t="inlineStr">
        <is>
          <t>Required</t>
        </is>
      </c>
      <c r="D89" s="7" t="inlineStr">
        <is>
          <t>Definition / rule</t>
        </is>
      </c>
      <c r="E89" s="7" t="inlineStr">
        <is>
          <t>REQ-ID</t>
        </is>
      </c>
    </row>
    <row r="90">
      <c r="A90" s="8" t="inlineStr">
        <is>
          <t>assignment_id</t>
        </is>
      </c>
      <c r="B90" s="8" t="inlineStr">
        <is>
          <t>Text</t>
        </is>
      </c>
      <c r="C90" s="8" t="inlineStr">
        <is>
          <t>Yes</t>
        </is>
      </c>
      <c r="D90" s="9" t="inlineStr">
        <is>
          <t>Unique key. One row per person + project + role.</t>
        </is>
      </c>
      <c r="E90" s="8" t="inlineStr">
        <is>
          <t>REQ-PSN-07</t>
        </is>
      </c>
    </row>
    <row r="91">
      <c r="A91" s="10" t="inlineStr">
        <is>
          <t>person_id</t>
        </is>
      </c>
      <c r="B91" s="10" t="inlineStr">
        <is>
          <t>Text</t>
        </is>
      </c>
      <c r="C91" s="10" t="inlineStr">
        <is>
          <t>Yes</t>
        </is>
      </c>
      <c r="D91" s="11" t="inlineStr">
        <is>
          <t>Foreign key to Person.</t>
        </is>
      </c>
      <c r="E91" s="10" t="inlineStr">
        <is>
          <t>REQ-PSN-01</t>
        </is>
      </c>
    </row>
    <row r="92">
      <c r="A92" s="20" t="inlineStr">
        <is>
          <t>person_name</t>
        </is>
      </c>
      <c r="B92" s="20" t="inlineStr">
        <is>
          <t>Text</t>
        </is>
      </c>
      <c r="C92" s="20" t="inlineStr">
        <is>
          <t>No</t>
        </is>
      </c>
      <c r="D92" s="19" t="inlineStr">
        <is>
          <t>Display convenience added at v0.11. Not authoritative: checked against Person on import and refreshed from it.</t>
        </is>
      </c>
      <c r="E92" s="20" t="inlineStr">
        <is>
          <t>REQ-PSN-01</t>
        </is>
      </c>
    </row>
    <row r="93">
      <c r="A93" s="10" t="inlineStr">
        <is>
          <t>project_id</t>
        </is>
      </c>
      <c r="B93" s="10" t="inlineStr">
        <is>
          <t>Text</t>
        </is>
      </c>
      <c r="C93" s="10" t="inlineStr">
        <is>
          <t>Yes</t>
        </is>
      </c>
      <c r="D93" s="11" t="inlineStr">
        <is>
          <t>Foreign key to Project.</t>
        </is>
      </c>
      <c r="E93" s="10" t="inlineStr">
        <is>
          <t>REQ-PSN-02</t>
        </is>
      </c>
    </row>
    <row r="94">
      <c r="A94" s="18" t="inlineStr">
        <is>
          <t>role_name</t>
        </is>
      </c>
      <c r="B94" s="18" t="inlineStr">
        <is>
          <t>Text</t>
        </is>
      </c>
      <c r="C94" s="18" t="inlineStr">
        <is>
          <t>Yes</t>
        </is>
      </c>
      <c r="D94" s="17" t="inlineStr">
        <is>
          <t>Foreign key to RoleFactor, matched on (project's type, role_name). Several rows = several roles on one project.</t>
        </is>
      </c>
      <c r="E94" s="18" t="inlineStr">
        <is>
          <t>REQ-PSN-03</t>
        </is>
      </c>
    </row>
    <row r="95">
      <c r="A95" s="10" t="inlineStr">
        <is>
          <t>assign_start_date</t>
        </is>
      </c>
      <c r="B95" s="10" t="inlineStr">
        <is>
          <t>Date</t>
        </is>
      </c>
      <c r="C95" s="10" t="inlineStr">
        <is>
          <t>Yes</t>
        </is>
      </c>
      <c r="D95" s="11" t="inlineStr">
        <is>
          <t>Date the person joins the study.</t>
        </is>
      </c>
      <c r="E95" s="10" t="inlineStr">
        <is>
          <t>REQ-PSN-04</t>
        </is>
      </c>
    </row>
    <row r="96">
      <c r="A96" s="8" t="inlineStr">
        <is>
          <t>assign_end_date</t>
        </is>
      </c>
      <c r="B96" s="8" t="inlineStr">
        <is>
          <t>Date</t>
        </is>
      </c>
      <c r="C96" s="8" t="inlineStr">
        <is>
          <t>Yes</t>
        </is>
      </c>
      <c r="D96" s="9" t="inlineStr">
        <is>
          <t>Date the person leaves the study. Blank = runs to project end.</t>
        </is>
      </c>
      <c r="E96" s="8" t="inlineStr">
        <is>
          <t>REQ-PSN-04</t>
        </is>
      </c>
    </row>
    <row r="97">
      <c r="A97" s="18" t="inlineStr">
        <is>
          <t>person_weight</t>
        </is>
      </c>
      <c r="B97" s="18" t="inlineStr">
        <is>
          <t>Decimal</t>
        </is>
      </c>
      <c r="C97" s="18" t="inlineStr">
        <is>
          <t>Yes</t>
        </is>
      </c>
      <c r="D97" s="17" t="inlineStr">
        <is>
          <t>RENAMED from base_allocation. How much this person works on this project, e.g. 0.40. Q-01 folded the two former fields into this one.</t>
        </is>
      </c>
      <c r="E97" s="18" t="inlineStr">
        <is>
          <t>REQ-CAL-02</t>
        </is>
      </c>
    </row>
    <row r="98">
      <c r="A98" s="8" t="inlineStr">
        <is>
          <t>note_1 .. note_3</t>
        </is>
      </c>
      <c r="B98" s="8" t="inlineStr">
        <is>
          <t>Text</t>
        </is>
      </c>
      <c r="C98" s="8" t="inlineStr">
        <is>
          <t>No</t>
        </is>
      </c>
      <c r="D98" s="9" t="inlineStr">
        <is>
          <t>Free extension columns.</t>
        </is>
      </c>
      <c r="E98" s="8" t="inlineStr">
        <is>
          <t>REQ-PSN-06</t>
        </is>
      </c>
    </row>
    <row r="100">
      <c r="A100" s="5" t="inlineStr">
        <is>
          <t>Sheet: PersonPeriodWeight</t>
        </is>
      </c>
    </row>
    <row r="101" ht="28" customHeight="1">
      <c r="A101" s="7" t="inlineStr">
        <is>
          <t>Column</t>
        </is>
      </c>
      <c r="B101" s="7" t="inlineStr">
        <is>
          <t>Type</t>
        </is>
      </c>
      <c r="C101" s="7" t="inlineStr">
        <is>
          <t>Required</t>
        </is>
      </c>
      <c r="D101" s="7" t="inlineStr">
        <is>
          <t>Definition / rule</t>
        </is>
      </c>
      <c r="E101" s="7" t="inlineStr">
        <is>
          <t>REQ-ID</t>
        </is>
      </c>
    </row>
    <row r="102">
      <c r="A102" s="8" t="inlineStr">
        <is>
          <t>assignment_id</t>
        </is>
      </c>
      <c r="B102" s="8" t="inlineStr">
        <is>
          <t>Text</t>
        </is>
      </c>
      <c r="C102" s="8" t="inlineStr">
        <is>
          <t>Yes</t>
        </is>
      </c>
      <c r="D102" s="9" t="inlineStr">
        <is>
          <t>Foreign key to Assignment.</t>
        </is>
      </c>
      <c r="E102" s="8" t="inlineStr">
        <is>
          <t>REQ-PSN-05</t>
        </is>
      </c>
    </row>
    <row r="103">
      <c r="A103" s="10" t="inlineStr">
        <is>
          <t>period_start</t>
        </is>
      </c>
      <c r="B103" s="10" t="inlineStr">
        <is>
          <t>Date</t>
        </is>
      </c>
      <c r="C103" s="10" t="inlineStr">
        <is>
          <t>Yes</t>
        </is>
      </c>
      <c r="D103" s="11" t="inlineStr">
        <is>
          <t>Inclusive.</t>
        </is>
      </c>
      <c r="E103" s="10" t="inlineStr">
        <is>
          <t>REQ-PSN-05</t>
        </is>
      </c>
    </row>
    <row r="104">
      <c r="A104" s="8" t="inlineStr">
        <is>
          <t>period_end</t>
        </is>
      </c>
      <c r="B104" s="8" t="inlineStr">
        <is>
          <t>Date</t>
        </is>
      </c>
      <c r="C104" s="8" t="inlineStr">
        <is>
          <t>Yes</t>
        </is>
      </c>
      <c r="D104" s="9" t="inlineStr">
        <is>
          <t>Inclusive. Periods within one assignment must not overlap.</t>
        </is>
      </c>
      <c r="E104" s="8" t="inlineStr">
        <is>
          <t>REQ-PSN-05</t>
        </is>
      </c>
    </row>
    <row r="105">
      <c r="A105" s="18" t="inlineStr">
        <is>
          <t>weight_override</t>
        </is>
      </c>
      <c r="B105" s="18" t="inlineStr">
        <is>
          <t>Decimal</t>
        </is>
      </c>
      <c r="C105" s="18" t="inlineStr">
        <is>
          <t>Yes</t>
        </is>
      </c>
      <c r="D105" s="17" t="inlineStr">
        <is>
          <t>REPLACES person_weight for months inside this window - it no longer multiplies it. Where no row covers a month, person_weight applies unchanged.</t>
        </is>
      </c>
      <c r="E105" s="18" t="inlineStr">
        <is>
          <t>REQ-PSN-05</t>
        </is>
      </c>
    </row>
    <row r="106">
      <c r="A106" s="8" t="inlineStr">
        <is>
          <t>reason</t>
        </is>
      </c>
      <c r="B106" s="8" t="inlineStr">
        <is>
          <t>Text</t>
        </is>
      </c>
      <c r="C106" s="8" t="inlineStr">
        <is>
          <t>No</t>
        </is>
      </c>
      <c r="D106" s="9" t="inlineStr">
        <is>
          <t>Why the weight differs, e.g. 'part-time', 'covering start-up peak'.</t>
        </is>
      </c>
      <c r="E106" s="8" t="inlineStr">
        <is>
          <t>REQ-PSN-05</t>
        </is>
      </c>
    </row>
    <row r="108">
      <c r="A108"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09">
      <c r="A109" s="5" t="inlineStr">
        <is>
          <t>Sheet: Config</t>
        </is>
      </c>
    </row>
    <row r="110" ht="28" customHeight="1">
      <c r="A110" s="7" t="inlineStr">
        <is>
          <t>parameter</t>
        </is>
      </c>
      <c r="B110" s="7" t="inlineStr">
        <is>
          <t>Meaning</t>
        </is>
      </c>
      <c r="C110" s="7" t="inlineStr">
        <is>
          <t>Default value</t>
        </is>
      </c>
      <c r="D110" s="7" t="inlineStr">
        <is>
          <t>REQ-ID</t>
        </is>
      </c>
    </row>
    <row r="111">
      <c r="A111" s="8" t="inlineStr">
        <is>
          <t>schema_version</t>
        </is>
      </c>
      <c r="B111" s="9" t="inlineStr">
        <is>
          <t>Version of this workbook structure; checked on import.</t>
        </is>
      </c>
      <c r="C111" s="8" t="inlineStr">
        <is>
          <t>1</t>
        </is>
      </c>
      <c r="D111" s="8" t="inlineStr">
        <is>
          <t>REQ-VC-02</t>
        </is>
      </c>
    </row>
    <row r="112">
      <c r="A112" s="20" t="inlineStr">
        <is>
          <t>fte_hours_per_month</t>
        </is>
      </c>
      <c r="B112" s="19" t="inlineStr">
        <is>
          <t>Hours equal to 1.00 FTE.</t>
        </is>
      </c>
      <c r="C112" s="20" t="inlineStr">
        <is>
          <t>160</t>
        </is>
      </c>
      <c r="D112" s="20" t="inlineStr">
        <is>
          <t>REQ-CAL-08</t>
        </is>
      </c>
    </row>
    <row r="113">
      <c r="A113" s="20" t="inlineStr">
        <is>
          <t>over_allocation_fte</t>
        </is>
      </c>
      <c r="B113" s="19" t="inlineStr">
        <is>
          <t>Person-month total above this is over-allocated.</t>
        </is>
      </c>
      <c r="C113" s="20" t="inlineStr">
        <is>
          <t>1.50</t>
        </is>
      </c>
      <c r="D113" s="20" t="inlineStr">
        <is>
          <t>REQ-CAL-04</t>
        </is>
      </c>
    </row>
    <row r="114">
      <c r="A114" s="20" t="inlineStr">
        <is>
          <t>under_allocation_fte</t>
        </is>
      </c>
      <c r="B114" s="19" t="inlineStr">
        <is>
          <t>Person-month total below this counts toward an under-allocated run.</t>
        </is>
      </c>
      <c r="C114" s="20" t="inlineStr">
        <is>
          <t>0.80</t>
        </is>
      </c>
      <c r="D114" s="20" t="inlineStr">
        <is>
          <t>REQ-CAL-07</t>
        </is>
      </c>
    </row>
    <row r="115">
      <c r="A115" s="20" t="inlineStr">
        <is>
          <t>under_allocation_min_months</t>
        </is>
      </c>
      <c r="B115" s="19" t="inlineStr">
        <is>
          <t>Consecutive months below the threshold before flagging.</t>
        </is>
      </c>
      <c r="C115" s="20" t="inlineStr">
        <is>
          <t>3</t>
        </is>
      </c>
      <c r="D115" s="20" t="inlineStr">
        <is>
          <t>REQ-CAL-07</t>
        </is>
      </c>
    </row>
    <row r="116">
      <c r="A116" s="18" t="inlineStr">
        <is>
          <t>default_horizon_months</t>
        </is>
      </c>
      <c r="B116" s="17" t="inlineStr">
        <is>
          <t>Months shown on opening.</t>
        </is>
      </c>
      <c r="C116" s="18" t="inlineStr">
        <is>
          <t>24</t>
        </is>
      </c>
      <c r="D116" s="18" t="inlineStr">
        <is>
          <t>REQ-CAL-01</t>
        </is>
      </c>
    </row>
    <row r="117">
      <c r="A117" s="18" t="inlineStr">
        <is>
          <t>capacity_unit</t>
        </is>
      </c>
      <c r="B117" s="17" t="inlineStr">
        <is>
          <t>Display unit: 'FTE' or 'percent'.</t>
        </is>
      </c>
      <c r="C117" s="18" t="inlineStr">
        <is>
          <t>FTE</t>
        </is>
      </c>
      <c r="D117" s="18" t="inlineStr">
        <is>
          <t>REQ-CAL-08</t>
        </is>
      </c>
    </row>
    <row r="119">
      <c r="A119" s="5" t="inlineStr">
        <is>
          <t>Sheet: Lists   [new]</t>
        </is>
      </c>
    </row>
    <row r="120">
      <c r="A120" s="6" t="inlineStr">
        <is>
          <t>Two columns - list_name, value - holding every data-driven dropdown: outsourcing_type, clinical_phase,</t>
        </is>
      </c>
    </row>
    <row r="121">
      <c r="A121" s="6" t="inlineStr">
        <is>
          <t>milestone_name, period_name, EDC_system, DataReviewSystem, RBQM_system, setup_party, project_status.</t>
        </is>
      </c>
    </row>
    <row r="122">
      <c r="A122" s="6" t="inlineStr">
        <is>
          <t>Adding a permitted value is a data edit, never a code change (REQ-CAL-06).</t>
        </is>
      </c>
    </row>
    <row r="124">
      <c r="A124" s="5" t="inlineStr">
        <is>
          <t>Referential rules checked on import</t>
        </is>
      </c>
    </row>
    <row r="125" ht="28" customHeight="1">
      <c r="A125" s="7" t="inlineStr">
        <is>
          <t>ID</t>
        </is>
      </c>
      <c r="B125" s="7" t="inlineStr">
        <is>
          <t>Rule</t>
        </is>
      </c>
      <c r="C125" s="7" t="inlineStr">
        <is>
          <t>On failure</t>
        </is>
      </c>
    </row>
    <row r="126">
      <c r="A126" s="8" t="inlineStr">
        <is>
          <t>V-01</t>
        </is>
      </c>
      <c r="B126" s="9" t="inlineStr">
        <is>
          <t>Every Assignment.project_id exists in Project.</t>
        </is>
      </c>
      <c r="C126" s="9" t="inlineStr">
        <is>
          <t>Error - row rejected, reported with its row number.</t>
        </is>
      </c>
    </row>
    <row r="127">
      <c r="A127" s="10" t="inlineStr">
        <is>
          <t>V-02</t>
        </is>
      </c>
      <c r="B127" s="11" t="inlineStr">
        <is>
          <t>Every Assignment.person_id exists in Person.</t>
        </is>
      </c>
      <c r="C127" s="11" t="inlineStr">
        <is>
          <t>Error - row rejected.</t>
        </is>
      </c>
    </row>
    <row r="128">
      <c r="A128" s="18" t="inlineStr">
        <is>
          <t>V-03</t>
        </is>
      </c>
      <c r="B128" s="17" t="inlineStr">
        <is>
          <t>Every Assignment.role_name exists in RoleFactor FOR THAT PROJECT'S TYPE.</t>
        </is>
      </c>
      <c r="C128" s="17" t="inlineStr">
        <is>
          <t>Error - row rejected. Was a warning in v0.1; roles are now type-specific, so a mismatch is a real error.</t>
        </is>
      </c>
    </row>
    <row r="129">
      <c r="A129" s="10" t="inlineStr">
        <is>
          <t>V-04</t>
        </is>
      </c>
      <c r="B129" s="11" t="inlineStr">
        <is>
          <t>project_category is present when project_type = 'Clinical Trial'.</t>
        </is>
      </c>
      <c r="C129" s="11" t="inlineStr">
        <is>
          <t>Warning - shown as blank in the dashboard.</t>
        </is>
      </c>
    </row>
    <row r="130">
      <c r="A130" s="8" t="inlineStr">
        <is>
          <t>V-05</t>
        </is>
      </c>
      <c r="B130" s="9" t="inlineStr">
        <is>
          <t>end_date is on or after start_date, for projects, assignments and all weight periods.</t>
        </is>
      </c>
      <c r="C130" s="9" t="inlineStr">
        <is>
          <t>Error - row rejected.</t>
        </is>
      </c>
    </row>
    <row r="131">
      <c r="A131" s="10" t="inlineStr">
        <is>
          <t>V-06</t>
        </is>
      </c>
      <c r="B131" s="11" t="inlineStr">
        <is>
          <t>Periods within one project, and within one assignment, do not overlap.</t>
        </is>
      </c>
      <c r="C131" s="11" t="inlineStr">
        <is>
          <t>Error - overlapping pair reported.</t>
        </is>
      </c>
    </row>
    <row r="132">
      <c r="A132" s="8" t="inlineStr">
        <is>
          <t>V-07</t>
        </is>
      </c>
      <c r="B132" s="9" t="inlineStr">
        <is>
          <t>Assignment dates fall inside the project's own start and end dates.</t>
        </is>
      </c>
      <c r="C132" s="9" t="inlineStr">
        <is>
          <t>Warning - kept, but listed for review.</t>
        </is>
      </c>
    </row>
    <row r="133">
      <c r="A133" s="10" t="inlineStr">
        <is>
          <t>V-08</t>
        </is>
      </c>
      <c r="B133" s="11" t="inlineStr">
        <is>
          <t>project_id, person_id and assignment_id are unique in their sheet.</t>
        </is>
      </c>
      <c r="C133" s="11" t="inlineStr">
        <is>
          <t>Error - duplicate rejected.</t>
        </is>
      </c>
    </row>
    <row r="134">
      <c r="A134" s="8" t="inlineStr">
        <is>
          <t>V-09</t>
        </is>
      </c>
      <c r="B134" s="9" t="inlineStr">
        <is>
          <t>schema_version in Config matches the version the application expects.</t>
        </is>
      </c>
      <c r="C134" s="9" t="inlineStr">
        <is>
          <t>Warning - proceeds, banner shown.</t>
        </is>
      </c>
    </row>
    <row r="135">
      <c r="A135" s="20" t="inlineStr">
        <is>
          <t>V-10</t>
        </is>
      </c>
      <c r="B135" s="19" t="inlineStr">
        <is>
          <t>Clinical-trial projects carry clinical_phase and the four *_setup values.</t>
        </is>
      </c>
      <c r="C135" s="19" t="inlineStr">
        <is>
          <t>Warning - the project still simulates; the gap is listed.</t>
        </is>
      </c>
    </row>
    <row r="136">
      <c r="A136" s="20" t="inlineStr">
        <is>
          <t>V-11</t>
        </is>
      </c>
      <c r="B136" s="19" t="inlineStr">
        <is>
          <t>Every list-typed value appears in the Lists sheet for its list.</t>
        </is>
      </c>
      <c r="C136" s="19" t="inlineStr">
        <is>
          <t>Warning - value kept, reported as unrecognised.</t>
        </is>
      </c>
    </row>
    <row r="137">
      <c r="A137" s="18" t="inlineStr">
        <is>
          <t>V-12</t>
        </is>
      </c>
      <c r="B137" s="17" t="inlineStr">
        <is>
          <t>A project's periods leave no gap and no overlap across its timeline. The full set need not be present - a period may be legitimately omitted (REQ-CAL-12).</t>
        </is>
      </c>
      <c r="C137" s="17" t="inlineStr">
        <is>
          <t>Warning - months with no period use weight 1.00 and are listed (REQ-CAL-10).</t>
        </is>
      </c>
    </row>
    <row r="138">
      <c r="A138" s="20" t="inlineStr">
        <is>
          <t>V-13</t>
        </is>
      </c>
      <c r="B138" s="19" t="inlineStr">
        <is>
          <t>Denormalised project_name / person_name match their master row.</t>
        </is>
      </c>
      <c r="C138" s="19" t="inlineStr">
        <is>
          <t>Warning - the master value wins and the copy is refreshed.</t>
        </is>
      </c>
    </row>
    <row r="139">
      <c r="A139" s="20" t="inlineStr">
        <is>
          <t>V-14</t>
        </is>
      </c>
      <c r="B139" s="19" t="inlineStr">
        <is>
          <t>A milestone date falls inside its project's start..end window, and the standard milestones appear in chronological order.</t>
        </is>
      </c>
      <c r="C139" s="19" t="inlineStr">
        <is>
          <t>Error for period-defining milestones - the derivation cannot run. Warning for markers.</t>
        </is>
      </c>
    </row>
    <row r="140">
      <c r="A140" s="20" t="inlineStr">
        <is>
          <t>V-15</t>
        </is>
      </c>
      <c r="B140" s="19" t="inlineStr">
        <is>
          <t>A period_name belongs to the period set of its project's type.</t>
        </is>
      </c>
      <c r="C140" s="19" t="inlineStr">
        <is>
          <t>Error - a 'Planning' period on a clinical trial is a category mistake, not a typo.</t>
        </is>
      </c>
    </row>
    <row r="141">
      <c r="A141" s="20" t="inlineStr">
        <is>
          <t>V-16</t>
        </is>
      </c>
      <c r="B141" s="19" t="inlineStr">
        <is>
          <t>A clinical trial carries the milestones the derivation needs: CTA submission, and at least one DB lock.</t>
        </is>
      </c>
      <c r="C141" s="19" t="inlineStr">
        <is>
          <t>Error - without them no period boundary can be computed.</t>
        </is>
      </c>
    </row>
    <row r="142">
      <c r="A142" s="20" t="inlineStr">
        <is>
          <t>V-18</t>
        </is>
      </c>
      <c r="B142" s="19" t="inlineStr">
        <is>
          <t>period_seq is unique within a project and orders the periods by date.</t>
        </is>
      </c>
      <c r="C142" s="19" t="inlineStr">
        <is>
          <t>Error - the two Conduct stretches cannot be told apart otherwise.</t>
        </is>
      </c>
    </row>
    <row r="143">
      <c r="A143" s="20" t="inlineStr">
        <is>
          <t>V-19</t>
        </is>
      </c>
      <c r="B143" s="19" t="inlineStr">
        <is>
          <t>A clinical trial carries a clinical_phase, and PeriodWeightStandard has rows for that phase.</t>
        </is>
      </c>
      <c r="C143" s="19" t="inlineStr">
        <is>
          <t>Error - since Q-26 the phase selects the weights, so a missing phase leaves the project unweighted.</t>
        </is>
      </c>
    </row>
    <row r="144">
      <c r="A144" s="20" t="inlineStr">
        <is>
          <t>V-17</t>
        </is>
      </c>
      <c r="B144" s="19" t="inlineStr">
        <is>
          <t>On editing an identifier, every referencing row is updated; on deleting a row, nothing may still reference it.</t>
        </is>
      </c>
      <c r="C144" s="19" t="inlineStr">
        <is>
          <t>Cascade after confirmation / deletion refused (REQ-IMP-10).</t>
        </is>
      </c>
    </row>
    <row r="146">
      <c r="A146" s="16" t="inlineStr">
        <is>
          <t>Import never stops at the first problem: it collects every finding and presents one report (REQ-IMP-02). Under REQ-IMP-09 the same rules run again on any value edited on screen.</t>
        </is>
      </c>
    </row>
    <row r="147">
      <c r="A147" s="3" t="inlineStr">
        <is>
          <t>Legend</t>
        </is>
      </c>
    </row>
    <row r="148">
      <c r="A148" s="12" t="inlineStr">
        <is>
          <t>Green = new in v0.2, added from your review answers.</t>
        </is>
      </c>
    </row>
    <row r="149">
      <c r="A149" s="13" t="inlineStr">
        <is>
          <t>Orange = changed in v0.2 as a consequence of your review.</t>
        </is>
      </c>
    </row>
    <row r="150">
      <c r="A150"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6"/>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2"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identical for everyone holding it.</t>
        </is>
      </c>
    </row>
    <row r="15">
      <c r="A15" s="21" t="inlineStr">
        <is>
          <t xml:space="preserve">                       Roles are drawn from the list valid for the project's type.</t>
        </is>
      </c>
    </row>
    <row r="16">
      <c r="A16" s="6" t="inlineStr">
        <is>
          <t>person_weight          is how much this person works on this project, given per assignment;</t>
        </is>
      </c>
    </row>
    <row r="17">
      <c r="A17" s="21" t="inlineStr">
        <is>
          <t xml:space="preserve">                       a PersonPeriodWeight row replaces it for the months it covers.</t>
        </is>
      </c>
    </row>
    <row r="18">
      <c r="A18" s="6" t="inlineStr">
        <is>
          <t>coverage               = calendar days worked in the month / calendar days in the month.</t>
        </is>
      </c>
    </row>
    <row r="19">
      <c r="A19" s="21" t="inlineStr">
        <is>
          <t xml:space="preserve">                       1.00 for a full month, a fraction in the joining and leaving months.</t>
        </is>
      </c>
    </row>
    <row r="21">
      <c r="A21" s="16" t="inlineStr">
        <is>
          <t>Changed from v0.1: base_allocation is gone. Q-01 named three factors, and base_allocation was a fourth that would have silently scaled all of them. person_weight now carries that meaning alone.</t>
        </is>
      </c>
    </row>
    <row r="23">
      <c r="A23" s="5" t="inlineStr">
        <is>
          <t>Aggregation</t>
        </is>
      </c>
    </row>
    <row r="24" ht="28" customHeight="1">
      <c r="A24" s="7" t="inlineStr">
        <is>
          <t>Output</t>
        </is>
      </c>
      <c r="B24" s="7" t="inlineStr">
        <is>
          <t>How it is computed</t>
        </is>
      </c>
      <c r="C24" s="7" t="inlineStr">
        <is>
          <t>Where it appears</t>
        </is>
      </c>
      <c r="D24" s="7" t="inlineStr">
        <is>
          <t>REQ-ID</t>
        </is>
      </c>
    </row>
    <row r="25">
      <c r="A25" s="8" t="inlineStr">
        <is>
          <t>Per project, per month</t>
        </is>
      </c>
      <c r="B25" s="9" t="inlineStr">
        <is>
          <t>Sum of load over every assignment on that project.</t>
        </is>
      </c>
      <c r="C25" s="9" t="inlineStr">
        <is>
          <t>Overall tab, project table + stacked graph</t>
        </is>
      </c>
      <c r="D25" s="8" t="inlineStr">
        <is>
          <t>REQ-CAL-03</t>
        </is>
      </c>
    </row>
    <row r="26">
      <c r="A26" s="10" t="inlineStr">
        <is>
          <t>Per person, per month</t>
        </is>
      </c>
      <c r="B26" s="11" t="inlineStr">
        <is>
          <t>Sum of load over every assignment that person holds, across all projects.</t>
        </is>
      </c>
      <c r="C26" s="11" t="inlineStr">
        <is>
          <t>Overall tab, person table + graph</t>
        </is>
      </c>
      <c r="D26" s="10" t="inlineStr">
        <is>
          <t>REQ-CAL-03</t>
        </is>
      </c>
    </row>
    <row r="27">
      <c r="A27" s="8" t="inlineStr">
        <is>
          <t>Per person, per project, per month</t>
        </is>
      </c>
      <c r="B27" s="9" t="inlineStr">
        <is>
          <t>The individual load value.</t>
        </is>
      </c>
      <c r="C27" s="9" t="inlineStr">
        <is>
          <t>Drill-down when a person row is expanded</t>
        </is>
      </c>
      <c r="D27" s="8" t="inlineStr">
        <is>
          <t>REQ-CAL-03</t>
        </is>
      </c>
    </row>
    <row r="28">
      <c r="A28" s="18" t="inlineStr">
        <is>
          <t>Over-allocation flag</t>
        </is>
      </c>
      <c r="B28" s="17" t="inlineStr">
        <is>
          <t>Person-month total &gt; over_allocation_fte (1.50).</t>
        </is>
      </c>
      <c r="C28" s="17" t="inlineStr">
        <is>
          <t>Red cell + count in summary tiles</t>
        </is>
      </c>
      <c r="D28" s="18" t="inlineStr">
        <is>
          <t>REQ-CAL-04</t>
        </is>
      </c>
    </row>
    <row r="29">
      <c r="A29" s="20" t="inlineStr">
        <is>
          <t>Under-allocation run</t>
        </is>
      </c>
      <c r="B29" s="19" t="inlineStr">
        <is>
          <t>Person-month total &lt; under_allocation_fte (0.80) for &gt;= under_allocation_min_months (3) consecutive months. Reported as a run with its start month and length.</t>
        </is>
      </c>
      <c r="C29" s="19" t="inlineStr">
        <is>
          <t>Amber cells across the run + count in summary tiles</t>
        </is>
      </c>
      <c r="D29" s="20" t="inlineStr">
        <is>
          <t>REQ-CAL-07</t>
        </is>
      </c>
    </row>
    <row r="30">
      <c r="A30" s="20" t="inlineStr">
        <is>
          <t>Hours view</t>
        </is>
      </c>
      <c r="B30" s="19" t="inlineStr">
        <is>
          <t>load x fte_hours_per_month.</t>
        </is>
      </c>
      <c r="C30" s="19" t="inlineStr">
        <is>
          <t>Alternative display unit</t>
        </is>
      </c>
      <c r="D30" s="20" t="inlineStr">
        <is>
          <t>REQ-CAL-08</t>
        </is>
      </c>
    </row>
    <row r="31">
      <c r="A31" s="8" t="inlineStr">
        <is>
          <t>Head-count per project, per month</t>
        </is>
      </c>
      <c r="B31" s="9" t="inlineStr">
        <is>
          <t>Count of assignments with load &gt; 0 that month.</t>
        </is>
      </c>
      <c r="C31" s="9" t="inlineStr">
        <is>
          <t>Compared against planned_member_count</t>
        </is>
      </c>
      <c r="D31" s="8" t="inlineStr">
        <is>
          <t>REQ-PRJ-04</t>
        </is>
      </c>
    </row>
    <row r="33">
      <c r="A33" s="16" t="inlineStr">
        <is>
          <t>Under-allocation needs a rolling window, not a per-month test: a single quiet month is normal, three in a row is a signal. A run is reported once, at its start, rather than as three separate flags.</t>
        </is>
      </c>
    </row>
    <row r="35">
      <c r="A35" s="5" t="inlineStr">
        <is>
          <t>Period derivation for a 'Clinical Trial' project   [settled at Q-21, Q-22, Q-23]</t>
        </is>
      </c>
    </row>
    <row r="36">
      <c r="A36" s="6" t="inlineStr">
        <is>
          <t>Boundaries come from milestone dates plus month offsets, so moving a milestone re-shapes the periods.</t>
        </is>
      </c>
    </row>
    <row r="37">
      <c r="A37" s="6" t="inlineStr">
        <is>
          <t>Only 'CTA submission' and the DB locks are boundaries; the other five milestones are markers.</t>
        </is>
      </c>
    </row>
    <row r="39" ht="28" customHeight="1">
      <c r="A39" s="7" t="inlineStr">
        <is>
          <t>Seq</t>
        </is>
      </c>
      <c r="B39" s="7" t="inlineStr">
        <is>
          <t>Period</t>
        </is>
      </c>
      <c r="C39" s="7" t="inlineStr">
        <is>
          <t>Starts</t>
        </is>
      </c>
      <c r="D39" s="7" t="inlineStr">
        <is>
          <t>Ends</t>
        </is>
      </c>
      <c r="E39" s="7" t="inlineStr">
        <is>
          <t>Basis</t>
        </is>
      </c>
    </row>
    <row r="40">
      <c r="A40" s="8" t="inlineStr">
        <is>
          <t>1</t>
        </is>
      </c>
      <c r="B40" s="8" t="inlineStr">
        <is>
          <t>Before-Start-up</t>
        </is>
      </c>
      <c r="C40" s="9" t="inlineStr">
        <is>
          <t>project start_date</t>
        </is>
      </c>
      <c r="D40" s="9" t="inlineStr">
        <is>
          <t>day before Start-up begins</t>
        </is>
      </c>
      <c r="E40" s="8" t="inlineStr">
        <is>
          <t>Q-21</t>
        </is>
      </c>
    </row>
    <row r="41">
      <c r="A41" s="10" t="inlineStr">
        <is>
          <t>2</t>
        </is>
      </c>
      <c r="B41" s="10" t="inlineStr">
        <is>
          <t>Start-up</t>
        </is>
      </c>
      <c r="C41" s="11" t="inlineStr">
        <is>
          <t>one month before 'CTA submission'</t>
        </is>
      </c>
      <c r="D41" s="11" t="inlineStr">
        <is>
          <t>start + 4 months - 1 day</t>
        </is>
      </c>
      <c r="E41" s="10" t="inlineStr">
        <is>
          <t>Q-16</t>
        </is>
      </c>
    </row>
    <row r="42">
      <c r="A42" s="8" t="inlineStr">
        <is>
          <t>3</t>
        </is>
      </c>
      <c r="B42" s="8" t="inlineStr">
        <is>
          <t>Conduct</t>
        </is>
      </c>
      <c r="C42" s="9" t="inlineStr">
        <is>
          <t>day after Start-up ends</t>
        </is>
      </c>
      <c r="D42" s="9" t="inlineStr">
        <is>
          <t>day before the next Close-out begins</t>
        </is>
      </c>
      <c r="E42" s="8" t="inlineStr">
        <is>
          <t>Q-22</t>
        </is>
      </c>
    </row>
    <row r="43">
      <c r="A43" s="20" t="inlineStr">
        <is>
          <t>4</t>
        </is>
      </c>
      <c r="B43" s="20" t="inlineStr">
        <is>
          <t>Close-out (interim)</t>
        </is>
      </c>
      <c r="C43" s="19" t="inlineStr">
        <is>
          <t>3 months before 'interim DB lock'</t>
        </is>
      </c>
      <c r="D43" s="19" t="inlineStr">
        <is>
          <t>'interim DB lock'</t>
        </is>
      </c>
      <c r="E43" s="20" t="inlineStr">
        <is>
          <t>Q-22, Q-23</t>
        </is>
      </c>
    </row>
    <row r="44">
      <c r="A44" s="20" t="inlineStr">
        <is>
          <t>5</t>
        </is>
      </c>
      <c r="B44" s="20" t="inlineStr">
        <is>
          <t>Conduct   (second stretch)</t>
        </is>
      </c>
      <c r="C44" s="19" t="inlineStr">
        <is>
          <t>day after 'interim DB lock'</t>
        </is>
      </c>
      <c r="D44" s="19" t="inlineStr">
        <is>
          <t>day before Close-out (final) begins</t>
        </is>
      </c>
      <c r="E44" s="20" t="inlineStr">
        <is>
          <t>Q-23</t>
        </is>
      </c>
    </row>
    <row r="45">
      <c r="A45" s="18" t="inlineStr">
        <is>
          <t>6</t>
        </is>
      </c>
      <c r="B45" s="18" t="inlineStr">
        <is>
          <t>Close-out (final)</t>
        </is>
      </c>
      <c r="C45" s="17" t="inlineStr">
        <is>
          <t>3 months before 'final DB lock'</t>
        </is>
      </c>
      <c r="D45" s="17" t="inlineStr">
        <is>
          <t>'final DB lock' (or project end_date if later)</t>
        </is>
      </c>
      <c r="E45" s="18" t="inlineStr">
        <is>
          <t>Q-22, Q-23</t>
        </is>
      </c>
    </row>
    <row r="47">
      <c r="A47" s="16" t="inlineStr">
        <is>
          <t>Rows 4 and 5 exist only where the project has an interim DB lock. Without one, Conduct runs as a single stretch straight into Close-out (final).</t>
        </is>
      </c>
    </row>
    <row r="49">
      <c r="A49" s="5" t="inlineStr">
        <is>
          <t>Degenerate timelines   [REQ-CAL-12]</t>
        </is>
      </c>
    </row>
    <row r="50">
      <c r="A50" s="6" t="inlineStr">
        <is>
          <t>Real timelines do not always leave room for every period. Boundaries are applied in sequence order and a</t>
        </is>
      </c>
    </row>
    <row r="51">
      <c r="A51" s="6" t="inlineStr">
        <is>
          <t>later one wins, so the periods stay contiguous; any period squeezed to zero or negative length is omitted</t>
        </is>
      </c>
    </row>
    <row r="52">
      <c r="A52" s="6" t="inlineStr">
        <is>
          <t>and reported rather than written with a nonsensical range.</t>
        </is>
      </c>
    </row>
    <row r="54" ht="28" customHeight="1">
      <c r="A54" s="7" t="inlineStr">
        <is>
          <t>Timeline</t>
        </is>
      </c>
      <c r="B54" s="7" t="inlineStr">
        <is>
          <t>What would go wrong</t>
        </is>
      </c>
      <c r="C54" s="7" t="inlineStr">
        <is>
          <t>What happens instead</t>
        </is>
      </c>
    </row>
    <row r="55">
      <c r="A55" s="9" t="inlineStr">
        <is>
          <t>CTA submission is within a month of the project start</t>
        </is>
      </c>
      <c r="B55" s="9" t="inlineStr">
        <is>
          <t>Before-Start-up would be empty or negative.</t>
        </is>
      </c>
      <c r="C55" s="9" t="inlineStr">
        <is>
          <t>Before-Start-up omitted; Start-up begins at the project start date.</t>
        </is>
      </c>
    </row>
    <row r="56">
      <c r="A56" s="11" t="inlineStr">
        <is>
          <t>Interim and final DB lock less than 3 months apart</t>
        </is>
      </c>
      <c r="B56" s="11" t="inlineStr">
        <is>
          <t>The second Conduct stretch would be negative, and Close-out (final) would start before the interim lock.</t>
        </is>
      </c>
      <c r="C56" s="11" t="inlineStr">
        <is>
          <t>Second Conduct omitted; Close-out (final) begins the day after the interim DB lock.</t>
        </is>
      </c>
    </row>
    <row r="57">
      <c r="A57" s="9" t="inlineStr">
        <is>
          <t>No interim DB lock recorded</t>
        </is>
      </c>
      <c r="B57" s="9" t="inlineStr">
        <is>
          <t>Rows 4 and 5 have no anchor.</t>
        </is>
      </c>
      <c r="C57" s="9" t="inlineStr">
        <is>
          <t>Both omitted; one Conduct stretch runs into Close-out (final).</t>
        </is>
      </c>
    </row>
    <row r="58">
      <c r="A58" s="11" t="inlineStr">
        <is>
          <t>Trial too short for a Conduct phase</t>
        </is>
      </c>
      <c r="B58" s="11" t="inlineStr">
        <is>
          <t>Start-up's fixed 4 months would overrun the Close-out start.</t>
        </is>
      </c>
      <c r="C58" s="11" t="inlineStr">
        <is>
          <t>Conduct omitted; Start-up is clipped where Close-out begins.</t>
        </is>
      </c>
    </row>
    <row r="59">
      <c r="A59" s="9" t="inlineStr">
        <is>
          <t>No CTA submission, or no DB lock at all</t>
        </is>
      </c>
      <c r="B59" s="9" t="inlineStr">
        <is>
          <t>Nothing to derive from.</t>
        </is>
      </c>
      <c r="C59" s="9" t="inlineStr">
        <is>
          <t>Error, not a silent default - V-16. The project's periods must then be entered by hand.</t>
        </is>
      </c>
    </row>
    <row r="61">
      <c r="A61" s="16" t="inlineStr">
        <is>
          <t>The five cases above were each run through the derivation. All produce a contiguous set of periods with no gap and no overlap. The check is worth repeating as an automated test at Step 4.</t>
        </is>
      </c>
    </row>
    <row r="63">
      <c r="A63" s="5" t="inlineStr">
        <is>
          <t>Worked example - the acceptance test for the calculation engine</t>
        </is>
      </c>
    </row>
    <row r="64" ht="28" customHeight="1">
      <c r="A64" s="7" t="inlineStr">
        <is>
          <t>Element</t>
        </is>
      </c>
      <c r="B64" s="7" t="inlineStr">
        <is>
          <t>Value</t>
        </is>
      </c>
      <c r="C64" s="7" t="inlineStr">
        <is>
          <t>Note</t>
        </is>
      </c>
    </row>
    <row r="65">
      <c r="A65" s="8" t="inlineStr">
        <is>
          <t>Assignment</t>
        </is>
      </c>
      <c r="B65" s="9" t="inlineStr">
        <is>
          <t>PSN-001 on PRJ-001 (Clinical Trial), role = Lead data manager</t>
        </is>
      </c>
      <c r="C65" s="9" t="inlineStr"/>
    </row>
    <row r="66">
      <c r="A66" s="10" t="inlineStr">
        <is>
          <t>person_weight</t>
        </is>
      </c>
      <c r="B66" s="11" t="inlineStr">
        <is>
          <t>0.40</t>
        </is>
      </c>
      <c r="C66" s="11" t="inlineStr">
        <is>
          <t>How much this person works on this project</t>
        </is>
      </c>
    </row>
    <row r="67">
      <c r="A67" s="8" t="inlineStr">
        <is>
          <t>Assignment window</t>
        </is>
      </c>
      <c r="B67" s="9" t="inlineStr">
        <is>
          <t>2026-03-10 to 2026-12-31</t>
        </is>
      </c>
      <c r="C67" s="9" t="inlineStr">
        <is>
          <t>Joins part-way through March</t>
        </is>
      </c>
    </row>
    <row r="68">
      <c r="A68" s="10" t="inlineStr">
        <is>
          <t>Project periods</t>
        </is>
      </c>
      <c r="B68" s="11" t="inlineStr">
        <is>
          <t>Start-up 2026-01-01..2026-06-30 weight 1.50; Conduct from 2026-07-01 weight 1.00</t>
        </is>
      </c>
      <c r="C68" s="11" t="inlineStr">
        <is>
          <t>Seeded from the project's CLINICAL PHASE (Q-26)</t>
        </is>
      </c>
    </row>
    <row r="69">
      <c r="A69" s="8" t="inlineStr">
        <is>
          <t>role_factor</t>
        </is>
      </c>
      <c r="B69" s="9" t="inlineStr">
        <is>
          <t>1.20 for Lead data manager</t>
        </is>
      </c>
      <c r="C69" s="9" t="inlineStr">
        <is>
          <t>Illustrative. Real values are entered in the source workbook (Q-17), not fixed here</t>
        </is>
      </c>
    </row>
    <row r="70">
      <c r="A70" s="10" t="inlineStr">
        <is>
          <t>Coverage, March 2026</t>
        </is>
      </c>
      <c r="B70" s="11" t="inlineStr">
        <is>
          <t>22 / 31 = 0.7097</t>
        </is>
      </c>
      <c r="C70" s="11" t="inlineStr">
        <is>
          <t>10 Mar to 31 Mar inclusive = 22 days</t>
        </is>
      </c>
    </row>
    <row r="71">
      <c r="A71" s="8" t="inlineStr">
        <is>
          <t>Load, March 2026</t>
        </is>
      </c>
      <c r="B71" s="9" t="inlineStr">
        <is>
          <t>1.50 x 1.20 x 0.40 x 0.7097 = 0.511 FTE</t>
        </is>
      </c>
      <c r="C71" s="9" t="inlineStr">
        <is>
          <t>81.8 hours</t>
        </is>
      </c>
    </row>
    <row r="72">
      <c r="A72" s="10" t="inlineStr">
        <is>
          <t>Load, April 2026</t>
        </is>
      </c>
      <c r="B72" s="11" t="inlineStr">
        <is>
          <t>1.50 x 1.20 x 0.40 x 1.0000 = 0.720 FTE</t>
        </is>
      </c>
      <c r="C72" s="11" t="inlineStr">
        <is>
          <t>115.2 hours. Full month inside Start-up</t>
        </is>
      </c>
    </row>
    <row r="73">
      <c r="A73" s="8" t="inlineStr">
        <is>
          <t>Load, July 2026</t>
        </is>
      </c>
      <c r="B73" s="9" t="inlineStr">
        <is>
          <t>1.00 x 1.20 x 0.40 x 1.0000 = 0.480 FTE</t>
        </is>
      </c>
      <c r="C73" s="9" t="inlineStr">
        <is>
          <t>76.8 hours. Conduct weight applies</t>
        </is>
      </c>
    </row>
    <row r="74">
      <c r="A74" s="10" t="inlineStr">
        <is>
          <t>Over-allocated?</t>
        </is>
      </c>
      <c r="B74" s="11" t="inlineStr">
        <is>
          <t>No - 0.720 is below the 1.50 threshold</t>
        </is>
      </c>
      <c r="C74" s="11" t="inlineStr">
        <is>
          <t>This person would need other assignments to breach it</t>
        </is>
      </c>
    </row>
    <row r="75">
      <c r="A75" s="8" t="inlineStr">
        <is>
          <t>Under-allocated?</t>
        </is>
      </c>
      <c r="B75" s="9" t="inlineStr">
        <is>
          <t>Only if their total across ALL projects stays below 0.80 for 3 months running</t>
        </is>
      </c>
      <c r="C75" s="9" t="inlineStr">
        <is>
          <t>Judged on the person total, never on one assignment</t>
        </is>
      </c>
    </row>
    <row r="77">
      <c r="A77" s="16" t="inlineStr">
        <is>
          <t>Please confirm these numbers at Step 2. The role_factor of 1.20 is a placeholder: the arithmetic is the thing being agreed, not that particular value.</t>
        </is>
      </c>
    </row>
    <row r="79">
      <c r="A79" s="5" t="inlineStr">
        <is>
          <t>Design decisions inside the calculation</t>
        </is>
      </c>
    </row>
    <row r="80" ht="28" customHeight="1">
      <c r="A80" s="7" t="inlineStr">
        <is>
          <t>ID</t>
        </is>
      </c>
      <c r="B80" s="7" t="inlineStr">
        <is>
          <t>Decision</t>
        </is>
      </c>
      <c r="C80" s="7" t="inlineStr">
        <is>
          <t>Rationale</t>
        </is>
      </c>
      <c r="D80" s="7" t="inlineStr">
        <is>
          <t>Status</t>
        </is>
      </c>
    </row>
    <row r="81">
      <c r="A81" s="8" t="inlineStr">
        <is>
          <t>C-01</t>
        </is>
      </c>
      <c r="B81" s="9" t="inlineStr">
        <is>
          <t>Weights multiply rather than add.</t>
        </is>
      </c>
      <c r="C81" s="9" t="inlineStr">
        <is>
          <t>Confirmed at Q-01: project weight x role factor x person weight.</t>
        </is>
      </c>
      <c r="D81" s="8" t="inlineStr">
        <is>
          <t>CONFIRMED</t>
        </is>
      </c>
    </row>
    <row r="82">
      <c r="A82" s="10" t="inlineStr">
        <is>
          <t>C-02</t>
        </is>
      </c>
      <c r="B82" s="11" t="inlineStr">
        <is>
          <t>Partial months are pro-rated by calendar days.</t>
        </is>
      </c>
      <c r="C82" s="11" t="inlineStr">
        <is>
          <t>Confirmed at Q-02: work is expected in proportion to calendar days from the joined date to the end date.</t>
        </is>
      </c>
      <c r="D82" s="10" t="inlineStr">
        <is>
          <t>CONFIRMED</t>
        </is>
      </c>
    </row>
    <row r="83">
      <c r="A83" s="18" t="inlineStr">
        <is>
          <t>C-03</t>
        </is>
      </c>
      <c r="B83" s="17" t="inlineStr">
        <is>
          <t>A missing PersonPeriodWeight row means person_weight applies unchanged.</t>
        </is>
      </c>
      <c r="C83" s="17" t="inlineStr">
        <is>
          <t>Follows from the override semantics. No row is the normal case, not an exception.</t>
        </is>
      </c>
      <c r="D83" s="18" t="inlineStr">
        <is>
          <t>CONFIRMED</t>
        </is>
      </c>
    </row>
    <row r="84">
      <c r="A84" s="18" t="inlineStr">
        <is>
          <t>C-04</t>
        </is>
      </c>
      <c r="B84" s="17" t="inlineStr">
        <is>
          <t>Capacity is FTE. 1.00 FTE = 160 h/month.</t>
        </is>
      </c>
      <c r="C84" s="17" t="inlineStr">
        <is>
          <t>Confirmed at Q-08. Note the flag is NOT at 1.00 - over-allocation begins above 1.50.</t>
        </is>
      </c>
      <c r="D84" s="18" t="inlineStr">
        <is>
          <t>CONFIRMED</t>
        </is>
      </c>
    </row>
    <row r="85">
      <c r="A85" s="18" t="inlineStr">
        <is>
          <t>C-05</t>
        </is>
      </c>
      <c r="B85" s="17" t="inlineStr">
        <is>
          <t>The unit shown on screen is FTE, with hours available.</t>
        </is>
      </c>
      <c r="C85" s="17" t="inlineStr">
        <is>
          <t>Q-08 was expressed in FTE and hours, so FTE is now the default rather than percent.</t>
        </is>
      </c>
      <c r="D85" s="18" t="inlineStr">
        <is>
          <t>CONFIRMED</t>
        </is>
      </c>
    </row>
    <row r="86">
      <c r="A86" s="20" t="inlineStr">
        <is>
          <t>C-06</t>
        </is>
      </c>
      <c r="B86" s="19" t="inlineStr">
        <is>
          <t>Over- and under-allocation are judged on the person's total across all projects.</t>
        </is>
      </c>
      <c r="C86" s="19" t="inlineStr">
        <is>
          <t>The question 'is this person over-committed' is only meaningful across their whole workload.</t>
        </is>
      </c>
      <c r="D86" s="20" t="inlineStr">
        <is>
          <t>Confirm</t>
        </is>
      </c>
    </row>
    <row r="87">
      <c r="A87" s="20" t="inlineStr">
        <is>
          <t>C-07</t>
        </is>
      </c>
      <c r="B87" s="19" t="inlineStr">
        <is>
          <t>Period weights are seeded from the category standard, then editable per project.</t>
        </is>
      </c>
      <c r="C87" s="19" t="inlineStr">
        <is>
          <t>Q-01 ties weight to category; real projects still deviate. Seeding keeps them consistent without freezing them.</t>
        </is>
      </c>
      <c r="D87" s="20" t="inlineStr">
        <is>
          <t>Confirm</t>
        </is>
      </c>
    </row>
    <row r="88">
      <c r="A88" s="20" t="inlineStr">
        <is>
          <t>C-08</t>
        </is>
      </c>
      <c r="B88" s="19" t="inlineStr">
        <is>
          <t>A month is attributed to the period containing its first day.</t>
        </is>
      </c>
      <c r="C88" s="19" t="inlineStr">
        <is>
          <t>Avoids splitting a month across two weights. Simpler to explain and to check by hand.</t>
        </is>
      </c>
      <c r="D88" s="20" t="inlineStr">
        <is>
          <t>Confirm</t>
        </is>
      </c>
    </row>
    <row r="89">
      <c r="A89" s="20" t="inlineStr">
        <is>
          <t>C-09</t>
        </is>
      </c>
      <c r="B89" s="19" t="inlineStr">
        <is>
          <t>Editing an identifier cascades to every row referencing it; deleting a referenced row is refused.</t>
        </is>
      </c>
      <c r="C89" s="19" t="inlineStr">
        <is>
          <t>Q-20 asked for every field to be editable with rules preventing inconsistency. Cascading is what makes an editable ID safe - blocking the edit instead would make the field read-only in all but name.</t>
        </is>
      </c>
      <c r="D89" s="20" t="inlineStr">
        <is>
          <t>Confirm</t>
        </is>
      </c>
    </row>
    <row r="90">
      <c r="A90" s="20" t="inlineStr">
        <is>
          <t>C-10</t>
        </is>
      </c>
      <c r="B90" s="19" t="inlineStr">
        <is>
          <t>Period boundaries are recomputed whenever a milestone date changes, unless the period dates were edited by hand.</t>
        </is>
      </c>
      <c r="C90" s="19" t="inlineStr">
        <is>
          <t>Keeps derived dates true to the timeline - the frequent-change problem this tool exists for - without silently discarding a deliberate manual override.</t>
        </is>
      </c>
      <c r="D90" s="20" t="inlineStr">
        <is>
          <t>Confirm</t>
        </is>
      </c>
    </row>
    <row r="91">
      <c r="A91" s="20" t="inlineStr">
        <is>
          <t>C-11</t>
        </is>
      </c>
      <c r="B91" s="19" t="inlineStr">
        <is>
          <t>Derived boundaries are applied in sequence order, a later one overriding an earlier; a period squeezed to nothing is omitted.</t>
        </is>
      </c>
      <c r="C91" s="19" t="inlineStr">
        <is>
          <t>The only rule that keeps periods contiguous on every timeline, including the awkward ones. Verified against five cases on this sheet.</t>
        </is>
      </c>
      <c r="D91" s="20" t="inlineStr">
        <is>
          <t>Confirm</t>
        </is>
      </c>
    </row>
    <row r="93">
      <c r="A93" s="3" t="inlineStr">
        <is>
          <t>Legend</t>
        </is>
      </c>
    </row>
    <row r="94">
      <c r="A94" s="12" t="inlineStr">
        <is>
          <t>Green = new in v0.2, added from your review answers.</t>
        </is>
      </c>
    </row>
    <row r="95">
      <c r="A95" s="13" t="inlineStr">
        <is>
          <t>Orange = changed in v0.2 as a consequence of your review.</t>
        </is>
      </c>
    </row>
    <row r="96">
      <c r="A96"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Three tabs as specified. Detailed layout is fixed at the Step 3 UI review.</t>
        </is>
      </c>
    </row>
    <row r="4">
      <c r="A4" s="5" t="inlineStr">
        <is>
          <t>Tab 1 - Overall</t>
        </is>
      </c>
    </row>
    <row r="5" ht="28" customHeight="1">
      <c r="A5" s="7" t="inlineStr">
        <is>
          <t>Component</t>
        </is>
      </c>
      <c r="B5" s="7" t="inlineStr">
        <is>
          <t>Content</t>
        </is>
      </c>
      <c r="C5" s="7" t="inlineStr">
        <is>
          <t>REQ-ID</t>
        </is>
      </c>
    </row>
    <row r="6">
      <c r="A6" s="18" t="inlineStr">
        <is>
          <t>Control bar</t>
        </is>
      </c>
      <c r="B6" s="17" t="inlineStr">
        <is>
          <t>Horizon (default 24 months, one click to expand to the latest project end date), project type, project, person, role, department. Plus 'Load workbook', 'Export', unit toggle FTE/hours, and the loaded-file name and time.</t>
        </is>
      </c>
      <c r="C6" s="18" t="inlineStr">
        <is>
          <t>REQ-DSH-05, REQ-DSH-07</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18" t="inlineStr">
        <is>
          <t>Table B - resource by person</t>
        </is>
      </c>
      <c r="B8" s="17" t="inlineStr">
        <is>
          <t>Rows = person, columns = months, cells = FTE summed across projects. Over-allocated cells red, under-allocated runs amber. Expanding a person reveals their projects.</t>
        </is>
      </c>
      <c r="C8" s="18"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18" t="inlineStr">
        <is>
          <t>Graph 2 - grouped bar, by person</t>
        </is>
      </c>
      <c r="B10" s="17" t="inlineStr">
        <is>
          <t>Monthly FTE per person with reference lines at 1.50 and 0.80, so both thresholds are visible.</t>
        </is>
      </c>
      <c r="C10" s="18"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18" t="inlineStr">
        <is>
          <t>Summary tiles</t>
        </is>
      </c>
      <c r="B12" s="17" t="inlineStr">
        <is>
          <t>Active projects, people assigned, total FTE in the horizon, over-allocated person-months, under-allocated runs.</t>
        </is>
      </c>
      <c r="C12" s="18" t="inlineStr">
        <is>
          <t>REQ-DSH-08</t>
        </is>
      </c>
    </row>
    <row r="14">
      <c r="A14" s="5" t="inlineStr">
        <is>
          <t>Tab 2 - Source data (project)</t>
        </is>
      </c>
    </row>
    <row r="15" ht="28" customHeight="1">
      <c r="A15" s="7" t="inlineStr">
        <is>
          <t>Component</t>
        </is>
      </c>
      <c r="B15" s="7" t="inlineStr">
        <is>
          <t>Content</t>
        </is>
      </c>
      <c r="C15" s="7" t="inlineStr">
        <is>
          <t>REQ-ID</t>
        </is>
      </c>
    </row>
    <row r="16">
      <c r="A16" s="18" t="inlineStr">
        <is>
          <t>Project table</t>
        </is>
      </c>
      <c r="B16" s="17" t="inlineStr">
        <is>
          <t>Every Project column from sheet 04, sortable and filterable, with derived total period. Editable under REQ-IMP-07.</t>
        </is>
      </c>
      <c r="C16" s="18" t="inlineStr">
        <is>
          <t>REQ-DSH-03</t>
        </is>
      </c>
    </row>
    <row r="17">
      <c r="A17" s="10" t="inlineStr">
        <is>
          <t>Milestone sub-table</t>
        </is>
      </c>
      <c r="B17" s="11" t="inlineStr">
        <is>
          <t>Milestones of the selected project, in sequence.</t>
        </is>
      </c>
      <c r="C17" s="10" t="inlineStr">
        <is>
          <t>REQ-PRJ-05</t>
        </is>
      </c>
    </row>
    <row r="18">
      <c r="A18" s="18" t="inlineStr">
        <is>
          <t>Period sub-table</t>
        </is>
      </c>
      <c r="B18" s="17" t="inlineStr">
        <is>
          <t>The selected project's four periods, their derived dates and their weights.</t>
        </is>
      </c>
      <c r="C18" s="18"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18" t="inlineStr">
        <is>
          <t>Person table</t>
        </is>
      </c>
      <c r="B23" s="17" t="inlineStr">
        <is>
          <t>Every Person column from sheet 04, sortable and filterable. Editable under REQ-IMP-07.</t>
        </is>
      </c>
      <c r="C23" s="18" t="inlineStr">
        <is>
          <t>REQ-DSH-04</t>
        </is>
      </c>
    </row>
    <row r="24">
      <c r="A24" s="18" t="inlineStr">
        <is>
          <t>Assignment sub-table</t>
        </is>
      </c>
      <c r="B24" s="17" t="inlineStr">
        <is>
          <t>The selected person's assignments: project, role, start, end, person weight.</t>
        </is>
      </c>
      <c r="C24" s="18"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7" t="inlineStr">
        <is>
          <t>The v0.1 rule 'nothing on screen is editable' is withdrawn. Imported data can be edited in the application.</t>
        </is>
      </c>
      <c r="B30" s="18"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7" t="inlineStr">
        <is>
          <t>Every field is editable, identifiers included (Q-20). Consistency is protected by rule, not by locking fields.</t>
        </is>
      </c>
      <c r="B33" s="18" t="inlineStr">
        <is>
          <t>REQ-IMP-09</t>
        </is>
      </c>
    </row>
    <row r="34">
      <c r="A34" s="9" t="inlineStr">
        <is>
          <t>An edited value is validated exactly as an imported one would be; a rejected edit is refused at the point of entry, not at export.</t>
        </is>
      </c>
      <c r="B34" s="8" t="inlineStr">
        <is>
          <t>REQ-IMP-09</t>
        </is>
      </c>
    </row>
    <row r="35">
      <c r="A35" s="19" t="inlineStr">
        <is>
          <t>Changing an identifier updates every row that references it, after showing how many will change. Deleting a row that is still referenced is refused, naming what points at it.</t>
        </is>
      </c>
      <c r="B35" s="20" t="inlineStr">
        <is>
          <t>REQ-IMP-10, V-17</t>
        </is>
      </c>
    </row>
    <row r="36">
      <c r="A36" s="19" t="inlineStr">
        <is>
          <t>Editing a milestone date re-computes that project's derived periods, unless its period dates were set by hand.</t>
        </is>
      </c>
      <c r="B36" s="20"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V-01..V-19,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20" t="inlineStr">
        <is>
          <t>4. Edit buffer</t>
        </is>
      </c>
      <c r="B27" s="19" t="inlineStr">
        <is>
          <t>Holds on-screen changes, tracks which rows are dirty, re-runs validation per edit, and feeds export.</t>
        </is>
      </c>
      <c r="C27" s="19" t="inlineStr">
        <is>
          <t>Added for REQ-IMP-07. Keeping edits out of the model layer means the calculation never has to care whether a value came from the file or the screen.</t>
        </is>
      </c>
    </row>
    <row r="28">
      <c r="A28" s="18" t="inlineStr">
        <is>
          <t>5. Calculation layer</t>
        </is>
      </c>
      <c r="B28" s="17" t="inlineStr">
        <is>
          <t>The monthly engine above. Pure functions - no DOM, no file access.</t>
        </is>
      </c>
      <c r="C28" s="17" t="inlineStr">
        <is>
          <t>Directly unit-testable, and the piece most likely to be refined once you see real output.</t>
        </is>
      </c>
    </row>
    <row r="29">
      <c r="A29" s="18" t="inlineStr">
        <is>
          <t>6. Presentation layer</t>
        </is>
      </c>
      <c r="B29" s="17" t="inlineStr">
        <is>
          <t>Tabs, tables, graphs, filters, editing controls, export buttons.</t>
        </is>
      </c>
      <c r="C29" s="17"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7"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1"/>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Answers on sheet 11</t>
        </is>
      </c>
      <c r="E12" s="10" t="inlineStr">
        <is>
          <t>Pending you</t>
        </is>
      </c>
    </row>
    <row r="13">
      <c r="A13" s="8" t="inlineStr">
        <is>
          <t>1</t>
        </is>
      </c>
      <c r="B13" s="8" t="inlineStr">
        <is>
          <t>1.9</t>
        </is>
      </c>
      <c r="C13" s="9" t="inlineStr">
        <is>
          <t>Final plan issue.</t>
        </is>
      </c>
      <c r="D13" s="9" t="inlineStr">
        <is>
          <t>PRAP_Development_Plan_v1.0.xlsx</t>
        </is>
      </c>
      <c r="E13" s="8" t="inlineStr">
        <is>
          <t>Not started</t>
        </is>
      </c>
    </row>
    <row r="14">
      <c r="A14" s="10" t="inlineStr">
        <is>
          <t>1</t>
        </is>
      </c>
      <c r="B14" s="10" t="inlineStr">
        <is>
          <t>G1</t>
        </is>
      </c>
      <c r="C14" s="11" t="inlineStr">
        <is>
          <t>GATE 1 - development plan approved.</t>
        </is>
      </c>
      <c r="D14" s="11" t="inlineStr">
        <is>
          <t>Approval recorded on 12_Review_Log</t>
        </is>
      </c>
      <c r="E14" s="10" t="inlineStr">
        <is>
          <t>Not started</t>
        </is>
      </c>
    </row>
    <row r="15">
      <c r="A15" s="8" t="inlineStr">
        <is>
          <t>2</t>
        </is>
      </c>
      <c r="B15" s="8" t="inlineStr">
        <is>
          <t>2.1</t>
        </is>
      </c>
      <c r="C15" s="9" t="inlineStr">
        <is>
          <t>Fix the source workbook schema: exact sheet names, column headers, types, value lists.</t>
        </is>
      </c>
      <c r="D15" s="9" t="inlineStr">
        <is>
          <t>Specification sheet 'Data schema'</t>
        </is>
      </c>
      <c r="E15" s="8" t="inlineStr">
        <is>
          <t>Not started</t>
        </is>
      </c>
    </row>
    <row r="16">
      <c r="A16" s="10" t="inlineStr">
        <is>
          <t>2</t>
        </is>
      </c>
      <c r="B16" s="10" t="inlineStr">
        <is>
          <t>2.2</t>
        </is>
      </c>
      <c r="C16" s="11" t="inlineStr">
        <is>
          <t>Specify the calculation engine as pseudocode plus the worked example as an acceptance test.</t>
        </is>
      </c>
      <c r="D16" s="11" t="inlineStr">
        <is>
          <t>Specification sheet 'Calculation'</t>
        </is>
      </c>
      <c r="E16" s="10" t="inlineStr">
        <is>
          <t>Not started</t>
        </is>
      </c>
    </row>
    <row r="17">
      <c r="A17" s="8" t="inlineStr">
        <is>
          <t>2</t>
        </is>
      </c>
      <c r="B17" s="8" t="inlineStr">
        <is>
          <t>2.3</t>
        </is>
      </c>
      <c r="C17" s="9" t="inlineStr">
        <is>
          <t>Specify period derivation per project type, and the over/under-allocation detection.</t>
        </is>
      </c>
      <c r="D17" s="9" t="inlineStr">
        <is>
          <t>Specification sheet 'Calculation'</t>
        </is>
      </c>
      <c r="E17" s="8" t="inlineStr">
        <is>
          <t>Not started</t>
        </is>
      </c>
    </row>
    <row r="18">
      <c r="A18" s="10" t="inlineStr">
        <is>
          <t>2</t>
        </is>
      </c>
      <c r="B18" s="10" t="inlineStr">
        <is>
          <t>2.4</t>
        </is>
      </c>
      <c r="C18" s="11" t="inlineStr">
        <is>
          <t>Specify import validation rules V-01..V-19 and the findings report.</t>
        </is>
      </c>
      <c r="D18" s="11" t="inlineStr">
        <is>
          <t>Specification sheet 'Validation'</t>
        </is>
      </c>
      <c r="E18" s="10" t="inlineStr">
        <is>
          <t>Not started</t>
        </is>
      </c>
    </row>
    <row r="19">
      <c r="A19" s="8" t="inlineStr">
        <is>
          <t>2</t>
        </is>
      </c>
      <c r="B19" s="8" t="inlineStr">
        <is>
          <t>2.5</t>
        </is>
      </c>
      <c r="C19" s="9" t="inlineStr">
        <is>
          <t>Specify each dashboard tab: every table, column, graph, filter and interaction.</t>
        </is>
      </c>
      <c r="D19" s="9" t="inlineStr">
        <is>
          <t>Specification sheet 'UI spec'</t>
        </is>
      </c>
      <c r="E19" s="8" t="inlineStr">
        <is>
          <t>Not started</t>
        </is>
      </c>
    </row>
    <row r="20">
      <c r="A20" s="10" t="inlineStr">
        <is>
          <t>2</t>
        </is>
      </c>
      <c r="B20" s="10" t="inlineStr">
        <is>
          <t>2.6</t>
        </is>
      </c>
      <c r="C20" s="11" t="inlineStr">
        <is>
          <t>Specify on-screen editing, the dirty-state model and export round-tripping.</t>
        </is>
      </c>
      <c r="D20" s="11" t="inlineStr">
        <is>
          <t>Specification sheet 'Editing &amp; IO'</t>
        </is>
      </c>
      <c r="E20" s="10" t="inlineStr">
        <is>
          <t>Not started</t>
        </is>
      </c>
    </row>
    <row r="21">
      <c r="A21" s="8" t="inlineStr">
        <is>
          <t>2</t>
        </is>
      </c>
      <c r="B21" s="8" t="inlineStr">
        <is>
          <t>2.7</t>
        </is>
      </c>
      <c r="C21" s="9" t="inlineStr">
        <is>
          <t>Specify the version/compatibility check.</t>
        </is>
      </c>
      <c r="D21" s="9" t="inlineStr">
        <is>
          <t>Specification sheet 'IO &amp; versioning'</t>
        </is>
      </c>
      <c r="E21" s="8" t="inlineStr">
        <is>
          <t>Not started</t>
        </is>
      </c>
    </row>
    <row r="22">
      <c r="A22" s="10" t="inlineStr">
        <is>
          <t>2</t>
        </is>
      </c>
      <c r="B22" s="10" t="inlineStr">
        <is>
          <t>2.8</t>
        </is>
      </c>
      <c r="C22" s="11" t="inlineStr">
        <is>
          <t>Build the requirement-to-specification traceability matrix.</t>
        </is>
      </c>
      <c r="D22" s="11" t="inlineStr">
        <is>
          <t>Specification sheet 'Traceability'</t>
        </is>
      </c>
      <c r="E22" s="10" t="inlineStr">
        <is>
          <t>Not started</t>
        </is>
      </c>
    </row>
    <row r="23">
      <c r="A23" s="8" t="inlineStr">
        <is>
          <t>2</t>
        </is>
      </c>
      <c r="B23" s="8" t="inlineStr">
        <is>
          <t>G2</t>
        </is>
      </c>
      <c r="C23" s="9" t="inlineStr">
        <is>
          <t>GATE 2 - programming specification approved.</t>
        </is>
      </c>
      <c r="D23" s="9" t="inlineStr">
        <is>
          <t>PRAP_Programming_Specification_v1.0.xlsx</t>
        </is>
      </c>
      <c r="E23" s="8" t="inlineStr">
        <is>
          <t>Not started</t>
        </is>
      </c>
    </row>
    <row r="24">
      <c r="A24" s="10" t="inlineStr">
        <is>
          <t>3</t>
        </is>
      </c>
      <c r="B24" s="10" t="inlineStr">
        <is>
          <t>3.1</t>
        </is>
      </c>
      <c r="C24" s="11" t="inlineStr">
        <is>
          <t>High-level UI design: tab structure, page regions, navigation. No code behind it.</t>
        </is>
      </c>
      <c r="D24" s="11" t="inlineStr">
        <is>
          <t>Prototype HTML (UI only)</t>
        </is>
      </c>
      <c r="E24" s="10" t="inlineStr">
        <is>
          <t>Not started</t>
        </is>
      </c>
    </row>
    <row r="25">
      <c r="A25" s="8" t="inlineStr">
        <is>
          <t>3</t>
        </is>
      </c>
      <c r="B25" s="8" t="inlineStr">
        <is>
          <t>3.2</t>
        </is>
      </c>
      <c r="C25" s="9" t="inlineStr">
        <is>
          <t>Requester reviews the high-level component design.</t>
        </is>
      </c>
      <c r="D25" s="9" t="inlineStr">
        <is>
          <t>Review comments</t>
        </is>
      </c>
      <c r="E25" s="8" t="inlineStr">
        <is>
          <t>Not started</t>
        </is>
      </c>
    </row>
    <row r="26">
      <c r="A26" s="10" t="inlineStr">
        <is>
          <t>3</t>
        </is>
      </c>
      <c r="B26" s="10" t="inlineStr">
        <is>
          <t>3.3</t>
        </is>
      </c>
      <c r="C26" s="11" t="inlineStr">
        <is>
          <t>Final UI design with clear per-component requirements.</t>
        </is>
      </c>
      <c r="D26" s="11" t="inlineStr">
        <is>
          <t>Prototype HTML v1.0 + component list</t>
        </is>
      </c>
      <c r="E26" s="10" t="inlineStr">
        <is>
          <t>Not started</t>
        </is>
      </c>
    </row>
    <row r="27">
      <c r="A27" s="8" t="inlineStr">
        <is>
          <t>3</t>
        </is>
      </c>
      <c r="B27" s="8" t="inlineStr">
        <is>
          <t>G3</t>
        </is>
      </c>
      <c r="C27" s="9" t="inlineStr">
        <is>
          <t>GATE 3 - final design and component list approved. Code generation starts only for approved components.</t>
        </is>
      </c>
      <c r="D27" s="9" t="inlineStr">
        <is>
          <t>Approved component list</t>
        </is>
      </c>
      <c r="E27" s="8" t="inlineStr">
        <is>
          <t>Not started</t>
        </is>
      </c>
    </row>
    <row r="28">
      <c r="A28" s="10" t="inlineStr">
        <is>
          <t>4</t>
        </is>
      </c>
      <c r="B28" s="10" t="inlineStr">
        <is>
          <t>4.1</t>
        </is>
      </c>
      <c r="C28" s="11" t="inlineStr">
        <is>
          <t>IO layer: workbook load, sheet/column mapping, export.</t>
        </is>
      </c>
      <c r="D28" s="11" t="inlineStr">
        <is>
          <t>Application code</t>
        </is>
      </c>
      <c r="E28" s="10" t="inlineStr">
        <is>
          <t>Not started</t>
        </is>
      </c>
    </row>
    <row r="29">
      <c r="A29" s="8" t="inlineStr">
        <is>
          <t>4</t>
        </is>
      </c>
      <c r="B29" s="8" t="inlineStr">
        <is>
          <t>4.2</t>
        </is>
      </c>
      <c r="C29" s="9" t="inlineStr">
        <is>
          <t>Validation layer: rules V-01..V-19 and the findings report.</t>
        </is>
      </c>
      <c r="D29" s="9" t="inlineStr">
        <is>
          <t>Application code</t>
        </is>
      </c>
      <c r="E29" s="8" t="inlineStr">
        <is>
          <t>Not started</t>
        </is>
      </c>
    </row>
    <row r="30">
      <c r="A30" s="10" t="inlineStr">
        <is>
          <t>4</t>
        </is>
      </c>
      <c r="B30" s="10" t="inlineStr">
        <is>
          <t>4.3</t>
        </is>
      </c>
      <c r="C30" s="11" t="inlineStr">
        <is>
          <t>Model layer, Lists and Config handling.</t>
        </is>
      </c>
      <c r="D30" s="11" t="inlineStr">
        <is>
          <t>Application code</t>
        </is>
      </c>
      <c r="E30" s="10" t="inlineStr">
        <is>
          <t>Not started</t>
        </is>
      </c>
    </row>
    <row r="31">
      <c r="A31" s="8" t="inlineStr">
        <is>
          <t>4</t>
        </is>
      </c>
      <c r="B31" s="8" t="inlineStr">
        <is>
          <t>4.4</t>
        </is>
      </c>
      <c r="C31" s="9" t="inlineStr">
        <is>
          <t>Edit buffer: on-screen editing, dirty state, per-edit validation.</t>
        </is>
      </c>
      <c r="D31" s="9" t="inlineStr">
        <is>
          <t>Application code</t>
        </is>
      </c>
      <c r="E31" s="8" t="inlineStr">
        <is>
          <t>Not started</t>
        </is>
      </c>
    </row>
    <row r="32">
      <c r="A32" s="10" t="inlineStr">
        <is>
          <t>4</t>
        </is>
      </c>
      <c r="B32" s="10" t="inlineStr">
        <is>
          <t>4.5</t>
        </is>
      </c>
      <c r="C32" s="11" t="inlineStr">
        <is>
          <t>Calculation engine, verified against the worked example.</t>
        </is>
      </c>
      <c r="D32" s="11" t="inlineStr">
        <is>
          <t>Application code + test evidence</t>
        </is>
      </c>
      <c r="E32" s="10" t="inlineStr">
        <is>
          <t>Not started</t>
        </is>
      </c>
    </row>
    <row r="33">
      <c r="A33" s="8" t="inlineStr">
        <is>
          <t>4</t>
        </is>
      </c>
      <c r="B33" s="8" t="inlineStr">
        <is>
          <t>4.6</t>
        </is>
      </c>
      <c r="C33" s="9" t="inlineStr">
        <is>
          <t>Overall tab: tables, graphs, filters, over/under-allocation flagging.</t>
        </is>
      </c>
      <c r="D33" s="9" t="inlineStr">
        <is>
          <t>Application code</t>
        </is>
      </c>
      <c r="E33" s="8" t="inlineStr">
        <is>
          <t>Not started</t>
        </is>
      </c>
    </row>
    <row r="34">
      <c r="A34" s="10" t="inlineStr">
        <is>
          <t>4</t>
        </is>
      </c>
      <c r="B34" s="10" t="inlineStr">
        <is>
          <t>4.7</t>
        </is>
      </c>
      <c r="C34" s="11" t="inlineStr">
        <is>
          <t>Source data (project) and Source data (person) tabs.</t>
        </is>
      </c>
      <c r="D34" s="11" t="inlineStr">
        <is>
          <t>Application code</t>
        </is>
      </c>
      <c r="E34" s="10" t="inlineStr">
        <is>
          <t>Not started</t>
        </is>
      </c>
    </row>
    <row r="35">
      <c r="A35" s="8" t="inlineStr">
        <is>
          <t>4</t>
        </is>
      </c>
      <c r="B35" s="8" t="inlineStr">
        <is>
          <t>4.8</t>
        </is>
      </c>
      <c r="C35" s="9" t="inlineStr">
        <is>
          <t>Blank source workbook template with value lists and example rows.</t>
        </is>
      </c>
      <c r="D35" s="9" t="inlineStr">
        <is>
          <t>PRAP_SourceData template</t>
        </is>
      </c>
      <c r="E35" s="8" t="inlineStr">
        <is>
          <t>Not started</t>
        </is>
      </c>
    </row>
    <row r="36">
      <c r="A36" s="10" t="inlineStr">
        <is>
          <t>4</t>
        </is>
      </c>
      <c r="B36" s="10" t="inlineStr">
        <is>
          <t>4.9</t>
        </is>
      </c>
      <c r="C36" s="11" t="inlineStr">
        <is>
          <t>Requester reviews output against real data; refinements folded in.</t>
        </is>
      </c>
      <c r="D36" s="11" t="inlineStr">
        <is>
          <t>Updated code</t>
        </is>
      </c>
      <c r="E36" s="10" t="inlineStr">
        <is>
          <t>Not started</t>
        </is>
      </c>
    </row>
    <row r="37">
      <c r="A37" s="8" t="inlineStr">
        <is>
          <t>4</t>
        </is>
      </c>
      <c r="B37" s="8" t="inlineStr">
        <is>
          <t>G4</t>
        </is>
      </c>
      <c r="C37" s="9" t="inlineStr">
        <is>
          <t>GATE 4 - application functionally complete.</t>
        </is>
      </c>
      <c r="D37" s="9" t="inlineStr">
        <is>
          <t>PRAP_Application_v0.9.html</t>
        </is>
      </c>
      <c r="E37" s="8" t="inlineStr">
        <is>
          <t>Not started</t>
        </is>
      </c>
    </row>
    <row r="38">
      <c r="A38" s="10" t="inlineStr">
        <is>
          <t>5</t>
        </is>
      </c>
      <c r="B38" s="10" t="inlineStr">
        <is>
          <t>5.1</t>
        </is>
      </c>
      <c r="C38" s="11" t="inlineStr">
        <is>
          <t>Full pass over the traceability matrix: every Must requirement demonstrated.</t>
        </is>
      </c>
      <c r="D38" s="11" t="inlineStr">
        <is>
          <t>Completed traceability matrix</t>
        </is>
      </c>
      <c r="E38" s="10" t="inlineStr">
        <is>
          <t>Not started</t>
        </is>
      </c>
    </row>
    <row r="39">
      <c r="A39" s="8" t="inlineStr">
        <is>
          <t>5</t>
        </is>
      </c>
      <c r="B39" s="8" t="inlineStr">
        <is>
          <t>5.2</t>
        </is>
      </c>
      <c r="C39" s="9" t="inlineStr">
        <is>
          <t>Test on a clean Windows PC in Edge and Chrome, offline.</t>
        </is>
      </c>
      <c r="D39" s="9" t="inlineStr">
        <is>
          <t>Test evidence</t>
        </is>
      </c>
      <c r="E39" s="8" t="inlineStr">
        <is>
          <t>Not started</t>
        </is>
      </c>
    </row>
    <row r="40">
      <c r="A40" s="10" t="inlineStr">
        <is>
          <t>5</t>
        </is>
      </c>
      <c r="B40" s="10" t="inlineStr">
        <is>
          <t>5.3</t>
        </is>
      </c>
      <c r="C40" s="11" t="inlineStr">
        <is>
          <t>Write the user guide: folder layout, how to load, how to maintain source data.</t>
        </is>
      </c>
      <c r="D40" s="11" t="inlineStr">
        <is>
          <t>User guide</t>
        </is>
      </c>
      <c r="E40" s="10" t="inlineStr">
        <is>
          <t>Not started</t>
        </is>
      </c>
    </row>
    <row r="41">
      <c r="A41" s="8" t="inlineStr">
        <is>
          <t>5</t>
        </is>
      </c>
      <c r="B41" s="8" t="inlineStr">
        <is>
          <t>5.4</t>
        </is>
      </c>
      <c r="C41" s="9" t="inlineStr">
        <is>
          <t>Final version alignment across plan, specification and application.</t>
        </is>
      </c>
      <c r="D41" s="9" t="inlineStr">
        <is>
          <t>Version alignment table (sheet 09)</t>
        </is>
      </c>
      <c r="E41" s="8" t="inlineStr">
        <is>
          <t>Not started</t>
        </is>
      </c>
    </row>
    <row r="42">
      <c r="A42" s="10" t="inlineStr">
        <is>
          <t>5</t>
        </is>
      </c>
      <c r="B42" s="10" t="inlineStr">
        <is>
          <t>G5</t>
        </is>
      </c>
      <c r="C42" s="11" t="inlineStr">
        <is>
          <t>GATE 5 - release.</t>
        </is>
      </c>
      <c r="D42" s="11" t="inlineStr">
        <is>
          <t>PRAP_Application_v1.0.html</t>
        </is>
      </c>
      <c r="E42" s="10" t="inlineStr">
        <is>
          <t>Not started</t>
        </is>
      </c>
    </row>
    <row r="44">
      <c r="A44" s="5" t="inlineStr">
        <is>
          <t>Progress</t>
        </is>
      </c>
    </row>
    <row r="45" ht="28" customHeight="1">
      <c r="A45" s="7" t="inlineStr">
        <is>
          <t>Measure</t>
        </is>
      </c>
      <c r="B45" s="7" t="inlineStr">
        <is>
          <t>Count</t>
        </is>
      </c>
    </row>
    <row r="46">
      <c r="A46" s="8" t="inlineStr">
        <is>
          <t>Tasks total</t>
        </is>
      </c>
      <c r="B46" s="8">
        <f>COUNTA(B5:B42)</f>
        <v/>
      </c>
    </row>
    <row r="47">
      <c r="A47" s="10" t="inlineStr">
        <is>
          <t>Complete</t>
        </is>
      </c>
      <c r="B47" s="10">
        <f>COUNTIF(E5:E42,"Complete")+COUNTIF(E5:E42,"Complete - issued for review")</f>
        <v/>
      </c>
    </row>
    <row r="48">
      <c r="A48" s="8" t="inlineStr">
        <is>
          <t>Awaiting the requester</t>
        </is>
      </c>
      <c r="B48" s="8">
        <f>COUNTIF(E5:E42,"Pending you")</f>
        <v/>
      </c>
    </row>
    <row r="49">
      <c r="A49" s="10" t="inlineStr">
        <is>
          <t>Not started</t>
        </is>
      </c>
      <c r="B49" s="10">
        <f>COUNTIF(E5:E42,"Not started")</f>
        <v/>
      </c>
    </row>
    <row r="51">
      <c r="A51" s="16" t="inlineStr">
        <is>
          <t>No duration estimates: the pace is set by review turnaround at each gate, not by build effort.</t>
        </is>
      </c>
    </row>
  </sheetData>
  <dataValidations count="1">
    <dataValidation sqref="E5:E42"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5"/>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18" t="inlineStr">
        <is>
          <t>Source data template</t>
        </is>
      </c>
      <c r="B8" s="17" t="inlineStr">
        <is>
          <t>PRAP_SourceData_v&lt;ver&gt;.xlsx  (one workbook, was two)</t>
        </is>
      </c>
      <c r="C8" s="18" t="inlineStr">
        <is>
          <t>templates/</t>
        </is>
      </c>
      <c r="D8" s="17"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c r="B26" s="8" t="inlineStr"/>
      <c r="C26" s="8" t="inlineStr"/>
      <c r="D26" s="8" t="inlineStr"/>
      <c r="E26" s="8" t="inlineStr"/>
      <c r="F26" s="9" t="inlineStr"/>
    </row>
    <row r="28">
      <c r="A28" s="16" t="inlineStr">
        <is>
          <t>One row per release. Answers 'which specification produced this .html, and which source template does it expect?'.</t>
        </is>
      </c>
    </row>
    <row r="29">
      <c r="A29" s="5" t="inlineStr">
        <is>
          <t>Repository rules</t>
        </is>
      </c>
    </row>
    <row r="30" ht="28" customHeight="1">
      <c r="A30" s="7" t="inlineStr">
        <is>
          <t>Rule</t>
        </is>
      </c>
    </row>
    <row r="31">
      <c r="A31" s="9" t="inlineStr">
        <is>
          <t>All work is committed to branch claude/project-resource-assignment-app-1vjdzh.</t>
        </is>
      </c>
    </row>
    <row r="32">
      <c r="A32" s="11" t="inlineStr">
        <is>
          <t>Documents are generated from scripts in tools/ so their content is reviewable as a text diff, not only as a binary.</t>
        </is>
      </c>
    </row>
    <row r="33">
      <c r="A33" s="9" t="inlineStr">
        <is>
          <t>One commit per meaningful change, with a message naming the step and the affected REQ-IDs.</t>
        </is>
      </c>
    </row>
    <row r="34">
      <c r="A34" s="11" t="inlineStr">
        <is>
          <t>A released version is tagged, so any release can be reproduced exactly.</t>
        </is>
      </c>
    </row>
    <row r="35">
      <c r="A35" s="19"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18" t="inlineStr">
        <is>
          <t>R-01</t>
        </is>
      </c>
      <c r="B5" s="17" t="inlineStr">
        <is>
          <t>The resource formula does not match how burden is actually judged, so output looks wrong.</t>
        </is>
      </c>
      <c r="C5" s="18" t="inlineStr">
        <is>
          <t>Medium</t>
        </is>
      </c>
      <c r="D5" s="18" t="inlineStr">
        <is>
          <t>High</t>
        </is>
      </c>
      <c r="E5" s="17"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18" t="inlineStr">
        <is>
          <t>R-03</t>
        </is>
      </c>
      <c r="B7" s="17" t="inlineStr">
        <is>
          <t>Corporate policy blocks local .html files or restricts the browser.</t>
        </is>
      </c>
      <c r="C7" s="18" t="inlineStr">
        <is>
          <t>-</t>
        </is>
      </c>
      <c r="D7" s="18" t="inlineStr">
        <is>
          <t>-</t>
        </is>
      </c>
      <c r="E7" s="17"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18" t="inlineStr">
        <is>
          <t>R-05</t>
        </is>
      </c>
      <c r="B9" s="17" t="inlineStr">
        <is>
          <t>Data volume grows beyond what a browser handles comfortably.</t>
        </is>
      </c>
      <c r="C9" s="18" t="inlineStr">
        <is>
          <t>Low</t>
        </is>
      </c>
      <c r="D9" s="18" t="inlineStr">
        <is>
          <t>Low</t>
        </is>
      </c>
      <c r="E9" s="17"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20" t="inlineStr">
        <is>
          <t>R-08</t>
        </is>
      </c>
      <c r="B12" s="19" t="inlineStr">
        <is>
          <t>On-screen edits are lost because the user closes the page without exporting.</t>
        </is>
      </c>
      <c r="C12" s="20" t="inlineStr">
        <is>
          <t>High</t>
        </is>
      </c>
      <c r="D12" s="20" t="inlineStr">
        <is>
          <t>High</t>
        </is>
      </c>
      <c r="E12" s="19" t="inlineStr">
        <is>
          <t>The direct cost of REQ-IMP-07. Mitigated by REQ-IMP-08: a visible unsaved-edit count and a warning before any action that discards them. The browser cache (REQ-IMP-06) becomes more valuable here as a second net.</t>
        </is>
      </c>
    </row>
    <row r="13">
      <c r="A13" s="18" t="inlineStr">
        <is>
          <t>R-09</t>
        </is>
      </c>
      <c r="B13" s="17" t="inlineStr">
        <is>
          <t>Milestone-derived periods break for a project with missing or out-of-order milestones.</t>
        </is>
      </c>
      <c r="C13" s="18" t="inlineStr">
        <is>
          <t>Medium</t>
        </is>
      </c>
      <c r="D13" s="18" t="inlineStr">
        <is>
          <t>High</t>
        </is>
      </c>
      <c r="E13" s="17"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18" t="inlineStr">
        <is>
          <t>R-10</t>
        </is>
      </c>
      <c r="B14" s="17" t="inlineStr">
        <is>
          <t>The weight and role-factor values are unknown to the plan, so output cannot be checked against reality until they are entered.</t>
        </is>
      </c>
      <c r="C14" s="18" t="inlineStr">
        <is>
          <t>Medium</t>
        </is>
      </c>
      <c r="D14" s="18" t="inlineStr">
        <is>
          <t>Medium</t>
        </is>
      </c>
      <c r="E14" s="17"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18" t="inlineStr">
        <is>
          <t>R-11</t>
        </is>
      </c>
      <c r="B15" s="17" t="inlineStr">
        <is>
          <t>The period mapping leaves parts of a project with no period, so months silently carry a default weight.</t>
        </is>
      </c>
      <c r="C15" s="18" t="inlineStr">
        <is>
          <t>Low</t>
        </is>
      </c>
      <c r="D15" s="18" t="inlineStr">
        <is>
          <t>Medium</t>
        </is>
      </c>
      <c r="E15" s="17" t="inlineStr">
        <is>
          <t>Closed in substance at Q-21..Q-23: the mapping is now contiguous, verified against five timelines including four degenerate ones. REQ-CAL-10 and V-12 keep any residual gap visible rather than silent.</t>
        </is>
      </c>
    </row>
    <row r="16">
      <c r="A16" s="20" t="inlineStr">
        <is>
          <t>R-12</t>
        </is>
      </c>
      <c r="B16" s="19" t="inlineStr">
        <is>
          <t>Fully editable identifiers let a user break the links between sheets.</t>
        </is>
      </c>
      <c r="C16" s="20" t="inlineStr">
        <is>
          <t>Medium</t>
        </is>
      </c>
      <c r="D16" s="20" t="inlineStr">
        <is>
          <t>High</t>
        </is>
      </c>
      <c r="E16" s="19"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18" t="inlineStr">
        <is>
          <t>A-01</t>
        </is>
      </c>
      <c r="B20" s="17" t="inlineStr">
        <is>
          <t>Data volume is under 20 projects and 30 people.</t>
        </is>
      </c>
      <c r="C20" s="18" t="inlineStr">
        <is>
          <t>CONFIRMED Q-06</t>
        </is>
      </c>
    </row>
    <row r="21">
      <c r="A21" s="18" t="inlineStr">
        <is>
          <t>A-02</t>
        </is>
      </c>
      <c r="B21" s="17" t="inlineStr">
        <is>
          <t>One person's capacity is 1.00 FTE = 160 hours per month; part-timers carry a lower capacity_fte.</t>
        </is>
      </c>
      <c r="C21" s="18"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18" t="inlineStr">
        <is>
          <t>A-05</t>
        </is>
      </c>
      <c r="B24" s="17" t="inlineStr">
        <is>
          <t>Windows 10 or 11 with Edge or Chrome, and local .html files open.</t>
        </is>
      </c>
      <c r="C24" s="18" t="inlineStr">
        <is>
          <t>CONFIRMED Q-05</t>
        </is>
      </c>
    </row>
    <row r="25">
      <c r="A25" s="10" t="inlineStr">
        <is>
          <t>A-06</t>
        </is>
      </c>
      <c r="B25" s="11" t="inlineStr">
        <is>
          <t>Only one person maintains the workbook at a time - no concurrent editing to reconcile.</t>
        </is>
      </c>
      <c r="C25" s="10" t="inlineStr">
        <is>
          <t>Standing</t>
        </is>
      </c>
    </row>
    <row r="26">
      <c r="A26" s="18" t="inlineStr">
        <is>
          <t>A-07</t>
        </is>
      </c>
      <c r="B26" s="17" t="inlineStr">
        <is>
          <t>Milestone dates now DRIVE period boundaries (REQ-CAL-09); they are no longer merely informational.</t>
        </is>
      </c>
      <c r="C26" s="18" t="inlineStr">
        <is>
          <t>Changed by Q-01/Q-04</t>
        </is>
      </c>
    </row>
    <row r="27">
      <c r="A27" s="18" t="inlineStr">
        <is>
          <t>A-08</t>
        </is>
      </c>
      <c r="B27" s="17" t="inlineStr">
        <is>
          <t>Period sets are type-specific: five names for Clinical Trial (Conduct occurring up to twice), three for 'Others'.</t>
        </is>
      </c>
      <c r="C27" s="18" t="inlineStr">
        <is>
          <t>CONFIRMED Q-18, Q-23</t>
        </is>
      </c>
    </row>
    <row r="28">
      <c r="A28" s="18" t="inlineStr">
        <is>
          <t>A-09</t>
        </is>
      </c>
      <c r="B28" s="17" t="inlineStr">
        <is>
          <t>A clinical trial's period weights are selected by its clinical phase.</t>
        </is>
      </c>
      <c r="C28" s="18" t="inlineStr">
        <is>
          <t>CONFIRMED Q-26</t>
        </is>
      </c>
    </row>
    <row r="29">
      <c r="A29" s="18" t="inlineStr">
        <is>
          <t>A-10</t>
        </is>
      </c>
      <c r="B29" s="17" t="inlineStr">
        <is>
          <t>'Others' projects have no milestone mapping, so their three periods are entered by hand.</t>
        </is>
      </c>
      <c r="C29" s="18" t="inlineStr">
        <is>
          <t>CONFIRMED Q-25</t>
        </is>
      </c>
    </row>
    <row r="30">
      <c r="A30" s="20" t="inlineStr">
        <is>
          <t>A-11</t>
        </is>
      </c>
      <c r="B30" s="19" t="inlineStr">
        <is>
          <t>No example source file is coming; the structure in this plan is taken as matching the existing one.</t>
        </is>
      </c>
      <c r="C30" s="20"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96" customWidth="1" min="3" max="3"/>
    <col width="13" customWidth="1" min="4" max="4"/>
    <col width="42" customWidth="1" min="5" max="5"/>
  </cols>
  <sheetData>
    <row r="1">
      <c r="A1" s="15" t="inlineStr">
        <is>
          <t>Open questions</t>
        </is>
      </c>
    </row>
    <row r="2">
      <c r="A2" s="16" t="inlineStr">
        <is>
          <t>Q-01..Q-26 are answered and closed. Q-27 and Q-28 are new and minor. Please answer in the YELLOW cells.</t>
        </is>
      </c>
    </row>
    <row r="4">
      <c r="A4" s="5" t="inlineStr">
        <is>
          <t>Answered at the v0.3 review  [round 3]</t>
        </is>
      </c>
    </row>
    <row r="5" ht="28" customHeight="1">
      <c r="A5" s="7" t="inlineStr">
        <is>
          <t>ID</t>
        </is>
      </c>
      <c r="B5" s="7" t="inlineStr">
        <is>
          <t>Topic</t>
        </is>
      </c>
      <c r="C5" s="7" t="inlineStr">
        <is>
          <t>Question (short)</t>
        </is>
      </c>
      <c r="D5" s="7" t="inlineStr">
        <is>
          <t>Your answer</t>
        </is>
      </c>
      <c r="E5" s="7" t="inlineStr">
        <is>
          <t>How it was applied in v0.4</t>
        </is>
      </c>
    </row>
    <row r="6">
      <c r="A6" s="8" t="inlineStr">
        <is>
          <t>Q-21</t>
        </is>
      </c>
      <c r="B6" s="8" t="inlineStr">
        <is>
          <t>Calculation</t>
        </is>
      </c>
      <c r="C6" s="9" t="inlineStr">
        <is>
          <t>Is 'Before-Start-up' the stretch before Start-up?</t>
        </is>
      </c>
      <c r="D6" s="9" t="inlineStr">
        <is>
          <t>Yes - project start date to 1 month before CTA submission.</t>
        </is>
      </c>
      <c r="E6" s="9" t="inlineStr">
        <is>
          <t>Applied - confirms the v0.3 reading. Sequence 1 on sheet 05.</t>
        </is>
      </c>
    </row>
    <row r="7">
      <c r="A7" s="10" t="inlineStr">
        <is>
          <t>Q-22</t>
        </is>
      </c>
      <c r="B7" s="10" t="inlineStr">
        <is>
          <t>Calculation</t>
        </is>
      </c>
      <c r="C7" s="11" t="inlineStr">
        <is>
          <t>Conduct ends 3 months prior, Close-out starts 2 - which?</t>
        </is>
      </c>
      <c r="D7" s="11" t="inlineStr">
        <is>
          <t>Close-out starts from 3 months prior, and runs until DB lock.</t>
        </is>
      </c>
      <c r="E7" s="11" t="inlineStr">
        <is>
          <t>Applied - Close-out is now 3 months long and Conduct ends the day before it. This is the opposite of the v0.3 default, which had shortened Close-out instead; corrected.</t>
        </is>
      </c>
    </row>
    <row r="8">
      <c r="A8" s="8" t="inlineStr">
        <is>
          <t>Q-23</t>
        </is>
      </c>
      <c r="B8" s="8" t="inlineStr">
        <is>
          <t>Calculation</t>
        </is>
      </c>
      <c r="C8" s="9" t="inlineStr">
        <is>
          <t>Which DB lock does Close-out end at?</t>
        </is>
      </c>
      <c r="D8" s="9" t="inlineStr">
        <is>
          <t>With an interim lock, split into 'Close-out (interim)' and 'Close-out (final)'. The stretches before and after 'Close-out (interim)' are both Conduct.</t>
        </is>
      </c>
      <c r="E8" s="9" t="inlineStr">
        <is>
          <t>Applied, and the largest change in v0.4: 'Conduct' can now occur twice in one project. ProjectPeriod gains period_seq; REQ-CAL-11 added; the clinical-trial period set grows to five names.</t>
        </is>
      </c>
    </row>
    <row r="9">
      <c r="A9" s="10" t="inlineStr">
        <is>
          <t>Q-24</t>
        </is>
      </c>
      <c r="B9" s="10" t="inlineStr">
        <is>
          <t>Data model</t>
        </is>
      </c>
      <c r="C9" s="11" t="inlineStr">
        <is>
          <t>Which is the eighth standard milestone?</t>
        </is>
      </c>
      <c r="D9" s="11" t="inlineStr">
        <is>
          <t>'Protocol (v1)'.</t>
        </is>
      </c>
      <c r="E9" s="11" t="inlineStr">
        <is>
          <t>Applied - milestone list now holds eight.</t>
        </is>
      </c>
    </row>
    <row r="10">
      <c r="A10" s="8" t="inlineStr">
        <is>
          <t>Q-25</t>
        </is>
      </c>
      <c r="B10" s="8" t="inlineStr">
        <is>
          <t>Data model</t>
        </is>
      </c>
      <c r="C10" s="9" t="inlineStr">
        <is>
          <t>How do 'Others' projects get their period dates?</t>
        </is>
      </c>
      <c r="D10" s="9" t="inlineStr">
        <is>
          <t>'Others' projects don't have milestone mapping.</t>
        </is>
      </c>
      <c r="E10" s="9" t="inlineStr">
        <is>
          <t>Applied - confirms the v0.3 assumption; their periods are entered by hand. Assumption A-10 confirmed.</t>
        </is>
      </c>
    </row>
    <row r="11">
      <c r="A11" s="10" t="inlineStr">
        <is>
          <t>Q-26</t>
        </is>
      </c>
      <c r="B11" s="10" t="inlineStr">
        <is>
          <t>Calculation</t>
        </is>
      </c>
      <c r="C11" s="11" t="inlineStr">
        <is>
          <t>What selects a project's weight?</t>
        </is>
      </c>
      <c r="D11" s="11" t="inlineStr">
        <is>
          <t>Clinical phase, where project_type is 'Clinical Trial'.</t>
        </is>
      </c>
      <c r="E11" s="11" t="inlineStr">
        <is>
          <t>Applied - PeriodWeightStandard re-keyed from project_category to clinical_phase. clinical_phase now drives the simulation, so V-19 makes a missing phase an error.</t>
        </is>
      </c>
    </row>
    <row r="13">
      <c r="A13" s="5" t="inlineStr">
        <is>
          <t>Answered at the v0.2 review  [round 2]</t>
        </is>
      </c>
    </row>
    <row r="14" ht="28" customHeight="1">
      <c r="A14" s="7" t="inlineStr">
        <is>
          <t>ID</t>
        </is>
      </c>
      <c r="B14" s="7" t="inlineStr">
        <is>
          <t>Topic</t>
        </is>
      </c>
      <c r="C14" s="7" t="inlineStr">
        <is>
          <t>Question (short)</t>
        </is>
      </c>
      <c r="D14" s="7" t="inlineStr">
        <is>
          <t>Your answer</t>
        </is>
      </c>
      <c r="E14" s="7" t="inlineStr">
        <is>
          <t>How it was applied in v0.3</t>
        </is>
      </c>
    </row>
    <row r="15">
      <c r="A15" s="8" t="inlineStr">
        <is>
          <t>Q-13</t>
        </is>
      </c>
      <c r="B15" s="8" t="inlineStr">
        <is>
          <t>Blocker</t>
        </is>
      </c>
      <c r="C15" s="9" t="inlineStr">
        <is>
          <t>The '13_Templete_example' sheet is missing.</t>
        </is>
      </c>
      <c r="D15" s="9" t="inlineStr">
        <is>
          <t>Structure already provided is similar to the existing one. No example file coming. Close this.</t>
        </is>
      </c>
      <c r="E15" s="9" t="inlineStr">
        <is>
          <t>CLOSED. WBS task 1.5 removed; assumption A-11 records that the schema in this plan is taken as matching yours.</t>
        </is>
      </c>
    </row>
    <row r="16">
      <c r="A16" s="10" t="inlineStr">
        <is>
          <t>Q-14</t>
        </is>
      </c>
      <c r="B16" s="10" t="inlineStr">
        <is>
          <t>Data model</t>
        </is>
      </c>
      <c r="C16" s="11" t="inlineStr">
        <is>
          <t>outsourcing_type listed a value twice.</t>
        </is>
      </c>
      <c r="D16" s="11" t="inlineStr">
        <is>
          <t>'Full outsourcing' / 'Partial outsourcing' / 'Full In-house'.</t>
        </is>
      </c>
      <c r="E16" s="11" t="inlineStr">
        <is>
          <t>Applied - three values, REQ-PRJ-04 and the Lists sheet.</t>
        </is>
      </c>
    </row>
    <row r="17">
      <c r="A17" s="8" t="inlineStr">
        <is>
          <t>Q-15</t>
        </is>
      </c>
      <c r="B17" s="8" t="inlineStr">
        <is>
          <t>Data model</t>
        </is>
      </c>
      <c r="C17" s="9" t="inlineStr">
        <is>
          <t>Which milestone set is standard?</t>
        </is>
      </c>
      <c r="D17" s="9" t="inlineStr">
        <is>
          <t>'CTA submission', 'First SIV', 'LPI', 'interim DB lock cut-off', 'interim DB lock', 'final DB lock cut-off', 'final DB lock'.</t>
        </is>
      </c>
      <c r="E17" s="9" t="inlineStr">
        <is>
          <t>Applied - list replaced; FPI dropped. The answer says eight but names seven, so the count is queried at Q-24.</t>
        </is>
      </c>
    </row>
    <row r="18">
      <c r="A18" s="10" t="inlineStr">
        <is>
          <t>Q-16</t>
        </is>
      </c>
      <c r="B18" s="10" t="inlineStr">
        <is>
          <t>Calculation</t>
        </is>
      </c>
      <c r="C18" s="11" t="inlineStr">
        <is>
          <t>Confirm the milestone-to-period mapping.</t>
        </is>
      </c>
      <c r="D18" s="11" t="inlineStr">
        <is>
          <t>Start-up = 1 month before CTA submission, 4 months long. Conduct = after Start-up to 3 months before interim DB lock (final if no interim). Close-out = 2 months before that DB lock, to DB lock.</t>
        </is>
      </c>
      <c r="E18" s="11" t="inlineStr">
        <is>
          <t>Applied with three corrections - the mapping as written leaves gaps. See sheet 05 and Q-21, Q-22, Q-23.</t>
        </is>
      </c>
    </row>
    <row r="19">
      <c r="A19" s="8" t="inlineStr">
        <is>
          <t>Q-17</t>
        </is>
      </c>
      <c r="B19" s="8" t="inlineStr">
        <is>
          <t>Calculation</t>
        </is>
      </c>
      <c r="C19" s="9" t="inlineStr">
        <is>
          <t>The weight and role-factor values.</t>
        </is>
      </c>
      <c r="D19" s="9" t="inlineStr">
        <is>
          <t>Actual numbers to be filled into the source file (excel).</t>
        </is>
      </c>
      <c r="E19" s="9" t="inlineStr">
        <is>
          <t>CLOSED. The plan fixes where the values live, not what they are - which is what REQ-CAL-06 always required. Risk R-10 downgraded. Part (c) of the question is handled by design and re-asked lightly at Q-26.</t>
        </is>
      </c>
    </row>
    <row r="20">
      <c r="A20" s="10" t="inlineStr">
        <is>
          <t>Q-18</t>
        </is>
      </c>
      <c r="B20" s="10" t="inlineStr">
        <is>
          <t>Calculation</t>
        </is>
      </c>
      <c r="C20" s="11" t="inlineStr">
        <is>
          <t>Do 'Others' projects share the same periods?</t>
        </is>
      </c>
      <c r="D20" s="11" t="inlineStr">
        <is>
          <t>No - 'Others' uses 'Planning' / 'Develop' / 'Close'.</t>
        </is>
      </c>
      <c r="E20" s="11" t="inlineStr">
        <is>
          <t>Applied - REQ-PRJ-12, type-specific period sets, V-15. Raises Q-25: those periods have no milestones to derive from.</t>
        </is>
      </c>
    </row>
    <row r="21">
      <c r="A21" s="8" t="inlineStr">
        <is>
          <t>Q-19</t>
        </is>
      </c>
      <c r="B21" s="8" t="inlineStr">
        <is>
          <t>Data model</t>
        </is>
      </c>
      <c r="C21" s="9" t="inlineStr">
        <is>
          <t>Can system_prepared_by be dropped?</t>
        </is>
      </c>
      <c r="D21" s="9" t="inlineStr">
        <is>
          <t>Yes - replaced by the EDC_setup .. DM_conduct fields.</t>
        </is>
      </c>
      <c r="E21" s="9" t="inlineStr">
        <is>
          <t>Applied - column removed from the Project sheet.</t>
        </is>
      </c>
    </row>
    <row r="22">
      <c r="A22" s="10" t="inlineStr">
        <is>
          <t>Q-20</t>
        </is>
      </c>
      <c r="B22" s="10" t="inlineStr">
        <is>
          <t>Editing</t>
        </is>
      </c>
      <c r="C22" s="11" t="inlineStr">
        <is>
          <t>Which fields should be editable?</t>
        </is>
      </c>
      <c r="D22" s="11" t="inlineStr">
        <is>
          <t>Every field. Validation rules prevent inconsistency between sheets instead.</t>
        </is>
      </c>
      <c r="E22" s="11" t="inlineStr">
        <is>
          <t>Applied - REQ-IMP-09 widened, REQ-IMP-10 and V-17 added, decision C-09, risk R-12.</t>
        </is>
      </c>
    </row>
    <row r="24">
      <c r="A24" s="5" t="inlineStr">
        <is>
          <t>Answered at the v0.11 review  [round 1]</t>
        </is>
      </c>
    </row>
    <row r="25" ht="28" customHeight="1">
      <c r="A25" s="7" t="inlineStr">
        <is>
          <t>ID</t>
        </is>
      </c>
      <c r="B25" s="7" t="inlineStr">
        <is>
          <t>Topic</t>
        </is>
      </c>
      <c r="C25" s="7" t="inlineStr">
        <is>
          <t>Question (short)</t>
        </is>
      </c>
      <c r="D25" s="7" t="inlineStr">
        <is>
          <t>Your answer</t>
        </is>
      </c>
      <c r="E25" s="7" t="inlineStr">
        <is>
          <t>How it was applied in v0.2</t>
        </is>
      </c>
    </row>
    <row r="26">
      <c r="A26" s="8" t="inlineStr">
        <is>
          <t>Q-01</t>
        </is>
      </c>
      <c r="B26" s="8" t="inlineStr">
        <is>
          <t>Calculation</t>
        </is>
      </c>
      <c r="C26" s="9" t="inlineStr">
        <is>
          <t>Do weights multiply?</t>
        </is>
      </c>
      <c r="D26"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26" s="9" t="inlineStr">
        <is>
          <t>Applied - sheet 05. base_allocation removed; PersonPeriodWeight became an override.</t>
        </is>
      </c>
    </row>
    <row r="27">
      <c r="A27" s="10" t="inlineStr">
        <is>
          <t>Q-02</t>
        </is>
      </c>
      <c r="B27" s="10" t="inlineStr">
        <is>
          <t>Calculation</t>
        </is>
      </c>
      <c r="C27" s="11" t="inlineStr">
        <is>
          <t>Pro-rate partial months by calendar days?</t>
        </is>
      </c>
      <c r="D27" s="11" t="inlineStr">
        <is>
          <t>Yes - expected work follows the calendar days worked between the joined date and the end date.</t>
        </is>
      </c>
      <c r="E27" s="11" t="inlineStr">
        <is>
          <t>Applied - C-02 confirmed; REQ-CAL-05 raised to Must.</t>
        </is>
      </c>
    </row>
    <row r="28">
      <c r="A28" s="8" t="inlineStr">
        <is>
          <t>Q-03</t>
        </is>
      </c>
      <c r="B28" s="8" t="inlineStr">
        <is>
          <t>Roles</t>
        </is>
      </c>
      <c r="C28" s="9" t="inlineStr">
        <is>
          <t>Which roles, and do they differ in burden?</t>
        </is>
      </c>
      <c r="D28" s="9" t="inlineStr">
        <is>
          <t>Clinical Trial: Project oversight, Lead data manager, Clinical Data Associator, Clinical Database Programmer, Data Analyst. Others: Project lead, Main staff, Other staff.</t>
        </is>
      </c>
      <c r="E28" s="9" t="inlineStr">
        <is>
          <t>Applied - RoleFactor gains a project_type column; V-03 raised to an error.</t>
        </is>
      </c>
    </row>
    <row r="29">
      <c r="A29" s="10" t="inlineStr">
        <is>
          <t>Q-04</t>
        </is>
      </c>
      <c r="B29" s="10" t="inlineStr">
        <is>
          <t>Project periods</t>
        </is>
      </c>
      <c r="C29" s="11" t="inlineStr">
        <is>
          <t>Standard period names and weights?</t>
        </is>
      </c>
      <c r="D29" s="11" t="inlineStr">
        <is>
          <t>Before-Start-up, Start-up, Conduct, Close-out.</t>
        </is>
      </c>
      <c r="E29" s="11" t="inlineStr">
        <is>
          <t>Applied - sheet 04 ProjectPeriod. Weight VALUES still needed - Q-17.</t>
        </is>
      </c>
    </row>
    <row r="30">
      <c r="A30" s="8" t="inlineStr">
        <is>
          <t>Q-05</t>
        </is>
      </c>
      <c r="B30" s="8" t="inlineStr">
        <is>
          <t>Environment</t>
        </is>
      </c>
      <c r="C30" s="9" t="inlineStr">
        <is>
          <t>Can you open a local .html file?</t>
        </is>
      </c>
      <c r="D30" s="9" t="inlineStr">
        <is>
          <t>Yes.</t>
        </is>
      </c>
      <c r="E30" s="9" t="inlineStr">
        <is>
          <t>Applied - risk R-03 closed.</t>
        </is>
      </c>
    </row>
    <row r="31">
      <c r="A31" s="10" t="inlineStr">
        <is>
          <t>Q-06</t>
        </is>
      </c>
      <c r="B31" s="10" t="inlineStr">
        <is>
          <t>Data volume</t>
        </is>
      </c>
      <c r="C31" s="11" t="inlineStr">
        <is>
          <t>How many projects and people?</t>
        </is>
      </c>
      <c r="D31" s="11" t="inlineStr">
        <is>
          <t>Under 20 projects and 30 people.</t>
        </is>
      </c>
      <c r="E31" s="11" t="inlineStr">
        <is>
          <t>Applied - REQ-NFR-03 target reduced; R-05 downgraded.</t>
        </is>
      </c>
    </row>
    <row r="32">
      <c r="A32" s="8" t="inlineStr">
        <is>
          <t>Q-07</t>
        </is>
      </c>
      <c r="B32" s="8" t="inlineStr">
        <is>
          <t>Milestones</t>
        </is>
      </c>
      <c r="C32" s="9" t="inlineStr">
        <is>
          <t>Which milestones?</t>
        </is>
      </c>
      <c r="D32" s="9" t="inlineStr">
        <is>
          <t>CTA submission, FPI, LPI, DB lock cut-off, DB lock.</t>
        </is>
      </c>
      <c r="E32" s="9" t="inlineStr">
        <is>
          <t>Applied - Milestone list. Conflicts with the v0.11 mark-up in sheet 04 - see Q-15.</t>
        </is>
      </c>
    </row>
    <row r="33">
      <c r="A33" s="10" t="inlineStr">
        <is>
          <t>Q-08</t>
        </is>
      </c>
      <c r="B33" s="10" t="inlineStr">
        <is>
          <t>Capacity</t>
        </is>
      </c>
      <c r="C33" s="11" t="inlineStr">
        <is>
          <t>Capacity and thresholds?</t>
        </is>
      </c>
      <c r="D33" s="11" t="inlineStr">
        <is>
          <t>1 FTE = 160 h/month (8 h/day, 5 days/week, 20 days/month). Over-allocation: total above 1.5 FTE in a month. Under-allocation: below 0.8 FTE for 3 months or longer.</t>
        </is>
      </c>
      <c r="E33" s="11" t="inlineStr">
        <is>
          <t>Applied - REQ-CAL-04, REQ-CAL-07, REQ-CAL-08; Config parameters; sheet 06 flagging.</t>
        </is>
      </c>
    </row>
    <row r="34">
      <c r="A34" s="8" t="inlineStr">
        <is>
          <t>Q-09</t>
        </is>
      </c>
      <c r="B34" s="8" t="inlineStr">
        <is>
          <t>Source files</t>
        </is>
      </c>
      <c r="C34" s="9" t="inlineStr">
        <is>
          <t>One workbook or two?</t>
        </is>
      </c>
      <c r="D34" s="9" t="inlineStr">
        <is>
          <t>One single workbook with all sheets.</t>
        </is>
      </c>
      <c r="E34" s="9" t="inlineStr">
        <is>
          <t>Applied - sheet 04 restructured; REQ-OUT-03 reworded; architecture and deployment updated.</t>
        </is>
      </c>
    </row>
    <row r="35">
      <c r="A35" s="10" t="inlineStr">
        <is>
          <t>Q-10</t>
        </is>
      </c>
      <c r="B35" s="10" t="inlineStr">
        <is>
          <t>Existing data</t>
        </is>
      </c>
      <c r="C35" s="11" t="inlineStr">
        <is>
          <t>Existing spreadsheet structure?</t>
        </is>
      </c>
      <c r="D35" s="11" t="inlineStr">
        <is>
          <t>Refer to '13_Templete_example'.</t>
        </is>
      </c>
      <c r="E35" s="11" t="inlineStr">
        <is>
          <t>NOT APPLIED - that sheet is not in the returned file. See Q-13.</t>
        </is>
      </c>
    </row>
    <row r="36">
      <c r="A36" s="8" t="inlineStr">
        <is>
          <t>Q-11</t>
        </is>
      </c>
      <c r="B36" s="8" t="inlineStr">
        <is>
          <t>Horizon</t>
        </is>
      </c>
      <c r="C36" s="9" t="inlineStr">
        <is>
          <t>Planning horizon?</t>
        </is>
      </c>
      <c r="D36" s="9" t="inlineStr">
        <is>
          <t>24 months default, expandable to the latest project end date.</t>
        </is>
      </c>
      <c r="E36" s="9" t="inlineStr">
        <is>
          <t>Applied - REQ-CAL-01, REQ-DSH-07, Config default_horizon_months.</t>
        </is>
      </c>
    </row>
    <row r="37">
      <c r="A37" s="10" t="inlineStr">
        <is>
          <t>Q-12</t>
        </is>
      </c>
      <c r="B37" s="10" t="inlineStr">
        <is>
          <t>Scope check</t>
        </is>
      </c>
      <c r="C37" s="11" t="inlineStr">
        <is>
          <t>Anything wrongly out of scope?</t>
        </is>
      </c>
      <c r="D37" s="11" t="inlineStr">
        <is>
          <t>Fine.</t>
        </is>
      </c>
      <c r="E37" s="11" t="inlineStr">
        <is>
          <t>Applied - exclusions confirmed on sheet 02.</t>
        </is>
      </c>
    </row>
    <row r="39">
      <c r="A39" s="5" t="inlineStr">
        <is>
          <t>Open - raised by the round-3 answers</t>
        </is>
      </c>
    </row>
    <row r="40" ht="28" customHeight="1">
      <c r="A40" s="7" t="inlineStr">
        <is>
          <t>ID</t>
        </is>
      </c>
      <c r="B40" s="7" t="inlineStr">
        <is>
          <t>Topic</t>
        </is>
      </c>
      <c r="C40" s="7" t="inlineStr">
        <is>
          <t>Question</t>
        </is>
      </c>
      <c r="D40" s="7" t="inlineStr">
        <is>
          <t>Needed by step</t>
        </is>
      </c>
      <c r="E40" s="7" t="inlineStr">
        <is>
          <t>Your answer</t>
        </is>
      </c>
    </row>
    <row r="41">
      <c r="A41" s="8" t="inlineStr">
        <is>
          <t>Q-27</t>
        </is>
      </c>
      <c r="B41" s="8" t="inlineStr">
        <is>
          <t>Naming</t>
        </is>
      </c>
      <c r="C41" s="9" t="inlineStr">
        <is>
          <t>Where a trial has no interim DB lock it has only one close-out. Should that period still be called 'Close-out (final)', or plain 'Close-out'? v0.4 uses 'Close-out (final)' throughout so one name always means one thing and the weight lookup needs no special case - at the cost of a slightly odd label on a trial that has no interim stage.</t>
        </is>
      </c>
      <c r="D41" s="8" t="inlineStr">
        <is>
          <t>2</t>
        </is>
      </c>
      <c r="E41" s="22" t="inlineStr"/>
    </row>
    <row r="42">
      <c r="A42" s="10" t="inlineStr">
        <is>
          <t>Q-28</t>
        </is>
      </c>
      <c r="B42" s="10" t="inlineStr">
        <is>
          <t>Calculation</t>
        </is>
      </c>
      <c r="C42" s="11" t="inlineStr">
        <is>
          <t>Q-26 settled that a clinical trial's weights come from its clinical phase. 'Others' projects have no phase - so what selects THEIR period weights? v0.4 gives them a single standard set (the '*' rows), meaning every 'Others' project shares one set of weights for Planning / Develop / Close. Is that enough, or do they need distinguishing by something?</t>
        </is>
      </c>
      <c r="D42" s="10" t="inlineStr">
        <is>
          <t>2</t>
        </is>
      </c>
      <c r="E42" s="22" t="inlineStr"/>
    </row>
    <row r="44">
      <c r="A44" s="16" t="inlineStr">
        <is>
          <t>Both are cosmetic-to-small: Q-27 changes a label, Q-28 changes how many rows you fill in one reference table. Neither blocks the Step 2 specification.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47"/>
  <sheetViews>
    <sheetView showGridLines="0" workbookViewId="0">
      <pane ySplit="4" topLeftCell="A5" activePane="bottomLeft" state="frozen"/>
      <selection pane="bottomLeft" activeCell="A1" sqref="A1"/>
    </sheetView>
  </sheetViews>
  <sheetFormatPr baseColWidth="8" defaultRowHeight="15"/>
  <cols>
    <col width="30" customWidth="1" min="1" max="1"/>
    <col width="26" customWidth="1" min="2" max="2"/>
    <col width="16" customWidth="1" min="3" max="3"/>
    <col width="46"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left open.</t>
        </is>
      </c>
      <c r="E35" s="9" t="inlineStr">
        <is>
          <t>Raised as Q-27 (label for a close-out with no interim stage) and Q-28 (what selects weights for 'Others' projects). Neither blocks Step 2.</t>
        </is>
      </c>
      <c r="F35" s="8" t="inlineStr">
        <is>
          <t>Open</t>
        </is>
      </c>
    </row>
    <row r="37">
      <c r="A37" s="5" t="inlineStr">
        <is>
          <t>Disposition summary</t>
        </is>
      </c>
    </row>
    <row r="38" ht="28" customHeight="1">
      <c r="A38" s="7" t="inlineStr">
        <is>
          <t>Measure</t>
        </is>
      </c>
      <c r="B38" s="7" t="inlineStr">
        <is>
          <t>Count</t>
        </is>
      </c>
    </row>
    <row r="39">
      <c r="A39" s="8" t="inlineStr">
        <is>
          <t>Closed in v0.2</t>
        </is>
      </c>
      <c r="B39" s="8">
        <f>COUNTIF(F5:F35,"Closed")</f>
        <v/>
      </c>
    </row>
    <row r="40">
      <c r="A40" s="10" t="inlineStr">
        <is>
          <t>Open - awaiting your answer</t>
        </is>
      </c>
      <c r="B40" s="10">
        <f>COUNTIF(F5:F35,"Open")</f>
        <v/>
      </c>
    </row>
    <row r="41">
      <c r="A41" s="8" t="inlineStr">
        <is>
          <t>Total items</t>
        </is>
      </c>
      <c r="B41" s="8">
        <f>COUNTA(A5:A35)</f>
        <v/>
      </c>
    </row>
    <row r="43">
      <c r="A43" s="5" t="inlineStr">
        <is>
          <t>Approval - Gate 1</t>
        </is>
      </c>
    </row>
    <row r="44" ht="28" customHeight="1">
      <c r="A44" s="7" t="inlineStr">
        <is>
          <t>Document</t>
        </is>
      </c>
      <c r="B44" s="7" t="inlineStr">
        <is>
          <t>Approver</t>
        </is>
      </c>
      <c r="C44" s="7" t="inlineStr">
        <is>
          <t>Date</t>
        </is>
      </c>
      <c r="D44" s="7" t="inlineStr">
        <is>
          <t>Decision</t>
        </is>
      </c>
    </row>
    <row r="45">
      <c r="A45" s="8" t="inlineStr">
        <is>
          <t>Development plan v___</t>
        </is>
      </c>
      <c r="B45" s="23" t="inlineStr"/>
      <c r="C45" s="23" t="inlineStr"/>
      <c r="D45" s="22" t="inlineStr">
        <is>
          <t>Approved / Approved with comments / Not approved</t>
        </is>
      </c>
    </row>
    <row r="47">
      <c r="A47" s="16" t="inlineStr">
        <is>
          <t>Step 2 begins only once this gate is recorded as approved.</t>
        </is>
      </c>
    </row>
  </sheetData>
  <dataValidations count="1">
    <dataValidation sqref="F5:F35"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2026-07-31T15:57:18Z</dcterms:created>
  <dcterms:modified xsi:type="dcterms:W3CDTF">2026-07-31T15:57:18Z</dcterms:modified>
</cp:coreProperties>
</file>