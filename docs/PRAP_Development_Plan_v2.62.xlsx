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v2.62</t>
        </is>
      </c>
    </row>
    <row r="7">
      <c r="A7" s="3" t="inlineStr">
        <is>
          <t>Status</t>
        </is>
      </c>
      <c r="B7" s="4" t="inlineStr">
        <is>
          <t>Baseline v2.0 + Step 4 progress. Application v1.52, source schema 13 - Gate 4 refinements, the work scope and the biosimilar split, the shared-role division, the delivered default assumptions, and milestone highlighting.</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0"/>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2.62</t>
        </is>
      </c>
      <c r="B22" s="17" t="inlineStr">
        <is>
          <t>2026-10-01</t>
        </is>
      </c>
      <c r="C22" s="17" t="inlineStr">
        <is>
          <t>Claude Code</t>
        </is>
      </c>
      <c r="D22" s="17" t="inlineStr">
        <is>
          <t>Pending</t>
        </is>
      </c>
      <c r="E22"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22" s="17" t="inlineStr">
        <is>
          <t>Issued for review</t>
        </is>
      </c>
    </row>
    <row r="23">
      <c r="A23" s="17" t="inlineStr">
        <is>
          <t>2.61</t>
        </is>
      </c>
      <c r="B23" s="17" t="inlineStr">
        <is>
          <t>2026-09-23</t>
        </is>
      </c>
      <c r="C23" s="17" t="inlineStr">
        <is>
          <t>Claude Code</t>
        </is>
      </c>
      <c r="D23" s="17" t="inlineStr">
        <is>
          <t>Pending</t>
        </is>
      </c>
      <c r="E23"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23" s="17" t="inlineStr">
        <is>
          <t>Issued for review</t>
        </is>
      </c>
    </row>
    <row r="24">
      <c r="A24" s="17" t="inlineStr">
        <is>
          <t>2.60</t>
        </is>
      </c>
      <c r="B24" s="17" t="inlineStr">
        <is>
          <t>2026-09-13</t>
        </is>
      </c>
      <c r="C24" s="17" t="inlineStr">
        <is>
          <t>Claude Code</t>
        </is>
      </c>
      <c r="D24" s="17" t="inlineStr">
        <is>
          <t>Pending</t>
        </is>
      </c>
      <c r="E24"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24" s="17" t="inlineStr">
        <is>
          <t>Issued for review</t>
        </is>
      </c>
    </row>
    <row r="25">
      <c r="A25" s="19" t="inlineStr">
        <is>
          <t>2.59</t>
        </is>
      </c>
      <c r="B25" s="19" t="inlineStr">
        <is>
          <t>2026-09-13</t>
        </is>
      </c>
      <c r="C25" s="19" t="inlineStr">
        <is>
          <t>Claude Code</t>
        </is>
      </c>
      <c r="D25" s="19" t="inlineStr">
        <is>
          <t>Pending</t>
        </is>
      </c>
      <c r="E25"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25" s="19" t="inlineStr">
        <is>
          <t>Issued for review</t>
        </is>
      </c>
    </row>
    <row r="26">
      <c r="A26" s="19" t="inlineStr">
        <is>
          <t>2.58</t>
        </is>
      </c>
      <c r="B26" s="19" t="inlineStr">
        <is>
          <t>2026-09-13</t>
        </is>
      </c>
      <c r="C26" s="19" t="inlineStr">
        <is>
          <t>Claude Code</t>
        </is>
      </c>
      <c r="D26" s="19" t="inlineStr">
        <is>
          <t>Pending</t>
        </is>
      </c>
      <c r="E26"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26" s="19" t="inlineStr">
        <is>
          <t>Issued for review</t>
        </is>
      </c>
    </row>
    <row r="27">
      <c r="A27" s="19" t="inlineStr">
        <is>
          <t>2.57</t>
        </is>
      </c>
      <c r="B27" s="19" t="inlineStr">
        <is>
          <t>2026-09-13</t>
        </is>
      </c>
      <c r="C27" s="19" t="inlineStr">
        <is>
          <t>Claude Code</t>
        </is>
      </c>
      <c r="D27" s="19" t="inlineStr">
        <is>
          <t>Pending</t>
        </is>
      </c>
      <c r="E27"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27" s="19" t="inlineStr">
        <is>
          <t>Issued for review</t>
        </is>
      </c>
    </row>
    <row r="28">
      <c r="A28" s="17" t="inlineStr">
        <is>
          <t>2.56</t>
        </is>
      </c>
      <c r="B28" s="17" t="inlineStr">
        <is>
          <t>2026-09-13</t>
        </is>
      </c>
      <c r="C28" s="17" t="inlineStr">
        <is>
          <t>Claude Code</t>
        </is>
      </c>
      <c r="D28" s="17" t="inlineStr">
        <is>
          <t>Pending</t>
        </is>
      </c>
      <c r="E28"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28" s="17" t="inlineStr">
        <is>
          <t>Issued for review</t>
        </is>
      </c>
    </row>
    <row r="29">
      <c r="A29" s="17" t="inlineStr">
        <is>
          <t>2.55</t>
        </is>
      </c>
      <c r="B29" s="17" t="inlineStr">
        <is>
          <t>2026-09-13</t>
        </is>
      </c>
      <c r="C29" s="17" t="inlineStr">
        <is>
          <t>Claude Code</t>
        </is>
      </c>
      <c r="D29" s="17" t="inlineStr">
        <is>
          <t>Pending</t>
        </is>
      </c>
      <c r="E29"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29" s="17" t="inlineStr">
        <is>
          <t>Issued for review</t>
        </is>
      </c>
    </row>
    <row r="30">
      <c r="A30" s="17" t="inlineStr">
        <is>
          <t>2.54</t>
        </is>
      </c>
      <c r="B30" s="17" t="inlineStr">
        <is>
          <t>2026-09-12</t>
        </is>
      </c>
      <c r="C30" s="17" t="inlineStr">
        <is>
          <t>Claude Code</t>
        </is>
      </c>
      <c r="D30" s="17" t="inlineStr">
        <is>
          <t>Pending</t>
        </is>
      </c>
      <c r="E30"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30" s="17" t="inlineStr">
        <is>
          <t>Issued for review</t>
        </is>
      </c>
    </row>
    <row r="31">
      <c r="A31" s="17" t="inlineStr">
        <is>
          <t>2.53</t>
        </is>
      </c>
      <c r="B31" s="17" t="inlineStr">
        <is>
          <t>2026-09-12</t>
        </is>
      </c>
      <c r="C31" s="17" t="inlineStr">
        <is>
          <t>Claude Code</t>
        </is>
      </c>
      <c r="D31" s="17" t="inlineStr">
        <is>
          <t>Pending</t>
        </is>
      </c>
      <c r="E31"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31" s="17" t="inlineStr">
        <is>
          <t>Issued for review</t>
        </is>
      </c>
    </row>
    <row r="32">
      <c r="A32" s="10" t="inlineStr">
        <is>
          <t>2.52</t>
        </is>
      </c>
      <c r="B32" s="10" t="inlineStr">
        <is>
          <t>2026-09-12</t>
        </is>
      </c>
      <c r="C32" s="10" t="inlineStr">
        <is>
          <t>Claude Code</t>
        </is>
      </c>
      <c r="D32" s="10" t="inlineStr">
        <is>
          <t>Pending</t>
        </is>
      </c>
      <c r="E32" s="11"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32" s="10" t="inlineStr">
        <is>
          <t>Issued for review</t>
        </is>
      </c>
    </row>
    <row r="33">
      <c r="A33" s="8" t="inlineStr">
        <is>
          <t>2.51</t>
        </is>
      </c>
      <c r="B33" s="8" t="inlineStr">
        <is>
          <t>2026-09-11</t>
        </is>
      </c>
      <c r="C33" s="8" t="inlineStr">
        <is>
          <t>Claude Code</t>
        </is>
      </c>
      <c r="D33" s="8" t="inlineStr">
        <is>
          <t>Pending</t>
        </is>
      </c>
      <c r="E33" s="9"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33" s="8" t="inlineStr">
        <is>
          <t>Superseded by v2.52</t>
        </is>
      </c>
    </row>
    <row r="34">
      <c r="A34" s="10" t="inlineStr">
        <is>
          <t>2.50</t>
        </is>
      </c>
      <c r="B34" s="10" t="inlineStr">
        <is>
          <t>2026-09-11</t>
        </is>
      </c>
      <c r="C34" s="10" t="inlineStr">
        <is>
          <t>Claude Code</t>
        </is>
      </c>
      <c r="D34" s="10" t="inlineStr">
        <is>
          <t>Pending</t>
        </is>
      </c>
      <c r="E34" s="11"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34" s="10" t="inlineStr">
        <is>
          <t>Superseded by v2.51</t>
        </is>
      </c>
    </row>
    <row r="35">
      <c r="A35" s="8" t="inlineStr">
        <is>
          <t>2.49</t>
        </is>
      </c>
      <c r="B35" s="8" t="inlineStr">
        <is>
          <t>2026-09-06</t>
        </is>
      </c>
      <c r="C35" s="8" t="inlineStr">
        <is>
          <t>Claude Code</t>
        </is>
      </c>
      <c r="D35" s="8" t="inlineStr">
        <is>
          <t>Pending</t>
        </is>
      </c>
      <c r="E35"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35" s="8" t="inlineStr">
        <is>
          <t>Superseded by v2.50</t>
        </is>
      </c>
    </row>
    <row r="36">
      <c r="A36" s="10" t="inlineStr">
        <is>
          <t>2.48</t>
        </is>
      </c>
      <c r="B36" s="10" t="inlineStr">
        <is>
          <t>2026-09-06</t>
        </is>
      </c>
      <c r="C36" s="10" t="inlineStr">
        <is>
          <t>Claude Code</t>
        </is>
      </c>
      <c r="D36" s="10" t="inlineStr">
        <is>
          <t>Pending</t>
        </is>
      </c>
      <c r="E36"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36" s="10" t="inlineStr">
        <is>
          <t>Superseded by v2.49</t>
        </is>
      </c>
    </row>
    <row r="37">
      <c r="A37" s="8" t="inlineStr">
        <is>
          <t>2.47</t>
        </is>
      </c>
      <c r="B37" s="8" t="inlineStr">
        <is>
          <t>2026-09-05</t>
        </is>
      </c>
      <c r="C37" s="8" t="inlineStr">
        <is>
          <t>Claude Code</t>
        </is>
      </c>
      <c r="D37" s="8" t="inlineStr">
        <is>
          <t>Pending</t>
        </is>
      </c>
      <c r="E37"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37" s="8" t="inlineStr">
        <is>
          <t>Superseded by v2.48</t>
        </is>
      </c>
    </row>
    <row r="38">
      <c r="A38" s="10" t="inlineStr">
        <is>
          <t>2.46</t>
        </is>
      </c>
      <c r="B38" s="10" t="inlineStr">
        <is>
          <t>2026-09-05</t>
        </is>
      </c>
      <c r="C38" s="10" t="inlineStr">
        <is>
          <t>Claude Code</t>
        </is>
      </c>
      <c r="D38" s="10" t="inlineStr">
        <is>
          <t>Pending</t>
        </is>
      </c>
      <c r="E38"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38" s="10" t="inlineStr">
        <is>
          <t>Superseded by v2.47</t>
        </is>
      </c>
    </row>
    <row r="39">
      <c r="A39" s="8" t="inlineStr">
        <is>
          <t>2.45</t>
        </is>
      </c>
      <c r="B39" s="8" t="inlineStr">
        <is>
          <t>2026-09-05</t>
        </is>
      </c>
      <c r="C39" s="8" t="inlineStr">
        <is>
          <t>Claude Code</t>
        </is>
      </c>
      <c r="D39" s="8" t="inlineStr">
        <is>
          <t>Pending</t>
        </is>
      </c>
      <c r="E39"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39" s="8" t="inlineStr">
        <is>
          <t>Superseded by v2.46</t>
        </is>
      </c>
    </row>
    <row r="40">
      <c r="A40" s="10" t="inlineStr">
        <is>
          <t>2.44</t>
        </is>
      </c>
      <c r="B40" s="10" t="inlineStr">
        <is>
          <t>2026-09-04</t>
        </is>
      </c>
      <c r="C40" s="10" t="inlineStr">
        <is>
          <t>Claude Code</t>
        </is>
      </c>
      <c r="D40" s="10" t="inlineStr">
        <is>
          <t>Pending</t>
        </is>
      </c>
      <c r="E40"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40" s="10" t="inlineStr">
        <is>
          <t>Superseded by v2.45</t>
        </is>
      </c>
    </row>
    <row r="41">
      <c r="A41" s="8" t="inlineStr">
        <is>
          <t>2.43</t>
        </is>
      </c>
      <c r="B41" s="8" t="inlineStr">
        <is>
          <t>2026-09-04</t>
        </is>
      </c>
      <c r="C41" s="8" t="inlineStr">
        <is>
          <t>Claude Code</t>
        </is>
      </c>
      <c r="D41" s="8" t="inlineStr">
        <is>
          <t>Pending</t>
        </is>
      </c>
      <c r="E41"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41" s="8" t="inlineStr">
        <is>
          <t>Superseded by v2.44</t>
        </is>
      </c>
    </row>
    <row r="42">
      <c r="A42" s="10" t="inlineStr">
        <is>
          <t>2.42</t>
        </is>
      </c>
      <c r="B42" s="10" t="inlineStr">
        <is>
          <t>2026-09-04</t>
        </is>
      </c>
      <c r="C42" s="10" t="inlineStr">
        <is>
          <t>Claude Code</t>
        </is>
      </c>
      <c r="D42" s="10" t="inlineStr">
        <is>
          <t>Pending</t>
        </is>
      </c>
      <c r="E42"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42" s="10" t="inlineStr">
        <is>
          <t>Superseded by v2.43</t>
        </is>
      </c>
    </row>
    <row r="43">
      <c r="A43" s="8" t="inlineStr">
        <is>
          <t>2.41</t>
        </is>
      </c>
      <c r="B43" s="8" t="inlineStr">
        <is>
          <t>2026-09-04</t>
        </is>
      </c>
      <c r="C43" s="8" t="inlineStr">
        <is>
          <t>Claude Code</t>
        </is>
      </c>
      <c r="D43" s="8" t="inlineStr">
        <is>
          <t>Pending</t>
        </is>
      </c>
      <c r="E43"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43" s="8" t="inlineStr">
        <is>
          <t>Issued for review</t>
        </is>
      </c>
    </row>
    <row r="44">
      <c r="A44" s="10" t="inlineStr">
        <is>
          <t>2.39</t>
        </is>
      </c>
      <c r="B44" s="10" t="inlineStr">
        <is>
          <t>2026-09-02</t>
        </is>
      </c>
      <c r="C44" s="10" t="inlineStr">
        <is>
          <t>Claude Code</t>
        </is>
      </c>
      <c r="D44" s="10" t="inlineStr">
        <is>
          <t>Pending</t>
        </is>
      </c>
      <c r="E44"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44" s="10" t="inlineStr">
        <is>
          <t>Issued for review</t>
        </is>
      </c>
    </row>
    <row r="45">
      <c r="A45" s="8" t="inlineStr">
        <is>
          <t>2.38</t>
        </is>
      </c>
      <c r="B45" s="8" t="inlineStr">
        <is>
          <t>2026-08-30</t>
        </is>
      </c>
      <c r="C45" s="8" t="inlineStr">
        <is>
          <t>Claude Code</t>
        </is>
      </c>
      <c r="D45" s="8" t="inlineStr">
        <is>
          <t>Pending</t>
        </is>
      </c>
      <c r="E45"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45" s="8" t="inlineStr">
        <is>
          <t>Issued for review</t>
        </is>
      </c>
    </row>
    <row r="46">
      <c r="A46" s="10" t="inlineStr">
        <is>
          <t>2.37</t>
        </is>
      </c>
      <c r="B46" s="10" t="inlineStr">
        <is>
          <t>2026-08-28</t>
        </is>
      </c>
      <c r="C46" s="10" t="inlineStr">
        <is>
          <t>Claude Code</t>
        </is>
      </c>
      <c r="D46" s="10" t="inlineStr">
        <is>
          <t>Pending</t>
        </is>
      </c>
      <c r="E46"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46" s="10" t="inlineStr">
        <is>
          <t>Issued for review</t>
        </is>
      </c>
    </row>
    <row r="47">
      <c r="A47" s="8" t="inlineStr">
        <is>
          <t>2.36</t>
        </is>
      </c>
      <c r="B47" s="8" t="inlineStr">
        <is>
          <t>2026-08-28</t>
        </is>
      </c>
      <c r="C47" s="8" t="inlineStr">
        <is>
          <t>Claude Code</t>
        </is>
      </c>
      <c r="D47" s="8" t="inlineStr">
        <is>
          <t>Pending</t>
        </is>
      </c>
      <c r="E47"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47" s="8" t="inlineStr">
        <is>
          <t>Issued for review</t>
        </is>
      </c>
    </row>
    <row r="48">
      <c r="A48" s="10" t="inlineStr">
        <is>
          <t>2.35</t>
        </is>
      </c>
      <c r="B48" s="10" t="inlineStr">
        <is>
          <t>2026-08-27</t>
        </is>
      </c>
      <c r="C48" s="10" t="inlineStr">
        <is>
          <t>Claude Code</t>
        </is>
      </c>
      <c r="D48" s="10" t="inlineStr">
        <is>
          <t>Pending</t>
        </is>
      </c>
      <c r="E48"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48" s="10" t="inlineStr">
        <is>
          <t>Issued for review</t>
        </is>
      </c>
    </row>
    <row r="49">
      <c r="A49" s="8" t="inlineStr">
        <is>
          <t>2.34</t>
        </is>
      </c>
      <c r="B49" s="8" t="inlineStr">
        <is>
          <t>2026-08-27</t>
        </is>
      </c>
      <c r="C49" s="8" t="inlineStr">
        <is>
          <t>Claude Code</t>
        </is>
      </c>
      <c r="D49" s="8" t="inlineStr">
        <is>
          <t>Pending</t>
        </is>
      </c>
      <c r="E49"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49" s="8" t="inlineStr">
        <is>
          <t>Issued for review</t>
        </is>
      </c>
    </row>
    <row r="50">
      <c r="A50" s="10" t="inlineStr">
        <is>
          <t>2.33</t>
        </is>
      </c>
      <c r="B50" s="10" t="inlineStr">
        <is>
          <t>2026-08-27</t>
        </is>
      </c>
      <c r="C50" s="10" t="inlineStr">
        <is>
          <t>Claude Code</t>
        </is>
      </c>
      <c r="D50" s="10" t="inlineStr">
        <is>
          <t>Pending</t>
        </is>
      </c>
      <c r="E50"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50" s="10" t="inlineStr">
        <is>
          <t>Issued for review</t>
        </is>
      </c>
    </row>
    <row r="51">
      <c r="A51" s="8" t="inlineStr">
        <is>
          <t>2.32</t>
        </is>
      </c>
      <c r="B51" s="8" t="inlineStr">
        <is>
          <t>2026-08-26</t>
        </is>
      </c>
      <c r="C51" s="8" t="inlineStr">
        <is>
          <t>Claude Code</t>
        </is>
      </c>
      <c r="D51" s="8" t="inlineStr">
        <is>
          <t>Pending</t>
        </is>
      </c>
      <c r="E51"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51" s="8" t="inlineStr">
        <is>
          <t>Issued for review</t>
        </is>
      </c>
    </row>
    <row r="52">
      <c r="A52" s="10" t="inlineStr">
        <is>
          <t>2.31</t>
        </is>
      </c>
      <c r="B52" s="10" t="inlineStr">
        <is>
          <t>2026-08-26</t>
        </is>
      </c>
      <c r="C52" s="10" t="inlineStr">
        <is>
          <t>Claude Code</t>
        </is>
      </c>
      <c r="D52" s="10" t="inlineStr">
        <is>
          <t>Pending</t>
        </is>
      </c>
      <c r="E52"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52" s="10" t="inlineStr">
        <is>
          <t>Issued for review</t>
        </is>
      </c>
    </row>
    <row r="53">
      <c r="A53" s="8" t="inlineStr">
        <is>
          <t>2.30</t>
        </is>
      </c>
      <c r="B53" s="8" t="inlineStr">
        <is>
          <t>2026-08-25</t>
        </is>
      </c>
      <c r="C53" s="8" t="inlineStr">
        <is>
          <t>Claude Code</t>
        </is>
      </c>
      <c r="D53" s="8" t="inlineStr">
        <is>
          <t>Pending</t>
        </is>
      </c>
      <c r="E53"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53" s="8" t="inlineStr">
        <is>
          <t>Issued for review</t>
        </is>
      </c>
    </row>
    <row r="54">
      <c r="A54" s="10" t="inlineStr">
        <is>
          <t>2.29</t>
        </is>
      </c>
      <c r="B54" s="10" t="inlineStr">
        <is>
          <t>2026-08-25</t>
        </is>
      </c>
      <c r="C54" s="10" t="inlineStr">
        <is>
          <t>Claude Code</t>
        </is>
      </c>
      <c r="D54" s="10" t="inlineStr">
        <is>
          <t>Pending</t>
        </is>
      </c>
      <c r="E54"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54" s="10" t="inlineStr">
        <is>
          <t>Issued for review</t>
        </is>
      </c>
    </row>
    <row r="55">
      <c r="A55" s="8" t="inlineStr">
        <is>
          <t>2.28</t>
        </is>
      </c>
      <c r="B55" s="8" t="inlineStr">
        <is>
          <t>2026-08-22</t>
        </is>
      </c>
      <c r="C55" s="8" t="inlineStr">
        <is>
          <t>Claude Code</t>
        </is>
      </c>
      <c r="D55" s="8" t="inlineStr">
        <is>
          <t>Pending</t>
        </is>
      </c>
      <c r="E55"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55" s="8" t="inlineStr">
        <is>
          <t>Issued for review</t>
        </is>
      </c>
    </row>
    <row r="56">
      <c r="A56" s="10" t="inlineStr">
        <is>
          <t>2.27</t>
        </is>
      </c>
      <c r="B56" s="10" t="inlineStr">
        <is>
          <t>2026-08-20</t>
        </is>
      </c>
      <c r="C56" s="10" t="inlineStr">
        <is>
          <t>Claude Code</t>
        </is>
      </c>
      <c r="D56" s="10" t="inlineStr">
        <is>
          <t>Pending</t>
        </is>
      </c>
      <c r="E56"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56" s="10" t="inlineStr">
        <is>
          <t>Issued for review</t>
        </is>
      </c>
    </row>
    <row r="57">
      <c r="A57" s="8" t="inlineStr">
        <is>
          <t>2.26</t>
        </is>
      </c>
      <c r="B57" s="8" t="inlineStr">
        <is>
          <t>2026-07-31</t>
        </is>
      </c>
      <c r="C57" s="8" t="inlineStr">
        <is>
          <t>Claude Code</t>
        </is>
      </c>
      <c r="D57" s="8" t="inlineStr">
        <is>
          <t>Pending</t>
        </is>
      </c>
      <c r="E57"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57" s="8" t="inlineStr">
        <is>
          <t>Issued for review</t>
        </is>
      </c>
    </row>
    <row r="58">
      <c r="A58" s="10" t="inlineStr">
        <is>
          <t>2.25</t>
        </is>
      </c>
      <c r="B58" s="10" t="inlineStr">
        <is>
          <t>2026-07-31</t>
        </is>
      </c>
      <c r="C58" s="10" t="inlineStr">
        <is>
          <t>Claude Code</t>
        </is>
      </c>
      <c r="D58" s="10" t="inlineStr">
        <is>
          <t>Pending</t>
        </is>
      </c>
      <c r="E58"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58" s="10" t="inlineStr">
        <is>
          <t>Superseded by v2.26</t>
        </is>
      </c>
    </row>
    <row r="59">
      <c r="A59" s="8" t="inlineStr">
        <is>
          <t>2.24</t>
        </is>
      </c>
      <c r="B59" s="8" t="inlineStr">
        <is>
          <t>2026-07-31</t>
        </is>
      </c>
      <c r="C59" s="8" t="inlineStr">
        <is>
          <t>Claude Code</t>
        </is>
      </c>
      <c r="D59" s="8" t="inlineStr">
        <is>
          <t>Pending</t>
        </is>
      </c>
      <c r="E59"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59" s="8" t="inlineStr">
        <is>
          <t>Superseded by v2.25</t>
        </is>
      </c>
    </row>
    <row r="60">
      <c r="A60" s="10" t="inlineStr">
        <is>
          <t>2.23</t>
        </is>
      </c>
      <c r="B60" s="10" t="inlineStr">
        <is>
          <t>2026-07-31</t>
        </is>
      </c>
      <c r="C60" s="10" t="inlineStr">
        <is>
          <t>Claude Code</t>
        </is>
      </c>
      <c r="D60" s="10" t="inlineStr">
        <is>
          <t>Pending</t>
        </is>
      </c>
      <c r="E60"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60" s="10" t="inlineStr">
        <is>
          <t>Superseded by v2.24</t>
        </is>
      </c>
    </row>
    <row r="61">
      <c r="A61" s="8" t="inlineStr">
        <is>
          <t>2.22</t>
        </is>
      </c>
      <c r="B61" s="8" t="inlineStr">
        <is>
          <t>2026-07-31</t>
        </is>
      </c>
      <c r="C61" s="8" t="inlineStr">
        <is>
          <t>Claude Code</t>
        </is>
      </c>
      <c r="D61" s="8" t="inlineStr">
        <is>
          <t>Pending</t>
        </is>
      </c>
      <c r="E61"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61" s="8" t="inlineStr">
        <is>
          <t>Superseded by v2.23</t>
        </is>
      </c>
    </row>
    <row r="62">
      <c r="A62" s="10" t="inlineStr">
        <is>
          <t>2.21</t>
        </is>
      </c>
      <c r="B62" s="10" t="inlineStr">
        <is>
          <t>2026-07-31</t>
        </is>
      </c>
      <c r="C62" s="10" t="inlineStr">
        <is>
          <t>Claude Code</t>
        </is>
      </c>
      <c r="D62" s="10" t="inlineStr">
        <is>
          <t>Pending</t>
        </is>
      </c>
      <c r="E62"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62" s="10" t="inlineStr">
        <is>
          <t>Superseded by v2.22</t>
        </is>
      </c>
    </row>
    <row r="63">
      <c r="A63" s="8" t="inlineStr">
        <is>
          <t>2.20</t>
        </is>
      </c>
      <c r="B63" s="8" t="inlineStr">
        <is>
          <t>2026-07-31</t>
        </is>
      </c>
      <c r="C63" s="8" t="inlineStr">
        <is>
          <t>Claude Code</t>
        </is>
      </c>
      <c r="D63" s="8" t="inlineStr">
        <is>
          <t>Pending</t>
        </is>
      </c>
      <c r="E63"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63" s="8" t="inlineStr">
        <is>
          <t>Superseded by v2.21</t>
        </is>
      </c>
    </row>
    <row r="64">
      <c r="A64" s="10" t="inlineStr">
        <is>
          <t>2.19</t>
        </is>
      </c>
      <c r="B64" s="10" t="inlineStr">
        <is>
          <t>2026-07-31</t>
        </is>
      </c>
      <c r="C64" s="10" t="inlineStr">
        <is>
          <t>Claude Code</t>
        </is>
      </c>
      <c r="D64" s="10" t="inlineStr">
        <is>
          <t>Pending</t>
        </is>
      </c>
      <c r="E64"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64" s="10" t="inlineStr">
        <is>
          <t>Superseded by v2.20</t>
        </is>
      </c>
    </row>
    <row r="65">
      <c r="A65" s="8" t="inlineStr">
        <is>
          <t>2.18</t>
        </is>
      </c>
      <c r="B65" s="8" t="inlineStr">
        <is>
          <t>2026-07-31</t>
        </is>
      </c>
      <c r="C65" s="8" t="inlineStr">
        <is>
          <t>Claude Code</t>
        </is>
      </c>
      <c r="D65" s="8" t="inlineStr">
        <is>
          <t>Pending</t>
        </is>
      </c>
      <c r="E65"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65" s="8" t="inlineStr">
        <is>
          <t>Superseded by v2.19</t>
        </is>
      </c>
    </row>
    <row r="66">
      <c r="A66" s="10" t="inlineStr">
        <is>
          <t>2.17</t>
        </is>
      </c>
      <c r="B66" s="10" t="inlineStr">
        <is>
          <t>2026-07-31</t>
        </is>
      </c>
      <c r="C66" s="10" t="inlineStr">
        <is>
          <t>Claude Code</t>
        </is>
      </c>
      <c r="D66" s="10" t="inlineStr">
        <is>
          <t>Pending</t>
        </is>
      </c>
      <c r="E66"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66" s="10" t="inlineStr">
        <is>
          <t>Superseded by v2.18</t>
        </is>
      </c>
    </row>
    <row r="67">
      <c r="A67" s="8" t="inlineStr">
        <is>
          <t>2.16</t>
        </is>
      </c>
      <c r="B67" s="8" t="inlineStr">
        <is>
          <t>2026-07-31</t>
        </is>
      </c>
      <c r="C67" s="8" t="inlineStr">
        <is>
          <t>Claude Code</t>
        </is>
      </c>
      <c r="D67" s="8" t="inlineStr">
        <is>
          <t>Pending</t>
        </is>
      </c>
      <c r="E67"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67" s="8" t="inlineStr">
        <is>
          <t>Superseded by v2.17</t>
        </is>
      </c>
    </row>
    <row r="68">
      <c r="A68" s="10" t="inlineStr">
        <is>
          <t>2.15</t>
        </is>
      </c>
      <c r="B68" s="10" t="inlineStr">
        <is>
          <t>2026-07-31</t>
        </is>
      </c>
      <c r="C68" s="10" t="inlineStr">
        <is>
          <t>Claude Code</t>
        </is>
      </c>
      <c r="D68" s="10" t="inlineStr">
        <is>
          <t>Pending</t>
        </is>
      </c>
      <c r="E68"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68" s="10" t="inlineStr">
        <is>
          <t>Superseded by v2.16</t>
        </is>
      </c>
    </row>
    <row r="69">
      <c r="A69" s="8" t="inlineStr">
        <is>
          <t>2.14</t>
        </is>
      </c>
      <c r="B69" s="8" t="inlineStr">
        <is>
          <t>2026-07-31</t>
        </is>
      </c>
      <c r="C69" s="8" t="inlineStr">
        <is>
          <t>Claude Code</t>
        </is>
      </c>
      <c r="D69" s="8" t="inlineStr">
        <is>
          <t>Pending</t>
        </is>
      </c>
      <c r="E69"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69" s="8" t="inlineStr">
        <is>
          <t>Issued for review</t>
        </is>
      </c>
    </row>
    <row r="70">
      <c r="A70" s="10" t="inlineStr">
        <is>
          <t>2.13</t>
        </is>
      </c>
      <c r="B70" s="10" t="inlineStr">
        <is>
          <t>2026-07-31</t>
        </is>
      </c>
      <c r="C70" s="10" t="inlineStr">
        <is>
          <t>Claude Code</t>
        </is>
      </c>
      <c r="D70" s="10" t="inlineStr">
        <is>
          <t>Pending</t>
        </is>
      </c>
      <c r="E70"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70" s="10" t="inlineStr">
        <is>
          <t>Superseded by v2.14</t>
        </is>
      </c>
    </row>
    <row r="71">
      <c r="A71" s="8" t="inlineStr">
        <is>
          <t>2.12</t>
        </is>
      </c>
      <c r="B71" s="8" t="inlineStr">
        <is>
          <t>2026-07-31</t>
        </is>
      </c>
      <c r="C71" s="8" t="inlineStr">
        <is>
          <t>Claude Code</t>
        </is>
      </c>
      <c r="D71" s="8" t="inlineStr">
        <is>
          <t>Pending</t>
        </is>
      </c>
      <c r="E71"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71" s="8" t="inlineStr">
        <is>
          <t>Superseded by v2.13</t>
        </is>
      </c>
    </row>
    <row r="72">
      <c r="A72" s="10" t="inlineStr">
        <is>
          <t>2.11</t>
        </is>
      </c>
      <c r="B72" s="10" t="inlineStr">
        <is>
          <t>2026-07-31</t>
        </is>
      </c>
      <c r="C72" s="10" t="inlineStr">
        <is>
          <t>Claude Code</t>
        </is>
      </c>
      <c r="D72" s="10" t="inlineStr">
        <is>
          <t>Pending</t>
        </is>
      </c>
      <c r="E72"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72" s="10" t="inlineStr">
        <is>
          <t>Issued for review</t>
        </is>
      </c>
    </row>
    <row r="73">
      <c r="A73" s="8" t="inlineStr">
        <is>
          <t>2.10</t>
        </is>
      </c>
      <c r="B73" s="8" t="inlineStr">
        <is>
          <t>2026-07-31</t>
        </is>
      </c>
      <c r="C73" s="8" t="inlineStr">
        <is>
          <t>Claude Code</t>
        </is>
      </c>
      <c r="D73" s="8" t="inlineStr">
        <is>
          <t>Pending</t>
        </is>
      </c>
      <c r="E73"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73" s="8" t="inlineStr">
        <is>
          <t>Superseded by v2.11</t>
        </is>
      </c>
    </row>
    <row r="74">
      <c r="A74" s="10" t="inlineStr">
        <is>
          <t>2.9</t>
        </is>
      </c>
      <c r="B74" s="10" t="inlineStr">
        <is>
          <t>2026-07-31</t>
        </is>
      </c>
      <c r="C74" s="10" t="inlineStr">
        <is>
          <t>Claude Code</t>
        </is>
      </c>
      <c r="D74" s="10" t="inlineStr">
        <is>
          <t>Pending</t>
        </is>
      </c>
      <c r="E74"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74" s="10" t="inlineStr">
        <is>
          <t>Superseded by v2.10</t>
        </is>
      </c>
    </row>
    <row r="75">
      <c r="A75" s="8" t="inlineStr">
        <is>
          <t>2.8</t>
        </is>
      </c>
      <c r="B75" s="8" t="inlineStr">
        <is>
          <t>2026-07-31</t>
        </is>
      </c>
      <c r="C75" s="8" t="inlineStr">
        <is>
          <t>Claude Code</t>
        </is>
      </c>
      <c r="D75" s="8" t="inlineStr">
        <is>
          <t>Pending</t>
        </is>
      </c>
      <c r="E75"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75" s="8" t="inlineStr">
        <is>
          <t>Superseded by v2.9</t>
        </is>
      </c>
    </row>
    <row r="76">
      <c r="A76" s="10" t="inlineStr">
        <is>
          <t>2.7</t>
        </is>
      </c>
      <c r="B76" s="10" t="inlineStr">
        <is>
          <t>2026-07-31</t>
        </is>
      </c>
      <c r="C76" s="10" t="inlineStr">
        <is>
          <t>Claude Code</t>
        </is>
      </c>
      <c r="D76" s="10" t="inlineStr">
        <is>
          <t>Pending</t>
        </is>
      </c>
      <c r="E76"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76" s="10" t="inlineStr">
        <is>
          <t>Superseded by v2.8</t>
        </is>
      </c>
    </row>
    <row r="77">
      <c r="A77" s="8" t="inlineStr">
        <is>
          <t>2.6</t>
        </is>
      </c>
      <c r="B77" s="8" t="inlineStr">
        <is>
          <t>2026-07-31</t>
        </is>
      </c>
      <c r="C77" s="8" t="inlineStr">
        <is>
          <t>Claude Code</t>
        </is>
      </c>
      <c r="D77" s="8" t="inlineStr">
        <is>
          <t>Pending</t>
        </is>
      </c>
      <c r="E77"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77" s="8" t="inlineStr">
        <is>
          <t>Superseded by v2.7</t>
        </is>
      </c>
    </row>
    <row r="78">
      <c r="A78" s="10" t="inlineStr">
        <is>
          <t>2.5</t>
        </is>
      </c>
      <c r="B78" s="10" t="inlineStr">
        <is>
          <t>2026-07-31</t>
        </is>
      </c>
      <c r="C78" s="10" t="inlineStr">
        <is>
          <t>Claude Code</t>
        </is>
      </c>
      <c r="D78" s="10" t="inlineStr">
        <is>
          <t>Pending</t>
        </is>
      </c>
      <c r="E78"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78" s="10" t="inlineStr">
        <is>
          <t>Issued for review</t>
        </is>
      </c>
    </row>
    <row r="79">
      <c r="A79" s="8" t="inlineStr">
        <is>
          <t>2.4</t>
        </is>
      </c>
      <c r="B79" s="8" t="inlineStr">
        <is>
          <t>2026-07-31</t>
        </is>
      </c>
      <c r="C79" s="8" t="inlineStr">
        <is>
          <t>Claude Code</t>
        </is>
      </c>
      <c r="D79" s="8" t="inlineStr">
        <is>
          <t>Pending</t>
        </is>
      </c>
      <c r="E79"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79" s="8" t="inlineStr">
        <is>
          <t>Issued for review</t>
        </is>
      </c>
    </row>
    <row r="80">
      <c r="A80" s="10" t="inlineStr">
        <is>
          <t>2.3</t>
        </is>
      </c>
      <c r="B80" s="10" t="inlineStr">
        <is>
          <t>2026-07-31</t>
        </is>
      </c>
      <c r="C80" s="10" t="inlineStr">
        <is>
          <t>Claude Code</t>
        </is>
      </c>
      <c r="D80" s="10" t="inlineStr">
        <is>
          <t>Pending</t>
        </is>
      </c>
      <c r="E80"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80" s="10" t="inlineStr">
        <is>
          <t>Issued for review</t>
        </is>
      </c>
    </row>
    <row r="81">
      <c r="A81" s="8" t="inlineStr">
        <is>
          <t>2.2</t>
        </is>
      </c>
      <c r="B81" s="8" t="inlineStr">
        <is>
          <t>2026-07-31</t>
        </is>
      </c>
      <c r="C81" s="8" t="inlineStr">
        <is>
          <t>Claude Code</t>
        </is>
      </c>
      <c r="D81" s="8" t="inlineStr">
        <is>
          <t>Pending</t>
        </is>
      </c>
      <c r="E81"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81" s="8" t="inlineStr">
        <is>
          <t>Issued for review</t>
        </is>
      </c>
    </row>
    <row r="82">
      <c r="A82" s="10" t="inlineStr">
        <is>
          <t>2.1</t>
        </is>
      </c>
      <c r="B82" s="10" t="inlineStr">
        <is>
          <t>2026-07-31</t>
        </is>
      </c>
      <c r="C82" s="10" t="inlineStr">
        <is>
          <t>Claude Code</t>
        </is>
      </c>
      <c r="D82" s="10" t="inlineStr">
        <is>
          <t>Pending</t>
        </is>
      </c>
      <c r="E82"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82" s="10" t="inlineStr">
        <is>
          <t>Issued for review</t>
        </is>
      </c>
    </row>
    <row r="83">
      <c r="A83" s="8" t="inlineStr">
        <is>
          <t>2.0</t>
        </is>
      </c>
      <c r="B83" s="8" t="inlineStr">
        <is>
          <t>2026-08-02</t>
        </is>
      </c>
      <c r="C83" s="8" t="inlineStr">
        <is>
          <t>Claude Code</t>
        </is>
      </c>
      <c r="D83" s="8" t="inlineStr">
        <is>
          <t>Dan</t>
        </is>
      </c>
      <c r="E83"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83" s="8" t="inlineStr">
        <is>
          <t>APPROVED 2026-08-02 by Dan - BASELINE</t>
        </is>
      </c>
    </row>
    <row r="84">
      <c r="A84" s="10" t="inlineStr">
        <is>
          <t>1.10</t>
        </is>
      </c>
      <c r="B84" s="10" t="inlineStr">
        <is>
          <t>2026-07-31</t>
        </is>
      </c>
      <c r="C84" s="10" t="inlineStr">
        <is>
          <t>Claude Code</t>
        </is>
      </c>
      <c r="D84" s="10" t="inlineStr">
        <is>
          <t>Pending</t>
        </is>
      </c>
      <c r="E84"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84" s="10" t="inlineStr">
        <is>
          <t>Issued for approval</t>
        </is>
      </c>
    </row>
    <row r="85">
      <c r="A85" s="8" t="inlineStr">
        <is>
          <t>1.9</t>
        </is>
      </c>
      <c r="B85" s="8" t="inlineStr">
        <is>
          <t>2026-07-31</t>
        </is>
      </c>
      <c r="C85" s="8" t="inlineStr">
        <is>
          <t>Claude Code</t>
        </is>
      </c>
      <c r="D85" s="8" t="inlineStr">
        <is>
          <t>Pending</t>
        </is>
      </c>
      <c r="E85"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85" s="8" t="inlineStr">
        <is>
          <t>Issued for approval</t>
        </is>
      </c>
    </row>
    <row r="86">
      <c r="A86" s="10" t="inlineStr">
        <is>
          <t>1.8</t>
        </is>
      </c>
      <c r="B86" s="10" t="inlineStr">
        <is>
          <t>2026-07-31</t>
        </is>
      </c>
      <c r="C86" s="10" t="inlineStr">
        <is>
          <t>Claude Code</t>
        </is>
      </c>
      <c r="D86" s="10" t="inlineStr">
        <is>
          <t>Pending</t>
        </is>
      </c>
      <c r="E86"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86" s="10" t="inlineStr">
        <is>
          <t>Superseded by v1.9</t>
        </is>
      </c>
    </row>
    <row r="87">
      <c r="A87" s="8" t="inlineStr">
        <is>
          <t>1.7</t>
        </is>
      </c>
      <c r="B87" s="8" t="inlineStr">
        <is>
          <t>2026-07-31</t>
        </is>
      </c>
      <c r="C87" s="8" t="inlineStr">
        <is>
          <t>Claude Code</t>
        </is>
      </c>
      <c r="D87" s="8" t="inlineStr">
        <is>
          <t>Pending</t>
        </is>
      </c>
      <c r="E87"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87" s="8" t="inlineStr">
        <is>
          <t>Superseded by v1.8</t>
        </is>
      </c>
    </row>
    <row r="88">
      <c r="A88" s="10" t="inlineStr">
        <is>
          <t>1.6</t>
        </is>
      </c>
      <c r="B88" s="10" t="inlineStr">
        <is>
          <t>2026-07-31</t>
        </is>
      </c>
      <c r="C88" s="10" t="inlineStr">
        <is>
          <t>Claude Code</t>
        </is>
      </c>
      <c r="D88" s="10" t="inlineStr">
        <is>
          <t>Pending</t>
        </is>
      </c>
      <c r="E88"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88" s="10" t="inlineStr">
        <is>
          <t>Issued for approval</t>
        </is>
      </c>
    </row>
    <row r="90">
      <c r="A90"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6"/>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REQ-PRJ-14</t>
        </is>
      </c>
      <c r="B20" s="17" t="inlineStr">
        <is>
          <t>Project data</t>
        </is>
      </c>
      <c r="C20"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0" s="17" t="inlineStr">
        <is>
          <t>Should</t>
        </is>
      </c>
      <c r="E20" s="17" t="inlineStr">
        <is>
          <t>R-50</t>
        </is>
      </c>
      <c r="F20" s="17" t="inlineStr">
        <is>
          <t>4</t>
        </is>
      </c>
    </row>
    <row r="21">
      <c r="A21" s="19" t="inlineStr">
        <is>
          <t>REQ-PRJ-09</t>
        </is>
      </c>
      <c r="B21" s="19" t="inlineStr">
        <is>
          <t>Project data</t>
        </is>
      </c>
      <c r="C21" s="20" t="inlineStr">
        <is>
          <t>A clinical trial of either type records its clinical phase (phase 1 / 2 / 3 / 4). The phase determines the project's period weights, so it drives the simulation rather than merely describing the project.</t>
        </is>
      </c>
      <c r="D21" s="19" t="inlineStr">
        <is>
          <t>Must</t>
        </is>
      </c>
      <c r="E21" s="19" t="inlineStr">
        <is>
          <t>Q-26</t>
        </is>
      </c>
      <c r="F21" s="19" t="inlineStr">
        <is>
          <t>2</t>
        </is>
      </c>
    </row>
    <row r="22">
      <c r="A22" s="17" t="inlineStr">
        <is>
          <t>REQ-PRJ-10</t>
        </is>
      </c>
      <c r="B22" s="17" t="inlineStr">
        <is>
          <t>Project data</t>
        </is>
      </c>
      <c r="C22" s="18" t="inlineStr">
        <is>
          <t>A clinical trial of either type records who performs each of EDC set-up, data-review-system set-up, RBQM set-up and DM conduct ('by CRO' / 'by SB').</t>
        </is>
      </c>
      <c r="D22" s="17" t="inlineStr">
        <is>
          <t>Must</t>
        </is>
      </c>
      <c r="E22" s="17" t="inlineStr">
        <is>
          <t>Reviewer v0.11</t>
        </is>
      </c>
      <c r="F22" s="17" t="inlineStr">
        <is>
          <t>2</t>
        </is>
      </c>
    </row>
    <row r="23">
      <c r="A23" s="17" t="inlineStr">
        <is>
          <t>REQ-PRJ-11</t>
        </is>
      </c>
      <c r="B23" s="17" t="inlineStr">
        <is>
          <t>Project data</t>
        </is>
      </c>
      <c r="C23" s="18" t="inlineStr">
        <is>
          <t>A clinical trial of either type records the EDC system, data review system and RBQM system in use, from data-driven value lists.</t>
        </is>
      </c>
      <c r="D23" s="17" t="inlineStr">
        <is>
          <t>Must</t>
        </is>
      </c>
      <c r="E23" s="17" t="inlineStr">
        <is>
          <t>Reviewer v0.11</t>
        </is>
      </c>
      <c r="F23" s="17" t="inlineStr">
        <is>
          <t>2</t>
        </is>
      </c>
    </row>
    <row r="24">
      <c r="A24" s="10" t="inlineStr">
        <is>
          <t>REQ-PSN-01</t>
        </is>
      </c>
      <c r="B24" s="10" t="inlineStr">
        <is>
          <t>Person data</t>
        </is>
      </c>
      <c r="C24" s="11" t="inlineStr">
        <is>
          <t>Data is managed by person, by project assigned, and by project role assigned.</t>
        </is>
      </c>
      <c r="D24" s="10" t="inlineStr">
        <is>
          <t>Must</t>
        </is>
      </c>
      <c r="E24" s="10" t="inlineStr">
        <is>
          <t>Requester</t>
        </is>
      </c>
      <c r="F24" s="10" t="inlineStr">
        <is>
          <t>2</t>
        </is>
      </c>
    </row>
    <row r="25">
      <c r="A25" s="8" t="inlineStr">
        <is>
          <t>REQ-PSN-02</t>
        </is>
      </c>
      <c r="B25" s="8" t="inlineStr">
        <is>
          <t>Person data</t>
        </is>
      </c>
      <c r="C25" s="9" t="inlineStr">
        <is>
          <t>Each assignment records the project(s) the person is assigned to.</t>
        </is>
      </c>
      <c r="D25" s="8" t="inlineStr">
        <is>
          <t>Must</t>
        </is>
      </c>
      <c r="E25" s="8" t="inlineStr">
        <is>
          <t>Requester</t>
        </is>
      </c>
      <c r="F25" s="8" t="inlineStr">
        <is>
          <t>2</t>
        </is>
      </c>
    </row>
    <row r="26">
      <c r="A26" s="19" t="inlineStr">
        <is>
          <t>REQ-PSN-03</t>
        </is>
      </c>
      <c r="B26" s="19" t="inlineStr">
        <is>
          <t>Person data</t>
        </is>
      </c>
      <c r="C26" s="20" t="inlineStr">
        <is>
          <t>Each assignment records the role(s) the person holds on that project, drawn from the role list valid for that project's type.</t>
        </is>
      </c>
      <c r="D26" s="19" t="inlineStr">
        <is>
          <t>Must</t>
        </is>
      </c>
      <c r="E26" s="19" t="inlineStr">
        <is>
          <t>Q-03</t>
        </is>
      </c>
      <c r="F26" s="19" t="inlineStr">
        <is>
          <t>2</t>
        </is>
      </c>
    </row>
    <row r="27">
      <c r="A27" s="8" t="inlineStr">
        <is>
          <t>REQ-PSN-04</t>
        </is>
      </c>
      <c r="B27" s="8" t="inlineStr">
        <is>
          <t>Person data</t>
        </is>
      </c>
      <c r="C27" s="9" t="inlineStr">
        <is>
          <t>Each assignment records the start date the person joins and the end date they leave that study.</t>
        </is>
      </c>
      <c r="D27" s="8" t="inlineStr">
        <is>
          <t>Must</t>
        </is>
      </c>
      <c r="E27" s="8" t="inlineStr">
        <is>
          <t>Requester</t>
        </is>
      </c>
      <c r="F27" s="8" t="inlineStr">
        <is>
          <t>2</t>
        </is>
      </c>
    </row>
    <row r="28">
      <c r="A28" s="19" t="inlineStr">
        <is>
          <t>REQ-PSN-05</t>
        </is>
      </c>
      <c r="B28" s="19" t="inlineStr">
        <is>
          <t>Person data</t>
        </is>
      </c>
      <c r="C28" s="20" t="inlineStr">
        <is>
          <t>Each assignment carries a person weight saying how much that person works on that project, with optional period-specific overrides.</t>
        </is>
      </c>
      <c r="D28" s="19" t="inlineStr">
        <is>
          <t>Must</t>
        </is>
      </c>
      <c r="E28" s="19" t="inlineStr">
        <is>
          <t>Q-01</t>
        </is>
      </c>
      <c r="F28" s="19" t="inlineStr">
        <is>
          <t>2</t>
        </is>
      </c>
    </row>
    <row r="29">
      <c r="A29" s="8" t="inlineStr">
        <is>
          <t>REQ-PSN-06</t>
        </is>
      </c>
      <c r="B29" s="8" t="inlineStr">
        <is>
          <t>Person data</t>
        </is>
      </c>
      <c r="C29" s="9" t="inlineStr">
        <is>
          <t>The person record accepts further project-related information without a schema change.</t>
        </is>
      </c>
      <c r="D29" s="8" t="inlineStr">
        <is>
          <t>Should</t>
        </is>
      </c>
      <c r="E29" s="8" t="inlineStr">
        <is>
          <t>Requester</t>
        </is>
      </c>
      <c r="F29" s="8" t="inlineStr">
        <is>
          <t>2</t>
        </is>
      </c>
    </row>
    <row r="30">
      <c r="A30" s="10" t="inlineStr">
        <is>
          <t>REQ-PSN-07</t>
        </is>
      </c>
      <c r="B30" s="10" t="inlineStr">
        <is>
          <t>Person data</t>
        </is>
      </c>
      <c r="C30" s="11" t="inlineStr">
        <is>
          <t>One person may hold assignments on several projects simultaneously, and may hold more than one role on the same project.</t>
        </is>
      </c>
      <c r="D30" s="10" t="inlineStr">
        <is>
          <t>Must</t>
        </is>
      </c>
      <c r="E30" s="10" t="inlineStr">
        <is>
          <t>Derived</t>
        </is>
      </c>
      <c r="F30" s="10" t="inlineStr">
        <is>
          <t>2</t>
        </is>
      </c>
    </row>
    <row r="31">
      <c r="A31" s="19" t="inlineStr">
        <is>
          <t>REQ-CAL-01</t>
        </is>
      </c>
      <c r="B31" s="19" t="inlineStr">
        <is>
          <t>Calculation</t>
        </is>
      </c>
      <c r="C31" s="20" t="inlineStr">
        <is>
          <t>Resource is simulated on a monthly grid, default horizon 24 months, expandable to the latest project end date.</t>
        </is>
      </c>
      <c r="D31" s="19" t="inlineStr">
        <is>
          <t>Must</t>
        </is>
      </c>
      <c r="E31" s="19" t="inlineStr">
        <is>
          <t>Q-11</t>
        </is>
      </c>
      <c r="F31" s="19" t="inlineStr">
        <is>
          <t>4</t>
        </is>
      </c>
    </row>
    <row r="32">
      <c r="A32" s="19" t="inlineStr">
        <is>
          <t>REQ-CAL-02</t>
        </is>
      </c>
      <c r="B32" s="19" t="inlineStr">
        <is>
          <t>Calculation</t>
        </is>
      </c>
      <c r="C32"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2" s="19" t="inlineStr">
        <is>
          <t>Must</t>
        </is>
      </c>
      <c r="E32" s="19" t="inlineStr">
        <is>
          <t>Q-01, R-10, R-12, R-13</t>
        </is>
      </c>
      <c r="F32" s="19" t="inlineStr">
        <is>
          <t>2,4</t>
        </is>
      </c>
    </row>
    <row r="33">
      <c r="A33" s="17" t="inlineStr">
        <is>
          <t>REQ-DSH-18</t>
        </is>
      </c>
      <c r="B33" s="17" t="inlineStr">
        <is>
          <t>Dashboard</t>
        </is>
      </c>
      <c r="C33"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33" s="17" t="inlineStr">
        <is>
          <t>Should</t>
        </is>
      </c>
      <c r="E33" s="17" t="inlineStr">
        <is>
          <t>R-51</t>
        </is>
      </c>
      <c r="F33" s="17" t="inlineStr">
        <is>
          <t>4</t>
        </is>
      </c>
    </row>
    <row r="34">
      <c r="A34" s="17" t="inlineStr">
        <is>
          <t>REQ-DSH-17</t>
        </is>
      </c>
      <c r="B34" s="17" t="inlineStr">
        <is>
          <t>Dashboard</t>
        </is>
      </c>
      <c r="C34"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4" s="17" t="inlineStr">
        <is>
          <t>Should</t>
        </is>
      </c>
      <c r="E34" s="17" t="inlineStr">
        <is>
          <t>R-49</t>
        </is>
      </c>
      <c r="F34" s="17" t="inlineStr">
        <is>
          <t>4</t>
        </is>
      </c>
    </row>
    <row r="35">
      <c r="A35" s="17" t="inlineStr">
        <is>
          <t>REQ-DSH-16</t>
        </is>
      </c>
      <c r="B35" s="17" t="inlineStr">
        <is>
          <t>Dashboard</t>
        </is>
      </c>
      <c r="C35"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5" s="17" t="inlineStr">
        <is>
          <t>Should</t>
        </is>
      </c>
      <c r="E35" s="17" t="inlineStr">
        <is>
          <t>R-45</t>
        </is>
      </c>
      <c r="F35" s="17" t="inlineStr">
        <is>
          <t>4</t>
        </is>
      </c>
    </row>
    <row r="36">
      <c r="A36" s="17" t="inlineStr">
        <is>
          <t>REQ-DSH-15</t>
        </is>
      </c>
      <c r="B36" s="17" t="inlineStr">
        <is>
          <t>Dashboard</t>
        </is>
      </c>
      <c r="C36"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6" s="17" t="inlineStr">
        <is>
          <t>Should</t>
        </is>
      </c>
      <c r="E36" s="17" t="inlineStr">
        <is>
          <t>R-42</t>
        </is>
      </c>
      <c r="F36" s="17" t="inlineStr">
        <is>
          <t>4</t>
        </is>
      </c>
    </row>
    <row r="37">
      <c r="A37" s="17" t="inlineStr">
        <is>
          <t>REQ-DSH-14</t>
        </is>
      </c>
      <c r="B37" s="17" t="inlineStr">
        <is>
          <t>Dashboard</t>
        </is>
      </c>
      <c r="C37"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7" s="17" t="inlineStr">
        <is>
          <t>Should</t>
        </is>
      </c>
      <c r="E37" s="17" t="inlineStr">
        <is>
          <t>R-40</t>
        </is>
      </c>
      <c r="F37" s="17" t="inlineStr">
        <is>
          <t>4</t>
        </is>
      </c>
    </row>
    <row r="38">
      <c r="A38" s="17" t="inlineStr">
        <is>
          <t>REQ-DSH-13</t>
        </is>
      </c>
      <c r="B38" s="17" t="inlineStr">
        <is>
          <t>Dashboard</t>
        </is>
      </c>
      <c r="C38"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8" s="17" t="inlineStr">
        <is>
          <t>Must</t>
        </is>
      </c>
      <c r="E38" s="17" t="inlineStr">
        <is>
          <t>R-23</t>
        </is>
      </c>
      <c r="F38" s="17" t="inlineStr">
        <is>
          <t>4</t>
        </is>
      </c>
    </row>
    <row r="39">
      <c r="A39" s="17" t="inlineStr">
        <is>
          <t>REQ-CAL-20</t>
        </is>
      </c>
      <c r="B39" s="17" t="inlineStr">
        <is>
          <t>Calculation</t>
        </is>
      </c>
      <c r="C39"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9" s="17" t="inlineStr">
        <is>
          <t>Must</t>
        </is>
      </c>
      <c r="E39" s="17" t="inlineStr">
        <is>
          <t>R-38</t>
        </is>
      </c>
      <c r="F39" s="17" t="inlineStr">
        <is>
          <t>4</t>
        </is>
      </c>
    </row>
    <row r="40">
      <c r="A40" s="17" t="inlineStr">
        <is>
          <t>REQ-CAL-19</t>
        </is>
      </c>
      <c r="B40" s="17" t="inlineStr">
        <is>
          <t>Calculation</t>
        </is>
      </c>
      <c r="C40"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0" s="17" t="inlineStr">
        <is>
          <t>Must</t>
        </is>
      </c>
      <c r="E40" s="17" t="inlineStr">
        <is>
          <t>R-31, R-32</t>
        </is>
      </c>
      <c r="F40" s="17" t="inlineStr">
        <is>
          <t>4</t>
        </is>
      </c>
    </row>
    <row r="41">
      <c r="A41" s="17" t="inlineStr">
        <is>
          <t>REQ-CAL-18</t>
        </is>
      </c>
      <c r="B41" s="17" t="inlineStr">
        <is>
          <t>Calculation</t>
        </is>
      </c>
      <c r="C41"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1" s="17" t="inlineStr">
        <is>
          <t>Must</t>
        </is>
      </c>
      <c r="E41" s="17" t="inlineStr">
        <is>
          <t>R-30</t>
        </is>
      </c>
      <c r="F41" s="17" t="inlineStr">
        <is>
          <t>4</t>
        </is>
      </c>
    </row>
    <row r="42">
      <c r="A42" s="17" t="inlineStr">
        <is>
          <t>REQ-CAL-17</t>
        </is>
      </c>
      <c r="B42" s="17" t="inlineStr">
        <is>
          <t>Calculation</t>
        </is>
      </c>
      <c r="C42"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2" s="17" t="inlineStr">
        <is>
          <t>Must</t>
        </is>
      </c>
      <c r="E42" s="17" t="inlineStr">
        <is>
          <t>R-20</t>
        </is>
      </c>
      <c r="F42" s="17" t="inlineStr">
        <is>
          <t>4</t>
        </is>
      </c>
    </row>
    <row r="43">
      <c r="A43" s="17" t="inlineStr">
        <is>
          <t>REQ-CAL-16</t>
        </is>
      </c>
      <c r="B43" s="17" t="inlineStr">
        <is>
          <t>Calculation</t>
        </is>
      </c>
      <c r="C43"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3" s="17" t="inlineStr">
        <is>
          <t>Must</t>
        </is>
      </c>
      <c r="E43" s="17" t="inlineStr">
        <is>
          <t>R-17</t>
        </is>
      </c>
      <c r="F43" s="17" t="inlineStr">
        <is>
          <t>4</t>
        </is>
      </c>
    </row>
    <row r="44">
      <c r="A44" s="17" t="inlineStr">
        <is>
          <t>REQ-CAL-15</t>
        </is>
      </c>
      <c r="B44" s="17" t="inlineStr">
        <is>
          <t>Calculation</t>
        </is>
      </c>
      <c r="C44"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4" s="17" t="inlineStr">
        <is>
          <t>Must</t>
        </is>
      </c>
      <c r="E44" s="17" t="inlineStr">
        <is>
          <t>R-15</t>
        </is>
      </c>
      <c r="F44" s="17" t="inlineStr">
        <is>
          <t>4</t>
        </is>
      </c>
    </row>
    <row r="45">
      <c r="A45" s="17" t="inlineStr">
        <is>
          <t>REQ-CAL-14</t>
        </is>
      </c>
      <c r="B45" s="17" t="inlineStr">
        <is>
          <t>Calculation</t>
        </is>
      </c>
      <c r="C45"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5" s="17" t="inlineStr">
        <is>
          <t>Must</t>
        </is>
      </c>
      <c r="E45" s="17" t="inlineStr">
        <is>
          <t>R-13</t>
        </is>
      </c>
      <c r="F45" s="17" t="inlineStr">
        <is>
          <t>4</t>
        </is>
      </c>
    </row>
    <row r="46">
      <c r="A46" s="10" t="inlineStr">
        <is>
          <t>REQ-CAL-03</t>
        </is>
      </c>
      <c r="B46" s="10" t="inlineStr">
        <is>
          <t>Calculation</t>
        </is>
      </c>
      <c r="C46" s="11" t="inlineStr">
        <is>
          <t>Project monthly load is the sum of its assignments; person monthly load is the sum across all their projects.</t>
        </is>
      </c>
      <c r="D46" s="10" t="inlineStr">
        <is>
          <t>Must</t>
        </is>
      </c>
      <c r="E46" s="10" t="inlineStr">
        <is>
          <t>Requester</t>
        </is>
      </c>
      <c r="F46" s="10" t="inlineStr">
        <is>
          <t>4</t>
        </is>
      </c>
    </row>
    <row r="47">
      <c r="A47" s="19" t="inlineStr">
        <is>
          <t>REQ-CAL-04</t>
        </is>
      </c>
      <c r="B47" s="19" t="inlineStr">
        <is>
          <t>Calculation</t>
        </is>
      </c>
      <c r="C47" s="20" t="inlineStr">
        <is>
          <t>A person-month whose total exceeds the over-allocation threshold (default 1.50 FTE) is flagged as over-allocated. The threshold is absolute, not scaled by capacity (S2-01).</t>
        </is>
      </c>
      <c r="D47" s="19" t="inlineStr">
        <is>
          <t>Must</t>
        </is>
      </c>
      <c r="E47" s="19" t="inlineStr">
        <is>
          <t>Q-08, S2-01</t>
        </is>
      </c>
      <c r="F47" s="19" t="inlineStr">
        <is>
          <t>4</t>
        </is>
      </c>
    </row>
    <row r="48">
      <c r="A48" s="19" t="inlineStr">
        <is>
          <t>REQ-CAL-05</t>
        </is>
      </c>
      <c r="B48" s="19" t="inlineStr">
        <is>
          <t>Calculation</t>
        </is>
      </c>
      <c r="C48" s="20" t="inlineStr">
        <is>
          <t>A partial first or last month is pro-rated by calendar days worked, not counted as a whole month.</t>
        </is>
      </c>
      <c r="D48" s="19" t="inlineStr">
        <is>
          <t>Must</t>
        </is>
      </c>
      <c r="E48" s="19" t="inlineStr">
        <is>
          <t>Q-02</t>
        </is>
      </c>
      <c r="F48" s="19" t="inlineStr">
        <is>
          <t>4</t>
        </is>
      </c>
    </row>
    <row r="49">
      <c r="A49" s="8" t="inlineStr">
        <is>
          <t>REQ-CAL-06</t>
        </is>
      </c>
      <c r="B49" s="8" t="inlineStr">
        <is>
          <t>Calculation</t>
        </is>
      </c>
      <c r="C49" s="9" t="inlineStr">
        <is>
          <t>All weights, factors and thresholds are data, held in the source workbook, never hardcoded in the program.</t>
        </is>
      </c>
      <c r="D49" s="8" t="inlineStr">
        <is>
          <t>Must</t>
        </is>
      </c>
      <c r="E49" s="8" t="inlineStr">
        <is>
          <t>Derived</t>
        </is>
      </c>
      <c r="F49" s="8" t="inlineStr">
        <is>
          <t>4</t>
        </is>
      </c>
    </row>
    <row r="50">
      <c r="A50" s="19" t="inlineStr">
        <is>
          <t>REQ-CAL-07</t>
        </is>
      </c>
      <c r="B50" s="19" t="inlineStr">
        <is>
          <t>Calculation</t>
        </is>
      </c>
      <c r="C50" s="20" t="inlineStr">
        <is>
          <t>A person whose monthly total stays below the under-allocation threshold (default 0.60 FTE) for three or more consecutive months is flagged as under-allocated, with the run's start and length reported. The threshold is absolute, not scaled by capacity.</t>
        </is>
      </c>
      <c r="D50" s="19" t="inlineStr">
        <is>
          <t>Must</t>
        </is>
      </c>
      <c r="E50" s="19" t="inlineStr">
        <is>
          <t>Q-08, S2-01, S2-05</t>
        </is>
      </c>
      <c r="F50" s="19" t="inlineStr">
        <is>
          <t>4</t>
        </is>
      </c>
    </row>
    <row r="51">
      <c r="A51" s="17" t="inlineStr">
        <is>
          <t>REQ-CAL-08</t>
        </is>
      </c>
      <c r="B51" s="17" t="inlineStr">
        <is>
          <t>Calculation</t>
        </is>
      </c>
      <c r="C51" s="18" t="inlineStr">
        <is>
          <t>Load is expressed in FTE, where 1.00 FTE = 160 hours per month (8 h/day x 5 days/week x 20 days/month). Hours are shown alongside FTE where useful.</t>
        </is>
      </c>
      <c r="D51" s="17" t="inlineStr">
        <is>
          <t>Must</t>
        </is>
      </c>
      <c r="E51" s="17" t="inlineStr">
        <is>
          <t>Q-08</t>
        </is>
      </c>
      <c r="F51" s="17" t="inlineStr">
        <is>
          <t>4</t>
        </is>
      </c>
    </row>
    <row r="52">
      <c r="A52" s="19" t="inlineStr">
        <is>
          <t>REQ-CAL-09</t>
        </is>
      </c>
      <c r="B52" s="19" t="inlineStr">
        <is>
          <t>Calculation</t>
        </is>
      </c>
      <c r="C52"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2" s="19" t="inlineStr">
        <is>
          <t>Must</t>
        </is>
      </c>
      <c r="E52" s="19" t="inlineStr">
        <is>
          <t>Q-16, Q-22, Q-23, Q-25</t>
        </is>
      </c>
      <c r="F52" s="19" t="inlineStr">
        <is>
          <t>2,4</t>
        </is>
      </c>
    </row>
    <row r="53">
      <c r="A53" s="17" t="inlineStr">
        <is>
          <t>REQ-CAL-10</t>
        </is>
      </c>
      <c r="B53" s="17" t="inlineStr">
        <is>
          <t>Calculation</t>
        </is>
      </c>
      <c r="C53" s="18" t="inlineStr">
        <is>
          <t>Every month of a project's timeline falls in exactly one period. A month left uncovered by the derivation is reported and carries weight 1.00 rather than being dropped from the simulation.</t>
        </is>
      </c>
      <c r="D53" s="17" t="inlineStr">
        <is>
          <t>Must</t>
        </is>
      </c>
      <c r="E53" s="17" t="inlineStr">
        <is>
          <t>Derived from Q-16</t>
        </is>
      </c>
      <c r="F53" s="17" t="inlineStr">
        <is>
          <t>2,4</t>
        </is>
      </c>
    </row>
    <row r="54">
      <c r="A54" s="19" t="inlineStr">
        <is>
          <t>REQ-CAL-11</t>
        </is>
      </c>
      <c r="B54" s="19" t="inlineStr">
        <is>
          <t>Calculation</t>
        </is>
      </c>
      <c r="C54"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4" s="19" t="inlineStr">
        <is>
          <t>Must</t>
        </is>
      </c>
      <c r="E54" s="19" t="inlineStr">
        <is>
          <t>Q-23, R-11</t>
        </is>
      </c>
      <c r="F54" s="19" t="inlineStr">
        <is>
          <t>2,4</t>
        </is>
      </c>
    </row>
    <row r="55">
      <c r="A55" s="17" t="inlineStr">
        <is>
          <t>REQ-CAL-13</t>
        </is>
      </c>
      <c r="B55" s="17" t="inlineStr">
        <is>
          <t>Calculation</t>
        </is>
      </c>
      <c r="C55" s="18" t="inlineStr">
        <is>
          <t>Where a period boundary has both a milestone and a month-offset definition, a recorded milestone date wins. The offset is the fallback for a project that does not carry that milestone.</t>
        </is>
      </c>
      <c r="D55" s="17" t="inlineStr">
        <is>
          <t>Must</t>
        </is>
      </c>
      <c r="E55" s="17" t="inlineStr">
        <is>
          <t>R-02</t>
        </is>
      </c>
      <c r="F55" s="17" t="inlineStr">
        <is>
          <t>2,4</t>
        </is>
      </c>
    </row>
    <row r="56">
      <c r="A56" s="17" t="inlineStr">
        <is>
          <t>REQ-CAL-12</t>
        </is>
      </c>
      <c r="B56" s="17" t="inlineStr">
        <is>
          <t>Calculation</t>
        </is>
      </c>
      <c r="C56" s="18" t="inlineStr">
        <is>
          <t>Where a timeline squeezes a derived period to zero or negative length, that period is omitted and the omission reported. Boundaries are applied in order so the periods always stay contiguous.</t>
        </is>
      </c>
      <c r="D56" s="17" t="inlineStr">
        <is>
          <t>Must</t>
        </is>
      </c>
      <c r="E56" s="17" t="inlineStr">
        <is>
          <t>Derived from Q-22, Q-23</t>
        </is>
      </c>
      <c r="F56" s="17" t="inlineStr">
        <is>
          <t>2,4</t>
        </is>
      </c>
    </row>
    <row r="57">
      <c r="A57" s="8" t="inlineStr">
        <is>
          <t>REQ-DSH-01</t>
        </is>
      </c>
      <c r="B57" s="8" t="inlineStr">
        <is>
          <t>Dashboard</t>
        </is>
      </c>
      <c r="C57" s="9" t="inlineStr">
        <is>
          <t>Tab 'Overall' shows monthly resource simulation per project and per person as tables.</t>
        </is>
      </c>
      <c r="D57" s="8" t="inlineStr">
        <is>
          <t>Must</t>
        </is>
      </c>
      <c r="E57" s="8" t="inlineStr">
        <is>
          <t>Requester</t>
        </is>
      </c>
      <c r="F57" s="8" t="inlineStr">
        <is>
          <t>3,4</t>
        </is>
      </c>
    </row>
    <row r="58">
      <c r="A58" s="10" t="inlineStr">
        <is>
          <t>REQ-DSH-02</t>
        </is>
      </c>
      <c r="B58" s="10" t="inlineStr">
        <is>
          <t>Dashboard</t>
        </is>
      </c>
      <c r="C58" s="11" t="inlineStr">
        <is>
          <t>Tab 'Overall' shows appropriate graphs of the same simulation.</t>
        </is>
      </c>
      <c r="D58" s="10" t="inlineStr">
        <is>
          <t>Must</t>
        </is>
      </c>
      <c r="E58" s="10" t="inlineStr">
        <is>
          <t>Requester</t>
        </is>
      </c>
      <c r="F58" s="10" t="inlineStr">
        <is>
          <t>3,4</t>
        </is>
      </c>
    </row>
    <row r="59">
      <c r="A59" s="8" t="inlineStr">
        <is>
          <t>REQ-DSH-03</t>
        </is>
      </c>
      <c r="B59" s="8" t="inlineStr">
        <is>
          <t>Dashboard</t>
        </is>
      </c>
      <c r="C59" s="9" t="inlineStr">
        <is>
          <t>Tab 'Source data (project)' shows project information as a table.</t>
        </is>
      </c>
      <c r="D59" s="8" t="inlineStr">
        <is>
          <t>Must</t>
        </is>
      </c>
      <c r="E59" s="8" t="inlineStr">
        <is>
          <t>Requester</t>
        </is>
      </c>
      <c r="F59" s="8" t="inlineStr">
        <is>
          <t>3,4</t>
        </is>
      </c>
    </row>
    <row r="60">
      <c r="A60" s="10" t="inlineStr">
        <is>
          <t>REQ-DSH-04</t>
        </is>
      </c>
      <c r="B60" s="10" t="inlineStr">
        <is>
          <t>Dashboard</t>
        </is>
      </c>
      <c r="C60" s="11" t="inlineStr">
        <is>
          <t>Tab 'Source data (person)' shows person information as a table.</t>
        </is>
      </c>
      <c r="D60" s="10" t="inlineStr">
        <is>
          <t>Must</t>
        </is>
      </c>
      <c r="E60" s="10" t="inlineStr">
        <is>
          <t>Requester</t>
        </is>
      </c>
      <c r="F60" s="10" t="inlineStr">
        <is>
          <t>3,4</t>
        </is>
      </c>
    </row>
    <row r="61">
      <c r="A61" s="19" t="inlineStr">
        <is>
          <t>REQ-DSH-05</t>
        </is>
      </c>
      <c r="B61" s="19" t="inlineStr">
        <is>
          <t>Dashboard</t>
        </is>
      </c>
      <c r="C61" s="20" t="inlineStr">
        <is>
          <t>One filter set drives every tab: date horizon, project type, clinical phase, project, person, role and department, with a single action to clear them all. The display unit is a setting, not a filter - it changes how figures are written, not which are shown.</t>
        </is>
      </c>
      <c r="D61" s="19" t="inlineStr">
        <is>
          <t>Should</t>
        </is>
      </c>
      <c r="E61" s="19" t="inlineStr">
        <is>
          <t>Derived / O-03</t>
        </is>
      </c>
      <c r="F61" s="19" t="inlineStr">
        <is>
          <t>3,4</t>
        </is>
      </c>
    </row>
    <row r="62">
      <c r="A62" s="10" t="inlineStr">
        <is>
          <t>REQ-DSH-06</t>
        </is>
      </c>
      <c r="B62" s="10" t="inlineStr">
        <is>
          <t>Dashboard</t>
        </is>
      </c>
      <c r="C62" s="11" t="inlineStr">
        <is>
          <t>Any table on screen can be exported to Excel.</t>
        </is>
      </c>
      <c r="D62" s="10" t="inlineStr">
        <is>
          <t>Should</t>
        </is>
      </c>
      <c r="E62" s="10" t="inlineStr">
        <is>
          <t>Derived</t>
        </is>
      </c>
      <c r="F62" s="10" t="inlineStr">
        <is>
          <t>4</t>
        </is>
      </c>
    </row>
    <row r="63">
      <c r="A63" s="17" t="inlineStr">
        <is>
          <t>REQ-DSH-07</t>
        </is>
      </c>
      <c r="B63" s="17" t="inlineStr">
        <is>
          <t>Dashboard</t>
        </is>
      </c>
      <c r="C63" s="18" t="inlineStr">
        <is>
          <t>The horizon control offers 24 months by default and a one-click expansion to cover the latest project end date across all projects.</t>
        </is>
      </c>
      <c r="D63" s="17" t="inlineStr">
        <is>
          <t>Must</t>
        </is>
      </c>
      <c r="E63" s="17" t="inlineStr">
        <is>
          <t>Q-11</t>
        </is>
      </c>
      <c r="F63" s="17" t="inlineStr">
        <is>
          <t>3,4</t>
        </is>
      </c>
    </row>
    <row r="64">
      <c r="A64" s="17" t="inlineStr">
        <is>
          <t>REQ-DSH-08</t>
        </is>
      </c>
      <c r="B64" s="17" t="inlineStr">
        <is>
          <t>Dashboard</t>
        </is>
      </c>
      <c r="C64" s="18" t="inlineStr">
        <is>
          <t>Over-allocated and under-allocated person-months are distinguishable at a glance, and both are counted in the summary tiles.</t>
        </is>
      </c>
      <c r="D64" s="17" t="inlineStr">
        <is>
          <t>Must</t>
        </is>
      </c>
      <c r="E64" s="17" t="inlineStr">
        <is>
          <t>Q-08</t>
        </is>
      </c>
      <c r="F64" s="17" t="inlineStr">
        <is>
          <t>3,4</t>
        </is>
      </c>
    </row>
    <row r="65">
      <c r="A65" s="19" t="inlineStr">
        <is>
          <t>REQ-DSH-09</t>
        </is>
      </c>
      <c r="B65" s="19" t="inlineStr">
        <is>
          <t>Dashboard</t>
        </is>
      </c>
      <c r="C65"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5" s="19" t="inlineStr">
        <is>
          <t>Must</t>
        </is>
      </c>
      <c r="E65" s="19" t="inlineStr">
        <is>
          <t>S2-06, R-47</t>
        </is>
      </c>
      <c r="F65" s="19" t="inlineStr">
        <is>
          <t>3,4</t>
        </is>
      </c>
    </row>
    <row r="66">
      <c r="A66" s="19" t="inlineStr">
        <is>
          <t>REQ-DSH-10</t>
        </is>
      </c>
      <c r="B66" s="19" t="inlineStr">
        <is>
          <t>Dashboard</t>
        </is>
      </c>
      <c r="C66"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6" s="19" t="inlineStr">
        <is>
          <t>Must</t>
        </is>
      </c>
      <c r="E66" s="19" t="inlineStr">
        <is>
          <t>S2-04, R-11</t>
        </is>
      </c>
      <c r="F66" s="19" t="inlineStr">
        <is>
          <t>3,4</t>
        </is>
      </c>
    </row>
    <row r="67">
      <c r="A67" s="17" t="inlineStr">
        <is>
          <t>REQ-DSH-12</t>
        </is>
      </c>
      <c r="B67" s="17" t="inlineStr">
        <is>
          <t>Dashboard</t>
        </is>
      </c>
      <c r="C67"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7" s="17" t="inlineStr">
        <is>
          <t>Should</t>
        </is>
      </c>
      <c r="E67" s="17" t="inlineStr">
        <is>
          <t>Reviewer v0.7</t>
        </is>
      </c>
      <c r="F67" s="17" t="inlineStr">
        <is>
          <t>3,4</t>
        </is>
      </c>
    </row>
    <row r="68">
      <c r="A68" s="17" t="inlineStr">
        <is>
          <t>REQ-DSH-11</t>
        </is>
      </c>
      <c r="B68" s="17" t="inlineStr">
        <is>
          <t>Dashboard</t>
        </is>
      </c>
      <c r="C68" s="18" t="inlineStr">
        <is>
          <t>The standing assumptions the simulation multiplies by - standard period weights, role factors, configuration and value lists - are presented on their own tab, so a reader can see what every figure was derived from without opening the workbook.</t>
        </is>
      </c>
      <c r="D68" s="17" t="inlineStr">
        <is>
          <t>Must</t>
        </is>
      </c>
      <c r="E68" s="17" t="inlineStr">
        <is>
          <t>G-07</t>
        </is>
      </c>
      <c r="F68" s="17" t="inlineStr">
        <is>
          <t>3,4</t>
        </is>
      </c>
    </row>
    <row r="69">
      <c r="A69" s="19" t="inlineStr">
        <is>
          <t>REQ-IMP-01</t>
        </is>
      </c>
      <c r="B69" s="19" t="inlineStr">
        <is>
          <t>Import/Export</t>
        </is>
      </c>
      <c r="C69" s="20" t="inlineStr">
        <is>
          <t>The user loads the source workbook through a file picker or drag-and-drop, chosen because a local HTML page cannot open a file from disk unaided.</t>
        </is>
      </c>
      <c r="D69" s="19" t="inlineStr">
        <is>
          <t>Must</t>
        </is>
      </c>
      <c r="E69" s="19" t="inlineStr">
        <is>
          <t>Decision D-01</t>
        </is>
      </c>
      <c r="F69" s="19" t="inlineStr">
        <is>
          <t>4</t>
        </is>
      </c>
    </row>
    <row r="70">
      <c r="A70" s="10" t="inlineStr">
        <is>
          <t>REQ-IMP-02</t>
        </is>
      </c>
      <c r="B70" s="10" t="inlineStr">
        <is>
          <t>Import/Export</t>
        </is>
      </c>
      <c r="C70" s="11" t="inlineStr">
        <is>
          <t>Loading validates the workbook and reports every problem found - missing sheet, missing column, bad date, unknown project reference - without stopping at the first one.</t>
        </is>
      </c>
      <c r="D70" s="10" t="inlineStr">
        <is>
          <t>Must</t>
        </is>
      </c>
      <c r="E70" s="10" t="inlineStr">
        <is>
          <t>Derived</t>
        </is>
      </c>
      <c r="F70" s="10" t="inlineStr">
        <is>
          <t>4</t>
        </is>
      </c>
    </row>
    <row r="71">
      <c r="A71" s="19" t="inlineStr">
        <is>
          <t>REQ-IMP-03</t>
        </is>
      </c>
      <c r="B71" s="19" t="inlineStr">
        <is>
          <t>Import/Export</t>
        </is>
      </c>
      <c r="C71" s="20" t="inlineStr">
        <is>
          <t>A blank source workbook template with correct sheet names, headers, value lists and one example row is delivered with the application.</t>
        </is>
      </c>
      <c r="D71" s="19" t="inlineStr">
        <is>
          <t>Must</t>
        </is>
      </c>
      <c r="E71" s="19" t="inlineStr">
        <is>
          <t>Derived</t>
        </is>
      </c>
      <c r="F71" s="19" t="inlineStr">
        <is>
          <t>4</t>
        </is>
      </c>
    </row>
    <row r="72">
      <c r="A72" s="10" t="inlineStr">
        <is>
          <t>REQ-IMP-04</t>
        </is>
      </c>
      <c r="B72" s="10" t="inlineStr">
        <is>
          <t>Import/Export</t>
        </is>
      </c>
      <c r="C72" s="11" t="inlineStr">
        <is>
          <t>The user can export current data back to .xlsx, preserving the template layout so the export can be re-imported.</t>
        </is>
      </c>
      <c r="D72" s="10" t="inlineStr">
        <is>
          <t>Must</t>
        </is>
      </c>
      <c r="E72" s="10" t="inlineStr">
        <is>
          <t>Derived</t>
        </is>
      </c>
      <c r="F72" s="10" t="inlineStr">
        <is>
          <t>4</t>
        </is>
      </c>
    </row>
    <row r="73">
      <c r="A73" s="19" t="inlineStr">
        <is>
          <t>REQ-IMP-05</t>
        </is>
      </c>
      <c r="B73" s="19" t="inlineStr">
        <is>
          <t>Import/Export</t>
        </is>
      </c>
      <c r="C73" s="20" t="inlineStr">
        <is>
          <t>The application records which file was loaded and when, and shows it on screen with its time zone - a bare timestamp is ambiguous to anyone reading it from another country.</t>
        </is>
      </c>
      <c r="D73" s="19" t="inlineStr">
        <is>
          <t>Should</t>
        </is>
      </c>
      <c r="E73" s="19" t="inlineStr">
        <is>
          <t>Derived / G-02</t>
        </is>
      </c>
      <c r="F73" s="19" t="inlineStr">
        <is>
          <t>4</t>
        </is>
      </c>
    </row>
    <row r="74">
      <c r="A74" s="10" t="inlineStr">
        <is>
          <t>REQ-IMP-06</t>
        </is>
      </c>
      <c r="B74" s="10" t="inlineStr">
        <is>
          <t>Import/Export</t>
        </is>
      </c>
      <c r="C74" s="11" t="inlineStr">
        <is>
          <t>Loaded data may be cached in the browser so re-opening the page does not force a re-import; the cache never replaces the workbook as the record.</t>
        </is>
      </c>
      <c r="D74" s="10" t="inlineStr">
        <is>
          <t>Could</t>
        </is>
      </c>
      <c r="E74" s="10" t="inlineStr">
        <is>
          <t>Derived</t>
        </is>
      </c>
      <c r="F74" s="10" t="inlineStr">
        <is>
          <t>4</t>
        </is>
      </c>
    </row>
    <row r="75">
      <c r="A75" s="17" t="inlineStr">
        <is>
          <t>REQ-IMP-07</t>
        </is>
      </c>
      <c r="B75" s="17" t="inlineStr">
        <is>
          <t>Import/Export</t>
        </is>
      </c>
      <c r="C75" s="18" t="inlineStr">
        <is>
          <t>After import, the application lets the user update the data on screen, and those updates are carried into the file produced on export.</t>
        </is>
      </c>
      <c r="D75" s="17" t="inlineStr">
        <is>
          <t>Must</t>
        </is>
      </c>
      <c r="E75" s="17" t="inlineStr">
        <is>
          <t>Reviewer v0.11</t>
        </is>
      </c>
      <c r="F75" s="17" t="inlineStr">
        <is>
          <t>4</t>
        </is>
      </c>
    </row>
    <row r="76">
      <c r="A76" s="17" t="inlineStr">
        <is>
          <t>REQ-IMP-08</t>
        </is>
      </c>
      <c r="B76" s="17" t="inlineStr">
        <is>
          <t>Import/Export</t>
        </is>
      </c>
      <c r="C76" s="18" t="inlineStr">
        <is>
          <t>Unsaved edits are visible as such, and the user is warned before any action that would discard them (closing the page, loading another file).</t>
        </is>
      </c>
      <c r="D76" s="17" t="inlineStr">
        <is>
          <t>Must</t>
        </is>
      </c>
      <c r="E76" s="17" t="inlineStr">
        <is>
          <t>Derived from REQ-IMP-07</t>
        </is>
      </c>
      <c r="F76" s="17" t="inlineStr">
        <is>
          <t>4</t>
        </is>
      </c>
    </row>
    <row r="77">
      <c r="A77" s="19" t="inlineStr">
        <is>
          <t>REQ-IMP-09</t>
        </is>
      </c>
      <c r="B77" s="19" t="inlineStr">
        <is>
          <t>Import/Export</t>
        </is>
      </c>
      <c r="C77" s="20" t="inlineStr">
        <is>
          <t>Every field is editable, including identifiers. An on-screen edit is re-validated against the same rules as an imported value, so editing cannot introduce data the import would have rejected.</t>
        </is>
      </c>
      <c r="D77" s="19" t="inlineStr">
        <is>
          <t>Must</t>
        </is>
      </c>
      <c r="E77" s="19" t="inlineStr">
        <is>
          <t>Q-20</t>
        </is>
      </c>
      <c r="F77" s="19" t="inlineStr">
        <is>
          <t>4</t>
        </is>
      </c>
    </row>
    <row r="78">
      <c r="A78" s="17" t="inlineStr">
        <is>
          <t>REQ-IMP-10</t>
        </is>
      </c>
      <c r="B78" s="17" t="inlineStr">
        <is>
          <t>Import/Export</t>
        </is>
      </c>
      <c r="C78" s="18" t="inlineStr">
        <is>
          <t>Editing an identifier that other sheets reference cascades to every referencing row, after showing how many rows will change. Deleting a referenced row is refused, naming what still points at it.</t>
        </is>
      </c>
      <c r="D78" s="17" t="inlineStr">
        <is>
          <t>Must</t>
        </is>
      </c>
      <c r="E78" s="17" t="inlineStr">
        <is>
          <t>Q-20</t>
        </is>
      </c>
      <c r="F78" s="17" t="inlineStr">
        <is>
          <t>4</t>
        </is>
      </c>
    </row>
    <row r="79">
      <c r="A79" s="17" t="inlineStr">
        <is>
          <t>REQ-IMP-14</t>
        </is>
      </c>
      <c r="B79" s="17" t="inlineStr">
        <is>
          <t>Import/Export</t>
        </is>
      </c>
      <c r="C79"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9" s="17" t="inlineStr">
        <is>
          <t>Must</t>
        </is>
      </c>
      <c r="E79" s="17" t="inlineStr">
        <is>
          <t>R-28</t>
        </is>
      </c>
      <c r="F79" s="17" t="inlineStr">
        <is>
          <t>4</t>
        </is>
      </c>
    </row>
    <row r="80">
      <c r="A80" s="17" t="inlineStr">
        <is>
          <t>REQ-OUT-06</t>
        </is>
      </c>
      <c r="B80" s="17" t="inlineStr">
        <is>
          <t>Output</t>
        </is>
      </c>
      <c r="C80"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80" s="17" t="inlineStr">
        <is>
          <t>Must</t>
        </is>
      </c>
      <c r="E80" s="17" t="inlineStr">
        <is>
          <t>R-29</t>
        </is>
      </c>
      <c r="F80" s="17" t="inlineStr">
        <is>
          <t>4</t>
        </is>
      </c>
    </row>
    <row r="81">
      <c r="A81" s="17" t="inlineStr">
        <is>
          <t>REQ-IMP-12</t>
        </is>
      </c>
      <c r="B81" s="17" t="inlineStr">
        <is>
          <t>Import/Export</t>
        </is>
      </c>
      <c r="C81"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1" s="17" t="inlineStr">
        <is>
          <t>Should</t>
        </is>
      </c>
      <c r="E81" s="17" t="inlineStr">
        <is>
          <t>R-21</t>
        </is>
      </c>
      <c r="F81" s="17" t="inlineStr">
        <is>
          <t>4</t>
        </is>
      </c>
    </row>
    <row r="82">
      <c r="A82" s="17" t="inlineStr">
        <is>
          <t>REQ-IMP-13</t>
        </is>
      </c>
      <c r="B82" s="17" t="inlineStr">
        <is>
          <t>Import/Export</t>
        </is>
      </c>
      <c r="C82"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2" s="17" t="inlineStr">
        <is>
          <t>Must</t>
        </is>
      </c>
      <c r="E82" s="17" t="inlineStr">
        <is>
          <t>R-25</t>
        </is>
      </c>
      <c r="F82" s="17" t="inlineStr">
        <is>
          <t>4</t>
        </is>
      </c>
    </row>
    <row r="83">
      <c r="A83" s="17" t="inlineStr">
        <is>
          <t>REQ-IMP-11</t>
        </is>
      </c>
      <c r="B83" s="17" t="inlineStr">
        <is>
          <t>Import/Export</t>
        </is>
      </c>
      <c r="C83" s="18" t="inlineStr">
        <is>
          <t>A new row can be inserted into any editable table, positioned immediately below the row the user acts on rather than appended at the end, and validated on entry like any other edit.</t>
        </is>
      </c>
      <c r="D83" s="17" t="inlineStr">
        <is>
          <t>Must</t>
        </is>
      </c>
      <c r="E83" s="17" t="inlineStr">
        <is>
          <t>P-01, S-01</t>
        </is>
      </c>
      <c r="F83" s="17" t="inlineStr">
        <is>
          <t>4</t>
        </is>
      </c>
    </row>
    <row r="84">
      <c r="A84" s="10" t="inlineStr">
        <is>
          <t>REQ-VC-01</t>
        </is>
      </c>
      <c r="B84" s="10" t="inlineStr">
        <is>
          <t>Version control</t>
        </is>
      </c>
      <c r="C84" s="11" t="inlineStr">
        <is>
          <t>Development plan, programming specification and output files are version-controlled together and their versions are cross-referenced.</t>
        </is>
      </c>
      <c r="D84" s="10" t="inlineStr">
        <is>
          <t>Must</t>
        </is>
      </c>
      <c r="E84" s="10" t="inlineStr">
        <is>
          <t>Requester</t>
        </is>
      </c>
      <c r="F84" s="10" t="inlineStr">
        <is>
          <t>1-5</t>
        </is>
      </c>
    </row>
    <row r="85">
      <c r="A85" s="8" t="inlineStr">
        <is>
          <t>REQ-VC-02</t>
        </is>
      </c>
      <c r="B85" s="8" t="inlineStr">
        <is>
          <t>Version control</t>
        </is>
      </c>
      <c r="C85" s="9" t="inlineStr">
        <is>
          <t>The application displays its own version, and the version of the source data schema it expects.</t>
        </is>
      </c>
      <c r="D85" s="8" t="inlineStr">
        <is>
          <t>Must</t>
        </is>
      </c>
      <c r="E85" s="8" t="inlineStr">
        <is>
          <t>Requester</t>
        </is>
      </c>
      <c r="F85" s="8" t="inlineStr">
        <is>
          <t>4</t>
        </is>
      </c>
    </row>
    <row r="86">
      <c r="A86" s="10" t="inlineStr">
        <is>
          <t>REQ-VC-03</t>
        </is>
      </c>
      <c r="B86" s="10" t="inlineStr">
        <is>
          <t>Version control</t>
        </is>
      </c>
      <c r="C86" s="11" t="inlineStr">
        <is>
          <t>Loading a source file whose schema version is newer or older than the application expects produces a clear warning.</t>
        </is>
      </c>
      <c r="D86" s="10" t="inlineStr">
        <is>
          <t>Should</t>
        </is>
      </c>
      <c r="E86" s="10" t="inlineStr">
        <is>
          <t>Derived</t>
        </is>
      </c>
      <c r="F86" s="10" t="inlineStr">
        <is>
          <t>4</t>
        </is>
      </c>
    </row>
    <row r="87">
      <c r="A87" s="8" t="inlineStr">
        <is>
          <t>REQ-VC-04</t>
        </is>
      </c>
      <c r="B87" s="8" t="inlineStr">
        <is>
          <t>Version control</t>
        </is>
      </c>
      <c r="C87" s="9" t="inlineStr">
        <is>
          <t>Every document re-issue adds a version-history row stating what changed and why.</t>
        </is>
      </c>
      <c r="D87" s="8" t="inlineStr">
        <is>
          <t>Must</t>
        </is>
      </c>
      <c r="E87" s="8" t="inlineStr">
        <is>
          <t>Requester</t>
        </is>
      </c>
      <c r="F87" s="8" t="inlineStr">
        <is>
          <t>1-5</t>
        </is>
      </c>
    </row>
    <row r="88">
      <c r="A88" s="10" t="inlineStr">
        <is>
          <t>REQ-NFR-01</t>
        </is>
      </c>
      <c r="B88" s="10" t="inlineStr">
        <is>
          <t>Non-functional</t>
        </is>
      </c>
      <c r="C88" s="11" t="inlineStr">
        <is>
          <t>The application is built so later requirements can be added without restructuring: parsing, calculation and presentation are separated.</t>
        </is>
      </c>
      <c r="D88" s="10" t="inlineStr">
        <is>
          <t>Must</t>
        </is>
      </c>
      <c r="E88" s="10" t="inlineStr">
        <is>
          <t>Requester</t>
        </is>
      </c>
      <c r="F88" s="10" t="inlineStr">
        <is>
          <t>4</t>
        </is>
      </c>
    </row>
    <row r="89">
      <c r="A89" s="8" t="inlineStr">
        <is>
          <t>REQ-NFR-02</t>
        </is>
      </c>
      <c r="B89" s="8" t="inlineStr">
        <is>
          <t>Non-functional</t>
        </is>
      </c>
      <c r="C89" s="9" t="inlineStr">
        <is>
          <t>Works in Microsoft Edge and Google Chrome on Windows 10/11, offline.</t>
        </is>
      </c>
      <c r="D89" s="8" t="inlineStr">
        <is>
          <t>Must</t>
        </is>
      </c>
      <c r="E89" s="8" t="inlineStr">
        <is>
          <t>Q-05</t>
        </is>
      </c>
      <c r="F89" s="8" t="inlineStr">
        <is>
          <t>4</t>
        </is>
      </c>
    </row>
    <row r="90">
      <c r="A90" s="19" t="inlineStr">
        <is>
          <t>REQ-NFR-03</t>
        </is>
      </c>
      <c r="B90" s="19" t="inlineStr">
        <is>
          <t>Non-functional</t>
        </is>
      </c>
      <c r="C90"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0" s="19" t="inlineStr">
        <is>
          <t>Must</t>
        </is>
      </c>
      <c r="E90" s="19" t="inlineStr">
        <is>
          <t>S2-06, R-47</t>
        </is>
      </c>
      <c r="F90" s="19" t="inlineStr">
        <is>
          <t>4</t>
        </is>
      </c>
    </row>
    <row r="91">
      <c r="A91" s="8" t="inlineStr">
        <is>
          <t>REQ-NFR-04</t>
        </is>
      </c>
      <c r="B91" s="8" t="inlineStr">
        <is>
          <t>Non-functional</t>
        </is>
      </c>
      <c r="C91" s="9" t="inlineStr">
        <is>
          <t>No data leaves the PC: no network calls, no external CDN, no telemetry.</t>
        </is>
      </c>
      <c r="D91" s="8" t="inlineStr">
        <is>
          <t>Must</t>
        </is>
      </c>
      <c r="E91" s="8" t="inlineStr">
        <is>
          <t>Derived</t>
        </is>
      </c>
      <c r="F91" s="8" t="inlineStr">
        <is>
          <t>4</t>
        </is>
      </c>
    </row>
    <row r="92">
      <c r="A92" s="10" t="inlineStr">
        <is>
          <t>REQ-NFR-05</t>
        </is>
      </c>
      <c r="B92" s="10" t="inlineStr">
        <is>
          <t>Non-functional</t>
        </is>
      </c>
      <c r="C92" s="11" t="inlineStr">
        <is>
          <t>Dates are handled unambiguously (ISO yyyy-mm-dd internally) regardless of Windows regional settings.</t>
        </is>
      </c>
      <c r="D92" s="10" t="inlineStr">
        <is>
          <t>Must</t>
        </is>
      </c>
      <c r="E92" s="10" t="inlineStr">
        <is>
          <t>Derived</t>
        </is>
      </c>
      <c r="F92" s="10" t="inlineStr">
        <is>
          <t>4</t>
        </is>
      </c>
    </row>
    <row r="94">
      <c r="A94" s="5" t="inlineStr">
        <is>
          <t>Requirement count by priority</t>
        </is>
      </c>
    </row>
    <row r="95" ht="28" customHeight="1">
      <c r="A95" s="7" t="inlineStr">
        <is>
          <t>Priority</t>
        </is>
      </c>
      <c r="B95" s="7" t="inlineStr">
        <is>
          <t>Count</t>
        </is>
      </c>
    </row>
    <row r="96">
      <c r="A96" s="8" t="inlineStr">
        <is>
          <t>Must</t>
        </is>
      </c>
      <c r="B96" s="8">
        <f>COUNTIF(D5:D92,"Must")</f>
        <v/>
      </c>
    </row>
    <row r="97">
      <c r="A97" s="10" t="inlineStr">
        <is>
          <t>Should</t>
        </is>
      </c>
      <c r="B97" s="10">
        <f>COUNTIF(D5:D92,"Should")</f>
        <v/>
      </c>
    </row>
    <row r="98">
      <c r="A98" s="8" t="inlineStr">
        <is>
          <t>Could</t>
        </is>
      </c>
      <c r="B98" s="8">
        <f>COUNTIF(D5:D92,"Could")</f>
        <v/>
      </c>
    </row>
    <row r="99">
      <c r="A99" s="10" t="inlineStr">
        <is>
          <t>Total</t>
        </is>
      </c>
      <c r="B99" s="10">
        <f>COUNTA(A5:A92)</f>
        <v/>
      </c>
    </row>
    <row r="101">
      <c r="A101" s="16" t="inlineStr">
        <is>
          <t>47 requirements at v0.1, 58 at v0.2, 61 at v0.3, 63 at v0.4 and v1.0. v1.1 adds 2 and rewords 3, as a change against the approved baseline.</t>
        </is>
      </c>
    </row>
    <row r="102">
      <c r="A102" s="16" t="inlineStr">
        <is>
          <t>'Source' = Requester (in the original request), a Q-number (answered at v0.11 review), 'Reviewer v0.11' (added by the reviewer directly), Derived (engineering consequence), or a Decision ID from 07_Architecture.</t>
        </is>
      </c>
    </row>
    <row r="103">
      <c r="A103" s="3" t="inlineStr">
        <is>
          <t>Legend</t>
        </is>
      </c>
    </row>
    <row r="104">
      <c r="A104" s="12" t="inlineStr">
        <is>
          <t>Green = new in v0.2, added from your review answers.</t>
        </is>
      </c>
    </row>
    <row r="105">
      <c r="A105" s="13" t="inlineStr">
        <is>
          <t>Orange = changed in v0.2 as a consequence of your review.</t>
        </is>
      </c>
    </row>
    <row r="106">
      <c r="A106" s="14" t="inlineStr">
        <is>
          <t>Yellow = still needs your input.</t>
        </is>
      </c>
    </row>
  </sheetData>
  <dataValidations count="1">
    <dataValidation sqref="D5:D92"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9"/>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four more);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Display order on the timeline.</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9" t="inlineStr">
        <is>
          <t>weight</t>
        </is>
      </c>
      <c r="B61" s="19" t="inlineStr">
        <is>
          <t>Decimal</t>
        </is>
      </c>
      <c r="C61" s="19" t="inlineStr">
        <is>
          <t>Yes</t>
        </is>
      </c>
      <c r="D61"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1" s="19" t="inlineStr">
        <is>
          <t>REQ-PRJ-06, R-31</t>
        </is>
      </c>
    </row>
    <row r="62">
      <c r="A62" s="17" t="inlineStr">
        <is>
          <t>note_1</t>
        </is>
      </c>
      <c r="B62" s="17" t="inlineStr">
        <is>
          <t>Text</t>
        </is>
      </c>
      <c r="C62" s="17" t="inlineStr">
        <is>
          <t>No</t>
        </is>
      </c>
      <c r="D62" s="18" t="inlineStr">
        <is>
          <t>Free extension column, e.g. why a derived date was overridden.</t>
        </is>
      </c>
      <c r="E62" s="17" t="inlineStr">
        <is>
          <t>REQ-PRJ-07</t>
        </is>
      </c>
    </row>
    <row r="64">
      <c r="A64" s="16" t="inlineStr">
        <is>
          <t>Period sets are type-specific (Q-18). The derivation itself is on sheet 05.</t>
        </is>
      </c>
    </row>
    <row r="65" ht="28" customHeight="1">
      <c r="A65" s="7" t="inlineStr">
        <is>
          <t>project_type</t>
        </is>
      </c>
      <c r="B65" s="7" t="inlineStr">
        <is>
          <t>Period set</t>
        </is>
      </c>
      <c r="C65" s="7" t="inlineStr">
        <is>
          <t>How boundaries are set</t>
        </is>
      </c>
    </row>
    <row r="66">
      <c r="A66" s="19" t="inlineStr">
        <is>
          <t>NewDrug CT / Biosimilar CT</t>
        </is>
      </c>
      <c r="B66" s="20" t="inlineStr">
        <is>
          <t>Before-Start-up, Start-up, Conduct (interim), Close-out (interim), Conduct (final), Close-out (final), After Close-out (final)</t>
        </is>
      </c>
      <c r="C66" s="20" t="inlineStr">
        <is>
          <t>Seven names, in timeline order. Both trial types share one period set and one derivation; they differ in their WEIGHTS, not their shape. A trial with no interim DB lock simply omits 'Conduct (interim)' and 'Close-out (interim)'.</t>
        </is>
      </c>
    </row>
    <row r="67">
      <c r="A67" s="10" t="inlineStr">
        <is>
          <t>Others</t>
        </is>
      </c>
      <c r="B67" s="11" t="inlineStr">
        <is>
          <t>Planning, Develop, Close</t>
        </is>
      </c>
      <c r="C67" s="11" t="inlineStr">
        <is>
          <t>Entered directly - dates confirmed manual at Q-25, weights at Q-28. 'Others' projects are hand-entered throughout.</t>
        </is>
      </c>
    </row>
    <row r="69">
      <c r="A69" s="5" t="inlineStr">
        <is>
          <t>Sheet: PeriodFTEStandard</t>
        </is>
      </c>
    </row>
    <row r="70" ht="28" customHeight="1">
      <c r="A70" s="7" t="inlineStr">
        <is>
          <t>Column</t>
        </is>
      </c>
      <c r="B70" s="7" t="inlineStr">
        <is>
          <t>Type</t>
        </is>
      </c>
      <c r="C70" s="7" t="inlineStr">
        <is>
          <t>Required</t>
        </is>
      </c>
      <c r="D70" s="7" t="inlineStr">
        <is>
          <t>Definition / rule</t>
        </is>
      </c>
      <c r="E70" s="7" t="inlineStr">
        <is>
          <t>Basis</t>
        </is>
      </c>
    </row>
    <row r="71">
      <c r="A71" s="19" t="inlineStr">
        <is>
          <t>project_type</t>
        </is>
      </c>
      <c r="B71" s="19" t="inlineStr">
        <is>
          <t>List</t>
        </is>
      </c>
      <c r="C71" s="19" t="inlineStr">
        <is>
          <t>Yes</t>
        </is>
      </c>
      <c r="D71" s="20" t="inlineStr">
        <is>
          <t>A clinical trial type. Part of the key: a biosimilar trial at a given phase is not the same workload as a new-drug trial at that phase. 'Others' take manual weights (Q-28).</t>
        </is>
      </c>
      <c r="E71" s="19" t="inlineStr">
        <is>
          <t>R-05</t>
        </is>
      </c>
    </row>
    <row r="72">
      <c r="A72" s="19" t="inlineStr">
        <is>
          <t>clinical_phase</t>
        </is>
      </c>
      <c r="B72" s="19" t="inlineStr">
        <is>
          <t>List</t>
        </is>
      </c>
      <c r="C72" s="19" t="inlineStr">
        <is>
          <t>Yes</t>
        </is>
      </c>
      <c r="D72" s="20" t="inlineStr">
        <is>
          <t>The phase the standard applies to.</t>
        </is>
      </c>
      <c r="E72" s="19" t="inlineStr">
        <is>
          <t>Q-26</t>
        </is>
      </c>
    </row>
    <row r="73">
      <c r="A73" s="17" t="inlineStr">
        <is>
          <t>work_scope_type</t>
        </is>
      </c>
      <c r="B73" s="17" t="inlineStr">
        <is>
          <t>List</t>
        </is>
      </c>
      <c r="C73" s="17" t="inlineStr">
        <is>
          <t>No</t>
        </is>
      </c>
      <c r="D73" s="18" t="inlineStr">
        <is>
          <t>The work scope this standard applies to. SCHEMA 6. EMPTY means the row applies to EVERY scope - see the note below, which is the important part of this change.</t>
        </is>
      </c>
      <c r="E73" s="17" t="inlineStr">
        <is>
          <t>R-12</t>
        </is>
      </c>
    </row>
    <row r="74">
      <c r="A74" s="19" t="inlineStr">
        <is>
          <t>standard_fte</t>
        </is>
      </c>
      <c r="B74" s="19" t="inlineStr">
        <is>
          <t>Decimal</t>
        </is>
      </c>
      <c r="C74" s="19" t="inlineStr">
        <is>
          <t>Yes</t>
        </is>
      </c>
      <c r="D74"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4" s="19" t="inlineStr">
        <is>
          <t>R-31</t>
        </is>
      </c>
    </row>
    <row r="75">
      <c r="A75" s="8" t="inlineStr">
        <is>
          <t>period_name</t>
        </is>
      </c>
      <c r="B75" s="8" t="inlineStr">
        <is>
          <t>List</t>
        </is>
      </c>
      <c r="C75" s="8" t="inlineStr">
        <is>
          <t>Yes</t>
        </is>
      </c>
      <c r="D75" s="9" t="inlineStr">
        <is>
          <t>A period from that type's set.</t>
        </is>
      </c>
      <c r="E75" s="8" t="inlineStr">
        <is>
          <t>Q-04, Q-18</t>
        </is>
      </c>
    </row>
    <row r="76">
      <c r="A76" s="17" t="inlineStr">
        <is>
          <t>note_1</t>
        </is>
      </c>
      <c r="B76" s="17" t="inlineStr">
        <is>
          <t>Text</t>
        </is>
      </c>
      <c r="C76" s="17" t="inlineStr">
        <is>
          <t>No</t>
        </is>
      </c>
      <c r="D76" s="18" t="inlineStr">
        <is>
          <t>Free extension column, e.g. the basis for the weight.</t>
        </is>
      </c>
      <c r="E76" s="17" t="inlineStr">
        <is>
          <t>Q-01</t>
        </is>
      </c>
    </row>
    <row r="78">
      <c r="A78"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80">
      <c r="A80"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1">
      <c r="A81" s="5" t="inlineStr">
        <is>
          <t>Sheet: RoleFactor   [key extended at R-10]</t>
        </is>
      </c>
    </row>
    <row r="82" ht="28" customHeight="1">
      <c r="A82" s="7" t="inlineStr">
        <is>
          <t>Column</t>
        </is>
      </c>
      <c r="B82" s="7" t="inlineStr">
        <is>
          <t>Type</t>
        </is>
      </c>
      <c r="C82" s="7" t="inlineStr">
        <is>
          <t>Required</t>
        </is>
      </c>
      <c r="D82" s="7" t="inlineStr">
        <is>
          <t>Definition / rule</t>
        </is>
      </c>
      <c r="E82" s="7" t="inlineStr">
        <is>
          <t>Basis</t>
        </is>
      </c>
    </row>
    <row r="83">
      <c r="A83" s="19" t="inlineStr">
        <is>
          <t>project_type</t>
        </is>
      </c>
      <c r="B83" s="19" t="inlineStr">
        <is>
          <t>List</t>
        </is>
      </c>
      <c r="C83" s="19" t="inlineStr">
        <is>
          <t>Yes</t>
        </is>
      </c>
      <c r="D83" s="20" t="inlineStr">
        <is>
          <t>'NewDrug CT', 'Biosimilar CT (Healthy)', 'Biosimilar CT (Patient)' or 'Others'. Roles are keyed by type, so a factor can differ between the trial types.</t>
        </is>
      </c>
      <c r="E83" s="19" t="inlineStr">
        <is>
          <t>Q-03, R-05, R-12</t>
        </is>
      </c>
    </row>
    <row r="84">
      <c r="A84" s="17" t="inlineStr">
        <is>
          <t>clinical_phase</t>
        </is>
      </c>
      <c r="B84" s="17" t="inlineStr">
        <is>
          <t>List</t>
        </is>
      </c>
      <c r="C84" s="17" t="inlineStr">
        <is>
          <t>Trials only</t>
        </is>
      </c>
      <c r="D84" s="18" t="inlineStr">
        <is>
          <t>The phase this factor applies to. EMPTY on 'Others' rows, which carry no phase.</t>
        </is>
      </c>
      <c r="E84" s="17" t="inlineStr">
        <is>
          <t>R-10</t>
        </is>
      </c>
    </row>
    <row r="85">
      <c r="A85" s="17" t="inlineStr">
        <is>
          <t>work_scope_type</t>
        </is>
      </c>
      <c r="B85" s="17" t="inlineStr">
        <is>
          <t>List</t>
        </is>
      </c>
      <c r="C85" s="17" t="inlineStr">
        <is>
          <t>No</t>
        </is>
      </c>
      <c r="D85" s="18" t="inlineStr">
        <is>
          <t>The work scope this factor applies to. SCHEMA 6. EMPTY means EVERY scope, exactly as on PeriodFTEStandard - and it matters more here, because this is the larger sheet.</t>
        </is>
      </c>
      <c r="E85" s="17" t="inlineStr">
        <is>
          <t>R-12</t>
        </is>
      </c>
    </row>
    <row r="86">
      <c r="A86" s="17" t="inlineStr">
        <is>
          <t>absorbed_by</t>
        </is>
      </c>
      <c r="B86" s="17" t="inlineStr">
        <is>
          <t>Text</t>
        </is>
      </c>
      <c r="C86" s="17" t="inlineStr">
        <is>
          <t>No</t>
        </is>
      </c>
      <c r="D86"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6" s="17" t="inlineStr">
        <is>
          <t>R-17</t>
        </is>
      </c>
    </row>
    <row r="87">
      <c r="A87" s="19" t="inlineStr">
        <is>
          <t>period_name</t>
        </is>
      </c>
      <c r="B87" s="19" t="inlineStr">
        <is>
          <t>Text</t>
        </is>
      </c>
      <c r="C87" s="19" t="inlineStr">
        <is>
          <t>Yes</t>
        </is>
      </c>
      <c r="D87" s="20" t="inlineStr">
        <is>
          <t>The period this factor applies to. One of the seven clinical periods, or one of the three 'Others' periods, matching the project_type.</t>
        </is>
      </c>
      <c r="E87" s="19" t="inlineStr">
        <is>
          <t>R-10, R-11</t>
        </is>
      </c>
    </row>
    <row r="88">
      <c r="A88" s="10" t="inlineStr">
        <is>
          <t>role_name</t>
        </is>
      </c>
      <c r="B88" s="10" t="inlineStr">
        <is>
          <t>Text</t>
        </is>
      </c>
      <c r="C88" s="10" t="inlineStr">
        <is>
          <t>Yes</t>
        </is>
      </c>
      <c r="D88" s="11" t="inlineStr">
        <is>
          <t>Clinical Trial: 'Project oversight', 'Lead data manager', 'Clinical Data Associator', 'Clinical Database Programmer', 'Data Analyst'. Others: 'Project lead', 'Main staff', 'Other staff'.</t>
        </is>
      </c>
      <c r="E88" s="10" t="inlineStr">
        <is>
          <t>Q-03</t>
        </is>
      </c>
    </row>
    <row r="89">
      <c r="A89" s="19" t="inlineStr">
        <is>
          <t>role_factor</t>
        </is>
      </c>
      <c r="B89" s="19" t="inlineStr">
        <is>
          <t>Decimal</t>
        </is>
      </c>
      <c r="C89" s="19" t="inlineStr">
        <is>
          <t>Yes</t>
        </is>
      </c>
      <c r="D89"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9" s="19" t="inlineStr">
        <is>
          <t>Q-01, R-10</t>
        </is>
      </c>
    </row>
    <row r="90">
      <c r="A90" s="10" t="inlineStr">
        <is>
          <t>role_note</t>
        </is>
      </c>
      <c r="B90" s="10" t="inlineStr">
        <is>
          <t>Text</t>
        </is>
      </c>
      <c r="C90" s="10" t="inlineStr">
        <is>
          <t>No</t>
        </is>
      </c>
      <c r="D90" s="11" t="inlineStr">
        <is>
          <t>Basis for the factor.</t>
        </is>
      </c>
      <c r="E90" s="10" t="inlineStr">
        <is>
          <t>REQ-CAL-06</t>
        </is>
      </c>
    </row>
    <row r="92">
      <c r="A92"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4">
      <c r="A94"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5">
      <c r="A95" s="5" t="inlineStr">
        <is>
          <t>Sheet: Person</t>
        </is>
      </c>
    </row>
    <row r="96" ht="28" customHeight="1">
      <c r="A96" s="7" t="inlineStr">
        <is>
          <t>Column</t>
        </is>
      </c>
      <c r="B96" s="7" t="inlineStr">
        <is>
          <t>Type</t>
        </is>
      </c>
      <c r="C96" s="7" t="inlineStr">
        <is>
          <t>Required</t>
        </is>
      </c>
      <c r="D96" s="7" t="inlineStr">
        <is>
          <t>Definition / rule</t>
        </is>
      </c>
      <c r="E96" s="7" t="inlineStr">
        <is>
          <t>REQ-ID</t>
        </is>
      </c>
    </row>
    <row r="97">
      <c r="A97" s="8" t="inlineStr">
        <is>
          <t>person_id</t>
        </is>
      </c>
      <c r="B97" s="8" t="inlineStr">
        <is>
          <t>Text</t>
        </is>
      </c>
      <c r="C97" s="8" t="inlineStr">
        <is>
          <t>Yes</t>
        </is>
      </c>
      <c r="D97" s="9" t="inlineStr">
        <is>
          <t>Unique key, e.g. PSN-001.</t>
        </is>
      </c>
      <c r="E97" s="8" t="inlineStr">
        <is>
          <t>REQ-PSN-01</t>
        </is>
      </c>
    </row>
    <row r="98">
      <c r="A98" s="10" t="inlineStr">
        <is>
          <t>person_name</t>
        </is>
      </c>
      <c r="B98" s="10" t="inlineStr">
        <is>
          <t>Text</t>
        </is>
      </c>
      <c r="C98" s="10" t="inlineStr">
        <is>
          <t>Yes</t>
        </is>
      </c>
      <c r="D98" s="11" t="inlineStr">
        <is>
          <t>Display name.</t>
        </is>
      </c>
      <c r="E98" s="10" t="inlineStr">
        <is>
          <t>REQ-PSN-01</t>
        </is>
      </c>
    </row>
    <row r="99">
      <c r="A99" s="8" t="inlineStr">
        <is>
          <t>department</t>
        </is>
      </c>
      <c r="B99" s="8" t="inlineStr">
        <is>
          <t>Text</t>
        </is>
      </c>
      <c r="C99" s="8" t="inlineStr">
        <is>
          <t>No</t>
        </is>
      </c>
      <c r="D99" s="9" t="inlineStr">
        <is>
          <t>Grouping for the dashboard.</t>
        </is>
      </c>
      <c r="E99" s="8" t="inlineStr">
        <is>
          <t>REQ-PSN-06</t>
        </is>
      </c>
    </row>
    <row r="100">
      <c r="A100" s="10" t="inlineStr">
        <is>
          <t>primary_role</t>
        </is>
      </c>
      <c r="B100" s="10" t="inlineStr">
        <is>
          <t>Text</t>
        </is>
      </c>
      <c r="C100" s="10" t="inlineStr">
        <is>
          <t>No</t>
        </is>
      </c>
      <c r="D100" s="11" t="inlineStr">
        <is>
          <t>Usual role; an assignment can override it.</t>
        </is>
      </c>
      <c r="E100" s="10" t="inlineStr">
        <is>
          <t>REQ-PSN-03</t>
        </is>
      </c>
    </row>
    <row r="101">
      <c r="A101" s="19" t="inlineStr">
        <is>
          <t>capacity_fte</t>
        </is>
      </c>
      <c r="B101" s="19" t="inlineStr">
        <is>
          <t>Decimal</t>
        </is>
      </c>
      <c r="C101" s="19" t="inlineStr">
        <is>
          <t>No</t>
        </is>
      </c>
      <c r="D101" s="20" t="inlineStr">
        <is>
          <t>Available capacity in FTE, default 1.00 (= 160 h/month). Lower it for a part-timer.</t>
        </is>
      </c>
      <c r="E101" s="19" t="inlineStr">
        <is>
          <t>REQ-CAL-08</t>
        </is>
      </c>
    </row>
    <row r="102">
      <c r="A102" s="10" t="inlineStr">
        <is>
          <t>employment_start / employment_end</t>
        </is>
      </c>
      <c r="B102" s="10" t="inlineStr">
        <is>
          <t>Date</t>
        </is>
      </c>
      <c r="C102" s="10" t="inlineStr">
        <is>
          <t>No</t>
        </is>
      </c>
      <c r="D102" s="11" t="inlineStr">
        <is>
          <t>Bounds availability; blank end = open.</t>
        </is>
      </c>
      <c r="E102" s="10" t="inlineStr">
        <is>
          <t>REQ-PSN-04</t>
        </is>
      </c>
    </row>
    <row r="103">
      <c r="A103" s="8" t="inlineStr">
        <is>
          <t>note_1 .. note_5</t>
        </is>
      </c>
      <c r="B103" s="8" t="inlineStr">
        <is>
          <t>Text</t>
        </is>
      </c>
      <c r="C103" s="8" t="inlineStr">
        <is>
          <t>No</t>
        </is>
      </c>
      <c r="D103" s="9" t="inlineStr">
        <is>
          <t>Free extension columns.</t>
        </is>
      </c>
      <c r="E103" s="8" t="inlineStr">
        <is>
          <t>REQ-PSN-06</t>
        </is>
      </c>
    </row>
    <row r="105">
      <c r="A105" s="5" t="inlineStr">
        <is>
          <t>Sheet: Assignment</t>
        </is>
      </c>
    </row>
    <row r="106" ht="28" customHeight="1">
      <c r="A106" s="7" t="inlineStr">
        <is>
          <t>Column</t>
        </is>
      </c>
      <c r="B106" s="7" t="inlineStr">
        <is>
          <t>Type</t>
        </is>
      </c>
      <c r="C106" s="7" t="inlineStr">
        <is>
          <t>Required</t>
        </is>
      </c>
      <c r="D106" s="7" t="inlineStr">
        <is>
          <t>Definition / rule</t>
        </is>
      </c>
      <c r="E106" s="7" t="inlineStr">
        <is>
          <t>REQ-ID</t>
        </is>
      </c>
    </row>
    <row r="107">
      <c r="A107" s="8" t="inlineStr">
        <is>
          <t>assignment_id</t>
        </is>
      </c>
      <c r="B107" s="8" t="inlineStr">
        <is>
          <t>Text</t>
        </is>
      </c>
      <c r="C107" s="8" t="inlineStr">
        <is>
          <t>Yes</t>
        </is>
      </c>
      <c r="D107" s="9" t="inlineStr">
        <is>
          <t>Unique key. One row per person + project + role.</t>
        </is>
      </c>
      <c r="E107" s="8" t="inlineStr">
        <is>
          <t>REQ-PSN-07</t>
        </is>
      </c>
    </row>
    <row r="108">
      <c r="A108" s="10" t="inlineStr">
        <is>
          <t>person_id</t>
        </is>
      </c>
      <c r="B108" s="10" t="inlineStr">
        <is>
          <t>Text</t>
        </is>
      </c>
      <c r="C108" s="10" t="inlineStr">
        <is>
          <t>Yes</t>
        </is>
      </c>
      <c r="D108" s="11" t="inlineStr">
        <is>
          <t>Foreign key to Person.</t>
        </is>
      </c>
      <c r="E108" s="10" t="inlineStr">
        <is>
          <t>REQ-PSN-01</t>
        </is>
      </c>
    </row>
    <row r="109">
      <c r="A109" s="8" t="inlineStr">
        <is>
          <t>person_name</t>
        </is>
      </c>
      <c r="B109" s="8" t="inlineStr">
        <is>
          <t>Derived</t>
        </is>
      </c>
      <c r="C109" s="8" t="inlineStr">
        <is>
          <t>No</t>
        </is>
      </c>
      <c r="D109" s="9" t="inlineStr">
        <is>
          <t>DERIVED - looked up from Person on import and refreshed from it. Locked in the template; a value typed here is discarded and the disagreement reported as V-13.</t>
        </is>
      </c>
      <c r="E109" s="8" t="inlineStr">
        <is>
          <t>REQ-PSN-01</t>
        </is>
      </c>
    </row>
    <row r="110">
      <c r="A110" s="10" t="inlineStr">
        <is>
          <t>project_id</t>
        </is>
      </c>
      <c r="B110" s="10" t="inlineStr">
        <is>
          <t>Text</t>
        </is>
      </c>
      <c r="C110" s="10" t="inlineStr">
        <is>
          <t>Yes</t>
        </is>
      </c>
      <c r="D110" s="11" t="inlineStr">
        <is>
          <t>Foreign key to Project.</t>
        </is>
      </c>
      <c r="E110" s="10" t="inlineStr">
        <is>
          <t>REQ-PSN-02</t>
        </is>
      </c>
    </row>
    <row r="111">
      <c r="A111" s="19" t="inlineStr">
        <is>
          <t>role_name</t>
        </is>
      </c>
      <c r="B111" s="19" t="inlineStr">
        <is>
          <t>Text</t>
        </is>
      </c>
      <c r="C111" s="19" t="inlineStr">
        <is>
          <t>Yes</t>
        </is>
      </c>
      <c r="D111" s="20" t="inlineStr">
        <is>
          <t>Foreign key to RoleFactor, matched on (project's type, role_name); the phase and period are supplied by the project and the month being calculated. Several rows = several roles on one project.</t>
        </is>
      </c>
      <c r="E111" s="19" t="inlineStr">
        <is>
          <t>REQ-PSN-03</t>
        </is>
      </c>
    </row>
    <row r="112">
      <c r="A112" s="19" t="inlineStr">
        <is>
          <t>assign_start_date</t>
        </is>
      </c>
      <c r="B112" s="19" t="inlineStr">
        <is>
          <t>Date</t>
        </is>
      </c>
      <c r="C112" s="19" t="inlineStr">
        <is>
          <t>No</t>
        </is>
      </c>
      <c r="D112" s="20" t="inlineStr">
        <is>
          <t>Date the person joins the study. BLANK = the project's own start date (REQ-CAL-15). Optional since v2.29: leave both dates blank for somebody on the project throughout, and fill them in only for a partial involvement.</t>
        </is>
      </c>
      <c r="E112" s="19" t="inlineStr">
        <is>
          <t>REQ-PSN-04, REQ-CAL-15</t>
        </is>
      </c>
    </row>
    <row r="113">
      <c r="A113" s="19" t="inlineStr">
        <is>
          <t>assign_end_date</t>
        </is>
      </c>
      <c r="B113" s="19" t="inlineStr">
        <is>
          <t>Date</t>
        </is>
      </c>
      <c r="C113" s="19" t="inlineStr">
        <is>
          <t>No</t>
        </is>
      </c>
      <c r="D113" s="20" t="inlineStr">
        <is>
          <t>Date the person leaves the study. BLANK = the project's own end date. This one has always behaved that way; v2.29 makes the start match it.</t>
        </is>
      </c>
      <c r="E113" s="19" t="inlineStr">
        <is>
          <t>REQ-PSN-04, REQ-CAL-15</t>
        </is>
      </c>
    </row>
    <row r="114">
      <c r="A114" s="19" t="inlineStr">
        <is>
          <t>person_weight</t>
        </is>
      </c>
      <c r="B114" s="19" t="inlineStr">
        <is>
          <t>Decimal</t>
        </is>
      </c>
      <c r="C114" s="19" t="inlineStr">
        <is>
          <t>Yes</t>
        </is>
      </c>
      <c r="D114" s="20" t="inlineStr">
        <is>
          <t>RENAMED from base_allocation. How much this person works on this project, e.g. 0.40. Q-01 folded the two former fields into this one.</t>
        </is>
      </c>
      <c r="E114" s="19" t="inlineStr">
        <is>
          <t>REQ-CAL-02</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17" t="inlineStr">
        <is>
          <t>estimation_type</t>
        </is>
      </c>
      <c r="B116" s="17" t="inlineStr">
        <is>
          <t>List</t>
        </is>
      </c>
      <c r="C116" s="17" t="inlineStr">
        <is>
          <t>No</t>
        </is>
      </c>
      <c r="D116" s="18" t="inlineStr">
        <is>
          <t>SCHEMA 9. 'automatic' (the default) or 'manual'. Manual means THIS PERSON'S contribution to this project is stated on MonthlyEstimate rather than taken as a share of the project's month - the level below the project's own, and applied first (REQ-CAL-18).</t>
        </is>
      </c>
      <c r="E116" s="17" t="inlineStr">
        <is>
          <t>REQ-CAL-18</t>
        </is>
      </c>
    </row>
    <row r="117">
      <c r="A117" s="8" t="inlineStr">
        <is>
          <t>note_1 .. note_3</t>
        </is>
      </c>
      <c r="B117" s="8" t="inlineStr">
        <is>
          <t>Text</t>
        </is>
      </c>
      <c r="C117" s="8" t="inlineStr">
        <is>
          <t>No</t>
        </is>
      </c>
      <c r="D117" s="9" t="inlineStr">
        <is>
          <t>Free extension columns.</t>
        </is>
      </c>
      <c r="E117" s="8" t="inlineStr">
        <is>
          <t>REQ-PSN-06</t>
        </is>
      </c>
    </row>
    <row r="119">
      <c r="A119" s="5" t="inlineStr">
        <is>
          <t>Sheet: PersonPeriodWeight</t>
        </is>
      </c>
    </row>
    <row r="120" ht="28" customHeight="1">
      <c r="A120" s="7" t="inlineStr">
        <is>
          <t>Column</t>
        </is>
      </c>
      <c r="B120" s="7" t="inlineStr">
        <is>
          <t>Type</t>
        </is>
      </c>
      <c r="C120" s="7" t="inlineStr">
        <is>
          <t>Required</t>
        </is>
      </c>
      <c r="D120" s="7" t="inlineStr">
        <is>
          <t>Definition / rule</t>
        </is>
      </c>
      <c r="E120" s="7" t="inlineStr">
        <is>
          <t>REQ-ID</t>
        </is>
      </c>
    </row>
    <row r="121">
      <c r="A121" s="8" t="inlineStr">
        <is>
          <t>assignment_id</t>
        </is>
      </c>
      <c r="B121" s="8" t="inlineStr">
        <is>
          <t>Text</t>
        </is>
      </c>
      <c r="C121" s="8" t="inlineStr">
        <is>
          <t>Yes</t>
        </is>
      </c>
      <c r="D121" s="9" t="inlineStr">
        <is>
          <t>Foreign key to Assignment.</t>
        </is>
      </c>
      <c r="E121" s="8" t="inlineStr">
        <is>
          <t>REQ-PSN-05</t>
        </is>
      </c>
    </row>
    <row r="122">
      <c r="A122" s="10" t="inlineStr">
        <is>
          <t>period_start</t>
        </is>
      </c>
      <c r="B122" s="10" t="inlineStr">
        <is>
          <t>Date</t>
        </is>
      </c>
      <c r="C122" s="10" t="inlineStr">
        <is>
          <t>Yes</t>
        </is>
      </c>
      <c r="D122" s="11" t="inlineStr">
        <is>
          <t>Inclusive. Part of the key: one assignment may carry SEVERAL non-overlapping windows, so assignment_id alone does not identify a row.</t>
        </is>
      </c>
      <c r="E122" s="10" t="inlineStr">
        <is>
          <t>REQ-PSN-05</t>
        </is>
      </c>
    </row>
    <row r="123">
      <c r="A123" s="8" t="inlineStr">
        <is>
          <t>period_end</t>
        </is>
      </c>
      <c r="B123" s="8" t="inlineStr">
        <is>
          <t>Date</t>
        </is>
      </c>
      <c r="C123" s="8" t="inlineStr">
        <is>
          <t>Yes</t>
        </is>
      </c>
      <c r="D123" s="9" t="inlineStr">
        <is>
          <t>Inclusive. Periods within one assignment must not overlap.</t>
        </is>
      </c>
      <c r="E123" s="8" t="inlineStr">
        <is>
          <t>REQ-PSN-05</t>
        </is>
      </c>
    </row>
    <row r="124">
      <c r="A124" s="19" t="inlineStr">
        <is>
          <t>weight_override</t>
        </is>
      </c>
      <c r="B124" s="19" t="inlineStr">
        <is>
          <t>Decimal</t>
        </is>
      </c>
      <c r="C124" s="19" t="inlineStr">
        <is>
          <t>Yes</t>
        </is>
      </c>
      <c r="D124" s="20" t="inlineStr">
        <is>
          <t>REPLACES person_weight for months inside this window - it no longer multiplies it. Where no row covers a month, person_weight applies unchanged.</t>
        </is>
      </c>
      <c r="E124" s="19" t="inlineStr">
        <is>
          <t>REQ-PSN-05</t>
        </is>
      </c>
    </row>
    <row r="125">
      <c r="A125" s="8" t="inlineStr">
        <is>
          <t>reason</t>
        </is>
      </c>
      <c r="B125" s="8" t="inlineStr">
        <is>
          <t>Text</t>
        </is>
      </c>
      <c r="C125" s="8" t="inlineStr">
        <is>
          <t>No</t>
        </is>
      </c>
      <c r="D125" s="9" t="inlineStr">
        <is>
          <t>Why the weight differs, e.g. 'part-time', 'covering start-up peak'.</t>
        </is>
      </c>
      <c r="E125" s="8" t="inlineStr">
        <is>
          <t>REQ-PSN-05</t>
        </is>
      </c>
    </row>
    <row r="127">
      <c r="A127"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8">
      <c r="A128" s="5" t="inlineStr">
        <is>
          <t>Sheet: MonthlyEstimate   [new]</t>
        </is>
      </c>
    </row>
    <row r="129" ht="28" customHeight="1">
      <c r="A129" s="7" t="inlineStr">
        <is>
          <t>Column</t>
        </is>
      </c>
      <c r="B129" s="7" t="inlineStr">
        <is>
          <t>Type</t>
        </is>
      </c>
      <c r="C129" s="7" t="inlineStr">
        <is>
          <t>Required</t>
        </is>
      </c>
      <c r="D129" s="7" t="inlineStr">
        <is>
          <t>Definition / rule</t>
        </is>
      </c>
      <c r="E129" s="7" t="inlineStr">
        <is>
          <t>REQ-ID</t>
        </is>
      </c>
    </row>
    <row r="130">
      <c r="A130" s="17" t="inlineStr">
        <is>
          <t>scope</t>
        </is>
      </c>
      <c r="B130" s="17" t="inlineStr">
        <is>
          <t>List</t>
        </is>
      </c>
      <c r="C130" s="17" t="inlineStr">
        <is>
          <t>Yes</t>
        </is>
      </c>
      <c r="D130" s="18" t="inlineStr">
        <is>
          <t>'project' or 'assignment' - which of the two this figure is for. The only sheet whose parent depends on a value IN the row, which is why the key carries it.</t>
        </is>
      </c>
      <c r="E130" s="17" t="inlineStr">
        <is>
          <t>REQ-CAL-18</t>
        </is>
      </c>
    </row>
    <row r="131">
      <c r="A131" s="17" t="inlineStr">
        <is>
          <t>ref_id</t>
        </is>
      </c>
      <c r="B131" s="17" t="inlineStr">
        <is>
          <t>Text</t>
        </is>
      </c>
      <c r="C131" s="17" t="inlineStr">
        <is>
          <t>Yes</t>
        </is>
      </c>
      <c r="D131" s="18" t="inlineStr">
        <is>
          <t>The project_id or the assignment_id this figure belongs to, according to scope.</t>
        </is>
      </c>
      <c r="E131" s="17" t="inlineStr">
        <is>
          <t>REQ-CAL-18</t>
        </is>
      </c>
    </row>
    <row r="132">
      <c r="A132" s="17" t="inlineStr">
        <is>
          <t>month</t>
        </is>
      </c>
      <c r="B132" s="17" t="inlineStr">
        <is>
          <t>Text</t>
        </is>
      </c>
      <c r="C132" s="17" t="inlineStr">
        <is>
          <t>Yes</t>
        </is>
      </c>
      <c r="D132" s="18" t="inlineStr">
        <is>
          <t>The month, as YYYY-MM. One figure per month per thing (V-08).</t>
        </is>
      </c>
      <c r="E132" s="17" t="inlineStr">
        <is>
          <t>REQ-CAL-18</t>
        </is>
      </c>
    </row>
    <row r="133">
      <c r="A133" s="17" t="inlineStr">
        <is>
          <t>fte</t>
        </is>
      </c>
      <c r="B133" s="17" t="inlineStr">
        <is>
          <t>Decimal</t>
        </is>
      </c>
      <c r="C133" s="17" t="inlineStr">
        <is>
          <t>Yes</t>
        </is>
      </c>
      <c r="D133" s="18" t="inlineStr">
        <is>
          <t>The monthly FTE, STATED rather than calculated. An assignment figure is that person's own contribution to that project; a project figure is the whole month, and the people on it are scaled to add up to it.</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19" t="inlineStr">
        <is>
          <t>schema_version</t>
        </is>
      </c>
      <c r="B139"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t>
        </is>
      </c>
      <c r="C139" s="19" t="inlineStr">
        <is>
          <t>13</t>
        </is>
      </c>
      <c r="D139" s="19"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19" t="inlineStr">
        <is>
          <t>under_allocation_fte</t>
        </is>
      </c>
      <c r="B144" s="20" t="inlineStr">
        <is>
          <t>Person-month total below this counts toward an under-allocated run. Absolute, not scaled by capacity.</t>
        </is>
      </c>
      <c r="C144" s="19" t="inlineStr">
        <is>
          <t>0.60</t>
        </is>
      </c>
      <c r="D144" s="19"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19" t="inlineStr">
        <is>
          <t>default_horizon_months</t>
        </is>
      </c>
      <c r="B146" s="20" t="inlineStr">
        <is>
          <t>Months shown on opening.</t>
        </is>
      </c>
      <c r="C146" s="19" t="inlineStr">
        <is>
          <t>24</t>
        </is>
      </c>
      <c r="D146" s="19" t="inlineStr">
        <is>
          <t>REQ-CAL-01</t>
        </is>
      </c>
    </row>
    <row r="147">
      <c r="A147" s="19" t="inlineStr">
        <is>
          <t>capacity_unit</t>
        </is>
      </c>
      <c r="B147"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19" t="inlineStr">
        <is>
          <t>FTE</t>
        </is>
      </c>
      <c r="D147" s="19"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19" t="inlineStr">
        <is>
          <t>V-03</t>
        </is>
      </c>
      <c r="B159" s="20" t="inlineStr">
        <is>
          <t>Every Assignment.role_name appears in RoleFactor for that project's type - the coarse half of the question V-23 asks precisely.</t>
        </is>
      </c>
      <c r="C159"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19" t="inlineStr">
        <is>
          <t>V-28</t>
        </is>
      </c>
      <c r="B162" s="20" t="inlineStr">
        <is>
          <t>RETIRED at v2.32 (R-18), one version after it was added. It reported an assignment whose role had no RoleFactor row for that project's (project_type, clinical_phase, work_scope_type) at all.</t>
        </is>
      </c>
      <c r="C162"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V-37</t>
        </is>
      </c>
      <c r="B165" s="18" t="inlineStr">
        <is>
          <t>Milestone.milestone_highlight carries a value that names no colour the application can draw.</t>
        </is>
      </c>
      <c r="C165"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66">
      <c r="A166" s="17" t="inlineStr">
        <is>
          <t>V-36</t>
        </is>
      </c>
      <c r="B166" s="18" t="inlineStr">
        <is>
          <t>A project that has periods and NOBODY ASSIGNED TO IT AT ALL. Raised from the CALCULATION, one finding per project, carrying what the project needs: the total FTE-months, the span, the peak and the month it falls in.</t>
        </is>
      </c>
      <c r="C166"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67">
      <c r="A167" s="17" t="inlineStr">
        <is>
          <t>V-35</t>
        </is>
      </c>
      <c r="B167" s="18" t="inlineStr">
        <is>
          <t>Person.capacity_fte outside 0.00 to 1.00, in either direction.</t>
        </is>
      </c>
      <c r="C167"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8">
      <c r="A168" s="17" t="inlineStr">
        <is>
          <t>V-34</t>
        </is>
      </c>
      <c r="B168" s="18" t="inlineStr">
        <is>
          <t>A project whose month is not what its own standard says it needs - standard FTE x period weight x the part of the month it runs - in either direction. Raised from the CALCULATION, one finding per project, naming the months and the worst of them.</t>
        </is>
      </c>
      <c r="C168"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9">
      <c r="A169" s="17" t="inlineStr">
        <is>
          <t>V-33</t>
        </is>
      </c>
      <c r="B169"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9" s="18" t="inlineStr">
        <is>
          <t>Warning</t>
        </is>
      </c>
      <c r="D169" s="17" t="inlineStr">
        <is>
          <t>R-39</t>
        </is>
      </c>
      <c r="E169" s="17" t="inlineStr">
        <is>
          <t>4</t>
        </is>
      </c>
    </row>
    <row r="170">
      <c r="A170" s="17" t="inlineStr">
        <is>
          <t>V-32</t>
        </is>
      </c>
      <c r="B170" s="18" t="inlineStr">
        <is>
          <t>A project set to MANUAL has a figure for a month in which nobody is assigned to it.</t>
        </is>
      </c>
      <c r="C170"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71">
      <c r="A171" s="17" t="inlineStr">
        <is>
          <t>V-30</t>
        </is>
      </c>
      <c r="B171" s="18" t="inlineStr">
        <is>
          <t>Config has no row for a setting the application reads, so its built-in default is in force. Reported for every such setting, naming the value being used.</t>
        </is>
      </c>
      <c r="C171"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2">
      <c r="A172" s="19" t="inlineStr">
        <is>
          <t>V-25</t>
        </is>
      </c>
      <c r="B172" s="20" t="inlineStr">
        <is>
          <t>RETIRED at schema 7 (R-16). It reported a project whose work_scope_type contradicted its outsourcing_type.</t>
        </is>
      </c>
      <c r="C172"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3">
      <c r="A173" s="17" t="inlineStr">
        <is>
          <t>V-26</t>
        </is>
      </c>
      <c r="B173" s="18" t="inlineStr">
        <is>
          <t>No project carries a project_type that schema 6 retired - at present 'Biosimilar CT', which became 'Biosimilar CT (Healthy)' and 'Biosimilar CT (Patient)'.</t>
        </is>
      </c>
      <c r="C173"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4">
      <c r="A174" s="19" t="inlineStr">
        <is>
          <t>V-23</t>
        </is>
      </c>
      <c r="B174" s="20" t="inlineStr">
        <is>
          <t>Every (project_type, clinical_phase, work_scope_type, period_name, role_name) that a PERSON-MONTH ACTUALLY LOOKED UP has a RoleFactor row. Raised BY the calculation (R-19), grouped on that whole composition, and counted in person-months affected.</t>
        </is>
      </c>
      <c r="C174"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5">
      <c r="A175" s="8" t="inlineStr">
        <is>
          <t>V-04</t>
        </is>
      </c>
      <c r="B175" s="9" t="inlineStr">
        <is>
          <t>project_category is present for either clinical trial type.</t>
        </is>
      </c>
      <c r="C175" s="9" t="inlineStr">
        <is>
          <t>Warning - shown as blank in the dashboard.</t>
        </is>
      </c>
    </row>
    <row r="176">
      <c r="A176" s="10" t="inlineStr">
        <is>
          <t>V-05</t>
        </is>
      </c>
      <c r="B176" s="11" t="inlineStr">
        <is>
          <t>end_date is on or after start_date, for projects, assignments and all weight periods.</t>
        </is>
      </c>
      <c r="C176" s="11" t="inlineStr">
        <is>
          <t>Error - row rejected.</t>
        </is>
      </c>
    </row>
    <row r="177">
      <c r="A177" s="19" t="inlineStr">
        <is>
          <t>V-06</t>
        </is>
      </c>
      <c r="B177" s="20" t="inlineStr">
        <is>
          <t>Periods within one project, and override windows within one assignment, do not overlap.</t>
        </is>
      </c>
      <c r="C177" s="20" t="inlineStr">
        <is>
          <t>Error - overlapping pair reported. The assignment half was specified from v1.0 but not implemented until R-12; an overlap there makes the applied weight depend on row order.</t>
        </is>
      </c>
    </row>
    <row r="178">
      <c r="A178" s="10" t="inlineStr">
        <is>
          <t>V-07</t>
        </is>
      </c>
      <c r="B178" s="11" t="inlineStr">
        <is>
          <t>Assignment dates fall inside the project's own start and end dates.</t>
        </is>
      </c>
      <c r="C178" s="11" t="inlineStr">
        <is>
          <t>Warning - kept, but listed for review.</t>
        </is>
      </c>
    </row>
    <row r="179">
      <c r="A179" s="8" t="inlineStr">
        <is>
          <t>V-08</t>
        </is>
      </c>
      <c r="B179" s="9" t="inlineStr">
        <is>
          <t>project_id, person_id and assignment_id are unique in their sheet.</t>
        </is>
      </c>
      <c r="C179" s="9" t="inlineStr">
        <is>
          <t>Error - duplicate rejected.</t>
        </is>
      </c>
    </row>
    <row r="180">
      <c r="A180" s="10" t="inlineStr">
        <is>
          <t>V-09</t>
        </is>
      </c>
      <c r="B180" s="11" t="inlineStr">
        <is>
          <t>schema_version in Config matches the version the application expects.</t>
        </is>
      </c>
      <c r="C180" s="11" t="inlineStr">
        <is>
          <t>Warning - proceeds, banner shown.</t>
        </is>
      </c>
    </row>
    <row r="181">
      <c r="A181" s="17" t="inlineStr">
        <is>
          <t>V-10</t>
        </is>
      </c>
      <c r="B181" s="18" t="inlineStr">
        <is>
          <t>Clinical-trial projects carry clinical_phase and the four *_setup values.</t>
        </is>
      </c>
      <c r="C181" s="18" t="inlineStr">
        <is>
          <t>Warning - the project still simulates; the gap is listed.</t>
        </is>
      </c>
    </row>
    <row r="182">
      <c r="A182" s="17" t="inlineStr">
        <is>
          <t>V-11</t>
        </is>
      </c>
      <c r="B182" s="18" t="inlineStr">
        <is>
          <t>Every list-typed value appears in the Lists sheet for its list.</t>
        </is>
      </c>
      <c r="C182" s="18" t="inlineStr">
        <is>
          <t>Warning - value kept, reported as unrecognised.</t>
        </is>
      </c>
    </row>
    <row r="183">
      <c r="A183" s="19" t="inlineStr">
        <is>
          <t>V-12</t>
        </is>
      </c>
      <c r="B183" s="20" t="inlineStr">
        <is>
          <t>A project's periods leave no gap and no overlap across its timeline. The full set need not be present - a period may be legitimately omitted (REQ-CAL-12).</t>
        </is>
      </c>
      <c r="C183" s="20" t="inlineStr">
        <is>
          <t>Warning - months with no period use weight 1.00 and are listed (REQ-CAL-10).</t>
        </is>
      </c>
    </row>
    <row r="184">
      <c r="A184" s="17" t="inlineStr">
        <is>
          <t>V-13</t>
        </is>
      </c>
      <c r="B184" s="18" t="inlineStr">
        <is>
          <t>Denormalised project_name / person_name match their master row.</t>
        </is>
      </c>
      <c r="C184" s="18" t="inlineStr">
        <is>
          <t>Warning - the master value wins and the copy is refreshed.</t>
        </is>
      </c>
    </row>
    <row r="185">
      <c r="A185" s="19" t="inlineStr">
        <is>
          <t>V-14</t>
        </is>
      </c>
      <c r="B185" s="20" t="inlineStr">
        <is>
          <t>A milestone date falls inside its project's start..end window, and the boundary milestones appear in chronological order. Repeated 'Inspection' rows are exempt from the uniqueness part of this check.</t>
        </is>
      </c>
      <c r="C185" s="20" t="inlineStr">
        <is>
          <t>Error for period-defining milestones - the derivation cannot run. Warning for markers.</t>
        </is>
      </c>
    </row>
    <row r="186">
      <c r="A186" s="17" t="inlineStr">
        <is>
          <t>V-15</t>
        </is>
      </c>
      <c r="B186" s="18" t="inlineStr">
        <is>
          <t>A period_name belongs to the period set of its project's type.</t>
        </is>
      </c>
      <c r="C186" s="18" t="inlineStr">
        <is>
          <t>Error - a 'Planning' period on a clinical trial is a category mistake, not a typo.</t>
        </is>
      </c>
    </row>
    <row r="187">
      <c r="A187" s="17" t="inlineStr">
        <is>
          <t>V-16</t>
        </is>
      </c>
      <c r="B187" s="18" t="inlineStr">
        <is>
          <t>A clinical trial carries the milestones the derivation needs: CTA submission, and at least one DB lock.</t>
        </is>
      </c>
      <c r="C187" s="18" t="inlineStr">
        <is>
          <t>Error - without them no period boundary can be computed.</t>
        </is>
      </c>
    </row>
    <row r="188">
      <c r="A188" s="19" t="inlineStr">
        <is>
          <t>V-18</t>
        </is>
      </c>
      <c r="B188" s="20" t="inlineStr">
        <is>
          <t>Within a project, period_name is unique, and period_seq is unique.</t>
        </is>
      </c>
      <c r="C188" s="20" t="inlineStr">
        <is>
          <t>Error - since R-11 the key is (project_id, period_name), so a repeated name is a duplicate key rather than a legitimate second stretch. period_seq stays unique because it carries the order.</t>
        </is>
      </c>
    </row>
    <row r="189">
      <c r="A189" s="19" t="inlineStr">
        <is>
          <t>V-19</t>
        </is>
      </c>
      <c r="B189" s="20" t="inlineStr">
        <is>
          <t>A clinical trial carries a clinical_phase, and PeriodFTEStandard has rows for that phase. Not applied to 'Others' projects, whose weights are entered directly.</t>
        </is>
      </c>
      <c r="C189" s="20" t="inlineStr">
        <is>
          <t>Error - since Q-26 the phase selects the weights, so a missing phase leaves the project unweighted.</t>
        </is>
      </c>
    </row>
    <row r="190">
      <c r="A190" s="17" t="inlineStr">
        <is>
          <t>V-20</t>
        </is>
      </c>
      <c r="B190" s="18" t="inlineStr">
        <is>
          <t>A milestone other than 'Inspection' appears at most once per project.</t>
        </is>
      </c>
      <c r="C190" s="18" t="inlineStr">
        <is>
          <t>Warning - repeats are allowed but usually a data-entry slip outside Inspection.</t>
        </is>
      </c>
    </row>
    <row r="191">
      <c r="A191" s="17" t="inlineStr">
        <is>
          <t>V-21</t>
        </is>
      </c>
      <c r="B191" s="18" t="inlineStr">
        <is>
          <t>'Inspection' dates on or before the final DB lock are treated as markers, not as the start of period 7.</t>
        </is>
      </c>
      <c r="C191" s="18" t="inlineStr">
        <is>
          <t>Information - listed so the reader can see why an early inspection did not open a period.</t>
        </is>
      </c>
    </row>
    <row r="192">
      <c r="A192" s="17" t="inlineStr">
        <is>
          <t>V-22</t>
        </is>
      </c>
      <c r="B192" s="18" t="inlineStr">
        <is>
          <t>No person carries a capacity_fte below the under-allocation floor.</t>
        </is>
      </c>
      <c r="C192" s="18" t="inlineStr">
        <is>
          <t>Warning - such a person can never clear the floor however fully they are booked, so the flag would be permanent and meaningless.</t>
        </is>
      </c>
    </row>
    <row r="193">
      <c r="A193" s="17" t="inlineStr">
        <is>
          <t>V-17</t>
        </is>
      </c>
      <c r="B193" s="18" t="inlineStr">
        <is>
          <t>On editing an identifier, every referencing row is updated; on deleting a row, nothing may still reference it.</t>
        </is>
      </c>
      <c r="C193" s="18" t="inlineStr">
        <is>
          <t>Cascade after confirmation / deletion refused (REQ-IMP-10).</t>
        </is>
      </c>
    </row>
    <row r="195">
      <c r="A195" s="16" t="inlineStr">
        <is>
          <t>Import never stops at the first problem: it collects every finding and presents one report (REQ-IMP-02). Under REQ-IMP-09 the same rules run again on any value edited on screen.</t>
        </is>
      </c>
    </row>
    <row r="196">
      <c r="A196" s="3" t="inlineStr">
        <is>
          <t>Legend</t>
        </is>
      </c>
    </row>
    <row r="197">
      <c r="A197" s="12" t="inlineStr">
        <is>
          <t>Green = new in v0.2, added from your review answers.</t>
        </is>
      </c>
    </row>
    <row r="198">
      <c r="A198" s="13" t="inlineStr">
        <is>
          <t>Orange = changed in v0.2 as a consequence of your review.</t>
        </is>
      </c>
    </row>
    <row r="199">
      <c r="A199"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PRAP_SourceData_Template_v1.17.xlsx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5"/>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R-51</t>
        </is>
      </c>
      <c r="B47" s="8" t="inlineStr">
        <is>
          <t>UI</t>
        </is>
      </c>
      <c r="C47" s="9" t="inlineStr">
        <is>
          <t>Give every section a control that opens it full screen, so wide tables can be read and typed into at the size they actually are.</t>
        </is>
      </c>
      <c r="D47" s="9"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47" s="17" t="inlineStr">
        <is>
          <t>Applied</t>
        </is>
      </c>
    </row>
    <row r="48">
      <c r="A48" s="10" t="inlineStr">
        <is>
          <t>R-50</t>
        </is>
      </c>
      <c r="B48" s="10" t="inlineStr">
        <is>
          <t>Data model</t>
        </is>
      </c>
      <c r="C48" s="11" t="inlineStr">
        <is>
          <t>Mark a milestone in a colour, and carry the mark to the Project timeline on both tabs.</t>
        </is>
      </c>
      <c r="D48" s="11"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48" s="17" t="inlineStr">
        <is>
          <t>Applied</t>
        </is>
      </c>
    </row>
    <row r="49">
      <c r="A49" s="8" t="inlineStr">
        <is>
          <t>R-01</t>
        </is>
      </c>
      <c r="B49" s="8" t="inlineStr">
        <is>
          <t>Data model</t>
        </is>
      </c>
      <c r="C49" s="9" t="inlineStr">
        <is>
          <t>Add 'Inspection' as a standard milestone.</t>
        </is>
      </c>
      <c r="D49" s="9" t="inlineStr">
        <is>
          <t>Applied. Milestone list grows to ten. Unlike the others, 'Inspection' MAY REPEAT within one project, so REQ-PRJ-13 and V-20 were added and V-14's uniqueness check now exempts it.</t>
        </is>
      </c>
      <c r="E49" s="17" t="inlineStr">
        <is>
          <t>Applied</t>
        </is>
      </c>
    </row>
    <row r="50">
      <c r="A50" s="10" t="inlineStr">
        <is>
          <t>R-02</t>
        </is>
      </c>
      <c r="B50" s="10" t="inlineStr">
        <is>
          <t>Calculation</t>
        </is>
      </c>
      <c r="C50" s="11" t="inlineStr">
        <is>
          <t>Sheet 05 derivation edits: Before-Start-up ends at 'Protocol (v1)'; Start-up begins the day after it and ends at 'First SIV' (or 'FPI'); a seventh period 'After Close-out (final)' spans the Inspection dates.</t>
        </is>
      </c>
      <c r="D50" s="11" t="inlineStr">
        <is>
          <t>Applied. Clinical period set grows to six names; REQ-PRJ-12 and REQ-CAL-09 reworded; REQ-CAL-13 added for the milestone-beats-offset rule; 'FPI' restored to the milestone list as the First SIV fallback.</t>
        </is>
      </c>
      <c r="E50" s="17" t="inlineStr">
        <is>
          <t>Applied</t>
        </is>
      </c>
    </row>
    <row r="51">
      <c r="A51" s="8" t="inlineStr">
        <is>
          <t>R-03</t>
        </is>
      </c>
      <c r="B51" s="8" t="inlineStr">
        <is>
          <t>Calculation</t>
        </is>
      </c>
      <c r="C51" s="9" t="inlineStr">
        <is>
          <t>Not requested - found while applying R-02.</t>
        </is>
      </c>
      <c r="D51"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51" s="17" t="inlineStr">
        <is>
          <t>CONFIRMED</t>
        </is>
      </c>
    </row>
    <row r="52">
      <c r="A52" s="10" t="inlineStr">
        <is>
          <t>R-13</t>
        </is>
      </c>
      <c r="B52" s="10" t="inlineStr">
        <is>
          <t>UI</t>
        </is>
      </c>
      <c r="C52" s="11" t="inlineStr">
        <is>
          <t>Two requests at the component-list v0.7 review: highlight the interim and final DB lock milestones in red, and add a project utilisation graph to the 'Source data (project)' tab.</t>
        </is>
      </c>
      <c r="D52"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2" s="17" t="inlineStr">
        <is>
          <t>Applied</t>
        </is>
      </c>
    </row>
    <row r="53">
      <c r="A53" s="8" t="inlineStr">
        <is>
          <t>R-12</t>
        </is>
      </c>
      <c r="B53" s="8" t="inlineStr">
        <is>
          <t>Validation</t>
        </is>
      </c>
      <c r="C53" s="9" t="inlineStr">
        <is>
          <t>Raised as a question about the PersonPeriodWeight key - why is period_start needed when assignment_id looks unique?</t>
        </is>
      </c>
      <c r="D53"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3" s="17" t="inlineStr">
        <is>
          <t>Applied</t>
        </is>
      </c>
    </row>
    <row r="54">
      <c r="A54" s="10" t="inlineStr">
        <is>
          <t>R-11</t>
        </is>
      </c>
      <c r="B54" s="10" t="inlineStr">
        <is>
          <t>Data model</t>
        </is>
      </c>
      <c r="C54" s="11" t="inlineStr">
        <is>
          <t>Name the two conduct stretches apart - 'Conduct (interim)' before an interim DB lock, 'Conduct (final)' after it or where there is no interim lock - and key ProjectPeriod on (project_id, period_name).</t>
        </is>
      </c>
      <c r="D54"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4" s="17" t="inlineStr">
        <is>
          <t>Applied</t>
        </is>
      </c>
    </row>
    <row r="55">
      <c r="A55" s="8" t="inlineStr">
        <is>
          <t>R-10</t>
        </is>
      </c>
      <c r="B55" s="8" t="inlineStr">
        <is>
          <t>Data model</t>
        </is>
      </c>
      <c r="C55" s="9" t="inlineStr">
        <is>
          <t>The role factor must be given by role AND project type AND clinical phase AND period, not by role and type alone.</t>
        </is>
      </c>
      <c r="D55"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5" s="17" t="inlineStr">
        <is>
          <t>Applied</t>
        </is>
      </c>
    </row>
    <row r="56">
      <c r="A56" s="10" t="inlineStr">
        <is>
          <t>R-09</t>
        </is>
      </c>
      <c r="B56" s="10" t="inlineStr">
        <is>
          <t>UI</t>
        </is>
      </c>
      <c r="C56"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6"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6" s="17" t="inlineStr">
        <is>
          <t>Applied</t>
        </is>
      </c>
    </row>
    <row r="57">
      <c r="A57" s="8" t="inlineStr">
        <is>
          <t>R-08</t>
        </is>
      </c>
      <c r="B57" s="8" t="inlineStr">
        <is>
          <t>UI</t>
        </is>
      </c>
      <c r="C57" s="9" t="inlineStr">
        <is>
          <t>The two 'Conduct' stretches of a project must be distinguishable on screen (S2-04).</t>
        </is>
      </c>
      <c r="D57" s="9" t="inlineStr">
        <is>
          <t>Applied as REQ-DSH-10. A display rule, not a data change: period_name stays 'Conduct' in the workbook and the screen shows it with its sequence, 'Conduct (1)' and 'Conduct (2)'. Changing the stored name would have broken the weight lookup and V-15.</t>
        </is>
      </c>
      <c r="E57" s="17" t="inlineStr">
        <is>
          <t>Applied</t>
        </is>
      </c>
    </row>
    <row r="58">
      <c r="A58" s="10" t="inlineStr">
        <is>
          <t>R-07</t>
        </is>
      </c>
      <c r="B58" s="10" t="inlineStr">
        <is>
          <t>Calculation</t>
        </is>
      </c>
      <c r="C58" s="11" t="inlineStr">
        <is>
          <t>Thresholds stay ABSOLUTE, not relative to capacity_fte (S2-01), and the under-allocation floor moves to 0.60 FTE (S2-05).</t>
        </is>
      </c>
      <c r="D58"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8" s="17" t="inlineStr">
        <is>
          <t>Applied</t>
        </is>
      </c>
    </row>
    <row r="59">
      <c r="A59" s="8" t="inlineStr">
        <is>
          <t>R-06</t>
        </is>
      </c>
      <c r="B59" s="8" t="inlineStr">
        <is>
          <t>Non-functional</t>
        </is>
      </c>
      <c r="C59" s="9" t="inlineStr">
        <is>
          <t>Re-baseline REQ-NFR-03 to 100 projects and 1,000 people (S2-06).</t>
        </is>
      </c>
      <c r="D59" s="9"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59" s="17" t="inlineStr">
        <is>
          <t>Applied; volume superseded at R-47</t>
        </is>
      </c>
    </row>
    <row r="60">
      <c r="A60" s="10" t="inlineStr">
        <is>
          <t>R-05</t>
        </is>
      </c>
      <c r="B60" s="10" t="inlineStr">
        <is>
          <t>Data model</t>
        </is>
      </c>
      <c r="C60" s="11" t="inlineStr">
        <is>
          <t>Split project_type: 'Clinical Trial' becomes 'NewDrug CT' and 'Biosimilar CT'; every clinical trial is one or the other.</t>
        </is>
      </c>
      <c r="D60"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60" s="17" t="inlineStr">
        <is>
          <t>Applied</t>
        </is>
      </c>
    </row>
    <row r="61">
      <c r="A61" s="8" t="inlineStr">
        <is>
          <t>R-04</t>
        </is>
      </c>
      <c r="B61" s="8" t="inlineStr">
        <is>
          <t>Data model</t>
        </is>
      </c>
      <c r="C61" s="9" t="inlineStr">
        <is>
          <t>Add at least one free-text note column to every sheet of the source workbook.</t>
        </is>
      </c>
      <c r="D61"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61" s="17" t="inlineStr">
        <is>
          <t>Applied</t>
        </is>
      </c>
    </row>
    <row r="63">
      <c r="A63" s="16" t="inlineStr">
        <is>
          <t>All four are settled. Nothing on this sheet is open, and the plan is final.</t>
        </is>
      </c>
    </row>
    <row r="65">
      <c r="A65"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2026-10-01T10:08:10Z</dcterms:created>
  <dcterms:modified xsi:type="dcterms:W3CDTF">2026-10-01T10:08:10Z</dcterms:modified>
</cp:coreProperties>
</file>