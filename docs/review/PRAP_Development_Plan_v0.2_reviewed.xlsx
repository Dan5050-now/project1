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ownloads\"/>
    </mc:Choice>
  </mc:AlternateContent>
  <xr:revisionPtr revIDLastSave="0" documentId="8_{56F6ECEC-C42B-4152-907B-753570EDE538}" xr6:coauthVersionLast="47" xr6:coauthVersionMax="47" xr10:uidLastSave="{00000000-0000-0000-0000-000000000000}"/>
  <bookViews>
    <workbookView xWindow="-98" yWindow="-98" windowWidth="21795" windowHeight="12975" tabRatio="968" firstSheet="5" activeTab="12" xr2:uid="{00000000-000D-0000-FFFF-FFFF00000000}"/>
  </bookViews>
  <sheets>
    <sheet name="00_Cover" sheetId="1" r:id="rId1"/>
    <sheet name="01_Version_History" sheetId="2" r:id="rId2"/>
    <sheet name="02_Scope" sheetId="3" r:id="rId3"/>
    <sheet name="03_Requirements" sheetId="4" r:id="rId4"/>
    <sheet name="04_Data_Model" sheetId="5" r:id="rId5"/>
    <sheet name="05_Resource_Logic" sheetId="6" r:id="rId6"/>
    <sheet name="06_Dashboard_Design" sheetId="7" r:id="rId7"/>
    <sheet name="07_Architecture" sheetId="8" r:id="rId8"/>
    <sheet name="08_WBS_Schedule" sheetId="9" r:id="rId9"/>
    <sheet name="09_Version_Control" sheetId="10" r:id="rId10"/>
    <sheet name="10_Risks" sheetId="11" r:id="rId11"/>
    <sheet name="11_Open_Questions" sheetId="12" r:id="rId12"/>
    <sheet name="12_Review_Log"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3" l="1"/>
  <c r="B24" i="13"/>
  <c r="B23" i="13"/>
  <c r="B46" i="9"/>
  <c r="B45" i="9"/>
  <c r="B44" i="9"/>
  <c r="B43" i="9"/>
  <c r="B69" i="4"/>
  <c r="B68" i="4"/>
  <c r="B67" i="4"/>
  <c r="B66" i="4"/>
</calcChain>
</file>

<file path=xl/sharedStrings.xml><?xml version="1.0" encoding="utf-8"?>
<sst xmlns="http://schemas.openxmlformats.org/spreadsheetml/2006/main" count="1913" uniqueCount="1190">
  <si>
    <t>Project Resource Assignment Program (PRAP)</t>
  </si>
  <si>
    <t>Application Development Plan</t>
  </si>
  <si>
    <t>Document ID</t>
  </si>
  <si>
    <t>PRAP-PLAN-001</t>
  </si>
  <si>
    <t>Document type</t>
  </si>
  <si>
    <t>Development plan (Step 1 deliverable)</t>
  </si>
  <si>
    <t>Version</t>
  </si>
  <si>
    <t>v0.2</t>
  </si>
  <si>
    <t>Status</t>
  </si>
  <si>
    <t>Draft 2 - reviewer answers incorporated, re-issued for review</t>
  </si>
  <si>
    <t>Issue date</t>
  </si>
  <si>
    <t>2026-07-31</t>
  </si>
  <si>
    <t>Author</t>
  </si>
  <si>
    <t>Claude Code</t>
  </si>
  <si>
    <t>Reviewer</t>
  </si>
  <si>
    <t>Requester - review of v0.1 returned as v0.11_reviewed</t>
  </si>
  <si>
    <t>Repository</t>
  </si>
  <si>
    <t>Dan5050-now/project1</t>
  </si>
  <si>
    <t>Branch</t>
  </si>
  <si>
    <t>claude/project-resource-assignment-app-1vjdzh</t>
  </si>
  <si>
    <t>Supersedes</t>
  </si>
  <si>
    <t>v0.1 (2026-07-25)</t>
  </si>
  <si>
    <t>What changed in v0.2</t>
  </si>
  <si>
    <t>All 12 open questions from v0.1 were answered, and the reviewer edited the requirement register and the</t>
  </si>
  <si>
    <t>data model directly. Those answers are not merely recorded here - they have been propagated into every</t>
  </si>
  <si>
    <t>sheet they affect. The four largest consequences:</t>
  </si>
  <si>
    <t xml:space="preserve">  1. One source workbook, not two (Q-09). The data model, architecture and deployment sections change.</t>
  </si>
  <si>
    <t xml:space="preserve">  2. The calculation drops base_allocation (Q-01). Load = project weight x role factor x person weight</t>
  </si>
  <si>
    <t xml:space="preserve">     x coverage. What was two fields is now one, which also answers the earlier question about</t>
  </si>
  <si>
    <t xml:space="preserve">     PersonPeriodWeight: it survives only as a time-varying override.</t>
  </si>
  <si>
    <t xml:space="preserve">  3. Capacity is FTE, and the thresholds are asymmetric (Q-08). Over-allocation is above 1.50 FTE in a</t>
  </si>
  <si>
    <t xml:space="preserve">     month; under-allocation is below 0.80 FTE sustained for three or more consecutive months. The</t>
  </si>
  <si>
    <t xml:space="preserve">     under-allocation rule is a new requirement - it needs a rolling window, not a per-month test.</t>
  </si>
  <si>
    <t xml:space="preserve">  4. Imported data becomes editable in the application (new REQ-IMP-07). This reverses the v0.1 rule</t>
  </si>
  <si>
    <t xml:space="preserve">     that nothing on screen was editable, and pulls an edit-buffer layer into the architecture.</t>
  </si>
  <si>
    <t>Six new questions (Q-13 to Q-18) arise from the answers - mostly the numeric weights themselves, which</t>
  </si>
  <si>
    <t>were not supplied. Sheet 11 has them.</t>
  </si>
  <si>
    <t>How to read this workbook</t>
  </si>
  <si>
    <t>Sheet</t>
  </si>
  <si>
    <t>Contents</t>
  </si>
  <si>
    <t>00_Cover</t>
  </si>
  <si>
    <t>Document control, what changed, reading guide.</t>
  </si>
  <si>
    <t>01_Version_History</t>
  </si>
  <si>
    <t>Change log for this plan.</t>
  </si>
  <si>
    <t>02_Scope</t>
  </si>
  <si>
    <t>Background, objectives, in scope / out of scope.</t>
  </si>
  <si>
    <t>03_Requirements</t>
  </si>
  <si>
    <t>Numbered requirement register - the contract for Steps 2-5.</t>
  </si>
  <si>
    <t>04_Data_Model</t>
  </si>
  <si>
    <t>Every sheet and column of the single source workbook, with rules.</t>
  </si>
  <si>
    <t>05_Resource_Logic</t>
  </si>
  <si>
    <t>The calculation that turns assignments and weights into monthly FTE.</t>
  </si>
  <si>
    <t>06_Dashboard_Design</t>
  </si>
  <si>
    <t>The three dashboard tabs: tables, graphs, filters, editing.</t>
  </si>
  <si>
    <t>07_Architecture</t>
  </si>
  <si>
    <t>Single-file HTML + Excel-on-disk design and the file-access decision.</t>
  </si>
  <si>
    <t>08_WBS_Schedule</t>
  </si>
  <si>
    <t>The five steps broken into tasks, deliverables and review gates.</t>
  </si>
  <si>
    <t>09_Version_Control</t>
  </si>
  <si>
    <t>How plan, specification and output files are versioned together.</t>
  </si>
  <si>
    <t>10_Risks</t>
  </si>
  <si>
    <t>Risks and assumptions with mitigations.</t>
  </si>
  <si>
    <t>11_Open_Questions</t>
  </si>
  <si>
    <t>Your answers to Q-01..Q-12, and six new questions Q-13..Q-18.</t>
  </si>
  <si>
    <t>12_Review_Log</t>
  </si>
  <si>
    <t>Every change made in v0.2 and why.</t>
  </si>
  <si>
    <t>Legend</t>
  </si>
  <si>
    <t>Green = new in v0.2, added from your review answers.</t>
  </si>
  <si>
    <t>Orange = changed in v0.2 as a consequence of your review.</t>
  </si>
  <si>
    <t>Yellow = still needs your input.</t>
  </si>
  <si>
    <t>Version history</t>
  </si>
  <si>
    <t>One row per issued version. Numbering rules are on sheet 09_Version_Control.</t>
  </si>
  <si>
    <t>Date</t>
  </si>
  <si>
    <t>Summary of change</t>
  </si>
  <si>
    <t>0.1</t>
  </si>
  <si>
    <t>2026-07-25</t>
  </si>
  <si>
    <t>-</t>
  </si>
  <si>
    <t>First draft issued for review. Built from the requirements supplied by the requester, incorporating two confirmed decisions: browser file-picker + SheetJS for Excel access (option a), and the five-step plan.</t>
  </si>
  <si>
    <t>Superseded</t>
  </si>
  <si>
    <t>0.11</t>
  </si>
  <si>
    <t>Requester</t>
  </si>
  <si>
    <t>Reviewer mark-up returned as PRAP_Development_Plan_v0.11_reviewed.xlsx. Answered all 12 open questions; added one Import/Export requirement; added clinical phase, four system-responsibility columns, three system-name columns, and denormalised name columns to the data model.</t>
  </si>
  <si>
    <t>Review input</t>
  </si>
  <si>
    <t>0.2</t>
  </si>
  <si>
    <t>Pending</t>
  </si>
  <si>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Six follow-up questions raised.</t>
  </si>
  <si>
    <t>Draft for review</t>
  </si>
  <si>
    <t>The reviewer's file was named v0.11. Under the numbering rule on sheet 09 that reads as a draft increment of v0.1, so it is logged above as review input and this incorporating draft is v0.2.</t>
  </si>
  <si>
    <t>Scope and objectives</t>
  </si>
  <si>
    <t>Background - the problem being solved</t>
  </si>
  <si>
    <t>Multiple projects run at the same time, and their timelines change frequently. Deciding who to assign, in which</t>
  </si>
  <si>
    <t>role, to which project is therefore difficult to do by hand. The resource burden a project places on a person is</t>
  </si>
  <si>
    <t>not constant: it varies by project, by period within that project, and by the role the person holds.</t>
  </si>
  <si>
    <t>Today there is no single view that answers 'who is over-committed next quarter, and on which project?' -</t>
  </si>
  <si>
    <t>nor the quieter question, 'who has been under-used for three months running?'.</t>
  </si>
  <si>
    <t>Objectives</t>
  </si>
  <si>
    <t>ID</t>
  </si>
  <si>
    <t>Objective</t>
  </si>
  <si>
    <t>How success is measured</t>
  </si>
  <si>
    <t>Basis</t>
  </si>
  <si>
    <t>OBJ-1</t>
  </si>
  <si>
    <t>Hold project and person data in one controlled place: a single Excel workbook kept outside the application.</t>
  </si>
  <si>
    <t>The workbook loads without error and round-trips through export.</t>
  </si>
  <si>
    <t>Q-09</t>
  </si>
  <si>
    <t>OBJ-2</t>
  </si>
  <si>
    <t>Simulate monthly resource demand per project and per person, respecting period weights and role factors.</t>
  </si>
  <si>
    <t>Monthly FTE reconciles to the worked example on sheet 05.</t>
  </si>
  <si>
    <t>Q-01</t>
  </si>
  <si>
    <t>OBJ-3</t>
  </si>
  <si>
    <t>Make both over- and under-allocation visible before they bite.</t>
  </si>
  <si>
    <t>Person-months above 1.50 FTE are flagged; runs of three or more months below 0.80 FTE are flagged.</t>
  </si>
  <si>
    <t>Q-08</t>
  </si>
  <si>
    <t>OBJ-4</t>
  </si>
  <si>
    <t>Let the user re-run the simulation immediately after a timeline change.</t>
  </si>
  <si>
    <t>Editing dates in the workbook - or in the application - and re-running updates the dashboard with no code change.</t>
  </si>
  <si>
    <t>OBJ-5</t>
  </si>
  <si>
    <t>Run entirely on a local Windows PC with no install, no server and no network.</t>
  </si>
  <si>
    <t>The HTML file opens by double-click in Edge and Chrome and works offline.</t>
  </si>
  <si>
    <t>Q-05</t>
  </si>
  <si>
    <t>In scope</t>
  </si>
  <si>
    <t>In scope for v1.0</t>
  </si>
  <si>
    <t>Single-file HTML application runnable from local disk on Windows.</t>
  </si>
  <si>
    <t>v0.1</t>
  </si>
  <si>
    <t>Import of all project and person data from ONE Excel workbook via a browser file picker or drag-and-drop.</t>
  </si>
  <si>
    <t>Editing imported data inside the application, with the edits carried into the export.</t>
  </si>
  <si>
    <t>REQ-IMP-07</t>
  </si>
  <si>
    <t>Export of the current working data back to .xlsx, so the workbook remains the archive of record.</t>
  </si>
  <si>
    <t>Monthly resource simulation in FTE per project and per person, default 24-month horizon, expandable to the latest project end date.</t>
  </si>
  <si>
    <t>Q-08, Q-11</t>
  </si>
  <si>
    <t>Three dashboard tabs: Overall, Source data (project), Source data (person).</t>
  </si>
  <si>
    <t>Tables plus graphs on the Overall tab.</t>
  </si>
  <si>
    <t>Over-allocation and under-allocation detection against the agreed FTE thresholds.</t>
  </si>
  <si>
    <t>Version control of plan, specification and application across the development lifecycle.</t>
  </si>
  <si>
    <t>Out of scope</t>
  </si>
  <si>
    <t>Excluded from v1.0</t>
  </si>
  <si>
    <t>Reason</t>
  </si>
  <si>
    <t>Multi-user concurrent editing, or any server / database component.</t>
  </si>
  <si>
    <t>Requirement is a local single-file HTML tool.</t>
  </si>
  <si>
    <t>Confirmed Q-12</t>
  </si>
  <si>
    <t>Authentication, user accounts, permissions.</t>
  </si>
  <si>
    <t>No server; the workbook carries whatever access control the file share provides.</t>
  </si>
  <si>
    <t>Automatic writing to the workbook on disk without user action.</t>
  </si>
  <si>
    <t>Browsers cannot do this from a file:// page - see 07_Architecture. Export is always a deliberate act.</t>
  </si>
  <si>
    <t>Cost, budget or salary calculation.</t>
  </si>
  <si>
    <t>Not raised. The data model leaves room to add it.</t>
  </si>
  <si>
    <t>Integration with an HR, CTMS or timesheet system.</t>
  </si>
  <si>
    <t>Not raised.</t>
  </si>
  <si>
    <t>Resource optimisation / automatic assignment suggestions.</t>
  </si>
  <si>
    <t>v1.0 reports and simulates; it does not decide.</t>
  </si>
  <si>
    <t>Working-day and holiday calendars.</t>
  </si>
  <si>
    <t>Q-02 confirmed calendar-day pro-rating. A working-day calendar is a later option.</t>
  </si>
  <si>
    <t>Confirmed Q-02</t>
  </si>
  <si>
    <t>Q-12 answer was 'Fine' - the v0.1 exclusions stand. Note that in-application editing has moved INTO scope via REQ-IMP-07; only automatic writing to disk without user action remains excluded.</t>
  </si>
  <si>
    <t>Users</t>
  </si>
  <si>
    <t>User</t>
  </si>
  <si>
    <t>Type</t>
  </si>
  <si>
    <t>What they do with the application</t>
  </si>
  <si>
    <t>Resource planner / manager</t>
  </si>
  <si>
    <t>Primary</t>
  </si>
  <si>
    <t>Loads the workbook, reviews monthly simulation, spots over- and under-allocation, tries timeline scenarios.</t>
  </si>
  <si>
    <t>Project lead</t>
  </si>
  <si>
    <t>Secondary</t>
  </si>
  <si>
    <t>Checks the resource profile of their own project and who is assigned in which role.</t>
  </si>
  <si>
    <t>Data maintainer</t>
  </si>
  <si>
    <t>Keeps the source workbook accurate; may be the same person as the planner.</t>
  </si>
  <si>
    <t>Requirement register</t>
  </si>
  <si>
    <t>The contract for Steps 2-5. Every specification section and every code module cites the REQ-IDs it satisfies.</t>
  </si>
  <si>
    <t>REQ-ID</t>
  </si>
  <si>
    <t>Category</t>
  </si>
  <si>
    <t>Requirement</t>
  </si>
  <si>
    <t>Priority</t>
  </si>
  <si>
    <t>Source</t>
  </si>
  <si>
    <t>Step</t>
  </si>
  <si>
    <t>REQ-OUT-01</t>
  </si>
  <si>
    <t>Output</t>
  </si>
  <si>
    <t>The application is a single HTML file that runs on a local Windows PC by double-click, with no install and no network access.</t>
  </si>
  <si>
    <t>Must</t>
  </si>
  <si>
    <t>4</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</si>
  <si>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</si>
  <si>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</si>
  <si>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</si>
  <si>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</si>
  <si>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</si>
  <si>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</si>
  <si>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</si>
  <si>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</si>
  <si>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1,2</t>
  </si>
  <si>
    <t>REQ-PRJ-01</t>
  </si>
  <si>
    <t>Project data</t>
  </si>
  <si>
    <t>Each project records a project type, restricted to 'Clinical Trial' or 'Others'.</t>
  </si>
  <si>
    <t>2</t>
  </si>
  <si>
    <t>REQ-PRJ-02</t>
  </si>
  <si>
    <t>Each project records a project category. Where type = 'Clinical Trial' the category is the product name; the field is optional for 'Others'.</t>
  </si>
  <si>
    <t>REQ-PRJ-03</t>
  </si>
  <si>
    <t>Each project records a project name, unique within the source workbook.</t>
  </si>
  <si>
    <t>REQ-PRJ-04</t>
  </si>
  <si>
    <t>Each project records its conditions: outsourcing type and the number of project members.</t>
  </si>
  <si>
    <t>REQ-PRJ-05</t>
  </si>
  <si>
    <t>Each project records a timeline: start date, major milestone dates, and total period.</t>
  </si>
  <si>
    <t>REQ-PRJ-06</t>
  </si>
  <si>
    <t>Each project carries a resource weight applicable to a defined period, so burden can differ across the project's phases.</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</si>
  <si>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</si>
  <si>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</si>
  <si>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</si>
  <si>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</si>
  <si>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</si>
  <si>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Derived</t>
  </si>
  <si>
    <t>REQ-PRJ-09</t>
  </si>
  <si>
    <t>A 'Clinical Trial' project records its clinical phase (phase 1 / 2 / 3 / 4).</t>
  </si>
  <si>
    <t>Reviewer v0.11</t>
  </si>
  <si>
    <t>REQ-PRJ-10</t>
  </si>
  <si>
    <t>A 'Clinical Trial' project records who performs each of EDC set-up, data-review-system set-up, RBQM set-up and DM conduct ('by CRO' / 'by SB').</t>
  </si>
  <si>
    <t>REQ-PRJ-11</t>
  </si>
  <si>
    <t>A 'Clinical Trial' project records the EDC system, data review system and RBQM system in use, from data-driven value lists.</t>
  </si>
  <si>
    <t>REQ-PSN-01</t>
  </si>
  <si>
    <t>Person data</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</si>
  <si>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</si>
  <si>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</si>
  <si>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</si>
  <si>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</si>
  <si>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</si>
  <si>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Q-03</t>
  </si>
  <si>
    <t>REQ-PSN-04</t>
  </si>
  <si>
    <t>Each assignment records the start date the person joins and the end date they leave that study.</t>
  </si>
  <si>
    <t>REQ-PSN-05</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</si>
  <si>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</si>
  <si>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</si>
  <si>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</si>
  <si>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</si>
  <si>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</si>
  <si>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</si>
  <si>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Calculation</t>
  </si>
  <si>
    <t>Resource is simulated on a monthly grid, default horizon 24 months, expandable to the latest project end date.</t>
  </si>
  <si>
    <t>Q-11</t>
  </si>
  <si>
    <t>REQ-CAL-02</t>
  </si>
  <si>
    <t>Monthly load for an assignment = project period weight x role factor x person weight x fraction of the month covered. There is no separate base allocation.</t>
  </si>
  <si>
    <t>2,4</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</si>
  <si>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</si>
  <si>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</si>
  <si>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</si>
  <si>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</si>
  <si>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</si>
  <si>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</si>
  <si>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Q-02</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</si>
  <si>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</si>
  <si>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</si>
  <si>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</si>
  <si>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under-allocated, with the run's start and length reported.</t>
  </si>
  <si>
    <t>REQ-CAL-08</t>
  </si>
  <si>
    <t>Load is expressed in FTE, where 1.00 FTE = 160 hours per month (8 h/day x 5 days/week x 20 days/month). Hours are shown alongside FTE where useful.</t>
  </si>
  <si>
    <t>REQ-CAL-09</t>
  </si>
  <si>
    <t>Project period weights are derived from the project's milestone dates, so a timeline change re-shapes the weight periods without re-typing them.</t>
  </si>
  <si>
    <t>Q-01, Q-04</t>
  </si>
  <si>
    <t>REQ-DSH-01</t>
  </si>
  <si>
    <t>Dashboard</t>
  </si>
  <si>
    <t>Tab 'Overall' shows monthly resource simulation per project and per person as tables.</t>
  </si>
  <si>
    <t>3,4</t>
  </si>
  <si>
    <t>REQ-DSH-02</t>
  </si>
  <si>
    <t>Tab 'Overall' shows appropriate graphs of the same simulation.</t>
  </si>
  <si>
    <t>REQ-DSH-03</t>
  </si>
  <si>
    <t>Tab 'Source data (project)' shows project information as a table.</t>
  </si>
  <si>
    <t>REQ-DSH-04</t>
  </si>
  <si>
    <t>Tab 'Source data (person)' shows person information as a table.</t>
  </si>
  <si>
    <t>REQ-DSH-05</t>
  </si>
  <si>
    <t>Tables can be filtered by date horizon, project type, project, person and role.</t>
  </si>
  <si>
    <t>REQ-DSH-06</t>
  </si>
  <si>
    <t>Any table on screen can be exported to Excel.</t>
  </si>
  <si>
    <t>REQ-DSH-07</t>
  </si>
  <si>
    <t>The horizon control offers 24 months by default and a one-click expansion to cover the latest project end date across all projects.</t>
  </si>
  <si>
    <t>REQ-DSH-08</t>
  </si>
  <si>
    <t>Over-allocated and under-allocated person-months are distinguishable at a glance, and both are counted in the summary tiles.</t>
  </si>
  <si>
    <t>REQ-IMP-01</t>
  </si>
  <si>
    <t>Import/Export</t>
  </si>
  <si>
    <t>The user loads the source workbook through a file picker or drag-and-drop, chosen because a local HTML page cannot open a file from disk unaided.</t>
  </si>
  <si>
    <t>Decision D-01</t>
  </si>
  <si>
    <t>REQ-IMP-02</t>
  </si>
  <si>
    <t>Loading validates the workbook and reports every problem found - missing sheet, missing column, bad date, unknown project reference - without stopping at the first one.</t>
  </si>
  <si>
    <t>REQ-IMP-03</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</si>
  <si>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</si>
  <si>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</si>
  <si>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</si>
  <si>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</si>
  <si>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</si>
  <si>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</si>
  <si>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</si>
  <si>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</si>
  <si>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After import, the application lets the user update the data on screen, and those updates are carried into the file produced on export.</t>
  </si>
  <si>
    <t>REQ-IMP-08</t>
  </si>
  <si>
    <t>Unsaved edits are visible as such, and the user is warned before any action that would discard them (closing the page, loading another file).</t>
  </si>
  <si>
    <t>Derived from REQ-IMP-07</t>
  </si>
  <si>
    <t>REQ-IMP-09</t>
  </si>
  <si>
    <t>An on-screen edit is re-validated against the same rules as an imported value, so editing cannot introduce data the import would have rejected.</t>
  </si>
  <si>
    <t>REQ-VC-01</t>
  </si>
  <si>
    <t>Version control</t>
  </si>
  <si>
    <t>Development plan, programming specification and output files are version-controlled together and their versions are cross-referenced.</t>
  </si>
  <si>
    <t>1-5</t>
  </si>
  <si>
    <t>REQ-VC-02</t>
  </si>
  <si>
    <t>The application displays its own version, and the version of the source data schema it expects.</t>
  </si>
  <si>
    <t>REQ-VC-03</t>
  </si>
  <si>
    <t>Loading a source file whose schema version is newer or older than the application expects produces a clear warning.</t>
  </si>
  <si>
    <t>REQ-VC-04</t>
  </si>
  <si>
    <t>Every document re-issue adds a version-history row stating what changed and why.</t>
  </si>
  <si>
    <t>REQ-NFR-01</t>
  </si>
  <si>
    <t>Non-functional</t>
  </si>
  <si>
    <t>The application is built so later requirements can be added without restructuring: parsing, calculation and presentation are separated.</t>
  </si>
  <si>
    <t>REQ-NFR-02</t>
  </si>
  <si>
    <t>Works in Microsoft Edge and Google Chrome on Windows 10/11, offline.</t>
  </si>
  <si>
    <t>REQ-NFR-03</t>
  </si>
  <si>
    <t>Handles the working data volume - 20 projects, 30 people - with headroom to 50 projects, 100 people, 500 assignments and a 60-month horizon, redrawing in under about 1 second.</t>
  </si>
  <si>
    <t>Q-06</t>
  </si>
  <si>
    <t>REQ-NFR-04</t>
  </si>
  <si>
    <t>No data leaves the PC: no network calls, no external CDN, no telemetry.</t>
  </si>
  <si>
    <t>REQ-NFR-05</t>
  </si>
  <si>
    <t>Dates are handled unambiguously (ISO yyyy-mm-dd internally) regardless of Windows regional settings.</t>
  </si>
  <si>
    <t>Requirement count by priority</t>
  </si>
  <si>
    <t>Count</t>
  </si>
  <si>
    <t>Total</t>
  </si>
  <si>
    <t>v0.1 held 47 requirements. v0.2 adds 12 and rewords 10.</t>
  </si>
  <si>
    <t>'Source' = Requester (in the original request), a Q-number (answered at v0.11 review), 'Reviewer v0.11' (added by the reviewer directly), Derived (engineering consequence), or a Decision ID from 07_Architecture.</t>
  </si>
  <si>
    <t>Data model - source Excel structure</t>
  </si>
  <si>
    <t>ONE workbook, PRAP_SourceData.xlsx, with the sheets below (changed at Q-09). This is the schema Step 2 will fix and the code will parse.</t>
  </si>
  <si>
    <t>Sheets in PRAP_SourceData.xlsx</t>
  </si>
  <si>
    <t>Purpose</t>
  </si>
  <si>
    <t>Kind</t>
  </si>
  <si>
    <t>Project</t>
  </si>
  <si>
    <t>One row per project.</t>
  </si>
  <si>
    <t>Master</t>
  </si>
  <si>
    <t>Milestone</t>
  </si>
  <si>
    <t>One row per project milestone.</t>
  </si>
  <si>
    <t>Child of Project</t>
  </si>
  <si>
    <t>ProjectPeriod</t>
  </si>
  <si>
    <t>The four standard periods per project, with their start/end and weight.</t>
  </si>
  <si>
    <t>PeriodWeightStandard</t>
  </si>
  <si>
    <t>Default weight per project category x period. Seeds ProjectPeriod.</t>
  </si>
  <si>
    <t>Reference</t>
  </si>
  <si>
    <t>RoleFactor</t>
  </si>
  <si>
    <t>Role list and burden factor, per project type.</t>
  </si>
  <si>
    <t>Person</t>
  </si>
  <si>
    <t>One row per person.</t>
  </si>
  <si>
    <t>Assignment</t>
  </si>
  <si>
    <t>One row per person + project + role.</t>
  </si>
  <si>
    <t>Link</t>
  </si>
  <si>
    <t>PersonPeriodWeight</t>
  </si>
  <si>
    <t>Optional time-varying override of the person weight.</t>
  </si>
  <si>
    <t>Child of Assignment</t>
  </si>
  <si>
    <t>Lists</t>
  </si>
  <si>
    <t>Value lists for every data-driven dropdown, so lists change without code.</t>
  </si>
  <si>
    <t>Config</t>
  </si>
  <si>
    <t>Parameters: schema version, thresholds, horizon, FTE hours.</t>
  </si>
  <si>
    <t>Sheet: Project</t>
  </si>
  <si>
    <t>Column</t>
  </si>
  <si>
    <t>Required</t>
  </si>
  <si>
    <t>Definition / rule</t>
  </si>
  <si>
    <t>project_id</t>
  </si>
  <si>
    <t>Text</t>
  </si>
  <si>
    <t>Yes</t>
  </si>
  <si>
    <t>Unique key, e.g. PRJ-001. Referenced by every other sheet.</t>
  </si>
  <si>
    <t>project_name</t>
  </si>
  <si>
    <t>Unique display name.</t>
  </si>
  <si>
    <t>project_type</t>
  </si>
  <si>
    <t>List</t>
  </si>
  <si>
    <t>'Clinical Trial' or 'Others'.</t>
  </si>
  <si>
    <t>project_category</t>
  </si>
  <si>
    <t>Conditional</t>
  </si>
  <si>
    <t>Product name. Required when project_type = 'Clinical Trial'.</t>
  </si>
  <si>
    <t>clinical_phase</t>
  </si>
  <si>
    <t>'Phase 1' / 'Phase 2' / 'Phase 3' / 'Phase 4'. Required when project_type = 'Clinical Trial'.</t>
  </si>
  <si>
    <t>outsourcing_type</t>
  </si>
  <si>
    <t>From the Lists sheet. See Q-13 - the v0.11 list repeated 'Partial outsourcing' twice and needs correcting.</t>
  </si>
  <si>
    <t>Who sets up the EDC system. 'by CRO' / 'by SB'. Required when project_type = 'Clinical Trial'.</t>
  </si>
  <si>
    <t>DataReviewSystem_setup</t>
  </si>
  <si>
    <t>Who sets up the data review system. 'by CRO' / 'by SB'.</t>
  </si>
  <si>
    <t>RBQM_setup</t>
  </si>
  <si>
    <t>Who sets up the RBQM system. 'by CRO' / 'by SB'.</t>
  </si>
  <si>
    <t>DM_conduct</t>
  </si>
  <si>
    <t>Who reviews the clinical trial data. 'by CRO' / 'by SB'.</t>
  </si>
  <si>
    <t>EDC_system</t>
  </si>
  <si>
    <t>EDC system name, e.g. 'Veeva EDC' / 'Rave' / 'eSOURCE'. Data-driven list.</t>
  </si>
  <si>
    <t>DataReviewSystem</t>
  </si>
  <si>
    <t>e.g. 'Veeva DQS' / 'Medidata CDS' / 'No system (manual)'. Data-driven list.</t>
  </si>
  <si>
    <t>RBQM_system</t>
  </si>
  <si>
    <t>e.g. 'CluePoints' / 'Medidata CDS' / 'No system (manual)'. Data-driven list.</t>
  </si>
  <si>
    <t>planned_member_count</t>
  </si>
  <si>
    <t>Integer</t>
  </si>
  <si>
    <t>No</t>
  </si>
  <si>
    <t>Planned number of project members; compared against actual assignments.</t>
  </si>
  <si>
    <t>start_date</t>
  </si>
  <si>
    <t>Project start.</t>
  </si>
  <si>
    <t>end_date</t>
  </si>
  <si>
    <t>Planned project end.</t>
  </si>
  <si>
    <t>total_period_months</t>
  </si>
  <si>
    <t>Calculated from start_date and end_date; not entered by hand.</t>
  </si>
  <si>
    <t>status</t>
  </si>
  <si>
    <t>Planned / Active / On hold / Completed. Drives default dashboard filtering.</t>
  </si>
  <si>
    <t>note_1 .. note_5</t>
  </si>
  <si>
    <t>Free extension columns.</t>
  </si>
  <si>
    <t>system_prepared_by</t>
  </si>
  <si>
    <t>RETIRED. Superseded by the four *_setup columns above, which say the same thing more precisely. See Q-14 before it is removed for good.</t>
  </si>
  <si>
    <t>Sheet: Milestone</t>
  </si>
  <si>
    <t>Foreign key to Project.</t>
  </si>
  <si>
    <t>Display convenience added at v0.11. Not authoritative: checked against Project on import and refreshed from it, so a mismatch cannot corrupt the link.</t>
  </si>
  <si>
    <t>milestone_name</t>
  </si>
  <si>
    <t>Standard list from Q-07: 'CTA submission', 'FPI', 'LPI', 'DB lock cut-off', 'DB lock'. The v0.11 mark-up also cited LPO, LPLV, interim/final DB Lock and CSR - see Q-15. Held in Lists, not fixed in code.</t>
  </si>
  <si>
    <t>milestone_date</t>
  </si>
  <si>
    <t>Planned date.</t>
  </si>
  <si>
    <t>milestone_seq</t>
  </si>
  <si>
    <t>Display order on the timeline.</t>
  </si>
  <si>
    <t>Sheet: ProjectPeriod  [was ProjectPeriodWeight]</t>
  </si>
  <si>
    <t>period_name</t>
  </si>
  <si>
    <t>The four standard periods from Q-04: 'Before-Start-up', 'Start-up', 'Conduct', 'Close-out'.</t>
  </si>
  <si>
    <t>period_start</t>
  </si>
  <si>
    <t>Inclusive. Derived from milestone dates by default - see the derivation table below - and editable.</t>
  </si>
  <si>
    <t>period_end</t>
  </si>
  <si>
    <t>Inclusive. Periods for one project must not overlap and should leave no gap.</t>
  </si>
  <si>
    <t>weight</t>
  </si>
  <si>
    <t>Decimal</t>
  </si>
  <si>
    <t>Effort multiplier for this period. Seeded from PeriodWeightStandard by the project's category, then editable per project.</t>
  </si>
  <si>
    <t>Proposed derivation of period boundaries from milestones (REQ-CAL-09). Confirm at Q-16.</t>
  </si>
  <si>
    <t>Period</t>
  </si>
  <si>
    <t>Starts</t>
  </si>
  <si>
    <t>Ends</t>
  </si>
  <si>
    <t>Before-Start-up</t>
  </si>
  <si>
    <t>project start_date</t>
  </si>
  <si>
    <t>day before CTA submission</t>
  </si>
  <si>
    <t>Start-up</t>
  </si>
  <si>
    <t>CTA submission</t>
  </si>
  <si>
    <t>day before FPI</t>
  </si>
  <si>
    <t>Conduct</t>
  </si>
  <si>
    <t>FPI</t>
  </si>
  <si>
    <t>day before DB lock cut-off</t>
  </si>
  <si>
    <t>Close-out</t>
  </si>
  <si>
    <t>DB lock cut-off</t>
  </si>
  <si>
    <t>DB lock (or project end_date if later)</t>
  </si>
  <si>
    <t>LPI falls inside Conduct as a marker under this mapping. If a project is missing a milestone, that boundary falls back to the neighbouring period and the gap is reported as a warning, not an error.</t>
  </si>
  <si>
    <t>Sheet: PeriodWeightStandard   [new]</t>
  </si>
  <si>
    <t>The category the standard applies to. Use '*' for a catch-all default.</t>
  </si>
  <si>
    <t>One of the four standard periods.</t>
  </si>
  <si>
    <t>Q-04</t>
  </si>
  <si>
    <t>Default multiplier for that category in that period. Values still to be supplied - see Q-17.</t>
  </si>
  <si>
    <t>Exists because Q-01 said project weight is given by the category of the project and is the same for everyone on that project in that period. Keeping the standard in one place stops the same number being re-typed per project - and re-typed inconsistently.</t>
  </si>
  <si>
    <t>Sheet: RoleFactor</t>
  </si>
  <si>
    <t>'Clinical Trial' or 'Others'. Roles differ by type, so the same role name cannot leak across types.</t>
  </si>
  <si>
    <t>role_name</t>
  </si>
  <si>
    <t>Clinical Trial: 'Project oversight', 'Lead data manager', 'Clinical Data Associator', 'Clinical Database Programmer', 'Data Analyst'. Others: 'Project lead', 'Main staff', 'Other staff'.</t>
  </si>
  <si>
    <t>role_factor</t>
  </si>
  <si>
    <t>Relative burden of the role, the same for everyone holding it. Values still to be supplied - see Q-17.</t>
  </si>
  <si>
    <t>role_note</t>
  </si>
  <si>
    <t>Basis for the factor.</t>
  </si>
  <si>
    <t>Sheet: Person</t>
  </si>
  <si>
    <t>person_id</t>
  </si>
  <si>
    <t>Unique key, e.g. PSN-001.</t>
  </si>
  <si>
    <t>person_name</t>
  </si>
  <si>
    <t>Display name.</t>
  </si>
  <si>
    <t>department</t>
  </si>
  <si>
    <t>Grouping for the dashboard.</t>
  </si>
  <si>
    <t>primary_role</t>
  </si>
  <si>
    <t>Usual role; an assignment can override it.</t>
  </si>
  <si>
    <t>capacity_fte</t>
  </si>
  <si>
    <t>Available capacity in FTE, default 1.00 (= 160 h/month). Lower it for a part-timer.</t>
  </si>
  <si>
    <t>employment_start / employment_end</t>
  </si>
  <si>
    <t>Bounds availability; blank end = open.</t>
  </si>
  <si>
    <t>Sheet: Assignment</t>
  </si>
  <si>
    <t>assignment_id</t>
  </si>
  <si>
    <t>Unique key. One row per person + project + role.</t>
  </si>
  <si>
    <t>Foreign key to Person.</t>
  </si>
  <si>
    <t>Foreign key to RoleFactor, matched on (project's type, role_name). Several rows = several roles on one project.</t>
  </si>
  <si>
    <t>assign_start_date</t>
  </si>
  <si>
    <t>Date the person joins the study.</t>
  </si>
  <si>
    <t>assign_end_date</t>
  </si>
  <si>
    <t>Date the person leaves the study. Blank = runs to project end.</t>
  </si>
  <si>
    <t>person_weight</t>
  </si>
  <si>
    <t>RENAMED from base_allocation. How much this person works on this project, e.g. 0.40. Q-01 folded the two former fields into this one.</t>
  </si>
  <si>
    <t>note_1 .. note_3</t>
  </si>
  <si>
    <t>Sheet: PersonPeriodWeight</t>
  </si>
  <si>
    <t>Foreign key to Assignment.</t>
  </si>
  <si>
    <t>Inclusive.</t>
  </si>
  <si>
    <t>Inclusive. Periods within one assignment must not overlap.</t>
  </si>
  <si>
    <t>weight_override</t>
  </si>
  <si>
    <t>REPLACES person_weight for months inside this window - it no longer multiplies it. Where no row covers a month, person_weight applies unchanged.</t>
  </si>
  <si>
    <t>reason</t>
  </si>
  <si>
    <t>Why the weight differs, e.g. 'part-time', 'covering start-up peak'.</t>
  </si>
  <si>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</si>
  <si>
    <t>Sheet: Config</t>
  </si>
  <si>
    <t>parameter</t>
  </si>
  <si>
    <t>Meaning</t>
  </si>
  <si>
    <t>Default value</t>
  </si>
  <si>
    <t>schema_version</t>
  </si>
  <si>
    <t>Version of this workbook structure; checked on import.</t>
  </si>
  <si>
    <t>1</t>
  </si>
  <si>
    <t>fte_hours_per_month</t>
  </si>
  <si>
    <t>Hours equal to 1.00 FTE.</t>
  </si>
  <si>
    <t>160</t>
  </si>
  <si>
    <t>over_allocation_fte</t>
  </si>
  <si>
    <t>Person-month total above this is over-allocated.</t>
  </si>
  <si>
    <t>1.50</t>
  </si>
  <si>
    <t>under_allocation_fte</t>
  </si>
  <si>
    <t>Person-month total below this counts toward an under-allocated run.</t>
  </si>
  <si>
    <t>0.80</t>
  </si>
  <si>
    <t>under_allocation_min_months</t>
  </si>
  <si>
    <t>Consecutive months below the threshold before flagging.</t>
  </si>
  <si>
    <t>3</t>
  </si>
  <si>
    <t>default_horizon_months</t>
  </si>
  <si>
    <t>Months shown on opening.</t>
  </si>
  <si>
    <t>24</t>
  </si>
  <si>
    <t>capacity_unit</t>
  </si>
  <si>
    <t>Display unit: 'FTE' or 'percent'.</t>
  </si>
  <si>
    <t>FTE</t>
  </si>
  <si>
    <t>Sheet: Lists   [new]</t>
  </si>
  <si>
    <t>Two columns - list_name, value - holding every data-driven dropdown: outsourcing_type, clinical_phase,</t>
  </si>
  <si>
    <t>milestone_name, period_name, EDC_system, DataReviewSystem, RBQM_system, setup_party, project_status.</t>
  </si>
  <si>
    <t>Adding a permitted value is a data edit, never a code change (REQ-CAL-06).</t>
  </si>
  <si>
    <t>Referential rules checked on import</t>
  </si>
  <si>
    <t>Rule</t>
  </si>
  <si>
    <t>On failure</t>
  </si>
  <si>
    <t>V-01</t>
  </si>
  <si>
    <t>Every Assignment.project_id exists in Project.</t>
  </si>
  <si>
    <t>Error - row rejected, reported with its row number.</t>
  </si>
  <si>
    <t>V-02</t>
  </si>
  <si>
    <t>Every Assignment.person_id exists in Person.</t>
  </si>
  <si>
    <t>Error - row rejected.</t>
  </si>
  <si>
    <t>V-03</t>
  </si>
  <si>
    <t>Every Assignment.role_name exists in RoleFactor FOR THAT PROJECT'S TYPE.</t>
  </si>
  <si>
    <t>Error - row rejected. Was a warning in v0.1; roles are now type-specific, so a mismatch is a real error.</t>
  </si>
  <si>
    <t>V-04</t>
  </si>
  <si>
    <t>project_category is present when project_type = 'Clinical Trial'.</t>
  </si>
  <si>
    <t>Warning - shown as blank in the dashboard.</t>
  </si>
  <si>
    <t>V-05</t>
  </si>
  <si>
    <t>end_date is on or after start_date, for projects, assignments and all weight periods.</t>
  </si>
  <si>
    <t>V-06</t>
  </si>
  <si>
    <t>Periods within one project, and within one assignment, do not overlap.</t>
  </si>
  <si>
    <t>Error - overlapping pair reported.</t>
  </si>
  <si>
    <t>V-07</t>
  </si>
  <si>
    <t>Assignment dates fall inside the project's own start and end dates.</t>
  </si>
  <si>
    <t>Warning - kept, but listed for review.</t>
  </si>
  <si>
    <t>V-08</t>
  </si>
  <si>
    <t>project_id, person_id and assignment_id are unique in their sheet.</t>
  </si>
  <si>
    <t>Error - duplicate rejected.</t>
  </si>
  <si>
    <t>V-09</t>
  </si>
  <si>
    <t>schema_version in Config matches the version the application expects.</t>
  </si>
  <si>
    <t>Warning - proceeds, banner shown.</t>
  </si>
  <si>
    <t>V-10</t>
  </si>
  <si>
    <t>Clinical-trial projects carry clinical_phase and the four *_setup values.</t>
  </si>
  <si>
    <t>Warning - the project still simulates; the gap is listed.</t>
  </si>
  <si>
    <t>V-11</t>
  </si>
  <si>
    <t>Every list-typed value appears in the Lists sheet for its list.</t>
  </si>
  <si>
    <t>Warning - value kept, reported as unrecognised.</t>
  </si>
  <si>
    <t>V-12</t>
  </si>
  <si>
    <t>The four standard periods exist for every project and leave no gap in its timeline.</t>
  </si>
  <si>
    <t>Warning - months with no period use weight 1.00 and are listed.</t>
  </si>
  <si>
    <t>V-13</t>
  </si>
  <si>
    <t>Denormalised project_name / person_name match their master row.</t>
  </si>
  <si>
    <t>Warning - the master value wins and the copy is refreshed.</t>
  </si>
  <si>
    <t>V-14</t>
  </si>
  <si>
    <t>A milestone date falls inside its project's start..end window, and the standard milestones appear in chronological order.</t>
  </si>
  <si>
    <t>Warning - listed, since period derivation depends on it.</t>
  </si>
  <si>
    <t>Import never stops at the first problem: it collects every finding and presents one report (REQ-IMP-02). Under REQ-IMP-09 the same rules run again on any value edited on screen.</t>
  </si>
  <si>
    <t>Resource calculation logic</t>
  </si>
  <si>
    <t>Rewritten at v0.2 from the Q-01, Q-02 and Q-08 answers. Step 2 will fix this as pseudocode plus the worked example as an acceptance test.</t>
  </si>
  <si>
    <t>Monthly load for one assignment, in one month</t>
  </si>
  <si>
    <t xml:space="preserve">    load(assignment, month) = project_period_weight(project, month)</t>
  </si>
  <si>
    <t xml:space="preserve">                            x role_factor(project_type, role)</t>
  </si>
  <si>
    <t xml:space="preserve">                            x person_weight(assignment, month)</t>
  </si>
  <si>
    <t xml:space="preserve">                            x coverage(assignment, month)</t>
  </si>
  <si>
    <t>The result is FTE, where 1.00 FTE = 160 hours per month (8 h/day x 5 days/week x 20 days/month).</t>
  </si>
  <si>
    <t>project_period_weight  is set by the project's category for the milestone period the month falls in.</t>
  </si>
  <si>
    <t xml:space="preserve">                       It is identical for everyone assigned to that project in that period.</t>
  </si>
  <si>
    <t>role_factor            is the standard burden of the role, identical for everyone holding it.</t>
  </si>
  <si>
    <t xml:space="preserve">                       Roles are drawn from the list valid for the project's type.</t>
  </si>
  <si>
    <t>person_weight          is how much this person works on this project, given per assignment;</t>
  </si>
  <si>
    <t xml:space="preserve">                       a PersonPeriodWeight row replaces it for the months it covers.</t>
  </si>
  <si>
    <t>coverage               = calendar days worked in the month / calendar days in the month.</t>
  </si>
  <si>
    <t xml:space="preserve">                       1.00 for a full month, a fraction in the joining and leaving months.</t>
  </si>
  <si>
    <t>Changed from v0.1: base_allocation is gone. Q-01 named three factors, and base_allocation was a fourth that would have silently scaled all of them. person_weight now carries that meaning alone.</t>
  </si>
  <si>
    <t>Aggregation</t>
  </si>
  <si>
    <t>How it is computed</t>
  </si>
  <si>
    <t>Where it appears</t>
  </si>
  <si>
    <t>Per project, per month</t>
  </si>
  <si>
    <t>Sum of load over every assignment on that project.</t>
  </si>
  <si>
    <t>Overall tab, project table + stacked graph</t>
  </si>
  <si>
    <t>Per person, per month</t>
  </si>
  <si>
    <t>Sum of load over every assignment that person holds, across all projects.</t>
  </si>
  <si>
    <t>Overall tab, person table + graph</t>
  </si>
  <si>
    <t>Per person, per project, per month</t>
  </si>
  <si>
    <t>The individual load value.</t>
  </si>
  <si>
    <t>Drill-down when a person row is expanded</t>
  </si>
  <si>
    <t>Over-allocation flag</t>
  </si>
  <si>
    <t>Person-month total &gt; over_allocation_fte (1.50).</t>
  </si>
  <si>
    <t>Red cell + count in summary tiles</t>
  </si>
  <si>
    <t>Under-allocation run</t>
  </si>
  <si>
    <t>Person-month total &lt; under_allocation_fte (0.80) for &gt;= under_allocation_min_months (3) consecutive months. Reported as a run with its start month and length.</t>
  </si>
  <si>
    <t>Amber cells across the run + count in summary tiles</t>
  </si>
  <si>
    <t>Hours view</t>
  </si>
  <si>
    <t>load x fte_hours_per_month.</t>
  </si>
  <si>
    <t>Alternative display unit</t>
  </si>
  <si>
    <t>Head-count per project, per month</t>
  </si>
  <si>
    <t>Count of assignments with load &gt; 0 that month.</t>
  </si>
  <si>
    <t>Compared against planned_member_count</t>
  </si>
  <si>
    <t>Under-allocation needs a rolling window, not a per-month test: a single quiet month is normal, three in a row is a signal. A run is reported once, at its start, rather than as three separate flags.</t>
  </si>
  <si>
    <t>Worked example - the acceptance test for the calculation engine</t>
  </si>
  <si>
    <t>Element</t>
  </si>
  <si>
    <t>Value</t>
  </si>
  <si>
    <t>Note</t>
  </si>
  <si>
    <t>PSN-001 on PRJ-001 (Clinical Trial), role = Lead data manager</t>
  </si>
  <si>
    <t>0.40</t>
  </si>
  <si>
    <t>How much this person works on this project</t>
  </si>
  <si>
    <t>Assignment window</t>
  </si>
  <si>
    <t>2026-03-10 to 2026-12-31</t>
  </si>
  <si>
    <t>Joins part-way through March</t>
  </si>
  <si>
    <t>Project periods</t>
  </si>
  <si>
    <t>Start-up 2026-01-01..2026-06-30 weight 1.50; Conduct from 2026-07-01 weight 1.00</t>
  </si>
  <si>
    <t>Seeded from the project's category</t>
  </si>
  <si>
    <t>1.20 for Lead data manager</t>
  </si>
  <si>
    <t>Illustrative - real values still needed (Q-17)</t>
  </si>
  <si>
    <t>Coverage, March 2026</t>
  </si>
  <si>
    <t>22 / 31 = 0.7097</t>
  </si>
  <si>
    <t>10 Mar to 31 Mar inclusive = 22 days</t>
  </si>
  <si>
    <t>Load, March 2026</t>
  </si>
  <si>
    <t>1.50 x 1.20 x 0.40 x 0.7097 = 0.511 FTE</t>
  </si>
  <si>
    <t>81.8 hours</t>
  </si>
  <si>
    <t>Load, April 2026</t>
  </si>
  <si>
    <t>1.50 x 1.20 x 0.40 x 1.0000 = 0.720 FTE</t>
  </si>
  <si>
    <t>115.2 hours. Full month inside Start-up</t>
  </si>
  <si>
    <t>Load, July 2026</t>
  </si>
  <si>
    <t>1.00 x 1.20 x 0.40 x 1.0000 = 0.480 FTE</t>
  </si>
  <si>
    <t>76.8 hours. Conduct weight applies</t>
  </si>
  <si>
    <t>Over-allocated?</t>
  </si>
  <si>
    <t>No - 0.720 is below the 1.50 threshold</t>
  </si>
  <si>
    <t>This person would need other assignments to breach it</t>
  </si>
  <si>
    <t>Under-allocated?</t>
  </si>
  <si>
    <t>Only if their total across ALL projects stays below 0.80 for 3 months running</t>
  </si>
  <si>
    <t>Judged on the person total, never on one assignment</t>
  </si>
  <si>
    <t>Please confirm these numbers at Step 2. The role_factor of 1.20 is a placeholder: the arithmetic is the thing being agreed, not that particular value.</t>
  </si>
  <si>
    <t>Design decisions inside the calculation</t>
  </si>
  <si>
    <t>Decision</t>
  </si>
  <si>
    <t>Rationale</t>
  </si>
  <si>
    <t>C-01</t>
  </si>
  <si>
    <t>Weights multiply rather than add.</t>
  </si>
  <si>
    <t>Confirmed at Q-01: project weight x role factor x person weight.</t>
  </si>
  <si>
    <t>CONFIRMED</t>
  </si>
  <si>
    <t>C-02</t>
  </si>
  <si>
    <t>Partial months are pro-rated by calendar days.</t>
  </si>
  <si>
    <t>Confirmed at Q-02: work is expected in proportion to calendar days from the joined date to the end date.</t>
  </si>
  <si>
    <t>C-03</t>
  </si>
  <si>
    <t>A missing PersonPeriodWeight row means person_weight applies unchanged.</t>
  </si>
  <si>
    <t>Follows from the override semantics. No row is the normal case, not an exception.</t>
  </si>
  <si>
    <t>C-04</t>
  </si>
  <si>
    <t>Capacity is FTE. 1.00 FTE = 160 h/month.</t>
  </si>
  <si>
    <t>Confirmed at Q-08. Note the flag is NOT at 1.00 - over-allocation begins above 1.50.</t>
  </si>
  <si>
    <t>C-05</t>
  </si>
  <si>
    <t>The unit shown on screen is FTE, with hours available.</t>
  </si>
  <si>
    <t>Q-08 was expressed in FTE and hours, so FTE is now the default rather than percent.</t>
  </si>
  <si>
    <t>C-06</t>
  </si>
  <si>
    <t>Over- and under-allocation are judged on the person's total across all projects.</t>
  </si>
  <si>
    <t>The question 'is this person over-committed' is only meaningful across their whole workload.</t>
  </si>
  <si>
    <t>Confirm</t>
  </si>
  <si>
    <t>C-07</t>
  </si>
  <si>
    <t>Period weights are seeded from the category standard, then editable per project.</t>
  </si>
  <si>
    <t>Q-01 ties weight to category; real projects still deviate. Seeding keeps them consistent without freezing them.</t>
  </si>
  <si>
    <t>C-08</t>
  </si>
  <si>
    <t>A month is attributed to the period containing its first day.</t>
  </si>
  <si>
    <t>Avoids splitting a month across two weights. Simpler to explain and to check by hand.</t>
  </si>
  <si>
    <t>Dashboard design</t>
  </si>
  <si>
    <t>Three tabs as specified. Detailed layout is fixed at the Step 3 UI review.</t>
  </si>
  <si>
    <t>Tab 1 - Overall</t>
  </si>
  <si>
    <t>Component</t>
  </si>
  <si>
    <t>Content</t>
  </si>
  <si>
    <t>Control bar</t>
  </si>
  <si>
    <t>Horizon (default 24 months, one click to expand to the latest project end date), project type, project, person, role, department. Plus 'Load workbook', 'Export', unit toggle FTE/hours, and the loaded-file name and time.</t>
  </si>
  <si>
    <t>REQ-DSH-05, REQ-DSH-07</t>
  </si>
  <si>
    <t>Table A - resource by project</t>
  </si>
  <si>
    <t>Rows = project, columns = months, cells = monthly FTE. Row and column totals. Expanding a project reveals its assigned people.</t>
  </si>
  <si>
    <t>Table B - resource by person</t>
  </si>
  <si>
    <t>Rows = person, columns = months, cells = FTE summed across projects. Over-allocated cells red, under-allocated runs amber. Expanding a person reveals their projects.</t>
  </si>
  <si>
    <t>REQ-DSH-01, REQ-DSH-08</t>
  </si>
  <si>
    <t>Graph 1 - stacked area or bar, by project</t>
  </si>
  <si>
    <t>Total monthly demand, one band per project. Shows how demand builds and where the peaks land.</t>
  </si>
  <si>
    <t>Graph 2 - grouped bar, by person</t>
  </si>
  <si>
    <t>Monthly FTE per person with reference lines at 1.50 and 0.80, so both thresholds are visible.</t>
  </si>
  <si>
    <t>REQ-DSH-02, REQ-DSH-08</t>
  </si>
  <si>
    <t>Graph 3 - project timeline (Gantt-style)</t>
  </si>
  <si>
    <t>One bar per project across the horizon, with milestone markers and period-weight shading.</t>
  </si>
  <si>
    <t>REQ-DSH-02, REQ-PRJ-05</t>
  </si>
  <si>
    <t>Summary tiles</t>
  </si>
  <si>
    <t>Active projects, people assigned, total FTE in the horizon, over-allocated person-months, under-allocated runs.</t>
  </si>
  <si>
    <t>Tab 2 - Source data (project)</t>
  </si>
  <si>
    <t>Project table</t>
  </si>
  <si>
    <t>Every Project column from sheet 04, sortable and filterable, with derived total period. Editable under REQ-IMP-07.</t>
  </si>
  <si>
    <t>Milestone sub-table</t>
  </si>
  <si>
    <t>Milestones of the selected project, in sequence.</t>
  </si>
  <si>
    <t>Period sub-table</t>
  </si>
  <si>
    <t>The selected project's four periods, their derived dates and their weights.</t>
  </si>
  <si>
    <t>Export</t>
  </si>
  <si>
    <t>Export the visible table to .xlsx.</t>
  </si>
  <si>
    <t>Tab 3 - Source data (person)</t>
  </si>
  <si>
    <t>Person table</t>
  </si>
  <si>
    <t>Every Person column from sheet 04, sortable and filterable. Editable under REQ-IMP-07.</t>
  </si>
  <si>
    <t>Assignment sub-table</t>
  </si>
  <si>
    <t>The selected person's assignments: project, role, start, end, person weight.</t>
  </si>
  <si>
    <t>REQ-PSN-02, REQ-PSN-03</t>
  </si>
  <si>
    <t>Person period weight sub-table</t>
  </si>
  <si>
    <t>Override periods for the selected assignment.</t>
  </si>
  <si>
    <t>Editing rules   [new at v0.2, from REQ-IMP-07]</t>
  </si>
  <si>
    <t>The v0.1 rule 'nothing on screen is editable' is withdrawn. Imported data can be edited in the application.</t>
  </si>
  <si>
    <t>An edited cell is marked as changed, and a running count of unsaved edits is always visible.</t>
  </si>
  <si>
    <t>Closing the page or loading another workbook while edits are unsaved raises a warning first.</t>
  </si>
  <si>
    <t>An edited value is validated exactly as an imported one would be; a rejected edit is refused at the point of entry, not at export.</t>
  </si>
  <si>
    <t>Export writes the edited data in the template layout, so the exported file can be re-imported unchanged.</t>
  </si>
  <si>
    <t>REQ-IMP-04, REQ-IMP-07</t>
  </si>
  <si>
    <t>The application never writes to the workbook on disk by itself - export is always a deliberate act.</t>
  </si>
  <si>
    <t>Out of scope, sheet 02</t>
  </si>
  <si>
    <t>Cross-cutting UI rules</t>
  </si>
  <si>
    <t>A validation banner appears whenever the last import produced findings, and opens the full report on click.</t>
  </si>
  <si>
    <t>Empty state: with nothing loaded, every tab shows the same clear 'Load your source workbook' panel and a link to download the blank template.</t>
  </si>
  <si>
    <t>The application version and expected schema version are shown in the footer at all times (REQ-VC-02).</t>
  </si>
  <si>
    <t>Architecture and technical approach</t>
  </si>
  <si>
    <t>Decision D-01 - how the HTML file reads the Excel data  [CONFIRMED: option (a)]</t>
  </si>
  <si>
    <t>A page opened from local disk (file://) cannot read an .xlsx from a fixed path on its own - the browser's</t>
  </si>
  <si>
    <t>security model blocks it. Q-05 confirmed local .html files do open on the work PC, so the approach is viable.</t>
  </si>
  <si>
    <t>Option</t>
  </si>
  <si>
    <t>Description</t>
  </si>
  <si>
    <t>Advantages</t>
  </si>
  <si>
    <t>Disadvantages</t>
  </si>
  <si>
    <t>Outcome</t>
  </si>
  <si>
    <t>(a)</t>
  </si>
  <si>
    <t>User selects the workbook through a file picker or drag-and-drop; an embedded SheetJS-style parser reads it in memory.</t>
  </si>
  <si>
    <t>True .xlsx support; no install; no server; user controls which file is loaded.</t>
  </si>
  <si>
    <t>The file must be selected each session (mitigated by optional caching, REQ-IMP-06).</t>
  </si>
  <si>
    <t>CONFIRMED - adopted</t>
  </si>
  <si>
    <t>(b)</t>
  </si>
  <si>
    <t>Data kept as .csv next to the HTML, still opened through a picker.</t>
  </si>
  <si>
    <t>Simplest possible parsing.</t>
  </si>
  <si>
    <t>Loses formatting, multiple sheets and validation - and Q-09 asks for one multi-sheet workbook, which .csv cannot express.</t>
  </si>
  <si>
    <t>Rejected</t>
  </si>
  <si>
    <t>(c)</t>
  </si>
  <si>
    <t>Excel is only an export target; browser storage is the working record.</t>
  </si>
  <si>
    <t>No load step at all.</t>
  </si>
  <si>
    <t>Contradicts the workbook being the archive of record; clearing browser data would lose everything.</t>
  </si>
  <si>
    <t>Q-09 strengthens this decision: one workbook with ten sheets is exactly what .xlsx does well and .csv cannot do at all.</t>
  </si>
  <si>
    <t>Technology</t>
  </si>
  <si>
    <t>Concern</t>
  </si>
  <si>
    <t>Choice and reason</t>
  </si>
  <si>
    <t>Container</t>
  </si>
  <si>
    <t>One .html file, opened by double-click.</t>
  </si>
  <si>
    <t>Excel parsing/writing</t>
  </si>
  <si>
    <t>SheetJS (xlsx) community build, embedded inline - no CDN, so it works offline.</t>
  </si>
  <si>
    <t>REQ-OUT-02, REQ-NFR-04</t>
  </si>
  <si>
    <t>Charts</t>
  </si>
  <si>
    <t>Inline SVG drawn by the application's own code, or a small embedded chart library. No external requests either way.</t>
  </si>
  <si>
    <t>REQ-DSH-02, REQ-NFR-04</t>
  </si>
  <si>
    <t>Framework</t>
  </si>
  <si>
    <t>None. Plain modern JavaScript.</t>
  </si>
  <si>
    <t>Styling</t>
  </si>
  <si>
    <t>Embedded CSS. Readable on a laptop screen and when printed.</t>
  </si>
  <si>
    <t>Persistence</t>
  </si>
  <si>
    <t>Optional browser cache of the last load, marked as a convenience, never as the record.</t>
  </si>
  <si>
    <t>Internal structure - built for later change (REQ-NFR-01)</t>
  </si>
  <si>
    <t>Layer</t>
  </si>
  <si>
    <t>Responsibility</t>
  </si>
  <si>
    <t>Why the boundary is there</t>
  </si>
  <si>
    <t>1. IO layer</t>
  </si>
  <si>
    <t>Reads the chosen workbook into raw rows; writes .xlsx on export.</t>
  </si>
  <si>
    <t>Swapping the file-access method touches this layer only.</t>
  </si>
  <si>
    <t>2. Validation layer</t>
  </si>
  <si>
    <t>Applies rules V-01..V-14, produces one findings report.</t>
  </si>
  <si>
    <t>New rules are added here without touching parsing or maths.</t>
  </si>
  <si>
    <t>3. Model layer</t>
  </si>
  <si>
    <t>Typed in-memory objects: Project, Milestone, ProjectPeriod, RoleFactor, Person, Assignment, PersonPeriodWeight, Config, Lists.</t>
  </si>
  <si>
    <t>New fields are added here and flow outward.</t>
  </si>
  <si>
    <t>4. Edit buffer</t>
  </si>
  <si>
    <t>Holds on-screen changes, tracks which rows are dirty, re-runs validation per edit, and feeds export.</t>
  </si>
  <si>
    <t>Added for REQ-IMP-07. Keeping edits out of the model layer means the calculation never has to care whether a value came from the file or the screen.</t>
  </si>
  <si>
    <t>5. Calculation layer</t>
  </si>
  <si>
    <t>The monthly engine above. Pure functions - no DOM, no file access.</t>
  </si>
  <si>
    <t>Directly unit-testable, and the piece most likely to be refined once you see real output.</t>
  </si>
  <si>
    <t>6. Presentation layer</t>
  </si>
  <si>
    <t>Tabs, tables, graphs, filters, editing controls, export buttons.</t>
  </si>
  <si>
    <t>A new tab or graph is added here alone.</t>
  </si>
  <si>
    <t>The calculation layer never touches the screen and never touches files. That is what makes both future requirement changes and testing cheap.</t>
  </si>
  <si>
    <t>Deployment</t>
  </si>
  <si>
    <t>Point</t>
  </si>
  <si>
    <t>The user keeps one folder containing the .html file and ONE source workbook. Copying the folder moves the whole tool.</t>
  </si>
  <si>
    <t>Updating the application means replacing the .html file. Source data is untouched, because it lives outside it (REQ-OUT-03).</t>
  </si>
  <si>
    <t>The application checks the source schema version on load and warns on a mismatch (REQ-VC-03).</t>
  </si>
  <si>
    <t>Work breakdown - the five steps</t>
  </si>
  <si>
    <t>Each step ends at a review gate. Work on the next step starts only after that gate is passed.</t>
  </si>
  <si>
    <t>Task</t>
  </si>
  <si>
    <t>Activity</t>
  </si>
  <si>
    <t>Deliverable</t>
  </si>
  <si>
    <t>1.1</t>
  </si>
  <si>
    <t>Draft the development plan.</t>
  </si>
  <si>
    <t>PRAP_Development_Plan_v0.1.xlsx</t>
  </si>
  <si>
    <t>Complete</t>
  </si>
  <si>
    <t>1.2</t>
  </si>
  <si>
    <t>Requester reviews; answers the open questions.</t>
  </si>
  <si>
    <t>v0.11_reviewed mark-up</t>
  </si>
  <si>
    <t>1.3</t>
  </si>
  <si>
    <t>Propagate the answers across all sheets and re-issue.</t>
  </si>
  <si>
    <t>PRAP_Development_Plan_v0.2.xlsx</t>
  </si>
  <si>
    <t>Complete - issued for review</t>
  </si>
  <si>
    <t>1.4</t>
  </si>
  <si>
    <t>Answer the six follow-up questions Q-13..Q-18, chiefly the weight and role-factor values.</t>
  </si>
  <si>
    <t>Answers on sheet 11</t>
  </si>
  <si>
    <t>Pending you</t>
  </si>
  <si>
    <t>1.5</t>
  </si>
  <si>
    <t>Supply the '13_Templete_example' sheet referenced at Q-10 - it was not present in the returned file.</t>
  </si>
  <si>
    <t>Example data</t>
  </si>
  <si>
    <t>1.6</t>
  </si>
  <si>
    <t>Final plan issue incorporating the follow-up answers.</t>
  </si>
  <si>
    <t>PRAP_Development_Plan_v1.0.xlsx</t>
  </si>
  <si>
    <t>Not started</t>
  </si>
  <si>
    <t>G1</t>
  </si>
  <si>
    <t>GATE 1 - development plan approved.</t>
  </si>
  <si>
    <t>Approval recorded on 12_Review_Log</t>
  </si>
  <si>
    <t>2.1</t>
  </si>
  <si>
    <t>Fix the source workbook schema: exact sheet names, column headers, types, value lists.</t>
  </si>
  <si>
    <t>Specification sheet 'Data schema'</t>
  </si>
  <si>
    <t>2.2</t>
  </si>
  <si>
    <t>Specify the calculation engine as pseudocode plus the worked example as an acceptance test.</t>
  </si>
  <si>
    <t>Specification sheet 'Calculation'</t>
  </si>
  <si>
    <t>2.3</t>
  </si>
  <si>
    <t>Specify period derivation from milestones, and the over/under-allocation detection.</t>
  </si>
  <si>
    <t>2.4</t>
  </si>
  <si>
    <t>Specify import validation rules V-01..V-14 and the findings report.</t>
  </si>
  <si>
    <t>Specification sheet 'Validation'</t>
  </si>
  <si>
    <t>2.5</t>
  </si>
  <si>
    <t>Specify each dashboard tab: every table, column, graph, filter and interaction.</t>
  </si>
  <si>
    <t>Specification sheet 'UI spec'</t>
  </si>
  <si>
    <t>2.6</t>
  </si>
  <si>
    <t>Specify on-screen editing, the dirty-state model and export round-tripping.</t>
  </si>
  <si>
    <t>Specification sheet 'Editing &amp; IO'</t>
  </si>
  <si>
    <t>2.7</t>
  </si>
  <si>
    <t>Specify the version/compatibility check.</t>
  </si>
  <si>
    <t>Specification sheet 'IO &amp; versioning'</t>
  </si>
  <si>
    <t>2.8</t>
  </si>
  <si>
    <t>Build the requirement-to-specification traceability matrix.</t>
  </si>
  <si>
    <t>Specification sheet 'Traceability'</t>
  </si>
  <si>
    <t>G2</t>
  </si>
  <si>
    <t>GATE 2 - programming specification approved.</t>
  </si>
  <si>
    <t>PRAP_Programming_Specification_v1.0.xlsx</t>
  </si>
  <si>
    <t>3.1</t>
  </si>
  <si>
    <t>High-level UI design: tab structure, page regions, navigation. No code behind it.</t>
  </si>
  <si>
    <t>Prototype HTML (UI only)</t>
  </si>
  <si>
    <t>3.2</t>
  </si>
  <si>
    <t>Requester reviews the high-level component design.</t>
  </si>
  <si>
    <t>Review comments</t>
  </si>
  <si>
    <t>3.3</t>
  </si>
  <si>
    <t>Final UI design with clear per-component requirements.</t>
  </si>
  <si>
    <t>Prototype HTML v1.0 + component list</t>
  </si>
  <si>
    <t>G3</t>
  </si>
  <si>
    <t>GATE 3 - final design and component list approved. Code generation starts only for approved components.</t>
  </si>
  <si>
    <t>Approved component list</t>
  </si>
  <si>
    <t>4.1</t>
  </si>
  <si>
    <t>IO layer: workbook load, sheet/column mapping, export.</t>
  </si>
  <si>
    <t>Application code</t>
  </si>
  <si>
    <t>4.2</t>
  </si>
  <si>
    <t>Validation layer: rules V-01..V-14 and the findings report.</t>
  </si>
  <si>
    <t>4.3</t>
  </si>
  <si>
    <t>Model layer, Lists and Config handling.</t>
  </si>
  <si>
    <t>4.4</t>
  </si>
  <si>
    <t>Edit buffer: on-screen editing, dirty state, per-edit validation.</t>
  </si>
  <si>
    <t>4.5</t>
  </si>
  <si>
    <t>Calculation engine, verified against the worked example.</t>
  </si>
  <si>
    <t>Application code + test evidence</t>
  </si>
  <si>
    <t>4.6</t>
  </si>
  <si>
    <t>Overall tab: tables, graphs, filters, over/under-allocation flagging.</t>
  </si>
  <si>
    <t>4.7</t>
  </si>
  <si>
    <t>Source data (project) and Source data (person) tabs.</t>
  </si>
  <si>
    <t>4.8</t>
  </si>
  <si>
    <t>Blank source workbook template with value lists and example rows.</t>
  </si>
  <si>
    <t>PRAP_SourceData template</t>
  </si>
  <si>
    <t>4.9</t>
  </si>
  <si>
    <t>Requester reviews output against real data; refinements folded in.</t>
  </si>
  <si>
    <t>Updated code</t>
  </si>
  <si>
    <t>G4</t>
  </si>
  <si>
    <t>GATE 4 - application functionally complete.</t>
  </si>
  <si>
    <t>PRAP_Application_v0.9.html</t>
  </si>
  <si>
    <t>5</t>
  </si>
  <si>
    <t>5.1</t>
  </si>
  <si>
    <t>Full pass over the traceability matrix: every Must requirement demonstrated.</t>
  </si>
  <si>
    <t>Completed traceability matrix</t>
  </si>
  <si>
    <t>5.2</t>
  </si>
  <si>
    <t>Test on a clean Windows PC in Edge and Chrome, offline.</t>
  </si>
  <si>
    <t>Test evidence</t>
  </si>
  <si>
    <t>5.3</t>
  </si>
  <si>
    <t>Write the user guide: folder layout, how to load, how to maintain source data.</t>
  </si>
  <si>
    <t>User guide</t>
  </si>
  <si>
    <t>5.4</t>
  </si>
  <si>
    <t>Final version alignment across plan, specification and application.</t>
  </si>
  <si>
    <t>Version alignment table (sheet 09)</t>
  </si>
  <si>
    <t>G5</t>
  </si>
  <si>
    <t>GATE 5 - release.</t>
  </si>
  <si>
    <t>PRAP_Application_v1.0.html</t>
  </si>
  <si>
    <t>Progress</t>
  </si>
  <si>
    <t>Measure</t>
  </si>
  <si>
    <t>Tasks total</t>
  </si>
  <si>
    <t>Awaiting the requester</t>
  </si>
  <si>
    <t>No duration estimates: the pace is set by review turnaround at each gate, not by build effort.</t>
  </si>
  <si>
    <t>Version control across documents (REQ-VC-01)</t>
  </si>
  <si>
    <t>What is version-controlled</t>
  </si>
  <si>
    <t>Artifact</t>
  </si>
  <si>
    <t>Naming convention</t>
  </si>
  <si>
    <t>Folder</t>
  </si>
  <si>
    <t>Where its version is recorded</t>
  </si>
  <si>
    <t>Development plan</t>
  </si>
  <si>
    <t>PRAP_Development_Plan_v&lt;ver&gt;.xlsx</t>
  </si>
  <si>
    <t>docs/</t>
  </si>
  <si>
    <t>Sheet 01_Version_History</t>
  </si>
  <si>
    <t>Programming specification</t>
  </si>
  <si>
    <t>PRAP_Programming_Specification_v&lt;ver&gt;.xlsx</t>
  </si>
  <si>
    <t>Its own version-history sheet</t>
  </si>
  <si>
    <t>Application</t>
  </si>
  <si>
    <t>PRAP_Application_v&lt;ver&gt;.html</t>
  </si>
  <si>
    <t>app/</t>
  </si>
  <si>
    <t>Version constant shown in the footer</t>
  </si>
  <si>
    <t>Source data template</t>
  </si>
  <si>
    <t>PRAP_SourceData_v&lt;ver&gt;.xlsx  (one workbook, was two)</t>
  </si>
  <si>
    <t>templates/</t>
  </si>
  <si>
    <t>schema_version in the Config sheet</t>
  </si>
  <si>
    <t>Output / evidence files</t>
  </si>
  <si>
    <t>PRAP_&lt;content&gt;_v&lt;ver&gt;_&lt;yyyymmdd&gt;.xlsx</t>
  </si>
  <si>
    <t>output/</t>
  </si>
  <si>
    <t>Filename plus a header block</t>
  </si>
  <si>
    <t>Generator scripts</t>
  </si>
  <si>
    <t>tools/*.py</t>
  </si>
  <si>
    <t>tools/</t>
  </si>
  <si>
    <t>Git history</t>
  </si>
  <si>
    <t>Version numbering</t>
  </si>
  <si>
    <t>Pattern</t>
  </si>
  <si>
    <t>Example</t>
  </si>
  <si>
    <t>0.x</t>
  </si>
  <si>
    <t>Draft, under review. Content may change substantially.</t>
  </si>
  <si>
    <t>0.1 -&gt; 0.2 on each re-issue during review.</t>
  </si>
  <si>
    <t>x.0</t>
  </si>
  <si>
    <t>Approved baseline. Changing it requires a new approval.</t>
  </si>
  <si>
    <t>0.9 -&gt; 1.0 at the gate.</t>
  </si>
  <si>
    <t>x.y</t>
  </si>
  <si>
    <t>Approved change against a baseline: added requirement, bug fix, layout change.</t>
  </si>
  <si>
    <t>1.0 -&gt; 1.1</t>
  </si>
  <si>
    <t>Schema version</t>
  </si>
  <si>
    <t>Independent counter for the source workbook structure. Steps only when a sheet or column changes.</t>
  </si>
  <si>
    <t>schema 1 -&gt; 2</t>
  </si>
  <si>
    <t>A reviewer mark-up carries the reviewed version's number with a suffix (v0.11_reviewed against v0.1). The incorporating issue takes the next draft number - here v0.2.</t>
  </si>
  <si>
    <t>Version alignment - which versions belong together</t>
  </si>
  <si>
    <t>Plan version</t>
  </si>
  <si>
    <t>Specification version</t>
  </si>
  <si>
    <t>Application version</t>
  </si>
  <si>
    <t>Plan issued for review</t>
  </si>
  <si>
    <t>1 (draft)</t>
  </si>
  <si>
    <t>Reviewer answers incorporated; single-workbook schema defined</t>
  </si>
  <si>
    <t>One row per release. Answers 'which specification produced this .html, and which source template does it expect?'.</t>
  </si>
  <si>
    <t>Repository rules</t>
  </si>
  <si>
    <t>All work is committed to branch claude/project-resource-assignment-app-1vjdzh.</t>
  </si>
  <si>
    <t>Documents are generated from scripts in tools/ so their content is reviewable as a text diff, not only as a binary.</t>
  </si>
  <si>
    <t>One commit per meaningful change, with a message naming the step and the affected REQ-IDs.</t>
  </si>
  <si>
    <t>A released version is tagged, so any release can be reproduced exactly.</t>
  </si>
  <si>
    <t>Reviewer mark-ups are committed as received, unedited, so the review trail is auditable.</t>
  </si>
  <si>
    <t>Risks and assumptions</t>
  </si>
  <si>
    <t>Risks</t>
  </si>
  <si>
    <t>Risk</t>
  </si>
  <si>
    <t>Likelihood</t>
  </si>
  <si>
    <t>Impact</t>
  </si>
  <si>
    <t>Mitigation</t>
  </si>
  <si>
    <t>R-01</t>
  </si>
  <si>
    <t>The resource formula does not match how burden is actually judged, so output looks wrong.</t>
  </si>
  <si>
    <t>Medium</t>
  </si>
  <si>
    <t>High</t>
  </si>
  <si>
    <t>Reduced from High at Q-01, which fixed the three factors. A worked example (sheet 05) is agreed at Step 2 before code is written, and every factor stays in data.</t>
  </si>
  <si>
    <t>R-02</t>
  </si>
  <si>
    <t>The source workbook is maintained inconsistently - typos, overlapping periods - and the simulation silently misleads.</t>
  </si>
  <si>
    <t>Fourteen validation rules on import, ID-based references instead of name matching, and a findings report the user cannot miss.</t>
  </si>
  <si>
    <t>R-03</t>
  </si>
  <si>
    <t>Corporate policy blocks local .html files or restricts the browser.</t>
  </si>
  <si>
    <t>CLOSED at Q-05: local .html files open on the work PC. Re-test on the target PC at Step 5.2 all the same.</t>
  </si>
  <si>
    <t>R-04</t>
  </si>
  <si>
    <t>Requirements grow after you see real output.</t>
  </si>
  <si>
    <t>Expected and planned for: six separated layers (sheet 07) plus extension columns already in the schema.</t>
  </si>
  <si>
    <t>R-05</t>
  </si>
  <si>
    <t>Data volume grows beyond what a browser handles comfortably.</t>
  </si>
  <si>
    <t>Low</t>
  </si>
  <si>
    <t>Downgraded at Q-06: under 20 projects and 30 people is comfortably inside browser limits, with the headroom target in REQ-NFR-03.</t>
  </si>
  <si>
    <t>R-06</t>
  </si>
  <si>
    <t>Excel date handling differs between Windows regional settings and misreads dates.</t>
  </si>
  <si>
    <t>Dates normalised to ISO on import; an unparseable date is a hard error, never a guess (REQ-NFR-05).</t>
  </si>
  <si>
    <t>R-07</t>
  </si>
  <si>
    <t>The file must be re-selected each session and this becomes irritating.</t>
  </si>
  <si>
    <t>Optional browser caching (REQ-IMP-06) plus a one-click reload of the last file.</t>
  </si>
  <si>
    <t>R-08</t>
  </si>
  <si>
    <t>On-screen edits are lost because the user closes the page without exporting.</t>
  </si>
  <si>
    <t>The direct cost of REQ-IMP-07. Mitigated by REQ-IMP-08: a visible unsaved-edit count and a warning before any action that discards them. The browser cache (REQ-IMP-06) becomes more valuable here as a second net.</t>
  </si>
  <si>
    <t>R-09</t>
  </si>
  <si>
    <t>Milestone-derived periods break for a project with missing or out-of-order milestones.</t>
  </si>
  <si>
    <t>V-12 and V-14 report gaps and ordering problems; a month with no period falls back to weight 1.00 and is listed rather than silently dropped.</t>
  </si>
  <si>
    <t>R-10</t>
  </si>
  <si>
    <t>The weight and role-factor values are still unknown, so the simulation cannot be validated against reality yet.</t>
  </si>
  <si>
    <t>Q-17 asks for them. Until they arrive the engine can be built and unit-tested with placeholders, but no output should be trusted as a planning input.</t>
  </si>
  <si>
    <t>Assumptions</t>
  </si>
  <si>
    <t>Assumption</t>
  </si>
  <si>
    <t>A-01</t>
  </si>
  <si>
    <t>Data volume is under 20 projects and 30 people.</t>
  </si>
  <si>
    <t>CONFIRMED Q-06</t>
  </si>
  <si>
    <t>A-02</t>
  </si>
  <si>
    <t>One person's capacity is 1.00 FTE = 160 hours per month; part-timers carry a lower capacity_fte.</t>
  </si>
  <si>
    <t>CONFIRMED Q-08</t>
  </si>
  <si>
    <t>A-03</t>
  </si>
  <si>
    <t>Monthly granularity is sufficient; weekly or daily simulation is not required in v1.0.</t>
  </si>
  <si>
    <t>Standing</t>
  </si>
  <si>
    <t>A-04</t>
  </si>
  <si>
    <t>The source workbook is maintained by hand, not generated by another system.</t>
  </si>
  <si>
    <t>A-05</t>
  </si>
  <si>
    <t>Windows 10 or 11 with Edge or Chrome, and local .html files open.</t>
  </si>
  <si>
    <t>CONFIRMED Q-05</t>
  </si>
  <si>
    <t>A-06</t>
  </si>
  <si>
    <t>Only one person maintains the workbook at a time - no concurrent editing to reconcile.</t>
  </si>
  <si>
    <t>A-07</t>
  </si>
  <si>
    <t>Milestone dates now DRIVE period boundaries (REQ-CAL-09); they are no longer merely informational.</t>
  </si>
  <si>
    <t>Changed by Q-01/Q-04</t>
  </si>
  <si>
    <t>A-08</t>
  </si>
  <si>
    <t>The four standard periods apply to both 'Clinical Trial' and 'Others' projects. Q-04 did not distinguish them.</t>
  </si>
  <si>
    <t>To confirm - Q-18</t>
  </si>
  <si>
    <t>A-09</t>
  </si>
  <si>
    <t>'Category of project' in the Q-01 answer means the project's classification for weighting purposes. Q-17 asks which field that is.</t>
  </si>
  <si>
    <t>To confirm - Q-17</t>
  </si>
  <si>
    <t>Open questions</t>
  </si>
  <si>
    <t>Q-01..Q-12 were answered at the v0.11 review and are kept for the record. Q-13..Q-18 are new, and arise from those answers. Please answer in the YELLOW cells.</t>
  </si>
  <si>
    <t>Answered at the v0.11 review</t>
  </si>
  <si>
    <t>Topic</t>
  </si>
  <si>
    <t>Question (short)</t>
  </si>
  <si>
    <t>Your answer</t>
  </si>
  <si>
    <t>How it was applied in v0.2</t>
  </si>
  <si>
    <t>Do weights multiply?</t>
  </si>
  <si>
    <t>Yes: project weight x role factor x person weight. Project weight comes from the project's category and is the same for everyone on that project in that milestone period. Role factor is the standard weight of the role. Person weight says how much the person works on the project.</t>
  </si>
  <si>
    <t>Applied - sheet 05. base_allocation removed; PersonPeriodWeight became an override.</t>
  </si>
  <si>
    <t>Pro-rate partial months by calendar days?</t>
  </si>
  <si>
    <t>Yes - expected work follows the calendar days worked between the joined date and the end date.</t>
  </si>
  <si>
    <t>Applied - C-02 confirmed; REQ-CAL-05 raised to Must.</t>
  </si>
  <si>
    <t>Roles</t>
  </si>
  <si>
    <t>Which roles, and do they differ in burden?</t>
  </si>
  <si>
    <t>Clinical Trial: Project oversight, Lead data manager, Clinical Data Associator, Clinical Database Programmer, Data Analyst. Others: Project lead, Main staff, Other staff.</t>
  </si>
  <si>
    <t>Applied - RoleFactor gains a project_type column; V-03 raised to an error.</t>
  </si>
  <si>
    <t>Standard period names and weights?</t>
  </si>
  <si>
    <t>Before-Start-up, Start-up, Conduct, Close-out.</t>
  </si>
  <si>
    <t>Applied - sheet 04 ProjectPeriod. Weight VALUES still needed - Q-17.</t>
  </si>
  <si>
    <t>Environment</t>
  </si>
  <si>
    <t>Can you open a local .html file?</t>
  </si>
  <si>
    <t>Yes.</t>
  </si>
  <si>
    <t>Applied - risk R-03 closed.</t>
  </si>
  <si>
    <t>Data volume</t>
  </si>
  <si>
    <t>How many projects and people?</t>
  </si>
  <si>
    <t>Under 20 projects and 30 people.</t>
  </si>
  <si>
    <t>Applied - REQ-NFR-03 target reduced; R-05 downgraded.</t>
  </si>
  <si>
    <t>Q-07</t>
  </si>
  <si>
    <t>Milestones</t>
  </si>
  <si>
    <t>Which milestones?</t>
  </si>
  <si>
    <t>CTA submission, FPI, LPI, DB lock cut-off, DB lock.</t>
  </si>
  <si>
    <t>Applied - Milestone list. Conflicts with the v0.11 mark-up in sheet 04 - see Q-15.</t>
  </si>
  <si>
    <t>Capacity</t>
  </si>
  <si>
    <t>Capacity and thresholds?</t>
  </si>
  <si>
    <t>1 FTE = 160 h/month (8 h/day, 5 days/week, 20 days/month). Over-allocation: total above 1.5 FTE in a month. Under-allocation: below 0.8 FTE for 3 months or longer.</t>
  </si>
  <si>
    <t>Applied - REQ-CAL-04, REQ-CAL-07, REQ-CAL-08; Config parameters; sheet 06 flagging.</t>
  </si>
  <si>
    <t>Source files</t>
  </si>
  <si>
    <t>One workbook or two?</t>
  </si>
  <si>
    <t>One single workbook with all sheets.</t>
  </si>
  <si>
    <t>Applied - sheet 04 restructured; REQ-OUT-03 reworded; architecture and deployment updated.</t>
  </si>
  <si>
    <t>Q-10</t>
  </si>
  <si>
    <t>Existing data</t>
  </si>
  <si>
    <t>Existing spreadsheet structure?</t>
  </si>
  <si>
    <t>Refer to '13_Templete_example'.</t>
  </si>
  <si>
    <t>NOT APPLIED - that sheet is not in the returned file. See Q-13.</t>
  </si>
  <si>
    <t>Horizon</t>
  </si>
  <si>
    <t>Planning horizon?</t>
  </si>
  <si>
    <t>24 months default, expandable to the latest project end date.</t>
  </si>
  <si>
    <t>Applied - REQ-CAL-01, REQ-DSH-07, Config default_horizon_months.</t>
  </si>
  <si>
    <t>Q-12</t>
  </si>
  <si>
    <t>Scope check</t>
  </si>
  <si>
    <t>Anything wrongly out of scope?</t>
  </si>
  <si>
    <t>Fine.</t>
  </si>
  <si>
    <t>Applied - exclusions confirmed on sheet 02.</t>
  </si>
  <si>
    <t>New questions raised by those answers</t>
  </si>
  <si>
    <t>Question</t>
  </si>
  <si>
    <t>Needed by step</t>
  </si>
  <si>
    <t>Q-13</t>
  </si>
  <si>
    <t>Blocker</t>
  </si>
  <si>
    <t>Q-14</t>
  </si>
  <si>
    <t>Data model</t>
  </si>
  <si>
    <t>Q-15</t>
  </si>
  <si>
    <t>Q-16</t>
  </si>
  <si>
    <t>Q-17</t>
  </si>
  <si>
    <t>The actual NUMBERS are still missing, and nothing can be validated without them: (a) the weight for each of the four periods, per project category; (b) the role factor for each of the eight roles; (c) which field 'category of project' refers to - project_category (the product name), project_type, or clinical_phase.</t>
  </si>
  <si>
    <t>Q-18</t>
  </si>
  <si>
    <t>Do the four standard periods and their weights apply to 'Others' projects too, or do those need their own period set? Q-04 gave one list without distinguishing.</t>
  </si>
  <si>
    <t>Q-19</t>
  </si>
  <si>
    <t>Q-20</t>
  </si>
  <si>
    <t>Editing</t>
  </si>
  <si>
    <t>Q-13 and Q-17 are the two that block real progress: without the example template and the actual weight values, the engine can be built but its output cannot be trusted or checked against reality.</t>
  </si>
  <si>
    <t>Review log and approval</t>
  </si>
  <si>
    <t>Every change made in v0.2, and why. Reviewer input was given as direct mark-up in PRAP_Development_Plan_v0.11_reviewed.xlsx rather than as cell comments.</t>
  </si>
  <si>
    <t>No.</t>
  </si>
  <si>
    <t>Sheet / source</t>
  </si>
  <si>
    <t>Reviewer input</t>
  </si>
  <si>
    <t>Response</t>
  </si>
  <si>
    <t>Action taken in v0.2</t>
  </si>
  <si>
    <t>All 12 questions answered.</t>
  </si>
  <si>
    <t>Accepted in full.</t>
  </si>
  <si>
    <t>Propagated into sheets 02-10; see rows below.</t>
  </si>
  <si>
    <t>Closed</t>
  </si>
  <si>
    <t>03_Requirements!A43</t>
  </si>
  <si>
    <t>New requirement added: 'After importing the source excel file, HTML to provide updating data and the updated data to be absorbed in the exported file when it extracts from the HTML.'</t>
  </si>
  <si>
    <t>Accepted. Numbered REQ-IMP-07.</t>
  </si>
  <si>
    <t>Added REQ-IMP-07, plus REQ-IMP-08 (unsaved-edit warning) and REQ-IMP-09 (re-validate edits), which it implies. Withdrew the v0.1 rule that nothing is editable (sheet 06). Added edit-buffer layer (sheet 07) and risk R-08.</t>
  </si>
  <si>
    <t>04_Data_Model - Project</t>
  </si>
  <si>
    <t>Added clinical_phase; EDC_setup, DataReviewSystem_setup, RBQM_setup, DM_conduct; EDC_system, DataReviewSystem, RBQM_system. Made outsourcing_type required.</t>
  </si>
  <si>
    <t>Accepted.</t>
  </si>
  <si>
    <t>All carried into the Project sheet with REQ-IDs REQ-PRJ-09/10/11. Value lists moved to the new Lists sheet. V-10 and V-11 added.</t>
  </si>
  <si>
    <t>outsourcing_type list reads 'Full outsourcing' / 'Partial outsourcing' / 'Full In-house' / 'Partial outsourcing'.</t>
  </si>
  <si>
    <t>Query - 'Partial outsourcing' appears twice.</t>
  </si>
  <si>
    <t>Kept as given, flagged as Q-14. Likely 'Partial In-house' was intended.</t>
  </si>
  <si>
    <t>Open</t>
  </si>
  <si>
    <t>04_Data_Model - Milestone</t>
  </si>
  <si>
    <t>Milestone examples changed to FPI, LPI, LPO, LPLV, interim DB Lock, final DB Lock, CSR.</t>
  </si>
  <si>
    <t>Query - conflicts with the Q-07 answer, which names five different milestones.</t>
  </si>
  <si>
    <t>Q-07's list adopted as standard because period derivation depends on it; raised as Q-15.</t>
  </si>
  <si>
    <t>6</t>
  </si>
  <si>
    <t>Added project_name to Milestone and person_name to Assignment.</t>
  </si>
  <si>
    <t>Accepted with a safeguard.</t>
  </si>
  <si>
    <t>Kept as display conveniences, explicitly non-authoritative. V-13 checks them against the master row and refreshes rather than trusting them, so a stale copy cannot break a link.</t>
  </si>
  <si>
    <t>7</t>
  </si>
  <si>
    <t>Q-09 answer</t>
  </si>
  <si>
    <t>One single workbook instead of two.</t>
  </si>
  <si>
    <t>Sheet 04 restructured into one workbook of ten sheets; REQ-OUT-03, REQ-IMP-01/03 reworded; architecture option (b) rejection strengthened; deployment updated.</t>
  </si>
  <si>
    <t>8</t>
  </si>
  <si>
    <t>Q-01 answer</t>
  </si>
  <si>
    <t>Three factors: project weight x role factor x person weight.</t>
  </si>
  <si>
    <t>Accepted, with one consequence.</t>
  </si>
  <si>
    <t>base_allocation removed - it was a fourth factor the answer did not name. Renamed to person_weight. PersonPeriodWeight changed from a multiplier to an override so no hidden fourth factor returns. Sheet 05 rewritten.</t>
  </si>
  <si>
    <t>9</t>
  </si>
  <si>
    <t>Q-08 answer</t>
  </si>
  <si>
    <t>1 FTE = 160 h/month; over-allocation above 1.5 FTE; under-allocation below 0.8 FTE for 3+ months.</t>
  </si>
  <si>
    <t>REQ-CAL-04 rewritten, REQ-CAL-07 and REQ-CAL-08 added. Under-allocation needs a rolling 3-month window, so it is specified as a run with a start and length, not a per-month flag. Config parameters added; sheet 06 flags both.</t>
  </si>
  <si>
    <t>10</t>
  </si>
  <si>
    <t>Q-04 + Q-07 answers</t>
  </si>
  <si>
    <t>Standard periods and milestones named.</t>
  </si>
  <si>
    <t>Accepted, with a derivation.</t>
  </si>
  <si>
    <t>Periods are now derived from milestone dates (REQ-CAL-09) so a timeline change re-shapes them automatically. Mapping proposed on sheet 04 and raised for confirmation as Q-16. Assumption A-07 changed: milestones now drive weights.</t>
  </si>
  <si>
    <t>11</t>
  </si>
  <si>
    <t>Q-06 answer</t>
  </si>
  <si>
    <t>REQ-NFR-03 target cut from 100 projects / 200 people / 1,000 assignments to a realistic figure with headroom; R-05 downgraded to Low/Low.</t>
  </si>
  <si>
    <t>12</t>
  </si>
  <si>
    <t>Q-10 answer</t>
  </si>
  <si>
    <t>'Refer to 13_Templete_example'.</t>
  </si>
  <si>
    <t>Cannot action - the sheet is absent from the returned workbook.</t>
  </si>
  <si>
    <t>Verified against the file itself: it holds 13 sheets, 00 to 12, none hidden. Raised as Q-13 and WBS task 1.5.</t>
  </si>
  <si>
    <t>13</t>
  </si>
  <si>
    <t>02_Scope!A1</t>
  </si>
  <si>
    <t>Sheet title cell was blank in the returned file.</t>
  </si>
  <si>
    <t>Treated as accidental.</t>
  </si>
  <si>
    <t>Title 'Scope and objectives' restored.</t>
  </si>
  <si>
    <t>14</t>
  </si>
  <si>
    <t>Q-03 answer</t>
  </si>
  <si>
    <t>Role lists differ between project types.</t>
  </si>
  <si>
    <t>RoleFactor gains a project_type column; roles are matched on (project type, role name). V-03 raised from warning to error, since a role from the wrong type is now a real mistake rather than a typo.</t>
  </si>
  <si>
    <t>15</t>
  </si>
  <si>
    <t>Role factors and period weight values.</t>
  </si>
  <si>
    <t>Not supplied.</t>
  </si>
  <si>
    <t>The single largest gap: the engine cannot be validated without them. Raised as Q-17 and risk R-10.</t>
  </si>
  <si>
    <t>Disposition summary</t>
  </si>
  <si>
    <t>Closed in v0.2</t>
  </si>
  <si>
    <t>Open - awaiting your answer</t>
  </si>
  <si>
    <t>Total items</t>
  </si>
  <si>
    <t>Approval - Gate 1</t>
  </si>
  <si>
    <t>Document</t>
  </si>
  <si>
    <t>Approver</t>
  </si>
  <si>
    <t>Development plan v___</t>
  </si>
  <si>
    <t>Approved / Approved with comments / Not approved</t>
  </si>
  <si>
    <t>Step 2 begins only once this gate is recorded as approved.</t>
  </si>
  <si>
    <t>Display convenience added at v0.11. Not authoritative: checked against Person on import and refreshed from it.</t>
    <phoneticPr fontId="10" type="noConversion"/>
  </si>
  <si>
    <t>The Q-10 answer points to a sheet named '13_Templete_example', but the returned workbook contains only sheets 00 to 12 - it is not there, hidden or otherwise. Could you re-send it? Until it arrives the template cannot be matched to what you already use, and Step 2 task 2.1 cannot close.</t>
    <phoneticPr fontId="10" type="noConversion"/>
  </si>
  <si>
    <t>I have provided the structure for the source data as similar as the existing. No example file provided from me. Close this.</t>
    <phoneticPr fontId="10" type="noConversion"/>
  </si>
  <si>
    <t>The v0.11 outsourcing_type list reads 'Full outsourcing' / 'Partial outsourcing' / 'Full In-house' / 'Partial outsourcing' - 'Partial outsourcing' appears twice. Should the fourth be 'Partial In-house', or are there only three values?</t>
    <phoneticPr fontId="10" type="noConversion"/>
  </si>
  <si>
    <t>List has : 'Full outsourcing' / 'Partial outsourcing' / 'Full In-house'</t>
    <phoneticPr fontId="10" type="noConversion"/>
  </si>
  <si>
    <t>Q-07 gives five standard milestones (CTA submission, FPI, LPI, DB lock cut-off, DB lock), but your sheet-04 edit lists FPI, LPI, LPO, LPLV, interim DB Lock, final DB Lock, CSR. Which is the standard set? I can hold both - the extra names as optional additions - but period derivation needs to know which five define the boundaries.</t>
    <phoneticPr fontId="10" type="noConversion"/>
  </si>
  <si>
    <t>Please confirm the milestone-to-period mapping proposed on sheet 04: Before-Start-up = start to CTA submission; Start-up = CTA submission to FPI; Conduct = FPI to DB lock cut-off; Close-out = DB lock cut-off to DB lock. This puts LPI inside Conduct as a marker rather than a boundary.</t>
    <phoneticPr fontId="10" type="noConversion"/>
  </si>
  <si>
    <t>Standard milestones (8): 'CTA submission', 'First SIV', 'LPI', 'intrtim DB lock cut-off', 'interim DB lock', 'final DB lock cut-off', 'final DB lock'.</t>
    <phoneticPr fontId="10" type="noConversion"/>
  </si>
  <si>
    <t>Milestone-to-period mapping: 
1. Start-up = one month prior to 'CTA submission' upto totally 4 months
2. Conduct = after 'Start-up' period upto 3 months prior to interim DB lock (if interim DB lock milestone is not given, final DB lock to be used)  
3. Close-out = 2 months prior to interim DB lock (or final DB lock) to DB lock</t>
    <phoneticPr fontId="10" type="noConversion"/>
  </si>
  <si>
    <t>Actual numbers to be filled into the source file (excel).</t>
    <phoneticPr fontId="10" type="noConversion"/>
  </si>
  <si>
    <t>Others' project (i.e. not clinical trial) will have different period set. ('Planning' / 'Develop' / 'Close')</t>
    <phoneticPr fontId="10" type="noConversion"/>
  </si>
  <si>
    <t>Retiring 'system_prepared_by' - the four *_setup columns you added say the same thing more precisely. Confirm it can be dropped, or say what it covers that they do not.</t>
    <phoneticPr fontId="10" type="noConversion"/>
  </si>
  <si>
    <t>EDC_setup</t>
    <phoneticPr fontId="10" type="noConversion"/>
  </si>
  <si>
    <t>system_prepared_by' was replaced by 'EDC_setup' ~ 'DM_conduct' fields as detail information. The 'system_prepared_by' can be dropped.</t>
    <phoneticPr fontId="10" type="noConversion"/>
  </si>
  <si>
    <t>REQ-IMP-07 lets data be edited on screen. Should EVERY field be editable, or only some - dates and weights, say - with identifiers and structural fields left read-only? Editable IDs make it easy to break the links between sheets.</t>
    <phoneticPr fontId="10" type="noConversion"/>
  </si>
  <si>
    <t>Every field to be editable. Instead, the validation rule to prevent inconsistency between sheets.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</si>
</sst>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10"/>
      <name val="Consolas"/>
    </font>
    <font>
      <sz val="8"/>
      <name val="맑은 고딕"/>
      <family val="3"/>
      <charset val="129"/>
      <scheme val="minor"/>
    </font>
    <font>
      <sz val="10"/>
      <name val="Arial"/>
      <family val="2"/>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C6E0B4"/>
      </patternFill>
    </fill>
    <fill>
      <patternFill patternType="solid">
        <fgColor rgb="FFFCE4D6"/>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0" xfId="0" applyFont="1" applyFill="1"/>
    <xf numFmtId="0" fontId="4" fillId="5" borderId="0" xfId="0" applyFont="1" applyFill="1"/>
    <xf numFmtId="0" fontId="4" fillId="6" borderId="0" xfId="0" applyFont="1" applyFill="1"/>
    <xf numFmtId="0" fontId="7" fillId="0" borderId="0" xfId="0" applyFont="1"/>
    <xf numFmtId="0" fontId="8" fillId="0" borderId="0" xfId="0" applyFont="1"/>
    <xf numFmtId="0" fontId="4" fillId="5" borderId="1" xfId="0" applyFont="1" applyFill="1" applyBorder="1" applyAlignment="1">
      <alignment vertical="top" wrapText="1"/>
    </xf>
    <xf numFmtId="0" fontId="4" fillId="5"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0" fontId="9" fillId="0" borderId="0" xfId="0" applyFont="1"/>
    <xf numFmtId="0" fontId="4" fillId="6" borderId="1" xfId="0" applyFont="1" applyFill="1" applyBorder="1" applyAlignment="1">
      <alignment vertical="top" wrapText="1"/>
    </xf>
    <xf numFmtId="0" fontId="4" fillId="6" borderId="1" xfId="0" applyFont="1" applyFill="1" applyBorder="1" applyAlignment="1">
      <alignment vertical="top"/>
    </xf>
    <xf numFmtId="0" fontId="11" fillId="4" borderId="1" xfId="0" applyFont="1" applyFill="1" applyBorder="1" applyAlignment="1">
      <alignment vertical="top" wrapText="1"/>
    </xf>
    <xf numFmtId="0" fontId="11" fillId="0" borderId="1" xfId="0" applyFont="1" applyBorder="1" applyAlignment="1">
      <alignment vertical="top" wrapText="1"/>
    </xf>
    <xf numFmtId="0" fontId="11" fillId="6" borderId="1" xfId="0" applyFont="1" applyFill="1" applyBorder="1" applyAlignment="1">
      <alignment vertical="top" wrapText="1"/>
    </xf>
    <xf numFmtId="0" fontId="11" fillId="3" borderId="1" xfId="0" applyFont="1" applyFill="1" applyBorder="1" applyAlignment="1">
      <alignment vertical="top" wrapText="1"/>
    </xf>
    <xf numFmtId="0" fontId="11" fillId="6" borderId="1" xfId="0" quotePrefix="1" applyFont="1" applyFill="1" applyBorder="1" applyAlignment="1">
      <alignment vertical="top" wrapText="1"/>
    </xf>
    <xf numFmtId="0" fontId="11" fillId="4" borderId="1" xfId="0" applyFont="1" applyFill="1" applyBorder="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showGridLines="0" workbookViewId="0"/>
  </sheetViews>
  <sheetFormatPr defaultRowHeight="16.899999999999999" x14ac:dyDescent="0.6"/>
  <cols>
    <col min="1" max="1" width="26" customWidth="1"/>
    <col min="2" max="2" width="84"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1" x14ac:dyDescent="0.6">
      <c r="A17" s="6" t="s">
        <v>24</v>
      </c>
    </row>
    <row r="18" spans="1:1" x14ac:dyDescent="0.6">
      <c r="A18" s="6" t="s">
        <v>25</v>
      </c>
    </row>
    <row r="19" spans="1:1" x14ac:dyDescent="0.6">
      <c r="A19" s="6"/>
    </row>
    <row r="20" spans="1:1" x14ac:dyDescent="0.6">
      <c r="A20" s="6" t="s">
        <v>26</v>
      </c>
    </row>
    <row r="21" spans="1:1" x14ac:dyDescent="0.6">
      <c r="A21" s="6" t="s">
        <v>27</v>
      </c>
    </row>
    <row r="22" spans="1:1" x14ac:dyDescent="0.6">
      <c r="A22" s="6" t="s">
        <v>28</v>
      </c>
    </row>
    <row r="23" spans="1:1" x14ac:dyDescent="0.6">
      <c r="A23" s="6" t="s">
        <v>29</v>
      </c>
    </row>
    <row r="24" spans="1:1" x14ac:dyDescent="0.6">
      <c r="A24" s="6" t="s">
        <v>30</v>
      </c>
    </row>
    <row r="25" spans="1:1" x14ac:dyDescent="0.6">
      <c r="A25" s="6" t="s">
        <v>31</v>
      </c>
    </row>
    <row r="26" spans="1:1" x14ac:dyDescent="0.6">
      <c r="A26" s="6" t="s">
        <v>32</v>
      </c>
    </row>
    <row r="27" spans="1:1" x14ac:dyDescent="0.6">
      <c r="A27" s="6" t="s">
        <v>33</v>
      </c>
    </row>
    <row r="28" spans="1:1" x14ac:dyDescent="0.6">
      <c r="A28" s="6" t="s">
        <v>34</v>
      </c>
    </row>
    <row r="29" spans="1:1" x14ac:dyDescent="0.6">
      <c r="A29" s="6"/>
    </row>
    <row r="30" spans="1:1" x14ac:dyDescent="0.6">
      <c r="A30" s="6" t="s">
        <v>35</v>
      </c>
    </row>
    <row r="31" spans="1:1" x14ac:dyDescent="0.6">
      <c r="A31" s="6" t="s">
        <v>36</v>
      </c>
    </row>
    <row r="33" spans="1:2" x14ac:dyDescent="0.6">
      <c r="A33" s="5" t="s">
        <v>37</v>
      </c>
    </row>
    <row r="34" spans="1:2" ht="28.05" customHeight="1" x14ac:dyDescent="0.6">
      <c r="A34" s="7" t="s">
        <v>38</v>
      </c>
      <c r="B34" s="7" t="s">
        <v>39</v>
      </c>
    </row>
    <row r="35" spans="1:2" x14ac:dyDescent="0.6">
      <c r="A35" s="8" t="s">
        <v>40</v>
      </c>
      <c r="B35" s="9" t="s">
        <v>41</v>
      </c>
    </row>
    <row r="36" spans="1:2" x14ac:dyDescent="0.6">
      <c r="A36" s="10" t="s">
        <v>42</v>
      </c>
      <c r="B36" s="11" t="s">
        <v>43</v>
      </c>
    </row>
    <row r="37" spans="1:2" x14ac:dyDescent="0.6">
      <c r="A37" s="8" t="s">
        <v>44</v>
      </c>
      <c r="B37" s="9" t="s">
        <v>45</v>
      </c>
    </row>
    <row r="38" spans="1:2" x14ac:dyDescent="0.6">
      <c r="A38" s="10" t="s">
        <v>46</v>
      </c>
      <c r="B38" s="11" t="s">
        <v>47</v>
      </c>
    </row>
    <row r="39" spans="1:2" x14ac:dyDescent="0.6">
      <c r="A39" s="8" t="s">
        <v>48</v>
      </c>
      <c r="B39" s="9" t="s">
        <v>49</v>
      </c>
    </row>
    <row r="40" spans="1:2" x14ac:dyDescent="0.6">
      <c r="A40" s="10" t="s">
        <v>50</v>
      </c>
      <c r="B40" s="11" t="s">
        <v>51</v>
      </c>
    </row>
    <row r="41" spans="1:2" x14ac:dyDescent="0.6">
      <c r="A41" s="8" t="s">
        <v>52</v>
      </c>
      <c r="B41" s="9" t="s">
        <v>53</v>
      </c>
    </row>
    <row r="42" spans="1:2" x14ac:dyDescent="0.6">
      <c r="A42" s="10" t="s">
        <v>54</v>
      </c>
      <c r="B42" s="11" t="s">
        <v>55</v>
      </c>
    </row>
    <row r="43" spans="1:2" x14ac:dyDescent="0.6">
      <c r="A43" s="8" t="s">
        <v>56</v>
      </c>
      <c r="B43" s="9" t="s">
        <v>57</v>
      </c>
    </row>
    <row r="44" spans="1:2" x14ac:dyDescent="0.6">
      <c r="A44" s="10" t="s">
        <v>58</v>
      </c>
      <c r="B44" s="11" t="s">
        <v>59</v>
      </c>
    </row>
    <row r="45" spans="1:2" x14ac:dyDescent="0.6">
      <c r="A45" s="8" t="s">
        <v>60</v>
      </c>
      <c r="B45" s="9" t="s">
        <v>61</v>
      </c>
    </row>
    <row r="46" spans="1:2" x14ac:dyDescent="0.6">
      <c r="A46" s="10" t="s">
        <v>62</v>
      </c>
      <c r="B46" s="11" t="s">
        <v>63</v>
      </c>
    </row>
    <row r="47" spans="1:2" x14ac:dyDescent="0.6">
      <c r="A47" s="8" t="s">
        <v>64</v>
      </c>
      <c r="B47" s="9" t="s">
        <v>65</v>
      </c>
    </row>
    <row r="49" spans="1:1" x14ac:dyDescent="0.6">
      <c r="A49" s="3" t="s">
        <v>66</v>
      </c>
    </row>
    <row r="50" spans="1:1" x14ac:dyDescent="0.6">
      <c r="A50" s="12" t="s">
        <v>67</v>
      </c>
    </row>
    <row r="51" spans="1:1" x14ac:dyDescent="0.6">
      <c r="A51" s="13" t="s">
        <v>68</v>
      </c>
    </row>
    <row r="52" spans="1:1" x14ac:dyDescent="0.6">
      <c r="A52" s="14" t="s">
        <v>69</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workbookViewId="0">
      <pane ySplit="4" topLeftCell="A5"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6" customWidth="1"/>
  </cols>
  <sheetData>
    <row r="1" spans="1:6" ht="20.65" x14ac:dyDescent="0.6">
      <c r="A1" s="15" t="s">
        <v>70</v>
      </c>
    </row>
    <row r="2" spans="1:6" x14ac:dyDescent="0.6">
      <c r="A2" s="16" t="s">
        <v>71</v>
      </c>
    </row>
    <row r="4" spans="1:6" ht="28.05" customHeight="1" x14ac:dyDescent="0.6">
      <c r="A4" s="7" t="s">
        <v>6</v>
      </c>
      <c r="B4" s="7" t="s">
        <v>72</v>
      </c>
      <c r="C4" s="7" t="s">
        <v>12</v>
      </c>
      <c r="D4" s="7" t="s">
        <v>14</v>
      </c>
      <c r="E4" s="7" t="s">
        <v>73</v>
      </c>
      <c r="F4" s="7" t="s">
        <v>8</v>
      </c>
    </row>
    <row r="5" spans="1:6" ht="25.5" x14ac:dyDescent="0.6">
      <c r="A5" s="8" t="s">
        <v>74</v>
      </c>
      <c r="B5" s="8" t="s">
        <v>75</v>
      </c>
      <c r="C5" s="8" t="s">
        <v>13</v>
      </c>
      <c r="D5" s="8" t="s">
        <v>76</v>
      </c>
      <c r="E5" s="9" t="s">
        <v>77</v>
      </c>
      <c r="F5" s="8" t="s">
        <v>78</v>
      </c>
    </row>
    <row r="6" spans="1:6" ht="38.25" x14ac:dyDescent="0.6">
      <c r="A6" s="10" t="s">
        <v>79</v>
      </c>
      <c r="B6" s="10" t="s">
        <v>11</v>
      </c>
      <c r="C6" s="10" t="s">
        <v>80</v>
      </c>
      <c r="D6" s="10" t="s">
        <v>80</v>
      </c>
      <c r="E6" s="11" t="s">
        <v>81</v>
      </c>
      <c r="F6" s="10" t="s">
        <v>82</v>
      </c>
    </row>
    <row r="7" spans="1:6" ht="51" x14ac:dyDescent="0.6">
      <c r="A7" s="8" t="s">
        <v>83</v>
      </c>
      <c r="B7" s="8" t="s">
        <v>11</v>
      </c>
      <c r="C7" s="8" t="s">
        <v>13</v>
      </c>
      <c r="D7" s="8" t="s">
        <v>84</v>
      </c>
      <c r="E7" s="9" t="s">
        <v>85</v>
      </c>
      <c r="F7" s="8" t="s">
        <v>86</v>
      </c>
    </row>
    <row r="9" spans="1:6" x14ac:dyDescent="0.6">
      <c r="A9" s="16" t="s">
        <v>87</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
  <sheetViews>
    <sheetView showGridLines="0" workbookViewId="0">
      <pane ySplit="3" topLeftCell="A4" activePane="bottomLeft" state="frozen"/>
      <selection pane="bottomLeft"/>
    </sheetView>
  </sheetViews>
  <sheetFormatPr defaultRowHeight="16.899999999999999" x14ac:dyDescent="0.6"/>
  <cols>
    <col min="1" max="1" width="28" customWidth="1"/>
    <col min="2" max="2" width="12" customWidth="1"/>
    <col min="3" max="3" width="96" customWidth="1"/>
    <col min="4" max="4" width="10" customWidth="1"/>
  </cols>
  <sheetData>
    <row r="1" spans="1:4" ht="20.65" x14ac:dyDescent="0.6">
      <c r="A1" s="15" t="s">
        <v>88</v>
      </c>
    </row>
    <row r="3" spans="1:4" x14ac:dyDescent="0.6">
      <c r="A3" s="5" t="s">
        <v>89</v>
      </c>
    </row>
    <row r="4" spans="1:4" x14ac:dyDescent="0.6">
      <c r="A4" s="6" t="s">
        <v>90</v>
      </c>
    </row>
    <row r="5" spans="1:4" x14ac:dyDescent="0.6">
      <c r="A5" s="6" t="s">
        <v>91</v>
      </c>
    </row>
    <row r="6" spans="1:4" x14ac:dyDescent="0.6">
      <c r="A6" s="6" t="s">
        <v>92</v>
      </c>
    </row>
    <row r="7" spans="1:4" x14ac:dyDescent="0.6">
      <c r="A7" s="6"/>
    </row>
    <row r="8" spans="1:4" x14ac:dyDescent="0.6">
      <c r="A8" s="6" t="s">
        <v>93</v>
      </c>
    </row>
    <row r="9" spans="1:4" x14ac:dyDescent="0.6">
      <c r="A9" s="6" t="s">
        <v>94</v>
      </c>
    </row>
    <row r="11" spans="1:4" x14ac:dyDescent="0.6">
      <c r="A11" s="5" t="s">
        <v>95</v>
      </c>
    </row>
    <row r="12" spans="1:4" ht="28.05" customHeight="1" x14ac:dyDescent="0.6">
      <c r="A12" s="7" t="s">
        <v>96</v>
      </c>
      <c r="B12" s="7" t="s">
        <v>97</v>
      </c>
      <c r="C12" s="7" t="s">
        <v>98</v>
      </c>
      <c r="D12" s="7" t="s">
        <v>99</v>
      </c>
    </row>
    <row r="13" spans="1:4" ht="114.75" x14ac:dyDescent="0.6">
      <c r="A13" s="8" t="s">
        <v>100</v>
      </c>
      <c r="B13" s="9" t="s">
        <v>101</v>
      </c>
      <c r="C13" s="9" t="s">
        <v>102</v>
      </c>
      <c r="D13" s="8" t="s">
        <v>103</v>
      </c>
    </row>
    <row r="14" spans="1:4" ht="127.5" x14ac:dyDescent="0.6">
      <c r="A14" s="10" t="s">
        <v>104</v>
      </c>
      <c r="B14" s="11" t="s">
        <v>105</v>
      </c>
      <c r="C14" s="11" t="s">
        <v>106</v>
      </c>
      <c r="D14" s="10" t="s">
        <v>107</v>
      </c>
    </row>
    <row r="15" spans="1:4" ht="76.5" x14ac:dyDescent="0.6">
      <c r="A15" s="8" t="s">
        <v>108</v>
      </c>
      <c r="B15" s="9" t="s">
        <v>109</v>
      </c>
      <c r="C15" s="9" t="s">
        <v>110</v>
      </c>
      <c r="D15" s="8" t="s">
        <v>111</v>
      </c>
    </row>
    <row r="16" spans="1:4" ht="76.5" x14ac:dyDescent="0.6">
      <c r="A16" s="10" t="s">
        <v>112</v>
      </c>
      <c r="B16" s="11" t="s">
        <v>113</v>
      </c>
      <c r="C16" s="11" t="s">
        <v>114</v>
      </c>
      <c r="D16" s="10" t="s">
        <v>107</v>
      </c>
    </row>
    <row r="17" spans="1:4" ht="76.5" x14ac:dyDescent="0.6">
      <c r="A17" s="8" t="s">
        <v>115</v>
      </c>
      <c r="B17" s="9" t="s">
        <v>116</v>
      </c>
      <c r="C17" s="9" t="s">
        <v>117</v>
      </c>
      <c r="D17" s="8" t="s">
        <v>118</v>
      </c>
    </row>
    <row r="19" spans="1:4" x14ac:dyDescent="0.6">
      <c r="A19" s="5" t="s">
        <v>119</v>
      </c>
    </row>
    <row r="20" spans="1:4" ht="28.05" customHeight="1" x14ac:dyDescent="0.6">
      <c r="A20" s="7" t="s">
        <v>120</v>
      </c>
      <c r="B20" s="7" t="s">
        <v>99</v>
      </c>
    </row>
    <row r="21" spans="1:4" ht="38.25" x14ac:dyDescent="0.6">
      <c r="A21" s="9" t="s">
        <v>121</v>
      </c>
      <c r="B21" s="8" t="s">
        <v>122</v>
      </c>
    </row>
    <row r="22" spans="1:4" ht="38.25" x14ac:dyDescent="0.6">
      <c r="A22" s="17" t="s">
        <v>123</v>
      </c>
      <c r="B22" s="18" t="s">
        <v>103</v>
      </c>
    </row>
    <row r="23" spans="1:4" ht="38.25" x14ac:dyDescent="0.6">
      <c r="A23" s="19" t="s">
        <v>124</v>
      </c>
      <c r="B23" s="20" t="s">
        <v>125</v>
      </c>
    </row>
    <row r="24" spans="1:4" ht="38.25" x14ac:dyDescent="0.6">
      <c r="A24" s="11" t="s">
        <v>126</v>
      </c>
      <c r="B24" s="10" t="s">
        <v>122</v>
      </c>
    </row>
    <row r="25" spans="1:4" ht="51" x14ac:dyDescent="0.6">
      <c r="A25" s="17" t="s">
        <v>127</v>
      </c>
      <c r="B25" s="18" t="s">
        <v>128</v>
      </c>
    </row>
    <row r="26" spans="1:4" ht="38.25" x14ac:dyDescent="0.6">
      <c r="A26" s="11" t="s">
        <v>129</v>
      </c>
      <c r="B26" s="10" t="s">
        <v>122</v>
      </c>
    </row>
    <row r="27" spans="1:4" ht="25.5" x14ac:dyDescent="0.6">
      <c r="A27" s="9" t="s">
        <v>130</v>
      </c>
      <c r="B27" s="8" t="s">
        <v>122</v>
      </c>
    </row>
    <row r="28" spans="1:4" ht="38.25" x14ac:dyDescent="0.6">
      <c r="A28" s="19" t="s">
        <v>131</v>
      </c>
      <c r="B28" s="20" t="s">
        <v>111</v>
      </c>
    </row>
    <row r="29" spans="1:4" ht="38.25" x14ac:dyDescent="0.6">
      <c r="A29" s="9" t="s">
        <v>132</v>
      </c>
      <c r="B29" s="8" t="s">
        <v>122</v>
      </c>
    </row>
    <row r="31" spans="1:4" x14ac:dyDescent="0.6">
      <c r="A31" s="5" t="s">
        <v>133</v>
      </c>
    </row>
    <row r="32" spans="1:4" ht="28.05" customHeight="1" x14ac:dyDescent="0.6">
      <c r="A32" s="7" t="s">
        <v>134</v>
      </c>
      <c r="B32" s="7" t="s">
        <v>135</v>
      </c>
      <c r="C32" s="7" t="s">
        <v>8</v>
      </c>
    </row>
    <row r="33" spans="1:3" ht="38.25" x14ac:dyDescent="0.6">
      <c r="A33" s="9" t="s">
        <v>136</v>
      </c>
      <c r="B33" s="9" t="s">
        <v>137</v>
      </c>
      <c r="C33" s="8" t="s">
        <v>138</v>
      </c>
    </row>
    <row r="34" spans="1:3" ht="89.25" x14ac:dyDescent="0.6">
      <c r="A34" s="11" t="s">
        <v>139</v>
      </c>
      <c r="B34" s="11" t="s">
        <v>140</v>
      </c>
      <c r="C34" s="10" t="s">
        <v>138</v>
      </c>
    </row>
    <row r="35" spans="1:3" ht="102" x14ac:dyDescent="0.6">
      <c r="A35" s="9" t="s">
        <v>141</v>
      </c>
      <c r="B35" s="9" t="s">
        <v>142</v>
      </c>
      <c r="C35" s="8" t="s">
        <v>138</v>
      </c>
    </row>
    <row r="36" spans="1:3" ht="51" x14ac:dyDescent="0.6">
      <c r="A36" s="11" t="s">
        <v>143</v>
      </c>
      <c r="B36" s="11" t="s">
        <v>144</v>
      </c>
      <c r="C36" s="10" t="s">
        <v>138</v>
      </c>
    </row>
    <row r="37" spans="1:3" ht="25.5" x14ac:dyDescent="0.6">
      <c r="A37" s="9" t="s">
        <v>145</v>
      </c>
      <c r="B37" s="9" t="s">
        <v>146</v>
      </c>
      <c r="C37" s="8" t="s">
        <v>138</v>
      </c>
    </row>
    <row r="38" spans="1:3" ht="51" x14ac:dyDescent="0.6">
      <c r="A38" s="11" t="s">
        <v>147</v>
      </c>
      <c r="B38" s="11" t="s">
        <v>148</v>
      </c>
      <c r="C38" s="10" t="s">
        <v>138</v>
      </c>
    </row>
    <row r="39" spans="1:3" ht="89.25" x14ac:dyDescent="0.6">
      <c r="A39" s="9" t="s">
        <v>149</v>
      </c>
      <c r="B39" s="9" t="s">
        <v>150</v>
      </c>
      <c r="C39" s="8" t="s">
        <v>151</v>
      </c>
    </row>
    <row r="41" spans="1:3" x14ac:dyDescent="0.6">
      <c r="A41" s="16" t="s">
        <v>152</v>
      </c>
    </row>
    <row r="42" spans="1:3" x14ac:dyDescent="0.6">
      <c r="A42" s="5" t="s">
        <v>153</v>
      </c>
    </row>
    <row r="43" spans="1:3" ht="28.05" customHeight="1" x14ac:dyDescent="0.6">
      <c r="A43" s="7" t="s">
        <v>154</v>
      </c>
      <c r="B43" s="7" t="s">
        <v>155</v>
      </c>
      <c r="C43" s="7" t="s">
        <v>156</v>
      </c>
    </row>
    <row r="44" spans="1:3" x14ac:dyDescent="0.6">
      <c r="A44" s="8" t="s">
        <v>157</v>
      </c>
      <c r="B44" s="8" t="s">
        <v>158</v>
      </c>
      <c r="C44" s="9" t="s">
        <v>159</v>
      </c>
    </row>
    <row r="45" spans="1:3" x14ac:dyDescent="0.6">
      <c r="A45" s="10" t="s">
        <v>160</v>
      </c>
      <c r="B45" s="10" t="s">
        <v>161</v>
      </c>
      <c r="C45" s="11" t="s">
        <v>162</v>
      </c>
    </row>
    <row r="46" spans="1:3" x14ac:dyDescent="0.6">
      <c r="A46" s="8" t="s">
        <v>163</v>
      </c>
      <c r="B46" s="8" t="s">
        <v>161</v>
      </c>
      <c r="C46" s="9" t="s">
        <v>164</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6"/>
  <sheetViews>
    <sheetView showGridLines="0" workbookViewId="0">
      <pane ySplit="4" topLeftCell="A44" activePane="bottomLeft" state="frozen"/>
      <selection pane="bottomLeft" activeCell="A51" sqref="A51"/>
    </sheetView>
  </sheetViews>
  <sheetFormatPr defaultRowHeight="16.899999999999999" x14ac:dyDescent="0.6"/>
  <cols>
    <col min="1" max="1" width="15" customWidth="1"/>
    <col min="2" max="2" width="12" customWidth="1"/>
    <col min="3" max="3" width="92" customWidth="1"/>
    <col min="4" max="4" width="10" customWidth="1"/>
    <col min="5" max="5" width="18" customWidth="1"/>
    <col min="6" max="6" width="8" customWidth="1"/>
  </cols>
  <sheetData>
    <row r="1" spans="1:6" ht="20.65" x14ac:dyDescent="0.6">
      <c r="A1" s="15" t="s">
        <v>165</v>
      </c>
    </row>
    <row r="2" spans="1:6" x14ac:dyDescent="0.6">
      <c r="A2" s="16" t="s">
        <v>166</v>
      </c>
    </row>
    <row r="4" spans="1:6" ht="28.05" customHeight="1" x14ac:dyDescent="0.6">
      <c r="A4" s="7" t="s">
        <v>167</v>
      </c>
      <c r="B4" s="7" t="s">
        <v>168</v>
      </c>
      <c r="C4" s="7" t="s">
        <v>169</v>
      </c>
      <c r="D4" s="7" t="s">
        <v>170</v>
      </c>
      <c r="E4" s="7" t="s">
        <v>171</v>
      </c>
      <c r="F4" s="7" t="s">
        <v>172</v>
      </c>
    </row>
    <row r="5" spans="1:6" ht="25.5" x14ac:dyDescent="0.6">
      <c r="A5" s="8" t="s">
        <v>173</v>
      </c>
      <c r="B5" s="8" t="s">
        <v>174</v>
      </c>
      <c r="C5" s="9" t="s">
        <v>175</v>
      </c>
      <c r="D5" s="8" t="s">
        <v>176</v>
      </c>
      <c r="E5" s="8" t="s">
        <v>80</v>
      </c>
      <c r="F5" s="8" t="s">
        <v>177</v>
      </c>
    </row>
    <row r="6" spans="1:6" ht="25.5" x14ac:dyDescent="0.6">
      <c r="A6" s="10" t="s">
        <v>178</v>
      </c>
      <c r="B6" s="10" t="s">
        <v>174</v>
      </c>
      <c r="C6" s="11" t="s">
        <v>179</v>
      </c>
      <c r="D6" s="10" t="s">
        <v>176</v>
      </c>
      <c r="E6" s="10" t="s">
        <v>80</v>
      </c>
      <c r="F6" s="10" t="s">
        <v>177</v>
      </c>
    </row>
    <row r="7" spans="1:6" x14ac:dyDescent="0.6">
      <c r="A7" s="18" t="s">
        <v>180</v>
      </c>
      <c r="B7" s="18" t="s">
        <v>174</v>
      </c>
      <c r="C7" s="17" t="s">
        <v>181</v>
      </c>
      <c r="D7" s="18" t="s">
        <v>176</v>
      </c>
      <c r="E7" s="18" t="s">
        <v>103</v>
      </c>
      <c r="F7" s="18" t="s">
        <v>177</v>
      </c>
    </row>
    <row r="8" spans="1:6" x14ac:dyDescent="0.6">
      <c r="A8" s="10" t="s">
        <v>182</v>
      </c>
      <c r="B8" s="10" t="s">
        <v>174</v>
      </c>
      <c r="C8" s="11" t="s">
        <v>183</v>
      </c>
      <c r="D8" s="10" t="s">
        <v>176</v>
      </c>
      <c r="E8" s="10" t="s">
        <v>80</v>
      </c>
      <c r="F8" s="10" t="s">
        <v>177</v>
      </c>
    </row>
    <row r="9" spans="1:6" x14ac:dyDescent="0.6">
      <c r="A9" s="8" t="s">
        <v>184</v>
      </c>
      <c r="B9" s="8" t="s">
        <v>174</v>
      </c>
      <c r="C9" s="9" t="s">
        <v>185</v>
      </c>
      <c r="D9" s="8" t="s">
        <v>176</v>
      </c>
      <c r="E9" s="8" t="s">
        <v>80</v>
      </c>
      <c r="F9" s="8" t="s">
        <v>186</v>
      </c>
    </row>
    <row r="10" spans="1:6" x14ac:dyDescent="0.6">
      <c r="A10" s="10" t="s">
        <v>187</v>
      </c>
      <c r="B10" s="10" t="s">
        <v>188</v>
      </c>
      <c r="C10" s="11" t="s">
        <v>189</v>
      </c>
      <c r="D10" s="10" t="s">
        <v>176</v>
      </c>
      <c r="E10" s="10" t="s">
        <v>80</v>
      </c>
      <c r="F10" s="10" t="s">
        <v>190</v>
      </c>
    </row>
    <row r="11" spans="1:6" ht="25.5" x14ac:dyDescent="0.6">
      <c r="A11" s="8" t="s">
        <v>191</v>
      </c>
      <c r="B11" s="8" t="s">
        <v>188</v>
      </c>
      <c r="C11" s="9" t="s">
        <v>192</v>
      </c>
      <c r="D11" s="8" t="s">
        <v>176</v>
      </c>
      <c r="E11" s="8" t="s">
        <v>80</v>
      </c>
      <c r="F11" s="8" t="s">
        <v>190</v>
      </c>
    </row>
    <row r="12" spans="1:6" x14ac:dyDescent="0.6">
      <c r="A12" s="10" t="s">
        <v>193</v>
      </c>
      <c r="B12" s="10" t="s">
        <v>188</v>
      </c>
      <c r="C12" s="11" t="s">
        <v>194</v>
      </c>
      <c r="D12" s="10" t="s">
        <v>176</v>
      </c>
      <c r="E12" s="10" t="s">
        <v>80</v>
      </c>
      <c r="F12" s="10" t="s">
        <v>190</v>
      </c>
    </row>
    <row r="13" spans="1:6" x14ac:dyDescent="0.6">
      <c r="A13" s="8" t="s">
        <v>195</v>
      </c>
      <c r="B13" s="8" t="s">
        <v>188</v>
      </c>
      <c r="C13" s="9" t="s">
        <v>196</v>
      </c>
      <c r="D13" s="8" t="s">
        <v>176</v>
      </c>
      <c r="E13" s="8" t="s">
        <v>80</v>
      </c>
      <c r="F13" s="8" t="s">
        <v>190</v>
      </c>
    </row>
    <row r="14" spans="1:6" x14ac:dyDescent="0.6">
      <c r="A14" s="10" t="s">
        <v>197</v>
      </c>
      <c r="B14" s="10" t="s">
        <v>188</v>
      </c>
      <c r="C14" s="11" t="s">
        <v>198</v>
      </c>
      <c r="D14" s="10" t="s">
        <v>176</v>
      </c>
      <c r="E14" s="10" t="s">
        <v>80</v>
      </c>
      <c r="F14" s="10" t="s">
        <v>190</v>
      </c>
    </row>
    <row r="15" spans="1:6" x14ac:dyDescent="0.6">
      <c r="A15" s="8" t="s">
        <v>199</v>
      </c>
      <c r="B15" s="8" t="s">
        <v>188</v>
      </c>
      <c r="C15" s="9" t="s">
        <v>200</v>
      </c>
      <c r="D15" s="8" t="s">
        <v>176</v>
      </c>
      <c r="E15" s="8" t="s">
        <v>80</v>
      </c>
      <c r="F15" s="8" t="s">
        <v>190</v>
      </c>
    </row>
    <row r="16" spans="1:6" x14ac:dyDescent="0.6">
      <c r="A16" s="10" t="s">
        <v>201</v>
      </c>
      <c r="B16" s="10" t="s">
        <v>188</v>
      </c>
      <c r="C16" s="11" t="s">
        <v>202</v>
      </c>
      <c r="D16" s="10" t="s">
        <v>203</v>
      </c>
      <c r="E16" s="10" t="s">
        <v>80</v>
      </c>
      <c r="F16" s="10" t="s">
        <v>190</v>
      </c>
    </row>
    <row r="17" spans="1:6" x14ac:dyDescent="0.6">
      <c r="A17" s="8" t="s">
        <v>204</v>
      </c>
      <c r="B17" s="8" t="s">
        <v>188</v>
      </c>
      <c r="C17" s="9" t="s">
        <v>205</v>
      </c>
      <c r="D17" s="8" t="s">
        <v>203</v>
      </c>
      <c r="E17" s="8" t="s">
        <v>206</v>
      </c>
      <c r="F17" s="8" t="s">
        <v>190</v>
      </c>
    </row>
    <row r="18" spans="1:6" x14ac:dyDescent="0.6">
      <c r="A18" s="20" t="s">
        <v>207</v>
      </c>
      <c r="B18" s="20" t="s">
        <v>188</v>
      </c>
      <c r="C18" s="19" t="s">
        <v>208</v>
      </c>
      <c r="D18" s="20" t="s">
        <v>176</v>
      </c>
      <c r="E18" s="20" t="s">
        <v>209</v>
      </c>
      <c r="F18" s="20" t="s">
        <v>190</v>
      </c>
    </row>
    <row r="19" spans="1:6" ht="25.5" x14ac:dyDescent="0.6">
      <c r="A19" s="20" t="s">
        <v>210</v>
      </c>
      <c r="B19" s="20" t="s">
        <v>188</v>
      </c>
      <c r="C19" s="19" t="s">
        <v>211</v>
      </c>
      <c r="D19" s="20" t="s">
        <v>176</v>
      </c>
      <c r="E19" s="20" t="s">
        <v>209</v>
      </c>
      <c r="F19" s="20" t="s">
        <v>190</v>
      </c>
    </row>
    <row r="20" spans="1:6" ht="25.5" x14ac:dyDescent="0.6">
      <c r="A20" s="20" t="s">
        <v>212</v>
      </c>
      <c r="B20" s="20" t="s">
        <v>188</v>
      </c>
      <c r="C20" s="19" t="s">
        <v>213</v>
      </c>
      <c r="D20" s="20" t="s">
        <v>176</v>
      </c>
      <c r="E20" s="20" t="s">
        <v>209</v>
      </c>
      <c r="F20" s="20" t="s">
        <v>190</v>
      </c>
    </row>
    <row r="21" spans="1:6" x14ac:dyDescent="0.6">
      <c r="A21" s="8" t="s">
        <v>214</v>
      </c>
      <c r="B21" s="8" t="s">
        <v>215</v>
      </c>
      <c r="C21" s="9" t="s">
        <v>216</v>
      </c>
      <c r="D21" s="8" t="s">
        <v>176</v>
      </c>
      <c r="E21" s="8" t="s">
        <v>80</v>
      </c>
      <c r="F21" s="8" t="s">
        <v>190</v>
      </c>
    </row>
    <row r="22" spans="1:6" x14ac:dyDescent="0.6">
      <c r="A22" s="10" t="s">
        <v>217</v>
      </c>
      <c r="B22" s="10" t="s">
        <v>215</v>
      </c>
      <c r="C22" s="11" t="s">
        <v>218</v>
      </c>
      <c r="D22" s="10" t="s">
        <v>176</v>
      </c>
      <c r="E22" s="10" t="s">
        <v>80</v>
      </c>
      <c r="F22" s="10" t="s">
        <v>190</v>
      </c>
    </row>
    <row r="23" spans="1:6" x14ac:dyDescent="0.6">
      <c r="A23" s="18" t="s">
        <v>219</v>
      </c>
      <c r="B23" s="18" t="s">
        <v>215</v>
      </c>
      <c r="C23" s="17" t="s">
        <v>220</v>
      </c>
      <c r="D23" s="18" t="s">
        <v>176</v>
      </c>
      <c r="E23" s="18" t="s">
        <v>221</v>
      </c>
      <c r="F23" s="18" t="s">
        <v>190</v>
      </c>
    </row>
    <row r="24" spans="1:6" x14ac:dyDescent="0.6">
      <c r="A24" s="10" t="s">
        <v>222</v>
      </c>
      <c r="B24" s="10" t="s">
        <v>215</v>
      </c>
      <c r="C24" s="11" t="s">
        <v>223</v>
      </c>
      <c r="D24" s="10" t="s">
        <v>176</v>
      </c>
      <c r="E24" s="10" t="s">
        <v>80</v>
      </c>
      <c r="F24" s="10" t="s">
        <v>190</v>
      </c>
    </row>
    <row r="25" spans="1:6" ht="25.5" x14ac:dyDescent="0.6">
      <c r="A25" s="18" t="s">
        <v>224</v>
      </c>
      <c r="B25" s="18" t="s">
        <v>215</v>
      </c>
      <c r="C25" s="17" t="s">
        <v>225</v>
      </c>
      <c r="D25" s="18" t="s">
        <v>176</v>
      </c>
      <c r="E25" s="18" t="s">
        <v>107</v>
      </c>
      <c r="F25" s="18" t="s">
        <v>190</v>
      </c>
    </row>
    <row r="26" spans="1:6" x14ac:dyDescent="0.6">
      <c r="A26" s="10" t="s">
        <v>226</v>
      </c>
      <c r="B26" s="10" t="s">
        <v>215</v>
      </c>
      <c r="C26" s="11" t="s">
        <v>227</v>
      </c>
      <c r="D26" s="10" t="s">
        <v>203</v>
      </c>
      <c r="E26" s="10" t="s">
        <v>80</v>
      </c>
      <c r="F26" s="10" t="s">
        <v>190</v>
      </c>
    </row>
    <row r="27" spans="1:6" ht="25.5" x14ac:dyDescent="0.6">
      <c r="A27" s="8" t="s">
        <v>228</v>
      </c>
      <c r="B27" s="8" t="s">
        <v>215</v>
      </c>
      <c r="C27" s="9" t="s">
        <v>229</v>
      </c>
      <c r="D27" s="8" t="s">
        <v>176</v>
      </c>
      <c r="E27" s="8" t="s">
        <v>206</v>
      </c>
      <c r="F27" s="8" t="s">
        <v>190</v>
      </c>
    </row>
    <row r="28" spans="1:6" x14ac:dyDescent="0.6">
      <c r="A28" s="18" t="s">
        <v>230</v>
      </c>
      <c r="B28" s="18" t="s">
        <v>231</v>
      </c>
      <c r="C28" s="17" t="s">
        <v>232</v>
      </c>
      <c r="D28" s="18" t="s">
        <v>176</v>
      </c>
      <c r="E28" s="18" t="s">
        <v>233</v>
      </c>
      <c r="F28" s="18" t="s">
        <v>177</v>
      </c>
    </row>
    <row r="29" spans="1:6" ht="25.5" x14ac:dyDescent="0.6">
      <c r="A29" s="18" t="s">
        <v>234</v>
      </c>
      <c r="B29" s="18" t="s">
        <v>231</v>
      </c>
      <c r="C29" s="17" t="s">
        <v>235</v>
      </c>
      <c r="D29" s="18" t="s">
        <v>176</v>
      </c>
      <c r="E29" s="18" t="s">
        <v>107</v>
      </c>
      <c r="F29" s="18" t="s">
        <v>236</v>
      </c>
    </row>
    <row r="30" spans="1:6" x14ac:dyDescent="0.6">
      <c r="A30" s="10" t="s">
        <v>237</v>
      </c>
      <c r="B30" s="10" t="s">
        <v>231</v>
      </c>
      <c r="C30" s="11" t="s">
        <v>238</v>
      </c>
      <c r="D30" s="10" t="s">
        <v>176</v>
      </c>
      <c r="E30" s="10" t="s">
        <v>80</v>
      </c>
      <c r="F30" s="10" t="s">
        <v>177</v>
      </c>
    </row>
    <row r="31" spans="1:6" x14ac:dyDescent="0.6">
      <c r="A31" s="18" t="s">
        <v>239</v>
      </c>
      <c r="B31" s="18" t="s">
        <v>231</v>
      </c>
      <c r="C31" s="17" t="s">
        <v>240</v>
      </c>
      <c r="D31" s="18" t="s">
        <v>176</v>
      </c>
      <c r="E31" s="18" t="s">
        <v>111</v>
      </c>
      <c r="F31" s="18" t="s">
        <v>177</v>
      </c>
    </row>
    <row r="32" spans="1:6" x14ac:dyDescent="0.6">
      <c r="A32" s="18" t="s">
        <v>241</v>
      </c>
      <c r="B32" s="18" t="s">
        <v>231</v>
      </c>
      <c r="C32" s="17" t="s">
        <v>242</v>
      </c>
      <c r="D32" s="18" t="s">
        <v>176</v>
      </c>
      <c r="E32" s="18" t="s">
        <v>243</v>
      </c>
      <c r="F32" s="18" t="s">
        <v>177</v>
      </c>
    </row>
    <row r="33" spans="1:6" x14ac:dyDescent="0.6">
      <c r="A33" s="8" t="s">
        <v>244</v>
      </c>
      <c r="B33" s="8" t="s">
        <v>231</v>
      </c>
      <c r="C33" s="9" t="s">
        <v>245</v>
      </c>
      <c r="D33" s="8" t="s">
        <v>176</v>
      </c>
      <c r="E33" s="8" t="s">
        <v>206</v>
      </c>
      <c r="F33" s="8" t="s">
        <v>177</v>
      </c>
    </row>
    <row r="34" spans="1:6" ht="25.5" x14ac:dyDescent="0.6">
      <c r="A34" s="20" t="s">
        <v>246</v>
      </c>
      <c r="B34" s="20" t="s">
        <v>231</v>
      </c>
      <c r="C34" s="19" t="s">
        <v>247</v>
      </c>
      <c r="D34" s="20" t="s">
        <v>176</v>
      </c>
      <c r="E34" s="20" t="s">
        <v>111</v>
      </c>
      <c r="F34" s="20" t="s">
        <v>177</v>
      </c>
    </row>
    <row r="35" spans="1:6" ht="25.5" x14ac:dyDescent="0.6">
      <c r="A35" s="20" t="s">
        <v>248</v>
      </c>
      <c r="B35" s="20" t="s">
        <v>231</v>
      </c>
      <c r="C35" s="19" t="s">
        <v>249</v>
      </c>
      <c r="D35" s="20" t="s">
        <v>176</v>
      </c>
      <c r="E35" s="20" t="s">
        <v>111</v>
      </c>
      <c r="F35" s="20" t="s">
        <v>177</v>
      </c>
    </row>
    <row r="36" spans="1:6" ht="25.5" x14ac:dyDescent="0.6">
      <c r="A36" s="20" t="s">
        <v>250</v>
      </c>
      <c r="B36" s="20" t="s">
        <v>231</v>
      </c>
      <c r="C36" s="19" t="s">
        <v>251</v>
      </c>
      <c r="D36" s="20" t="s">
        <v>203</v>
      </c>
      <c r="E36" s="20" t="s">
        <v>252</v>
      </c>
      <c r="F36" s="20" t="s">
        <v>236</v>
      </c>
    </row>
    <row r="37" spans="1:6" x14ac:dyDescent="0.6">
      <c r="A37" s="8" t="s">
        <v>253</v>
      </c>
      <c r="B37" s="8" t="s">
        <v>254</v>
      </c>
      <c r="C37" s="9" t="s">
        <v>255</v>
      </c>
      <c r="D37" s="8" t="s">
        <v>176</v>
      </c>
      <c r="E37" s="8" t="s">
        <v>80</v>
      </c>
      <c r="F37" s="8" t="s">
        <v>256</v>
      </c>
    </row>
    <row r="38" spans="1:6" x14ac:dyDescent="0.6">
      <c r="A38" s="10" t="s">
        <v>257</v>
      </c>
      <c r="B38" s="10" t="s">
        <v>254</v>
      </c>
      <c r="C38" s="11" t="s">
        <v>258</v>
      </c>
      <c r="D38" s="10" t="s">
        <v>176</v>
      </c>
      <c r="E38" s="10" t="s">
        <v>80</v>
      </c>
      <c r="F38" s="10" t="s">
        <v>256</v>
      </c>
    </row>
    <row r="39" spans="1:6" x14ac:dyDescent="0.6">
      <c r="A39" s="8" t="s">
        <v>259</v>
      </c>
      <c r="B39" s="8" t="s">
        <v>254</v>
      </c>
      <c r="C39" s="9" t="s">
        <v>260</v>
      </c>
      <c r="D39" s="8" t="s">
        <v>176</v>
      </c>
      <c r="E39" s="8" t="s">
        <v>80</v>
      </c>
      <c r="F39" s="8" t="s">
        <v>256</v>
      </c>
    </row>
    <row r="40" spans="1:6" x14ac:dyDescent="0.6">
      <c r="A40" s="10" t="s">
        <v>261</v>
      </c>
      <c r="B40" s="10" t="s">
        <v>254</v>
      </c>
      <c r="C40" s="11" t="s">
        <v>262</v>
      </c>
      <c r="D40" s="10" t="s">
        <v>176</v>
      </c>
      <c r="E40" s="10" t="s">
        <v>80</v>
      </c>
      <c r="F40" s="10" t="s">
        <v>256</v>
      </c>
    </row>
    <row r="41" spans="1:6" x14ac:dyDescent="0.6">
      <c r="A41" s="8" t="s">
        <v>263</v>
      </c>
      <c r="B41" s="8" t="s">
        <v>254</v>
      </c>
      <c r="C41" s="9" t="s">
        <v>264</v>
      </c>
      <c r="D41" s="8" t="s">
        <v>203</v>
      </c>
      <c r="E41" s="8" t="s">
        <v>206</v>
      </c>
      <c r="F41" s="8" t="s">
        <v>256</v>
      </c>
    </row>
    <row r="42" spans="1:6" x14ac:dyDescent="0.6">
      <c r="A42" s="10" t="s">
        <v>265</v>
      </c>
      <c r="B42" s="10" t="s">
        <v>254</v>
      </c>
      <c r="C42" s="11" t="s">
        <v>266</v>
      </c>
      <c r="D42" s="10" t="s">
        <v>203</v>
      </c>
      <c r="E42" s="10" t="s">
        <v>206</v>
      </c>
      <c r="F42" s="10" t="s">
        <v>177</v>
      </c>
    </row>
    <row r="43" spans="1:6" ht="25.5" x14ac:dyDescent="0.6">
      <c r="A43" s="20" t="s">
        <v>267</v>
      </c>
      <c r="B43" s="20" t="s">
        <v>254</v>
      </c>
      <c r="C43" s="19" t="s">
        <v>268</v>
      </c>
      <c r="D43" s="20" t="s">
        <v>176</v>
      </c>
      <c r="E43" s="20" t="s">
        <v>233</v>
      </c>
      <c r="F43" s="20" t="s">
        <v>256</v>
      </c>
    </row>
    <row r="44" spans="1:6" ht="25.5" x14ac:dyDescent="0.6">
      <c r="A44" s="20" t="s">
        <v>269</v>
      </c>
      <c r="B44" s="20" t="s">
        <v>254</v>
      </c>
      <c r="C44" s="19" t="s">
        <v>270</v>
      </c>
      <c r="D44" s="20" t="s">
        <v>176</v>
      </c>
      <c r="E44" s="20" t="s">
        <v>111</v>
      </c>
      <c r="F44" s="20" t="s">
        <v>256</v>
      </c>
    </row>
    <row r="45" spans="1:6" ht="25.5" x14ac:dyDescent="0.6">
      <c r="A45" s="18" t="s">
        <v>271</v>
      </c>
      <c r="B45" s="18" t="s">
        <v>272</v>
      </c>
      <c r="C45" s="17" t="s">
        <v>273</v>
      </c>
      <c r="D45" s="18" t="s">
        <v>176</v>
      </c>
      <c r="E45" s="18" t="s">
        <v>274</v>
      </c>
      <c r="F45" s="18" t="s">
        <v>177</v>
      </c>
    </row>
    <row r="46" spans="1:6" ht="25.5" x14ac:dyDescent="0.6">
      <c r="A46" s="10" t="s">
        <v>275</v>
      </c>
      <c r="B46" s="10" t="s">
        <v>272</v>
      </c>
      <c r="C46" s="11" t="s">
        <v>276</v>
      </c>
      <c r="D46" s="10" t="s">
        <v>176</v>
      </c>
      <c r="E46" s="10" t="s">
        <v>206</v>
      </c>
      <c r="F46" s="10" t="s">
        <v>177</v>
      </c>
    </row>
    <row r="47" spans="1:6" ht="25.5" x14ac:dyDescent="0.6">
      <c r="A47" s="18" t="s">
        <v>277</v>
      </c>
      <c r="B47" s="18" t="s">
        <v>272</v>
      </c>
      <c r="C47" s="17" t="s">
        <v>278</v>
      </c>
      <c r="D47" s="18" t="s">
        <v>176</v>
      </c>
      <c r="E47" s="18" t="s">
        <v>206</v>
      </c>
      <c r="F47" s="18" t="s">
        <v>177</v>
      </c>
    </row>
    <row r="48" spans="1:6" x14ac:dyDescent="0.6">
      <c r="A48" s="10" t="s">
        <v>279</v>
      </c>
      <c r="B48" s="10" t="s">
        <v>272</v>
      </c>
      <c r="C48" s="11" t="s">
        <v>280</v>
      </c>
      <c r="D48" s="10" t="s">
        <v>176</v>
      </c>
      <c r="E48" s="10" t="s">
        <v>206</v>
      </c>
      <c r="F48" s="10" t="s">
        <v>177</v>
      </c>
    </row>
    <row r="49" spans="1:6" x14ac:dyDescent="0.6">
      <c r="A49" s="8" t="s">
        <v>281</v>
      </c>
      <c r="B49" s="8" t="s">
        <v>272</v>
      </c>
      <c r="C49" s="9" t="s">
        <v>282</v>
      </c>
      <c r="D49" s="8" t="s">
        <v>203</v>
      </c>
      <c r="E49" s="8" t="s">
        <v>206</v>
      </c>
      <c r="F49" s="8" t="s">
        <v>177</v>
      </c>
    </row>
    <row r="50" spans="1:6" ht="25.5" x14ac:dyDescent="0.6">
      <c r="A50" s="10" t="s">
        <v>283</v>
      </c>
      <c r="B50" s="10" t="s">
        <v>272</v>
      </c>
      <c r="C50" s="11" t="s">
        <v>284</v>
      </c>
      <c r="D50" s="10" t="s">
        <v>285</v>
      </c>
      <c r="E50" s="10" t="s">
        <v>206</v>
      </c>
      <c r="F50" s="10" t="s">
        <v>177</v>
      </c>
    </row>
    <row r="51" spans="1:6" ht="25.5" x14ac:dyDescent="0.6">
      <c r="A51" s="20" t="s">
        <v>125</v>
      </c>
      <c r="B51" s="20" t="s">
        <v>272</v>
      </c>
      <c r="C51" s="19" t="s">
        <v>286</v>
      </c>
      <c r="D51" s="20" t="s">
        <v>176</v>
      </c>
      <c r="E51" s="20" t="s">
        <v>209</v>
      </c>
      <c r="F51" s="20" t="s">
        <v>177</v>
      </c>
    </row>
    <row r="52" spans="1:6" ht="25.5" x14ac:dyDescent="0.6">
      <c r="A52" s="20" t="s">
        <v>287</v>
      </c>
      <c r="B52" s="20" t="s">
        <v>272</v>
      </c>
      <c r="C52" s="19" t="s">
        <v>288</v>
      </c>
      <c r="D52" s="20" t="s">
        <v>176</v>
      </c>
      <c r="E52" s="20" t="s">
        <v>289</v>
      </c>
      <c r="F52" s="20" t="s">
        <v>177</v>
      </c>
    </row>
    <row r="53" spans="1:6" ht="25.5" x14ac:dyDescent="0.6">
      <c r="A53" s="20" t="s">
        <v>290</v>
      </c>
      <c r="B53" s="20" t="s">
        <v>272</v>
      </c>
      <c r="C53" s="19" t="s">
        <v>291</v>
      </c>
      <c r="D53" s="20" t="s">
        <v>176</v>
      </c>
      <c r="E53" s="20" t="s">
        <v>289</v>
      </c>
      <c r="F53" s="20" t="s">
        <v>177</v>
      </c>
    </row>
    <row r="54" spans="1:6" ht="25.5" x14ac:dyDescent="0.6">
      <c r="A54" s="10" t="s">
        <v>292</v>
      </c>
      <c r="B54" s="10" t="s">
        <v>293</v>
      </c>
      <c r="C54" s="11" t="s">
        <v>294</v>
      </c>
      <c r="D54" s="10" t="s">
        <v>176</v>
      </c>
      <c r="E54" s="10" t="s">
        <v>80</v>
      </c>
      <c r="F54" s="10" t="s">
        <v>295</v>
      </c>
    </row>
    <row r="55" spans="1:6" x14ac:dyDescent="0.6">
      <c r="A55" s="8" t="s">
        <v>296</v>
      </c>
      <c r="B55" s="8" t="s">
        <v>293</v>
      </c>
      <c r="C55" s="9" t="s">
        <v>297</v>
      </c>
      <c r="D55" s="8" t="s">
        <v>176</v>
      </c>
      <c r="E55" s="8" t="s">
        <v>80</v>
      </c>
      <c r="F55" s="8" t="s">
        <v>177</v>
      </c>
    </row>
    <row r="56" spans="1:6" x14ac:dyDescent="0.6">
      <c r="A56" s="10" t="s">
        <v>298</v>
      </c>
      <c r="B56" s="10" t="s">
        <v>293</v>
      </c>
      <c r="C56" s="11" t="s">
        <v>299</v>
      </c>
      <c r="D56" s="10" t="s">
        <v>203</v>
      </c>
      <c r="E56" s="10" t="s">
        <v>206</v>
      </c>
      <c r="F56" s="10" t="s">
        <v>177</v>
      </c>
    </row>
    <row r="57" spans="1:6" x14ac:dyDescent="0.6">
      <c r="A57" s="8" t="s">
        <v>300</v>
      </c>
      <c r="B57" s="8" t="s">
        <v>293</v>
      </c>
      <c r="C57" s="9" t="s">
        <v>301</v>
      </c>
      <c r="D57" s="8" t="s">
        <v>176</v>
      </c>
      <c r="E57" s="8" t="s">
        <v>80</v>
      </c>
      <c r="F57" s="8" t="s">
        <v>295</v>
      </c>
    </row>
    <row r="58" spans="1:6" ht="25.5" x14ac:dyDescent="0.6">
      <c r="A58" s="10" t="s">
        <v>302</v>
      </c>
      <c r="B58" s="10" t="s">
        <v>303</v>
      </c>
      <c r="C58" s="11" t="s">
        <v>304</v>
      </c>
      <c r="D58" s="10" t="s">
        <v>176</v>
      </c>
      <c r="E58" s="10" t="s">
        <v>80</v>
      </c>
      <c r="F58" s="10" t="s">
        <v>177</v>
      </c>
    </row>
    <row r="59" spans="1:6" x14ac:dyDescent="0.6">
      <c r="A59" s="8" t="s">
        <v>305</v>
      </c>
      <c r="B59" s="8" t="s">
        <v>303</v>
      </c>
      <c r="C59" s="9" t="s">
        <v>306</v>
      </c>
      <c r="D59" s="8" t="s">
        <v>176</v>
      </c>
      <c r="E59" s="8" t="s">
        <v>118</v>
      </c>
      <c r="F59" s="8" t="s">
        <v>177</v>
      </c>
    </row>
    <row r="60" spans="1:6" ht="25.5" x14ac:dyDescent="0.6">
      <c r="A60" s="18" t="s">
        <v>307</v>
      </c>
      <c r="B60" s="18" t="s">
        <v>303</v>
      </c>
      <c r="C60" s="17" t="s">
        <v>308</v>
      </c>
      <c r="D60" s="18" t="s">
        <v>203</v>
      </c>
      <c r="E60" s="18" t="s">
        <v>309</v>
      </c>
      <c r="F60" s="18" t="s">
        <v>177</v>
      </c>
    </row>
    <row r="61" spans="1:6" x14ac:dyDescent="0.6">
      <c r="A61" s="8" t="s">
        <v>310</v>
      </c>
      <c r="B61" s="8" t="s">
        <v>303</v>
      </c>
      <c r="C61" s="9" t="s">
        <v>311</v>
      </c>
      <c r="D61" s="8" t="s">
        <v>176</v>
      </c>
      <c r="E61" s="8" t="s">
        <v>206</v>
      </c>
      <c r="F61" s="8" t="s">
        <v>177</v>
      </c>
    </row>
    <row r="62" spans="1:6" x14ac:dyDescent="0.6">
      <c r="A62" s="10" t="s">
        <v>312</v>
      </c>
      <c r="B62" s="10" t="s">
        <v>303</v>
      </c>
      <c r="C62" s="11" t="s">
        <v>313</v>
      </c>
      <c r="D62" s="10" t="s">
        <v>176</v>
      </c>
      <c r="E62" s="10" t="s">
        <v>206</v>
      </c>
      <c r="F62" s="10" t="s">
        <v>177</v>
      </c>
    </row>
    <row r="64" spans="1:6" x14ac:dyDescent="0.6">
      <c r="A64" s="5" t="s">
        <v>314</v>
      </c>
    </row>
    <row r="65" spans="1:2" ht="28.05" customHeight="1" x14ac:dyDescent="0.6">
      <c r="A65" s="7" t="s">
        <v>170</v>
      </c>
      <c r="B65" s="7" t="s">
        <v>315</v>
      </c>
    </row>
    <row r="66" spans="1:2" x14ac:dyDescent="0.6">
      <c r="A66" s="8" t="s">
        <v>176</v>
      </c>
      <c r="B66" s="8">
        <f>COUNTIF(D5:D62,"Must")</f>
        <v>48</v>
      </c>
    </row>
    <row r="67" spans="1:2" x14ac:dyDescent="0.6">
      <c r="A67" s="10" t="s">
        <v>203</v>
      </c>
      <c r="B67" s="10">
        <f>COUNTIF(D5:D62,"Should")</f>
        <v>9</v>
      </c>
    </row>
    <row r="68" spans="1:2" x14ac:dyDescent="0.6">
      <c r="A68" s="8" t="s">
        <v>285</v>
      </c>
      <c r="B68" s="8">
        <f>COUNTIF(D5:D62,"Could")</f>
        <v>1</v>
      </c>
    </row>
    <row r="69" spans="1:2" x14ac:dyDescent="0.6">
      <c r="A69" s="10" t="s">
        <v>316</v>
      </c>
      <c r="B69" s="10">
        <f>COUNTA(A5:A62)</f>
        <v>58</v>
      </c>
    </row>
    <row r="71" spans="1:2" x14ac:dyDescent="0.6">
      <c r="A71" s="16" t="s">
        <v>317</v>
      </c>
    </row>
    <row r="72" spans="1:2" x14ac:dyDescent="0.6">
      <c r="A72" s="16" t="s">
        <v>318</v>
      </c>
    </row>
    <row r="73" spans="1:2" x14ac:dyDescent="0.6">
      <c r="A73" s="3" t="s">
        <v>66</v>
      </c>
    </row>
    <row r="74" spans="1:2" x14ac:dyDescent="0.6">
      <c r="A74" s="12" t="s">
        <v>67</v>
      </c>
    </row>
    <row r="75" spans="1:2" x14ac:dyDescent="0.6">
      <c r="A75" s="13" t="s">
        <v>68</v>
      </c>
    </row>
    <row r="76" spans="1:2" x14ac:dyDescent="0.6">
      <c r="A76" s="14" t="s">
        <v>69</v>
      </c>
    </row>
  </sheetData>
  <phoneticPr fontId="10" type="noConversion"/>
  <dataValidations count="1">
    <dataValidation type="list" allowBlank="1" sqref="D5:D62" xr:uid="{00000000-0002-0000-0300-000000000000}">
      <formula1>"Must,Should,Could,Won't"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5"/>
  <sheetViews>
    <sheetView showGridLines="0" workbookViewId="0">
      <pane ySplit="4" topLeftCell="A22" activePane="bottomLeft" state="frozen"/>
      <selection pane="bottomLeft" activeCell="A25" sqref="A25"/>
    </sheetView>
  </sheetViews>
  <sheetFormatPr defaultRowHeight="16.899999999999999" x14ac:dyDescent="0.6"/>
  <cols>
    <col min="1" max="1" width="22.0625" customWidth="1"/>
    <col min="2" max="2" width="11.25" customWidth="1"/>
    <col min="3" max="3" width="15.1875" customWidth="1"/>
    <col min="4" max="4" width="69.0625" customWidth="1"/>
    <col min="5" max="5" width="14" customWidth="1"/>
  </cols>
  <sheetData>
    <row r="1" spans="1:3" ht="20.65" x14ac:dyDescent="0.6">
      <c r="A1" s="15" t="s">
        <v>319</v>
      </c>
    </row>
    <row r="2" spans="1:3" x14ac:dyDescent="0.6">
      <c r="A2" s="16" t="s">
        <v>320</v>
      </c>
    </row>
    <row r="4" spans="1:3" x14ac:dyDescent="0.6">
      <c r="A4" s="5" t="s">
        <v>321</v>
      </c>
    </row>
    <row r="5" spans="1:3" x14ac:dyDescent="0.6">
      <c r="A5" s="7" t="s">
        <v>38</v>
      </c>
      <c r="B5" s="7" t="s">
        <v>322</v>
      </c>
      <c r="C5" s="7" t="s">
        <v>323</v>
      </c>
    </row>
    <row r="6" spans="1:3" ht="25.5" x14ac:dyDescent="0.6">
      <c r="A6" s="8" t="s">
        <v>324</v>
      </c>
      <c r="B6" s="9" t="s">
        <v>325</v>
      </c>
      <c r="C6" s="8" t="s">
        <v>326</v>
      </c>
    </row>
    <row r="7" spans="1:3" ht="38.25" x14ac:dyDescent="0.6">
      <c r="A7" s="10" t="s">
        <v>327</v>
      </c>
      <c r="B7" s="11" t="s">
        <v>328</v>
      </c>
      <c r="C7" s="10" t="s">
        <v>329</v>
      </c>
    </row>
    <row r="8" spans="1:3" ht="76.5" x14ac:dyDescent="0.6">
      <c r="A8" s="20" t="s">
        <v>330</v>
      </c>
      <c r="B8" s="19" t="s">
        <v>331</v>
      </c>
      <c r="C8" s="20" t="s">
        <v>329</v>
      </c>
    </row>
    <row r="9" spans="1:3" ht="76.5" x14ac:dyDescent="0.6">
      <c r="A9" s="20" t="s">
        <v>332</v>
      </c>
      <c r="B9" s="19" t="s">
        <v>333</v>
      </c>
      <c r="C9" s="20" t="s">
        <v>334</v>
      </c>
    </row>
    <row r="10" spans="1:3" ht="51" x14ac:dyDescent="0.6">
      <c r="A10" s="8" t="s">
        <v>335</v>
      </c>
      <c r="B10" s="9" t="s">
        <v>336</v>
      </c>
      <c r="C10" s="8" t="s">
        <v>334</v>
      </c>
    </row>
    <row r="11" spans="1:3" ht="25.5" x14ac:dyDescent="0.6">
      <c r="A11" s="10" t="s">
        <v>337</v>
      </c>
      <c r="B11" s="11" t="s">
        <v>338</v>
      </c>
      <c r="C11" s="10" t="s">
        <v>326</v>
      </c>
    </row>
    <row r="12" spans="1:3" ht="38.25" x14ac:dyDescent="0.6">
      <c r="A12" s="8" t="s">
        <v>339</v>
      </c>
      <c r="B12" s="9" t="s">
        <v>340</v>
      </c>
      <c r="C12" s="8" t="s">
        <v>341</v>
      </c>
    </row>
    <row r="13" spans="1:3" ht="63.75" x14ac:dyDescent="0.6">
      <c r="A13" s="10" t="s">
        <v>342</v>
      </c>
      <c r="B13" s="11" t="s">
        <v>343</v>
      </c>
      <c r="C13" s="10" t="s">
        <v>344</v>
      </c>
    </row>
    <row r="14" spans="1:3" ht="76.5" x14ac:dyDescent="0.6">
      <c r="A14" s="20" t="s">
        <v>345</v>
      </c>
      <c r="B14" s="19" t="s">
        <v>346</v>
      </c>
      <c r="C14" s="20" t="s">
        <v>334</v>
      </c>
    </row>
    <row r="15" spans="1:3" ht="76.5" x14ac:dyDescent="0.6">
      <c r="A15" s="10" t="s">
        <v>347</v>
      </c>
      <c r="B15" s="11" t="s">
        <v>348</v>
      </c>
      <c r="C15" s="10" t="s">
        <v>334</v>
      </c>
    </row>
    <row r="17" spans="1:5" x14ac:dyDescent="0.6">
      <c r="A17" s="5" t="s">
        <v>349</v>
      </c>
    </row>
    <row r="18" spans="1:5" x14ac:dyDescent="0.6">
      <c r="A18" s="7" t="s">
        <v>350</v>
      </c>
      <c r="B18" s="7" t="s">
        <v>155</v>
      </c>
      <c r="C18" s="7" t="s">
        <v>351</v>
      </c>
      <c r="D18" s="7" t="s">
        <v>352</v>
      </c>
      <c r="E18" s="7" t="s">
        <v>167</v>
      </c>
    </row>
    <row r="19" spans="1:5" x14ac:dyDescent="0.6">
      <c r="A19" s="8" t="s">
        <v>353</v>
      </c>
      <c r="B19" s="8" t="s">
        <v>354</v>
      </c>
      <c r="C19" s="8" t="s">
        <v>355</v>
      </c>
      <c r="D19" s="9" t="s">
        <v>356</v>
      </c>
      <c r="E19" s="8" t="s">
        <v>193</v>
      </c>
    </row>
    <row r="20" spans="1:5" x14ac:dyDescent="0.6">
      <c r="A20" s="10" t="s">
        <v>357</v>
      </c>
      <c r="B20" s="10" t="s">
        <v>354</v>
      </c>
      <c r="C20" s="10" t="s">
        <v>355</v>
      </c>
      <c r="D20" s="11" t="s">
        <v>358</v>
      </c>
      <c r="E20" s="10" t="s">
        <v>193</v>
      </c>
    </row>
    <row r="21" spans="1:5" x14ac:dyDescent="0.6">
      <c r="A21" s="8" t="s">
        <v>359</v>
      </c>
      <c r="B21" s="8" t="s">
        <v>360</v>
      </c>
      <c r="C21" s="8" t="s">
        <v>355</v>
      </c>
      <c r="D21" s="9" t="s">
        <v>361</v>
      </c>
      <c r="E21" s="8" t="s">
        <v>187</v>
      </c>
    </row>
    <row r="22" spans="1:5" x14ac:dyDescent="0.6">
      <c r="A22" s="10" t="s">
        <v>362</v>
      </c>
      <c r="B22" s="10" t="s">
        <v>354</v>
      </c>
      <c r="C22" s="10" t="s">
        <v>363</v>
      </c>
      <c r="D22" s="11" t="s">
        <v>364</v>
      </c>
      <c r="E22" s="10" t="s">
        <v>191</v>
      </c>
    </row>
    <row r="23" spans="1:5" x14ac:dyDescent="0.6">
      <c r="A23" s="20" t="s">
        <v>365</v>
      </c>
      <c r="B23" s="20" t="s">
        <v>360</v>
      </c>
      <c r="C23" s="20" t="s">
        <v>363</v>
      </c>
      <c r="D23" s="19" t="s">
        <v>366</v>
      </c>
      <c r="E23" s="20" t="s">
        <v>207</v>
      </c>
    </row>
    <row r="24" spans="1:5" ht="25.5" x14ac:dyDescent="0.6">
      <c r="A24" s="18" t="s">
        <v>367</v>
      </c>
      <c r="B24" s="18" t="s">
        <v>360</v>
      </c>
      <c r="C24" s="18" t="s">
        <v>355</v>
      </c>
      <c r="D24" s="17" t="s">
        <v>368</v>
      </c>
      <c r="E24" s="18" t="s">
        <v>195</v>
      </c>
    </row>
    <row r="25" spans="1:5" ht="25.5" x14ac:dyDescent="0.6">
      <c r="A25" s="29" t="s">
        <v>1186</v>
      </c>
      <c r="B25" s="20" t="s">
        <v>360</v>
      </c>
      <c r="C25" s="20" t="s">
        <v>363</v>
      </c>
      <c r="D25" s="19" t="s">
        <v>369</v>
      </c>
      <c r="E25" s="20" t="s">
        <v>210</v>
      </c>
    </row>
    <row r="26" spans="1:5" x14ac:dyDescent="0.6">
      <c r="A26" s="20" t="s">
        <v>370</v>
      </c>
      <c r="B26" s="20" t="s">
        <v>360</v>
      </c>
      <c r="C26" s="20" t="s">
        <v>363</v>
      </c>
      <c r="D26" s="19" t="s">
        <v>371</v>
      </c>
      <c r="E26" s="20" t="s">
        <v>210</v>
      </c>
    </row>
    <row r="27" spans="1:5" x14ac:dyDescent="0.6">
      <c r="A27" s="20" t="s">
        <v>372</v>
      </c>
      <c r="B27" s="20" t="s">
        <v>360</v>
      </c>
      <c r="C27" s="20" t="s">
        <v>363</v>
      </c>
      <c r="D27" s="19" t="s">
        <v>373</v>
      </c>
      <c r="E27" s="20" t="s">
        <v>210</v>
      </c>
    </row>
    <row r="28" spans="1:5" x14ac:dyDescent="0.6">
      <c r="A28" s="20" t="s">
        <v>374</v>
      </c>
      <c r="B28" s="20" t="s">
        <v>360</v>
      </c>
      <c r="C28" s="20" t="s">
        <v>363</v>
      </c>
      <c r="D28" s="19" t="s">
        <v>375</v>
      </c>
      <c r="E28" s="20" t="s">
        <v>210</v>
      </c>
    </row>
    <row r="29" spans="1:5" x14ac:dyDescent="0.6">
      <c r="A29" s="20" t="s">
        <v>376</v>
      </c>
      <c r="B29" s="20" t="s">
        <v>360</v>
      </c>
      <c r="C29" s="20" t="s">
        <v>363</v>
      </c>
      <c r="D29" s="19" t="s">
        <v>377</v>
      </c>
      <c r="E29" s="20" t="s">
        <v>212</v>
      </c>
    </row>
    <row r="30" spans="1:5" x14ac:dyDescent="0.6">
      <c r="A30" s="20" t="s">
        <v>378</v>
      </c>
      <c r="B30" s="20" t="s">
        <v>360</v>
      </c>
      <c r="C30" s="20" t="s">
        <v>363</v>
      </c>
      <c r="D30" s="19" t="s">
        <v>379</v>
      </c>
      <c r="E30" s="20" t="s">
        <v>212</v>
      </c>
    </row>
    <row r="31" spans="1:5" x14ac:dyDescent="0.6">
      <c r="A31" s="20" t="s">
        <v>380</v>
      </c>
      <c r="B31" s="20" t="s">
        <v>360</v>
      </c>
      <c r="C31" s="20" t="s">
        <v>363</v>
      </c>
      <c r="D31" s="19" t="s">
        <v>381</v>
      </c>
      <c r="E31" s="20" t="s">
        <v>212</v>
      </c>
    </row>
    <row r="32" spans="1:5" x14ac:dyDescent="0.6">
      <c r="A32" s="10" t="s">
        <v>382</v>
      </c>
      <c r="B32" s="10" t="s">
        <v>383</v>
      </c>
      <c r="C32" s="10" t="s">
        <v>384</v>
      </c>
      <c r="D32" s="11" t="s">
        <v>385</v>
      </c>
      <c r="E32" s="10" t="s">
        <v>195</v>
      </c>
    </row>
    <row r="33" spans="1:5" x14ac:dyDescent="0.6">
      <c r="A33" s="8" t="s">
        <v>386</v>
      </c>
      <c r="B33" s="8" t="s">
        <v>72</v>
      </c>
      <c r="C33" s="8" t="s">
        <v>355</v>
      </c>
      <c r="D33" s="9" t="s">
        <v>387</v>
      </c>
      <c r="E33" s="8" t="s">
        <v>197</v>
      </c>
    </row>
    <row r="34" spans="1:5" x14ac:dyDescent="0.6">
      <c r="A34" s="10" t="s">
        <v>388</v>
      </c>
      <c r="B34" s="10" t="s">
        <v>72</v>
      </c>
      <c r="C34" s="10" t="s">
        <v>355</v>
      </c>
      <c r="D34" s="11" t="s">
        <v>389</v>
      </c>
      <c r="E34" s="10" t="s">
        <v>197</v>
      </c>
    </row>
    <row r="35" spans="1:5" x14ac:dyDescent="0.6">
      <c r="A35" s="8" t="s">
        <v>390</v>
      </c>
      <c r="B35" s="8" t="s">
        <v>206</v>
      </c>
      <c r="C35" s="8" t="s">
        <v>76</v>
      </c>
      <c r="D35" s="9" t="s">
        <v>391</v>
      </c>
      <c r="E35" s="8" t="s">
        <v>204</v>
      </c>
    </row>
    <row r="36" spans="1:5" x14ac:dyDescent="0.6">
      <c r="A36" s="10" t="s">
        <v>392</v>
      </c>
      <c r="B36" s="10" t="s">
        <v>360</v>
      </c>
      <c r="C36" s="10" t="s">
        <v>384</v>
      </c>
      <c r="D36" s="11" t="s">
        <v>393</v>
      </c>
      <c r="E36" s="10" t="s">
        <v>201</v>
      </c>
    </row>
    <row r="37" spans="1:5" x14ac:dyDescent="0.6">
      <c r="A37" s="8" t="s">
        <v>394</v>
      </c>
      <c r="B37" s="8" t="s">
        <v>354</v>
      </c>
      <c r="C37" s="8" t="s">
        <v>384</v>
      </c>
      <c r="D37" s="9" t="s">
        <v>395</v>
      </c>
      <c r="E37" s="8" t="s">
        <v>201</v>
      </c>
    </row>
    <row r="38" spans="1:5" ht="25.5" x14ac:dyDescent="0.6">
      <c r="A38" s="18" t="s">
        <v>396</v>
      </c>
      <c r="B38" s="18" t="s">
        <v>76</v>
      </c>
      <c r="C38" s="18" t="s">
        <v>76</v>
      </c>
      <c r="D38" s="17" t="s">
        <v>397</v>
      </c>
      <c r="E38" s="18" t="s">
        <v>195</v>
      </c>
    </row>
    <row r="40" spans="1:5" x14ac:dyDescent="0.6">
      <c r="A40" s="5" t="s">
        <v>398</v>
      </c>
    </row>
    <row r="41" spans="1:5" x14ac:dyDescent="0.6">
      <c r="A41" s="7" t="s">
        <v>350</v>
      </c>
      <c r="B41" s="7" t="s">
        <v>155</v>
      </c>
      <c r="C41" s="7" t="s">
        <v>351</v>
      </c>
      <c r="D41" s="7" t="s">
        <v>352</v>
      </c>
      <c r="E41" s="7" t="s">
        <v>167</v>
      </c>
    </row>
    <row r="42" spans="1:5" x14ac:dyDescent="0.6">
      <c r="A42" s="8" t="s">
        <v>353</v>
      </c>
      <c r="B42" s="8" t="s">
        <v>354</v>
      </c>
      <c r="C42" s="8" t="s">
        <v>355</v>
      </c>
      <c r="D42" s="9" t="s">
        <v>399</v>
      </c>
      <c r="E42" s="8" t="s">
        <v>197</v>
      </c>
    </row>
    <row r="43" spans="1:5" ht="25.5" x14ac:dyDescent="0.6">
      <c r="A43" s="20" t="s">
        <v>357</v>
      </c>
      <c r="B43" s="20" t="s">
        <v>354</v>
      </c>
      <c r="C43" s="20" t="s">
        <v>384</v>
      </c>
      <c r="D43" s="19" t="s">
        <v>400</v>
      </c>
      <c r="E43" s="20" t="s">
        <v>197</v>
      </c>
    </row>
    <row r="44" spans="1:5" ht="38.25" x14ac:dyDescent="0.6">
      <c r="A44" s="18" t="s">
        <v>401</v>
      </c>
      <c r="B44" s="18" t="s">
        <v>360</v>
      </c>
      <c r="C44" s="18" t="s">
        <v>355</v>
      </c>
      <c r="D44" s="17" t="s">
        <v>402</v>
      </c>
      <c r="E44" s="18" t="s">
        <v>197</v>
      </c>
    </row>
    <row r="45" spans="1:5" x14ac:dyDescent="0.6">
      <c r="A45" s="10" t="s">
        <v>403</v>
      </c>
      <c r="B45" s="10" t="s">
        <v>72</v>
      </c>
      <c r="C45" s="10" t="s">
        <v>355</v>
      </c>
      <c r="D45" s="11" t="s">
        <v>404</v>
      </c>
      <c r="E45" s="10" t="s">
        <v>197</v>
      </c>
    </row>
    <row r="46" spans="1:5" x14ac:dyDescent="0.6">
      <c r="A46" s="8" t="s">
        <v>405</v>
      </c>
      <c r="B46" s="8" t="s">
        <v>383</v>
      </c>
      <c r="C46" s="8" t="s">
        <v>384</v>
      </c>
      <c r="D46" s="9" t="s">
        <v>406</v>
      </c>
      <c r="E46" s="8" t="s">
        <v>197</v>
      </c>
    </row>
    <row r="48" spans="1:5" x14ac:dyDescent="0.6">
      <c r="A48" s="5" t="s">
        <v>407</v>
      </c>
    </row>
    <row r="49" spans="1:5" x14ac:dyDescent="0.6">
      <c r="A49" s="7" t="s">
        <v>350</v>
      </c>
      <c r="B49" s="7" t="s">
        <v>155</v>
      </c>
      <c r="C49" s="7" t="s">
        <v>351</v>
      </c>
      <c r="D49" s="7" t="s">
        <v>352</v>
      </c>
      <c r="E49" s="7" t="s">
        <v>167</v>
      </c>
    </row>
    <row r="50" spans="1:5" x14ac:dyDescent="0.6">
      <c r="A50" s="8" t="s">
        <v>353</v>
      </c>
      <c r="B50" s="8" t="s">
        <v>354</v>
      </c>
      <c r="C50" s="8" t="s">
        <v>355</v>
      </c>
      <c r="D50" s="9" t="s">
        <v>399</v>
      </c>
      <c r="E50" s="8" t="s">
        <v>199</v>
      </c>
    </row>
    <row r="51" spans="1:5" x14ac:dyDescent="0.6">
      <c r="A51" s="18" t="s">
        <v>408</v>
      </c>
      <c r="B51" s="18" t="s">
        <v>360</v>
      </c>
      <c r="C51" s="18" t="s">
        <v>355</v>
      </c>
      <c r="D51" s="17" t="s">
        <v>409</v>
      </c>
      <c r="E51" s="18" t="s">
        <v>199</v>
      </c>
    </row>
    <row r="52" spans="1:5" ht="25.5" x14ac:dyDescent="0.6">
      <c r="A52" s="18" t="s">
        <v>410</v>
      </c>
      <c r="B52" s="18" t="s">
        <v>72</v>
      </c>
      <c r="C52" s="18" t="s">
        <v>355</v>
      </c>
      <c r="D52" s="17" t="s">
        <v>411</v>
      </c>
      <c r="E52" s="18" t="s">
        <v>250</v>
      </c>
    </row>
    <row r="53" spans="1:5" x14ac:dyDescent="0.6">
      <c r="A53" s="18" t="s">
        <v>412</v>
      </c>
      <c r="B53" s="18" t="s">
        <v>72</v>
      </c>
      <c r="C53" s="18" t="s">
        <v>355</v>
      </c>
      <c r="D53" s="17" t="s">
        <v>413</v>
      </c>
      <c r="E53" s="18" t="s">
        <v>250</v>
      </c>
    </row>
    <row r="54" spans="1:5" ht="25.5" x14ac:dyDescent="0.6">
      <c r="A54" s="18" t="s">
        <v>414</v>
      </c>
      <c r="B54" s="18" t="s">
        <v>415</v>
      </c>
      <c r="C54" s="18" t="s">
        <v>355</v>
      </c>
      <c r="D54" s="17" t="s">
        <v>416</v>
      </c>
      <c r="E54" s="18" t="s">
        <v>199</v>
      </c>
    </row>
    <row r="56" spans="1:5" x14ac:dyDescent="0.6">
      <c r="A56" s="16" t="s">
        <v>417</v>
      </c>
    </row>
    <row r="57" spans="1:5" x14ac:dyDescent="0.6">
      <c r="A57" s="7" t="s">
        <v>418</v>
      </c>
      <c r="B57" s="7" t="s">
        <v>419</v>
      </c>
      <c r="C57" s="7" t="s">
        <v>420</v>
      </c>
    </row>
    <row r="58" spans="1:5" ht="25.5" x14ac:dyDescent="0.6">
      <c r="A58" s="8" t="s">
        <v>421</v>
      </c>
      <c r="B58" s="9" t="s">
        <v>422</v>
      </c>
      <c r="C58" s="9" t="s">
        <v>423</v>
      </c>
    </row>
    <row r="59" spans="1:5" ht="25.5" x14ac:dyDescent="0.6">
      <c r="A59" s="10" t="s">
        <v>424</v>
      </c>
      <c r="B59" s="11" t="s">
        <v>425</v>
      </c>
      <c r="C59" s="11" t="s">
        <v>426</v>
      </c>
    </row>
    <row r="60" spans="1:5" ht="25.5" x14ac:dyDescent="0.6">
      <c r="A60" s="8" t="s">
        <v>427</v>
      </c>
      <c r="B60" s="9" t="s">
        <v>428</v>
      </c>
      <c r="C60" s="9" t="s">
        <v>429</v>
      </c>
    </row>
    <row r="61" spans="1:5" ht="25.5" x14ac:dyDescent="0.6">
      <c r="A61" s="10" t="s">
        <v>430</v>
      </c>
      <c r="B61" s="11" t="s">
        <v>431</v>
      </c>
      <c r="C61" s="11" t="s">
        <v>432</v>
      </c>
    </row>
    <row r="63" spans="1:5" x14ac:dyDescent="0.6">
      <c r="A63" s="16" t="s">
        <v>433</v>
      </c>
    </row>
    <row r="64" spans="1:5" x14ac:dyDescent="0.6">
      <c r="A64" s="5" t="s">
        <v>434</v>
      </c>
    </row>
    <row r="65" spans="1:5" x14ac:dyDescent="0.6">
      <c r="A65" s="7" t="s">
        <v>350</v>
      </c>
      <c r="B65" s="7" t="s">
        <v>155</v>
      </c>
      <c r="C65" s="7" t="s">
        <v>351</v>
      </c>
      <c r="D65" s="7" t="s">
        <v>352</v>
      </c>
      <c r="E65" s="7" t="s">
        <v>99</v>
      </c>
    </row>
    <row r="66" spans="1:5" x14ac:dyDescent="0.6">
      <c r="A66" s="8" t="s">
        <v>362</v>
      </c>
      <c r="B66" s="8" t="s">
        <v>354</v>
      </c>
      <c r="C66" s="8" t="s">
        <v>355</v>
      </c>
      <c r="D66" s="9" t="s">
        <v>435</v>
      </c>
      <c r="E66" s="8" t="s">
        <v>107</v>
      </c>
    </row>
    <row r="67" spans="1:5" x14ac:dyDescent="0.6">
      <c r="A67" s="10" t="s">
        <v>408</v>
      </c>
      <c r="B67" s="10" t="s">
        <v>360</v>
      </c>
      <c r="C67" s="10" t="s">
        <v>355</v>
      </c>
      <c r="D67" s="11" t="s">
        <v>436</v>
      </c>
      <c r="E67" s="10" t="s">
        <v>437</v>
      </c>
    </row>
    <row r="68" spans="1:5" x14ac:dyDescent="0.6">
      <c r="A68" s="8" t="s">
        <v>414</v>
      </c>
      <c r="B68" s="8" t="s">
        <v>415</v>
      </c>
      <c r="C68" s="8" t="s">
        <v>355</v>
      </c>
      <c r="D68" s="9" t="s">
        <v>438</v>
      </c>
      <c r="E68" s="8" t="s">
        <v>107</v>
      </c>
    </row>
    <row r="70" spans="1:5" x14ac:dyDescent="0.6">
      <c r="A70" s="16" t="s">
        <v>439</v>
      </c>
    </row>
    <row r="71" spans="1:5" x14ac:dyDescent="0.6">
      <c r="A71" s="5" t="s">
        <v>440</v>
      </c>
    </row>
    <row r="72" spans="1:5" x14ac:dyDescent="0.6">
      <c r="A72" s="7" t="s">
        <v>350</v>
      </c>
      <c r="B72" s="7" t="s">
        <v>155</v>
      </c>
      <c r="C72" s="7" t="s">
        <v>351</v>
      </c>
      <c r="D72" s="7" t="s">
        <v>352</v>
      </c>
      <c r="E72" s="7" t="s">
        <v>99</v>
      </c>
    </row>
    <row r="73" spans="1:5" ht="25.5" x14ac:dyDescent="0.6">
      <c r="A73" s="20" t="s">
        <v>359</v>
      </c>
      <c r="B73" s="20" t="s">
        <v>360</v>
      </c>
      <c r="C73" s="20" t="s">
        <v>355</v>
      </c>
      <c r="D73" s="19" t="s">
        <v>441</v>
      </c>
      <c r="E73" s="20" t="s">
        <v>221</v>
      </c>
    </row>
    <row r="74" spans="1:5" ht="25.5" x14ac:dyDescent="0.6">
      <c r="A74" s="18" t="s">
        <v>442</v>
      </c>
      <c r="B74" s="18" t="s">
        <v>354</v>
      </c>
      <c r="C74" s="18" t="s">
        <v>355</v>
      </c>
      <c r="D74" s="17" t="s">
        <v>443</v>
      </c>
      <c r="E74" s="18" t="s">
        <v>221</v>
      </c>
    </row>
    <row r="75" spans="1:5" ht="25.5" x14ac:dyDescent="0.6">
      <c r="A75" s="18" t="s">
        <v>444</v>
      </c>
      <c r="B75" s="18" t="s">
        <v>415</v>
      </c>
      <c r="C75" s="18" t="s">
        <v>355</v>
      </c>
      <c r="D75" s="17" t="s">
        <v>445</v>
      </c>
      <c r="E75" s="18" t="s">
        <v>107</v>
      </c>
    </row>
    <row r="76" spans="1:5" x14ac:dyDescent="0.6">
      <c r="A76" s="10" t="s">
        <v>446</v>
      </c>
      <c r="B76" s="10" t="s">
        <v>354</v>
      </c>
      <c r="C76" s="10" t="s">
        <v>384</v>
      </c>
      <c r="D76" s="11" t="s">
        <v>447</v>
      </c>
      <c r="E76" s="10" t="s">
        <v>244</v>
      </c>
    </row>
    <row r="78" spans="1:5" x14ac:dyDescent="0.6">
      <c r="A78" s="5" t="s">
        <v>448</v>
      </c>
    </row>
    <row r="79" spans="1:5" x14ac:dyDescent="0.6">
      <c r="A79" s="7" t="s">
        <v>350</v>
      </c>
      <c r="B79" s="7" t="s">
        <v>155</v>
      </c>
      <c r="C79" s="7" t="s">
        <v>351</v>
      </c>
      <c r="D79" s="7" t="s">
        <v>352</v>
      </c>
      <c r="E79" s="7" t="s">
        <v>167</v>
      </c>
    </row>
    <row r="80" spans="1:5" x14ac:dyDescent="0.6">
      <c r="A80" s="8" t="s">
        <v>449</v>
      </c>
      <c r="B80" s="8" t="s">
        <v>354</v>
      </c>
      <c r="C80" s="8" t="s">
        <v>355</v>
      </c>
      <c r="D80" s="9" t="s">
        <v>450</v>
      </c>
      <c r="E80" s="8" t="s">
        <v>214</v>
      </c>
    </row>
    <row r="81" spans="1:5" x14ac:dyDescent="0.6">
      <c r="A81" s="10" t="s">
        <v>451</v>
      </c>
      <c r="B81" s="10" t="s">
        <v>354</v>
      </c>
      <c r="C81" s="10" t="s">
        <v>355</v>
      </c>
      <c r="D81" s="11" t="s">
        <v>452</v>
      </c>
      <c r="E81" s="10" t="s">
        <v>214</v>
      </c>
    </row>
    <row r="82" spans="1:5" x14ac:dyDescent="0.6">
      <c r="A82" s="8" t="s">
        <v>453</v>
      </c>
      <c r="B82" s="8" t="s">
        <v>354</v>
      </c>
      <c r="C82" s="8" t="s">
        <v>384</v>
      </c>
      <c r="D82" s="9" t="s">
        <v>454</v>
      </c>
      <c r="E82" s="8" t="s">
        <v>226</v>
      </c>
    </row>
    <row r="83" spans="1:5" x14ac:dyDescent="0.6">
      <c r="A83" s="10" t="s">
        <v>455</v>
      </c>
      <c r="B83" s="10" t="s">
        <v>354</v>
      </c>
      <c r="C83" s="10" t="s">
        <v>384</v>
      </c>
      <c r="D83" s="11" t="s">
        <v>456</v>
      </c>
      <c r="E83" s="10" t="s">
        <v>219</v>
      </c>
    </row>
    <row r="84" spans="1:5" x14ac:dyDescent="0.6">
      <c r="A84" s="18" t="s">
        <v>457</v>
      </c>
      <c r="B84" s="18" t="s">
        <v>415</v>
      </c>
      <c r="C84" s="18" t="s">
        <v>384</v>
      </c>
      <c r="D84" s="17" t="s">
        <v>458</v>
      </c>
      <c r="E84" s="18" t="s">
        <v>248</v>
      </c>
    </row>
    <row r="85" spans="1:5" x14ac:dyDescent="0.6">
      <c r="A85" s="10" t="s">
        <v>459</v>
      </c>
      <c r="B85" s="10" t="s">
        <v>72</v>
      </c>
      <c r="C85" s="10" t="s">
        <v>384</v>
      </c>
      <c r="D85" s="11" t="s">
        <v>460</v>
      </c>
      <c r="E85" s="10" t="s">
        <v>222</v>
      </c>
    </row>
    <row r="86" spans="1:5" x14ac:dyDescent="0.6">
      <c r="A86" s="8" t="s">
        <v>394</v>
      </c>
      <c r="B86" s="8" t="s">
        <v>354</v>
      </c>
      <c r="C86" s="8" t="s">
        <v>384</v>
      </c>
      <c r="D86" s="9" t="s">
        <v>395</v>
      </c>
      <c r="E86" s="8" t="s">
        <v>226</v>
      </c>
    </row>
    <row r="88" spans="1:5" x14ac:dyDescent="0.6">
      <c r="A88" s="5" t="s">
        <v>461</v>
      </c>
    </row>
    <row r="89" spans="1:5" x14ac:dyDescent="0.6">
      <c r="A89" s="7" t="s">
        <v>350</v>
      </c>
      <c r="B89" s="7" t="s">
        <v>155</v>
      </c>
      <c r="C89" s="7" t="s">
        <v>351</v>
      </c>
      <c r="D89" s="7" t="s">
        <v>352</v>
      </c>
      <c r="E89" s="7" t="s">
        <v>167</v>
      </c>
    </row>
    <row r="90" spans="1:5" x14ac:dyDescent="0.6">
      <c r="A90" s="8" t="s">
        <v>462</v>
      </c>
      <c r="B90" s="8" t="s">
        <v>354</v>
      </c>
      <c r="C90" s="8" t="s">
        <v>355</v>
      </c>
      <c r="D90" s="9" t="s">
        <v>463</v>
      </c>
      <c r="E90" s="8" t="s">
        <v>228</v>
      </c>
    </row>
    <row r="91" spans="1:5" x14ac:dyDescent="0.6">
      <c r="A91" s="10" t="s">
        <v>449</v>
      </c>
      <c r="B91" s="10" t="s">
        <v>354</v>
      </c>
      <c r="C91" s="10" t="s">
        <v>355</v>
      </c>
      <c r="D91" s="11" t="s">
        <v>464</v>
      </c>
      <c r="E91" s="10" t="s">
        <v>214</v>
      </c>
    </row>
    <row r="92" spans="1:5" ht="25.5" x14ac:dyDescent="0.6">
      <c r="A92" s="20" t="s">
        <v>451</v>
      </c>
      <c r="B92" s="20" t="s">
        <v>354</v>
      </c>
      <c r="C92" s="20" t="s">
        <v>384</v>
      </c>
      <c r="D92" s="24" t="s">
        <v>1174</v>
      </c>
      <c r="E92" s="20" t="s">
        <v>214</v>
      </c>
    </row>
    <row r="93" spans="1:5" x14ac:dyDescent="0.6">
      <c r="A93" s="10" t="s">
        <v>353</v>
      </c>
      <c r="B93" s="10" t="s">
        <v>354</v>
      </c>
      <c r="C93" s="10" t="s">
        <v>355</v>
      </c>
      <c r="D93" s="11" t="s">
        <v>399</v>
      </c>
      <c r="E93" s="10" t="s">
        <v>217</v>
      </c>
    </row>
    <row r="94" spans="1:5" ht="25.5" x14ac:dyDescent="0.6">
      <c r="A94" s="18" t="s">
        <v>442</v>
      </c>
      <c r="B94" s="18" t="s">
        <v>354</v>
      </c>
      <c r="C94" s="18" t="s">
        <v>355</v>
      </c>
      <c r="D94" s="17" t="s">
        <v>465</v>
      </c>
      <c r="E94" s="18" t="s">
        <v>219</v>
      </c>
    </row>
    <row r="95" spans="1:5" x14ac:dyDescent="0.6">
      <c r="A95" s="10" t="s">
        <v>466</v>
      </c>
      <c r="B95" s="10" t="s">
        <v>72</v>
      </c>
      <c r="C95" s="10" t="s">
        <v>355</v>
      </c>
      <c r="D95" s="11" t="s">
        <v>467</v>
      </c>
      <c r="E95" s="10" t="s">
        <v>222</v>
      </c>
    </row>
    <row r="96" spans="1:5" x14ac:dyDescent="0.6">
      <c r="A96" s="8" t="s">
        <v>468</v>
      </c>
      <c r="B96" s="8" t="s">
        <v>72</v>
      </c>
      <c r="C96" s="8" t="s">
        <v>355</v>
      </c>
      <c r="D96" s="9" t="s">
        <v>469</v>
      </c>
      <c r="E96" s="8" t="s">
        <v>222</v>
      </c>
    </row>
    <row r="97" spans="1:5" ht="25.5" x14ac:dyDescent="0.6">
      <c r="A97" s="18" t="s">
        <v>470</v>
      </c>
      <c r="B97" s="18" t="s">
        <v>415</v>
      </c>
      <c r="C97" s="18" t="s">
        <v>355</v>
      </c>
      <c r="D97" s="17" t="s">
        <v>471</v>
      </c>
      <c r="E97" s="18" t="s">
        <v>234</v>
      </c>
    </row>
    <row r="98" spans="1:5" x14ac:dyDescent="0.6">
      <c r="A98" s="8" t="s">
        <v>472</v>
      </c>
      <c r="B98" s="8" t="s">
        <v>354</v>
      </c>
      <c r="C98" s="8" t="s">
        <v>384</v>
      </c>
      <c r="D98" s="9" t="s">
        <v>395</v>
      </c>
      <c r="E98" s="8" t="s">
        <v>226</v>
      </c>
    </row>
    <row r="100" spans="1:5" x14ac:dyDescent="0.6">
      <c r="A100" s="5" t="s">
        <v>473</v>
      </c>
    </row>
    <row r="101" spans="1:5" x14ac:dyDescent="0.6">
      <c r="A101" s="7" t="s">
        <v>350</v>
      </c>
      <c r="B101" s="7" t="s">
        <v>155</v>
      </c>
      <c r="C101" s="7" t="s">
        <v>351</v>
      </c>
      <c r="D101" s="7" t="s">
        <v>352</v>
      </c>
      <c r="E101" s="7" t="s">
        <v>167</v>
      </c>
    </row>
    <row r="102" spans="1:5" x14ac:dyDescent="0.6">
      <c r="A102" s="8" t="s">
        <v>462</v>
      </c>
      <c r="B102" s="8" t="s">
        <v>354</v>
      </c>
      <c r="C102" s="8" t="s">
        <v>355</v>
      </c>
      <c r="D102" s="9" t="s">
        <v>474</v>
      </c>
      <c r="E102" s="8" t="s">
        <v>224</v>
      </c>
    </row>
    <row r="103" spans="1:5" x14ac:dyDescent="0.6">
      <c r="A103" s="10" t="s">
        <v>410</v>
      </c>
      <c r="B103" s="10" t="s">
        <v>72</v>
      </c>
      <c r="C103" s="10" t="s">
        <v>355</v>
      </c>
      <c r="D103" s="11" t="s">
        <v>475</v>
      </c>
      <c r="E103" s="10" t="s">
        <v>224</v>
      </c>
    </row>
    <row r="104" spans="1:5" x14ac:dyDescent="0.6">
      <c r="A104" s="8" t="s">
        <v>412</v>
      </c>
      <c r="B104" s="8" t="s">
        <v>72</v>
      </c>
      <c r="C104" s="8" t="s">
        <v>355</v>
      </c>
      <c r="D104" s="9" t="s">
        <v>476</v>
      </c>
      <c r="E104" s="8" t="s">
        <v>224</v>
      </c>
    </row>
    <row r="105" spans="1:5" ht="25.5" x14ac:dyDescent="0.6">
      <c r="A105" s="18" t="s">
        <v>477</v>
      </c>
      <c r="B105" s="18" t="s">
        <v>415</v>
      </c>
      <c r="C105" s="18" t="s">
        <v>355</v>
      </c>
      <c r="D105" s="17" t="s">
        <v>478</v>
      </c>
      <c r="E105" s="18" t="s">
        <v>224</v>
      </c>
    </row>
    <row r="106" spans="1:5" x14ac:dyDescent="0.6">
      <c r="A106" s="8" t="s">
        <v>479</v>
      </c>
      <c r="B106" s="8" t="s">
        <v>354</v>
      </c>
      <c r="C106" s="8" t="s">
        <v>384</v>
      </c>
      <c r="D106" s="9" t="s">
        <v>480</v>
      </c>
      <c r="E106" s="8" t="s">
        <v>224</v>
      </c>
    </row>
    <row r="108" spans="1:5" x14ac:dyDescent="0.6">
      <c r="A108" s="16" t="s">
        <v>481</v>
      </c>
    </row>
    <row r="109" spans="1:5" x14ac:dyDescent="0.6">
      <c r="A109" s="5" t="s">
        <v>482</v>
      </c>
    </row>
    <row r="110" spans="1:5" x14ac:dyDescent="0.6">
      <c r="A110" s="7" t="s">
        <v>483</v>
      </c>
      <c r="B110" s="7" t="s">
        <v>484</v>
      </c>
      <c r="C110" s="7" t="s">
        <v>485</v>
      </c>
      <c r="D110" s="7" t="s">
        <v>167</v>
      </c>
    </row>
    <row r="111" spans="1:5" ht="63.75" x14ac:dyDescent="0.6">
      <c r="A111" s="8" t="s">
        <v>486</v>
      </c>
      <c r="B111" s="9" t="s">
        <v>487</v>
      </c>
      <c r="C111" s="8" t="s">
        <v>488</v>
      </c>
      <c r="D111" s="8" t="s">
        <v>296</v>
      </c>
    </row>
    <row r="112" spans="1:5" ht="25.5" x14ac:dyDescent="0.6">
      <c r="A112" s="20" t="s">
        <v>489</v>
      </c>
      <c r="B112" s="19" t="s">
        <v>490</v>
      </c>
      <c r="C112" s="20" t="s">
        <v>491</v>
      </c>
      <c r="D112" s="20" t="s">
        <v>248</v>
      </c>
    </row>
    <row r="113" spans="1:4" ht="51" x14ac:dyDescent="0.6">
      <c r="A113" s="20" t="s">
        <v>492</v>
      </c>
      <c r="B113" s="19" t="s">
        <v>493</v>
      </c>
      <c r="C113" s="20" t="s">
        <v>494</v>
      </c>
      <c r="D113" s="20" t="s">
        <v>239</v>
      </c>
    </row>
    <row r="114" spans="1:4" ht="76.5" x14ac:dyDescent="0.6">
      <c r="A114" s="20" t="s">
        <v>495</v>
      </c>
      <c r="B114" s="19" t="s">
        <v>496</v>
      </c>
      <c r="C114" s="20" t="s">
        <v>497</v>
      </c>
      <c r="D114" s="20" t="s">
        <v>246</v>
      </c>
    </row>
    <row r="115" spans="1:4" ht="63.75" x14ac:dyDescent="0.6">
      <c r="A115" s="20" t="s">
        <v>498</v>
      </c>
      <c r="B115" s="19" t="s">
        <v>499</v>
      </c>
      <c r="C115" s="20" t="s">
        <v>500</v>
      </c>
      <c r="D115" s="20" t="s">
        <v>246</v>
      </c>
    </row>
    <row r="116" spans="1:4" ht="38.25" x14ac:dyDescent="0.6">
      <c r="A116" s="18" t="s">
        <v>501</v>
      </c>
      <c r="B116" s="17" t="s">
        <v>502</v>
      </c>
      <c r="C116" s="18" t="s">
        <v>503</v>
      </c>
      <c r="D116" s="18" t="s">
        <v>230</v>
      </c>
    </row>
    <row r="117" spans="1:4" ht="38.25" x14ac:dyDescent="0.6">
      <c r="A117" s="18" t="s">
        <v>504</v>
      </c>
      <c r="B117" s="17" t="s">
        <v>505</v>
      </c>
      <c r="C117" s="18" t="s">
        <v>506</v>
      </c>
      <c r="D117" s="18" t="s">
        <v>248</v>
      </c>
    </row>
    <row r="119" spans="1:4" x14ac:dyDescent="0.6">
      <c r="A119" s="5" t="s">
        <v>507</v>
      </c>
    </row>
    <row r="120" spans="1:4" x14ac:dyDescent="0.6">
      <c r="A120" s="6" t="s">
        <v>508</v>
      </c>
    </row>
    <row r="121" spans="1:4" x14ac:dyDescent="0.6">
      <c r="A121" s="6" t="s">
        <v>509</v>
      </c>
    </row>
    <row r="122" spans="1:4" x14ac:dyDescent="0.6">
      <c r="A122" s="6" t="s">
        <v>510</v>
      </c>
    </row>
    <row r="124" spans="1:4" x14ac:dyDescent="0.6">
      <c r="A124" s="5" t="s">
        <v>511</v>
      </c>
    </row>
    <row r="125" spans="1:4" x14ac:dyDescent="0.6">
      <c r="A125" s="7" t="s">
        <v>96</v>
      </c>
      <c r="B125" s="7" t="s">
        <v>512</v>
      </c>
      <c r="C125" s="7" t="s">
        <v>513</v>
      </c>
    </row>
    <row r="126" spans="1:4" ht="63.75" x14ac:dyDescent="0.6">
      <c r="A126" s="8" t="s">
        <v>514</v>
      </c>
      <c r="B126" s="9" t="s">
        <v>515</v>
      </c>
      <c r="C126" s="9" t="s">
        <v>516</v>
      </c>
    </row>
    <row r="127" spans="1:4" ht="63.75" x14ac:dyDescent="0.6">
      <c r="A127" s="10" t="s">
        <v>517</v>
      </c>
      <c r="B127" s="11" t="s">
        <v>518</v>
      </c>
      <c r="C127" s="11" t="s">
        <v>519</v>
      </c>
    </row>
    <row r="128" spans="1:4" ht="102" x14ac:dyDescent="0.6">
      <c r="A128" s="18" t="s">
        <v>520</v>
      </c>
      <c r="B128" s="17" t="s">
        <v>521</v>
      </c>
      <c r="C128" s="17" t="s">
        <v>522</v>
      </c>
    </row>
    <row r="129" spans="1:3" ht="76.5" x14ac:dyDescent="0.6">
      <c r="A129" s="10" t="s">
        <v>523</v>
      </c>
      <c r="B129" s="11" t="s">
        <v>524</v>
      </c>
      <c r="C129" s="11" t="s">
        <v>525</v>
      </c>
    </row>
    <row r="130" spans="1:3" ht="89.25" x14ac:dyDescent="0.6">
      <c r="A130" s="8" t="s">
        <v>526</v>
      </c>
      <c r="B130" s="9" t="s">
        <v>527</v>
      </c>
      <c r="C130" s="9" t="s">
        <v>519</v>
      </c>
    </row>
    <row r="131" spans="1:3" ht="89.25" x14ac:dyDescent="0.6">
      <c r="A131" s="10" t="s">
        <v>528</v>
      </c>
      <c r="B131" s="11" t="s">
        <v>529</v>
      </c>
      <c r="C131" s="11" t="s">
        <v>530</v>
      </c>
    </row>
    <row r="132" spans="1:3" ht="76.5" x14ac:dyDescent="0.6">
      <c r="A132" s="8" t="s">
        <v>531</v>
      </c>
      <c r="B132" s="9" t="s">
        <v>532</v>
      </c>
      <c r="C132" s="9" t="s">
        <v>533</v>
      </c>
    </row>
    <row r="133" spans="1:3" ht="76.5" x14ac:dyDescent="0.6">
      <c r="A133" s="10" t="s">
        <v>534</v>
      </c>
      <c r="B133" s="11" t="s">
        <v>535</v>
      </c>
      <c r="C133" s="11" t="s">
        <v>536</v>
      </c>
    </row>
    <row r="134" spans="1:3" ht="76.5" x14ac:dyDescent="0.6">
      <c r="A134" s="8" t="s">
        <v>537</v>
      </c>
      <c r="B134" s="9" t="s">
        <v>538</v>
      </c>
      <c r="C134" s="9" t="s">
        <v>539</v>
      </c>
    </row>
    <row r="135" spans="1:3" ht="76.5" x14ac:dyDescent="0.6">
      <c r="A135" s="20" t="s">
        <v>540</v>
      </c>
      <c r="B135" s="19" t="s">
        <v>541</v>
      </c>
      <c r="C135" s="19" t="s">
        <v>542</v>
      </c>
    </row>
    <row r="136" spans="1:3" ht="76.5" x14ac:dyDescent="0.6">
      <c r="A136" s="20" t="s">
        <v>543</v>
      </c>
      <c r="B136" s="19" t="s">
        <v>544</v>
      </c>
      <c r="C136" s="19" t="s">
        <v>545</v>
      </c>
    </row>
    <row r="137" spans="1:3" ht="89.25" x14ac:dyDescent="0.6">
      <c r="A137" s="20" t="s">
        <v>546</v>
      </c>
      <c r="B137" s="19" t="s">
        <v>547</v>
      </c>
      <c r="C137" s="19" t="s">
        <v>548</v>
      </c>
    </row>
    <row r="138" spans="1:3" ht="76.5" x14ac:dyDescent="0.6">
      <c r="A138" s="20" t="s">
        <v>549</v>
      </c>
      <c r="B138" s="19" t="s">
        <v>550</v>
      </c>
      <c r="C138" s="19" t="s">
        <v>551</v>
      </c>
    </row>
    <row r="139" spans="1:3" ht="140.25" x14ac:dyDescent="0.6">
      <c r="A139" s="20" t="s">
        <v>552</v>
      </c>
      <c r="B139" s="19" t="s">
        <v>553</v>
      </c>
      <c r="C139" s="19" t="s">
        <v>554</v>
      </c>
    </row>
    <row r="141" spans="1:3" x14ac:dyDescent="0.6">
      <c r="A141" s="16" t="s">
        <v>555</v>
      </c>
    </row>
    <row r="142" spans="1:3" x14ac:dyDescent="0.6">
      <c r="A142" s="3" t="s">
        <v>66</v>
      </c>
    </row>
    <row r="143" spans="1:3" x14ac:dyDescent="0.6">
      <c r="A143" s="12" t="s">
        <v>67</v>
      </c>
    </row>
    <row r="144" spans="1:3" x14ac:dyDescent="0.6">
      <c r="A144" s="13" t="s">
        <v>68</v>
      </c>
    </row>
    <row r="145" spans="1:1" x14ac:dyDescent="0.6">
      <c r="A145" s="14" t="s">
        <v>69</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5"/>
  <sheetViews>
    <sheetView showGridLines="0" workbookViewId="0">
      <pane ySplit="4" topLeftCell="A48" activePane="bottomLeft" state="frozen"/>
      <selection pane="bottomLeft"/>
    </sheetView>
  </sheetViews>
  <sheetFormatPr defaultRowHeight="16.899999999999999" x14ac:dyDescent="0.6"/>
  <cols>
    <col min="1" max="1" width="31.8125" customWidth="1"/>
    <col min="2" max="2" width="46" customWidth="1"/>
    <col min="3" max="3" width="76" customWidth="1"/>
    <col min="4" max="4" width="14" customWidth="1"/>
  </cols>
  <sheetData>
    <row r="1" spans="1:1" ht="20.65" x14ac:dyDescent="0.6">
      <c r="A1" s="15" t="s">
        <v>556</v>
      </c>
    </row>
    <row r="2" spans="1:1" x14ac:dyDescent="0.6">
      <c r="A2" s="16" t="s">
        <v>557</v>
      </c>
    </row>
    <row r="4" spans="1:1" x14ac:dyDescent="0.6">
      <c r="A4" s="5" t="s">
        <v>558</v>
      </c>
    </row>
    <row r="5" spans="1:1" x14ac:dyDescent="0.6">
      <c r="A5" s="21" t="s">
        <v>559</v>
      </c>
    </row>
    <row r="6" spans="1:1" x14ac:dyDescent="0.6">
      <c r="A6" s="21" t="s">
        <v>560</v>
      </c>
    </row>
    <row r="7" spans="1:1" x14ac:dyDescent="0.6">
      <c r="A7" s="21" t="s">
        <v>561</v>
      </c>
    </row>
    <row r="8" spans="1:1" x14ac:dyDescent="0.6">
      <c r="A8" s="21" t="s">
        <v>562</v>
      </c>
    </row>
    <row r="9" spans="1:1" x14ac:dyDescent="0.6">
      <c r="A9" s="6"/>
    </row>
    <row r="10" spans="1:1" x14ac:dyDescent="0.6">
      <c r="A10" s="6" t="s">
        <v>563</v>
      </c>
    </row>
    <row r="11" spans="1:1" x14ac:dyDescent="0.6">
      <c r="A11" s="6"/>
    </row>
    <row r="12" spans="1:1" x14ac:dyDescent="0.6">
      <c r="A12" s="6" t="s">
        <v>564</v>
      </c>
    </row>
    <row r="13" spans="1:1" x14ac:dyDescent="0.6">
      <c r="A13" s="21" t="s">
        <v>565</v>
      </c>
    </row>
    <row r="14" spans="1:1" x14ac:dyDescent="0.6">
      <c r="A14" s="6" t="s">
        <v>566</v>
      </c>
    </row>
    <row r="15" spans="1:1" x14ac:dyDescent="0.6">
      <c r="A15" s="21" t="s">
        <v>567</v>
      </c>
    </row>
    <row r="16" spans="1:1" x14ac:dyDescent="0.6">
      <c r="A16" s="6" t="s">
        <v>568</v>
      </c>
    </row>
    <row r="17" spans="1:4" x14ac:dyDescent="0.6">
      <c r="A17" s="21" t="s">
        <v>569</v>
      </c>
    </row>
    <row r="18" spans="1:4" x14ac:dyDescent="0.6">
      <c r="A18" s="6" t="s">
        <v>570</v>
      </c>
    </row>
    <row r="19" spans="1:4" x14ac:dyDescent="0.6">
      <c r="A19" s="21" t="s">
        <v>571</v>
      </c>
    </row>
    <row r="21" spans="1:4" x14ac:dyDescent="0.6">
      <c r="A21" s="16" t="s">
        <v>572</v>
      </c>
    </row>
    <row r="23" spans="1:4" x14ac:dyDescent="0.6">
      <c r="A23" s="5" t="s">
        <v>573</v>
      </c>
    </row>
    <row r="24" spans="1:4" ht="28.05" customHeight="1" x14ac:dyDescent="0.6">
      <c r="A24" s="7" t="s">
        <v>174</v>
      </c>
      <c r="B24" s="7" t="s">
        <v>574</v>
      </c>
      <c r="C24" s="7" t="s">
        <v>575</v>
      </c>
      <c r="D24" s="7" t="s">
        <v>167</v>
      </c>
    </row>
    <row r="25" spans="1:4" x14ac:dyDescent="0.6">
      <c r="A25" s="8" t="s">
        <v>576</v>
      </c>
      <c r="B25" s="9" t="s">
        <v>577</v>
      </c>
      <c r="C25" s="9" t="s">
        <v>578</v>
      </c>
      <c r="D25" s="8" t="s">
        <v>237</v>
      </c>
    </row>
    <row r="26" spans="1:4" ht="25.5" x14ac:dyDescent="0.6">
      <c r="A26" s="10" t="s">
        <v>579</v>
      </c>
      <c r="B26" s="11" t="s">
        <v>580</v>
      </c>
      <c r="C26" s="11" t="s">
        <v>581</v>
      </c>
      <c r="D26" s="10" t="s">
        <v>237</v>
      </c>
    </row>
    <row r="27" spans="1:4" x14ac:dyDescent="0.6">
      <c r="A27" s="8" t="s">
        <v>582</v>
      </c>
      <c r="B27" s="9" t="s">
        <v>583</v>
      </c>
      <c r="C27" s="9" t="s">
        <v>584</v>
      </c>
      <c r="D27" s="8" t="s">
        <v>237</v>
      </c>
    </row>
    <row r="28" spans="1:4" x14ac:dyDescent="0.6">
      <c r="A28" s="18" t="s">
        <v>585</v>
      </c>
      <c r="B28" s="17" t="s">
        <v>586</v>
      </c>
      <c r="C28" s="17" t="s">
        <v>587</v>
      </c>
      <c r="D28" s="18" t="s">
        <v>239</v>
      </c>
    </row>
    <row r="29" spans="1:4" ht="38.25" x14ac:dyDescent="0.6">
      <c r="A29" s="20" t="s">
        <v>588</v>
      </c>
      <c r="B29" s="19" t="s">
        <v>589</v>
      </c>
      <c r="C29" s="19" t="s">
        <v>590</v>
      </c>
      <c r="D29" s="20" t="s">
        <v>246</v>
      </c>
    </row>
    <row r="30" spans="1:4" x14ac:dyDescent="0.6">
      <c r="A30" s="20" t="s">
        <v>591</v>
      </c>
      <c r="B30" s="19" t="s">
        <v>592</v>
      </c>
      <c r="C30" s="19" t="s">
        <v>593</v>
      </c>
      <c r="D30" s="20" t="s">
        <v>248</v>
      </c>
    </row>
    <row r="31" spans="1:4" x14ac:dyDescent="0.6">
      <c r="A31" s="8" t="s">
        <v>594</v>
      </c>
      <c r="B31" s="9" t="s">
        <v>595</v>
      </c>
      <c r="C31" s="9" t="s">
        <v>596</v>
      </c>
      <c r="D31" s="8" t="s">
        <v>195</v>
      </c>
    </row>
    <row r="33" spans="1:3" x14ac:dyDescent="0.6">
      <c r="A33" s="16" t="s">
        <v>597</v>
      </c>
    </row>
    <row r="35" spans="1:3" x14ac:dyDescent="0.6">
      <c r="A35" s="5" t="s">
        <v>598</v>
      </c>
    </row>
    <row r="36" spans="1:3" ht="28.05" customHeight="1" x14ac:dyDescent="0.6">
      <c r="A36" s="7" t="s">
        <v>599</v>
      </c>
      <c r="B36" s="7" t="s">
        <v>600</v>
      </c>
      <c r="C36" s="7" t="s">
        <v>601</v>
      </c>
    </row>
    <row r="37" spans="1:3" ht="25.5" x14ac:dyDescent="0.6">
      <c r="A37" s="8" t="s">
        <v>339</v>
      </c>
      <c r="B37" s="9" t="s">
        <v>602</v>
      </c>
      <c r="C37" s="9"/>
    </row>
    <row r="38" spans="1:3" x14ac:dyDescent="0.6">
      <c r="A38" s="10" t="s">
        <v>470</v>
      </c>
      <c r="B38" s="11" t="s">
        <v>603</v>
      </c>
      <c r="C38" s="11" t="s">
        <v>604</v>
      </c>
    </row>
    <row r="39" spans="1:3" x14ac:dyDescent="0.6">
      <c r="A39" s="8" t="s">
        <v>605</v>
      </c>
      <c r="B39" s="9" t="s">
        <v>606</v>
      </c>
      <c r="C39" s="9" t="s">
        <v>607</v>
      </c>
    </row>
    <row r="40" spans="1:3" ht="25.5" x14ac:dyDescent="0.6">
      <c r="A40" s="10" t="s">
        <v>608</v>
      </c>
      <c r="B40" s="11" t="s">
        <v>609</v>
      </c>
      <c r="C40" s="11" t="s">
        <v>610</v>
      </c>
    </row>
    <row r="41" spans="1:3" x14ac:dyDescent="0.6">
      <c r="A41" s="8" t="s">
        <v>444</v>
      </c>
      <c r="B41" s="9" t="s">
        <v>611</v>
      </c>
      <c r="C41" s="9" t="s">
        <v>612</v>
      </c>
    </row>
    <row r="42" spans="1:3" x14ac:dyDescent="0.6">
      <c r="A42" s="10" t="s">
        <v>613</v>
      </c>
      <c r="B42" s="11" t="s">
        <v>614</v>
      </c>
      <c r="C42" s="11" t="s">
        <v>615</v>
      </c>
    </row>
    <row r="43" spans="1:3" x14ac:dyDescent="0.6">
      <c r="A43" s="8" t="s">
        <v>616</v>
      </c>
      <c r="B43" s="9" t="s">
        <v>617</v>
      </c>
      <c r="C43" s="9" t="s">
        <v>618</v>
      </c>
    </row>
    <row r="44" spans="1:3" x14ac:dyDescent="0.6">
      <c r="A44" s="10" t="s">
        <v>619</v>
      </c>
      <c r="B44" s="11" t="s">
        <v>620</v>
      </c>
      <c r="C44" s="11" t="s">
        <v>621</v>
      </c>
    </row>
    <row r="45" spans="1:3" x14ac:dyDescent="0.6">
      <c r="A45" s="8" t="s">
        <v>622</v>
      </c>
      <c r="B45" s="9" t="s">
        <v>623</v>
      </c>
      <c r="C45" s="9" t="s">
        <v>624</v>
      </c>
    </row>
    <row r="46" spans="1:3" x14ac:dyDescent="0.6">
      <c r="A46" s="10" t="s">
        <v>625</v>
      </c>
      <c r="B46" s="11" t="s">
        <v>626</v>
      </c>
      <c r="C46" s="11" t="s">
        <v>627</v>
      </c>
    </row>
    <row r="47" spans="1:3" ht="25.5" x14ac:dyDescent="0.6">
      <c r="A47" s="8" t="s">
        <v>628</v>
      </c>
      <c r="B47" s="9" t="s">
        <v>629</v>
      </c>
      <c r="C47" s="9" t="s">
        <v>630</v>
      </c>
    </row>
    <row r="49" spans="1:4" x14ac:dyDescent="0.6">
      <c r="A49" s="16" t="s">
        <v>631</v>
      </c>
    </row>
    <row r="51" spans="1:4" x14ac:dyDescent="0.6">
      <c r="A51" s="5" t="s">
        <v>632</v>
      </c>
    </row>
    <row r="52" spans="1:4" ht="28.05" customHeight="1" x14ac:dyDescent="0.6">
      <c r="A52" s="7" t="s">
        <v>96</v>
      </c>
      <c r="B52" s="7" t="s">
        <v>633</v>
      </c>
      <c r="C52" s="7" t="s">
        <v>634</v>
      </c>
      <c r="D52" s="7" t="s">
        <v>8</v>
      </c>
    </row>
    <row r="53" spans="1:4" x14ac:dyDescent="0.6">
      <c r="A53" s="8" t="s">
        <v>635</v>
      </c>
      <c r="B53" s="9" t="s">
        <v>636</v>
      </c>
      <c r="C53" s="9" t="s">
        <v>637</v>
      </c>
      <c r="D53" s="8" t="s">
        <v>638</v>
      </c>
    </row>
    <row r="54" spans="1:4" ht="25.5" x14ac:dyDescent="0.6">
      <c r="A54" s="10" t="s">
        <v>639</v>
      </c>
      <c r="B54" s="11" t="s">
        <v>640</v>
      </c>
      <c r="C54" s="11" t="s">
        <v>641</v>
      </c>
      <c r="D54" s="10" t="s">
        <v>638</v>
      </c>
    </row>
    <row r="55" spans="1:4" ht="25.5" x14ac:dyDescent="0.6">
      <c r="A55" s="18" t="s">
        <v>642</v>
      </c>
      <c r="B55" s="17" t="s">
        <v>643</v>
      </c>
      <c r="C55" s="17" t="s">
        <v>644</v>
      </c>
      <c r="D55" s="18" t="s">
        <v>638</v>
      </c>
    </row>
    <row r="56" spans="1:4" x14ac:dyDescent="0.6">
      <c r="A56" s="18" t="s">
        <v>645</v>
      </c>
      <c r="B56" s="17" t="s">
        <v>646</v>
      </c>
      <c r="C56" s="17" t="s">
        <v>647</v>
      </c>
      <c r="D56" s="18" t="s">
        <v>638</v>
      </c>
    </row>
    <row r="57" spans="1:4" x14ac:dyDescent="0.6">
      <c r="A57" s="18" t="s">
        <v>648</v>
      </c>
      <c r="B57" s="17" t="s">
        <v>649</v>
      </c>
      <c r="C57" s="17" t="s">
        <v>650</v>
      </c>
      <c r="D57" s="18" t="s">
        <v>638</v>
      </c>
    </row>
    <row r="58" spans="1:4" ht="25.5" x14ac:dyDescent="0.6">
      <c r="A58" s="20" t="s">
        <v>651</v>
      </c>
      <c r="B58" s="19" t="s">
        <v>652</v>
      </c>
      <c r="C58" s="19" t="s">
        <v>653</v>
      </c>
      <c r="D58" s="20" t="s">
        <v>654</v>
      </c>
    </row>
    <row r="59" spans="1:4" ht="25.5" x14ac:dyDescent="0.6">
      <c r="A59" s="20" t="s">
        <v>655</v>
      </c>
      <c r="B59" s="19" t="s">
        <v>656</v>
      </c>
      <c r="C59" s="19" t="s">
        <v>657</v>
      </c>
      <c r="D59" s="20" t="s">
        <v>654</v>
      </c>
    </row>
    <row r="60" spans="1:4" x14ac:dyDescent="0.6">
      <c r="A60" s="20" t="s">
        <v>658</v>
      </c>
      <c r="B60" s="19" t="s">
        <v>659</v>
      </c>
      <c r="C60" s="19" t="s">
        <v>660</v>
      </c>
      <c r="D60" s="20" t="s">
        <v>654</v>
      </c>
    </row>
    <row r="62" spans="1:4" x14ac:dyDescent="0.6">
      <c r="A62" s="3" t="s">
        <v>66</v>
      </c>
    </row>
    <row r="63" spans="1:4" x14ac:dyDescent="0.6">
      <c r="A63" s="12" t="s">
        <v>67</v>
      </c>
    </row>
    <row r="64" spans="1:4" x14ac:dyDescent="0.6">
      <c r="A64" s="13" t="s">
        <v>68</v>
      </c>
    </row>
    <row r="65" spans="1:1" x14ac:dyDescent="0.6">
      <c r="A65" s="14" t="s">
        <v>69</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6"/>
  <sheetViews>
    <sheetView showGridLines="0" workbookViewId="0">
      <pane ySplit="4" topLeftCell="A24" activePane="bottomLeft" state="frozen"/>
      <selection pane="bottomLeft"/>
    </sheetView>
  </sheetViews>
  <sheetFormatPr defaultRowHeight="16.899999999999999" x14ac:dyDescent="0.6"/>
  <cols>
    <col min="1" max="1" width="28.8125" customWidth="1"/>
    <col min="2" max="2" width="47.125" customWidth="1"/>
    <col min="3" max="3" width="22" customWidth="1"/>
  </cols>
  <sheetData>
    <row r="1" spans="1:3" ht="20.65" x14ac:dyDescent="0.6">
      <c r="A1" s="15" t="s">
        <v>661</v>
      </c>
    </row>
    <row r="2" spans="1:3" x14ac:dyDescent="0.6">
      <c r="A2" s="16" t="s">
        <v>662</v>
      </c>
    </row>
    <row r="4" spans="1:3" x14ac:dyDescent="0.6">
      <c r="A4" s="5" t="s">
        <v>663</v>
      </c>
    </row>
    <row r="5" spans="1:3" ht="28.05" customHeight="1" x14ac:dyDescent="0.6">
      <c r="A5" s="7" t="s">
        <v>664</v>
      </c>
      <c r="B5" s="7" t="s">
        <v>665</v>
      </c>
      <c r="C5" s="7" t="s">
        <v>167</v>
      </c>
    </row>
    <row r="6" spans="1:3" ht="114.75" x14ac:dyDescent="0.6">
      <c r="A6" s="18" t="s">
        <v>666</v>
      </c>
      <c r="B6" s="17" t="s">
        <v>667</v>
      </c>
      <c r="C6" s="18" t="s">
        <v>668</v>
      </c>
    </row>
    <row r="7" spans="1:3" ht="63.75" x14ac:dyDescent="0.6">
      <c r="A7" s="10" t="s">
        <v>669</v>
      </c>
      <c r="B7" s="11" t="s">
        <v>670</v>
      </c>
      <c r="C7" s="10" t="s">
        <v>253</v>
      </c>
    </row>
    <row r="8" spans="1:3" ht="89.25" x14ac:dyDescent="0.6">
      <c r="A8" s="18" t="s">
        <v>671</v>
      </c>
      <c r="B8" s="17" t="s">
        <v>672</v>
      </c>
      <c r="C8" s="18" t="s">
        <v>673</v>
      </c>
    </row>
    <row r="9" spans="1:3" ht="51" x14ac:dyDescent="0.6">
      <c r="A9" s="10" t="s">
        <v>674</v>
      </c>
      <c r="B9" s="11" t="s">
        <v>675</v>
      </c>
      <c r="C9" s="10" t="s">
        <v>257</v>
      </c>
    </row>
    <row r="10" spans="1:3" ht="51" x14ac:dyDescent="0.6">
      <c r="A10" s="18" t="s">
        <v>676</v>
      </c>
      <c r="B10" s="17" t="s">
        <v>677</v>
      </c>
      <c r="C10" s="18" t="s">
        <v>678</v>
      </c>
    </row>
    <row r="11" spans="1:3" ht="51" x14ac:dyDescent="0.6">
      <c r="A11" s="10" t="s">
        <v>679</v>
      </c>
      <c r="B11" s="11" t="s">
        <v>680</v>
      </c>
      <c r="C11" s="10" t="s">
        <v>681</v>
      </c>
    </row>
    <row r="12" spans="1:3" ht="63.75" x14ac:dyDescent="0.6">
      <c r="A12" s="18" t="s">
        <v>682</v>
      </c>
      <c r="B12" s="17" t="s">
        <v>683</v>
      </c>
      <c r="C12" s="18" t="s">
        <v>269</v>
      </c>
    </row>
    <row r="14" spans="1:3" x14ac:dyDescent="0.6">
      <c r="A14" s="5" t="s">
        <v>684</v>
      </c>
    </row>
    <row r="15" spans="1:3" ht="28.05" customHeight="1" x14ac:dyDescent="0.6">
      <c r="A15" s="7" t="s">
        <v>664</v>
      </c>
      <c r="B15" s="7" t="s">
        <v>665</v>
      </c>
      <c r="C15" s="7" t="s">
        <v>167</v>
      </c>
    </row>
    <row r="16" spans="1:3" ht="63.75" x14ac:dyDescent="0.6">
      <c r="A16" s="18" t="s">
        <v>685</v>
      </c>
      <c r="B16" s="17" t="s">
        <v>686</v>
      </c>
      <c r="C16" s="18" t="s">
        <v>259</v>
      </c>
    </row>
    <row r="17" spans="1:3" ht="25.5" x14ac:dyDescent="0.6">
      <c r="A17" s="10" t="s">
        <v>687</v>
      </c>
      <c r="B17" s="11" t="s">
        <v>688</v>
      </c>
      <c r="C17" s="10" t="s">
        <v>197</v>
      </c>
    </row>
    <row r="18" spans="1:3" ht="38.25" x14ac:dyDescent="0.6">
      <c r="A18" s="18" t="s">
        <v>689</v>
      </c>
      <c r="B18" s="17" t="s">
        <v>690</v>
      </c>
      <c r="C18" s="18" t="s">
        <v>199</v>
      </c>
    </row>
    <row r="19" spans="1:3" ht="25.5" x14ac:dyDescent="0.6">
      <c r="A19" s="10" t="s">
        <v>691</v>
      </c>
      <c r="B19" s="11" t="s">
        <v>692</v>
      </c>
      <c r="C19" s="10" t="s">
        <v>265</v>
      </c>
    </row>
    <row r="21" spans="1:3" x14ac:dyDescent="0.6">
      <c r="A21" s="5" t="s">
        <v>693</v>
      </c>
    </row>
    <row r="22" spans="1:3" ht="28.05" customHeight="1" x14ac:dyDescent="0.6">
      <c r="A22" s="7" t="s">
        <v>664</v>
      </c>
      <c r="B22" s="7" t="s">
        <v>665</v>
      </c>
      <c r="C22" s="7" t="s">
        <v>167</v>
      </c>
    </row>
    <row r="23" spans="1:3" ht="51" x14ac:dyDescent="0.6">
      <c r="A23" s="18" t="s">
        <v>694</v>
      </c>
      <c r="B23" s="17" t="s">
        <v>695</v>
      </c>
      <c r="C23" s="18" t="s">
        <v>261</v>
      </c>
    </row>
    <row r="24" spans="1:3" ht="38.25" x14ac:dyDescent="0.6">
      <c r="A24" s="18" t="s">
        <v>696</v>
      </c>
      <c r="B24" s="17" t="s">
        <v>697</v>
      </c>
      <c r="C24" s="18" t="s">
        <v>698</v>
      </c>
    </row>
    <row r="25" spans="1:3" ht="25.5" x14ac:dyDescent="0.6">
      <c r="A25" s="8" t="s">
        <v>699</v>
      </c>
      <c r="B25" s="9" t="s">
        <v>700</v>
      </c>
      <c r="C25" s="8" t="s">
        <v>224</v>
      </c>
    </row>
    <row r="26" spans="1:3" ht="25.5" x14ac:dyDescent="0.6">
      <c r="A26" s="10" t="s">
        <v>691</v>
      </c>
      <c r="B26" s="11" t="s">
        <v>692</v>
      </c>
      <c r="C26" s="10" t="s">
        <v>265</v>
      </c>
    </row>
    <row r="28" spans="1:3" x14ac:dyDescent="0.6">
      <c r="A28" s="5" t="s">
        <v>701</v>
      </c>
    </row>
    <row r="29" spans="1:3" ht="28.05" customHeight="1" x14ac:dyDescent="0.6">
      <c r="A29" s="7" t="s">
        <v>512</v>
      </c>
      <c r="B29" s="7" t="s">
        <v>167</v>
      </c>
    </row>
    <row r="30" spans="1:3" x14ac:dyDescent="0.6">
      <c r="A30" s="17" t="s">
        <v>702</v>
      </c>
      <c r="B30" s="18" t="s">
        <v>125</v>
      </c>
    </row>
    <row r="31" spans="1:3" x14ac:dyDescent="0.6">
      <c r="A31" s="11" t="s">
        <v>703</v>
      </c>
      <c r="B31" s="10" t="s">
        <v>287</v>
      </c>
    </row>
    <row r="32" spans="1:3" x14ac:dyDescent="0.6">
      <c r="A32" s="9" t="s">
        <v>704</v>
      </c>
      <c r="B32" s="8" t="s">
        <v>287</v>
      </c>
    </row>
    <row r="33" spans="1:2" x14ac:dyDescent="0.6">
      <c r="A33" s="11" t="s">
        <v>705</v>
      </c>
      <c r="B33" s="10" t="s">
        <v>290</v>
      </c>
    </row>
    <row r="34" spans="1:2" x14ac:dyDescent="0.6">
      <c r="A34" s="9" t="s">
        <v>706</v>
      </c>
      <c r="B34" s="8" t="s">
        <v>707</v>
      </c>
    </row>
    <row r="35" spans="1:2" x14ac:dyDescent="0.6">
      <c r="A35" s="11" t="s">
        <v>708</v>
      </c>
      <c r="B35" s="10" t="s">
        <v>709</v>
      </c>
    </row>
    <row r="37" spans="1:2" x14ac:dyDescent="0.6">
      <c r="A37" s="5" t="s">
        <v>710</v>
      </c>
    </row>
    <row r="38" spans="1:2" ht="28.05" customHeight="1" x14ac:dyDescent="0.6">
      <c r="A38" s="7" t="s">
        <v>512</v>
      </c>
    </row>
    <row r="39" spans="1:2" x14ac:dyDescent="0.6">
      <c r="A39" s="9" t="s">
        <v>711</v>
      </c>
    </row>
    <row r="40" spans="1:2" x14ac:dyDescent="0.6">
      <c r="A40" s="11" t="s">
        <v>712</v>
      </c>
    </row>
    <row r="41" spans="1:2" x14ac:dyDescent="0.6">
      <c r="A41" s="9" t="s">
        <v>713</v>
      </c>
    </row>
    <row r="43" spans="1:2" x14ac:dyDescent="0.6">
      <c r="A43" s="3" t="s">
        <v>66</v>
      </c>
    </row>
    <row r="44" spans="1:2" x14ac:dyDescent="0.6">
      <c r="A44" s="12" t="s">
        <v>67</v>
      </c>
    </row>
    <row r="45" spans="1:2" x14ac:dyDescent="0.6">
      <c r="A45" s="13" t="s">
        <v>68</v>
      </c>
    </row>
    <row r="46" spans="1:2" x14ac:dyDescent="0.6">
      <c r="A46" s="14" t="s">
        <v>69</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workbookViewId="0">
      <pane ySplit="3" topLeftCell="A28" activePane="bottomLeft" state="frozen"/>
      <selection pane="bottomLeft"/>
    </sheetView>
  </sheetViews>
  <sheetFormatPr defaultRowHeight="16.899999999999999" x14ac:dyDescent="0.6"/>
  <cols>
    <col min="1" max="1" width="146" customWidth="1"/>
    <col min="2" max="2" width="66" customWidth="1"/>
    <col min="3" max="3" width="64" customWidth="1"/>
    <col min="4" max="4" width="48" customWidth="1"/>
    <col min="5" max="5" width="18" customWidth="1"/>
  </cols>
  <sheetData>
    <row r="1" spans="1:5" ht="20.65" x14ac:dyDescent="0.6">
      <c r="A1" s="15" t="s">
        <v>714</v>
      </c>
    </row>
    <row r="3" spans="1:5" x14ac:dyDescent="0.6">
      <c r="A3" s="5" t="s">
        <v>715</v>
      </c>
    </row>
    <row r="4" spans="1:5" x14ac:dyDescent="0.6">
      <c r="A4" s="6" t="s">
        <v>716</v>
      </c>
    </row>
    <row r="5" spans="1:5" x14ac:dyDescent="0.6">
      <c r="A5" s="6" t="s">
        <v>717</v>
      </c>
    </row>
    <row r="7" spans="1:5" ht="28.05" customHeight="1" x14ac:dyDescent="0.6">
      <c r="A7" s="7" t="s">
        <v>718</v>
      </c>
      <c r="B7" s="7" t="s">
        <v>719</v>
      </c>
      <c r="C7" s="7" t="s">
        <v>720</v>
      </c>
      <c r="D7" s="7" t="s">
        <v>721</v>
      </c>
      <c r="E7" s="7" t="s">
        <v>722</v>
      </c>
    </row>
    <row r="8" spans="1:5" ht="25.5" x14ac:dyDescent="0.6">
      <c r="A8" s="8" t="s">
        <v>723</v>
      </c>
      <c r="B8" s="9" t="s">
        <v>724</v>
      </c>
      <c r="C8" s="9" t="s">
        <v>725</v>
      </c>
      <c r="D8" s="9" t="s">
        <v>726</v>
      </c>
      <c r="E8" s="8" t="s">
        <v>727</v>
      </c>
    </row>
    <row r="9" spans="1:5" ht="25.5" x14ac:dyDescent="0.6">
      <c r="A9" s="10" t="s">
        <v>728</v>
      </c>
      <c r="B9" s="11" t="s">
        <v>729</v>
      </c>
      <c r="C9" s="11" t="s">
        <v>730</v>
      </c>
      <c r="D9" s="11" t="s">
        <v>731</v>
      </c>
      <c r="E9" s="10" t="s">
        <v>732</v>
      </c>
    </row>
    <row r="10" spans="1:5" ht="25.5" x14ac:dyDescent="0.6">
      <c r="A10" s="8" t="s">
        <v>733</v>
      </c>
      <c r="B10" s="9" t="s">
        <v>734</v>
      </c>
      <c r="C10" s="9" t="s">
        <v>735</v>
      </c>
      <c r="D10" s="9" t="s">
        <v>736</v>
      </c>
      <c r="E10" s="8" t="s">
        <v>732</v>
      </c>
    </row>
    <row r="12" spans="1:5" x14ac:dyDescent="0.6">
      <c r="A12" s="16" t="s">
        <v>737</v>
      </c>
    </row>
    <row r="13" spans="1:5" x14ac:dyDescent="0.6">
      <c r="A13" s="5" t="s">
        <v>738</v>
      </c>
    </row>
    <row r="14" spans="1:5" ht="28.05" customHeight="1" x14ac:dyDescent="0.6">
      <c r="A14" s="7" t="s">
        <v>739</v>
      </c>
      <c r="B14" s="7" t="s">
        <v>740</v>
      </c>
      <c r="C14" s="7" t="s">
        <v>167</v>
      </c>
    </row>
    <row r="15" spans="1:5" x14ac:dyDescent="0.6">
      <c r="A15" s="8" t="s">
        <v>741</v>
      </c>
      <c r="B15" s="9" t="s">
        <v>742</v>
      </c>
      <c r="C15" s="8" t="s">
        <v>173</v>
      </c>
    </row>
    <row r="16" spans="1:5" x14ac:dyDescent="0.6">
      <c r="A16" s="10" t="s">
        <v>743</v>
      </c>
      <c r="B16" s="11" t="s">
        <v>744</v>
      </c>
      <c r="C16" s="10" t="s">
        <v>745</v>
      </c>
    </row>
    <row r="17" spans="1:3" ht="25.5" x14ac:dyDescent="0.6">
      <c r="A17" s="8" t="s">
        <v>746</v>
      </c>
      <c r="B17" s="9" t="s">
        <v>747</v>
      </c>
      <c r="C17" s="8" t="s">
        <v>748</v>
      </c>
    </row>
    <row r="18" spans="1:3" x14ac:dyDescent="0.6">
      <c r="A18" s="10" t="s">
        <v>749</v>
      </c>
      <c r="B18" s="11" t="s">
        <v>750</v>
      </c>
      <c r="C18" s="10" t="s">
        <v>178</v>
      </c>
    </row>
    <row r="19" spans="1:3" x14ac:dyDescent="0.6">
      <c r="A19" s="8" t="s">
        <v>751</v>
      </c>
      <c r="B19" s="9" t="s">
        <v>752</v>
      </c>
      <c r="C19" s="8" t="s">
        <v>173</v>
      </c>
    </row>
    <row r="20" spans="1:3" ht="25.5" x14ac:dyDescent="0.6">
      <c r="A20" s="10" t="s">
        <v>753</v>
      </c>
      <c r="B20" s="11" t="s">
        <v>754</v>
      </c>
      <c r="C20" s="10" t="s">
        <v>283</v>
      </c>
    </row>
    <row r="22" spans="1:3" x14ac:dyDescent="0.6">
      <c r="A22" s="5" t="s">
        <v>755</v>
      </c>
    </row>
    <row r="23" spans="1:3" ht="28.05" customHeight="1" x14ac:dyDescent="0.6">
      <c r="A23" s="7" t="s">
        <v>756</v>
      </c>
      <c r="B23" s="7" t="s">
        <v>757</v>
      </c>
      <c r="C23" s="7" t="s">
        <v>758</v>
      </c>
    </row>
    <row r="24" spans="1:3" x14ac:dyDescent="0.6">
      <c r="A24" s="8" t="s">
        <v>759</v>
      </c>
      <c r="B24" s="9" t="s">
        <v>760</v>
      </c>
      <c r="C24" s="9" t="s">
        <v>761</v>
      </c>
    </row>
    <row r="25" spans="1:3" x14ac:dyDescent="0.6">
      <c r="A25" s="10" t="s">
        <v>762</v>
      </c>
      <c r="B25" s="11" t="s">
        <v>763</v>
      </c>
      <c r="C25" s="11" t="s">
        <v>764</v>
      </c>
    </row>
    <row r="26" spans="1:3" ht="25.5" x14ac:dyDescent="0.6">
      <c r="A26" s="8" t="s">
        <v>765</v>
      </c>
      <c r="B26" s="9" t="s">
        <v>766</v>
      </c>
      <c r="C26" s="9" t="s">
        <v>767</v>
      </c>
    </row>
    <row r="27" spans="1:3" ht="25.5" x14ac:dyDescent="0.6">
      <c r="A27" s="20" t="s">
        <v>768</v>
      </c>
      <c r="B27" s="19" t="s">
        <v>769</v>
      </c>
      <c r="C27" s="19" t="s">
        <v>770</v>
      </c>
    </row>
    <row r="28" spans="1:3" ht="25.5" x14ac:dyDescent="0.6">
      <c r="A28" s="18" t="s">
        <v>771</v>
      </c>
      <c r="B28" s="17" t="s">
        <v>772</v>
      </c>
      <c r="C28" s="17" t="s">
        <v>773</v>
      </c>
    </row>
    <row r="29" spans="1:3" x14ac:dyDescent="0.6">
      <c r="A29" s="18" t="s">
        <v>774</v>
      </c>
      <c r="B29" s="17" t="s">
        <v>775</v>
      </c>
      <c r="C29" s="17" t="s">
        <v>776</v>
      </c>
    </row>
    <row r="31" spans="1:3" x14ac:dyDescent="0.6">
      <c r="A31" s="16" t="s">
        <v>777</v>
      </c>
    </row>
    <row r="32" spans="1:3" x14ac:dyDescent="0.6">
      <c r="A32" s="5" t="s">
        <v>778</v>
      </c>
    </row>
    <row r="33" spans="1:1" ht="28.05" customHeight="1" x14ac:dyDescent="0.6">
      <c r="A33" s="7" t="s">
        <v>779</v>
      </c>
    </row>
    <row r="34" spans="1:1" x14ac:dyDescent="0.6">
      <c r="A34" s="17" t="s">
        <v>780</v>
      </c>
    </row>
    <row r="35" spans="1:1" x14ac:dyDescent="0.6">
      <c r="A35" s="11" t="s">
        <v>781</v>
      </c>
    </row>
    <row r="36" spans="1:1" x14ac:dyDescent="0.6">
      <c r="A36" s="9" t="s">
        <v>782</v>
      </c>
    </row>
    <row r="38" spans="1:1" x14ac:dyDescent="0.6">
      <c r="A38" s="3" t="s">
        <v>66</v>
      </c>
    </row>
    <row r="39" spans="1:1" x14ac:dyDescent="0.6">
      <c r="A39" s="12" t="s">
        <v>67</v>
      </c>
    </row>
    <row r="40" spans="1:1" x14ac:dyDescent="0.6">
      <c r="A40" s="13" t="s">
        <v>68</v>
      </c>
    </row>
    <row r="41" spans="1:1" x14ac:dyDescent="0.6">
      <c r="A41" s="14" t="s">
        <v>69</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8"/>
  <sheetViews>
    <sheetView showGridLines="0" workbookViewId="0">
      <pane ySplit="4" topLeftCell="A5" activePane="bottomLeft" state="frozen"/>
      <selection pane="bottomLeft" activeCell="A24" sqref="A24"/>
    </sheetView>
  </sheetViews>
  <sheetFormatPr defaultRowHeight="16.899999999999999" x14ac:dyDescent="0.6"/>
  <cols>
    <col min="1" max="1" width="26" customWidth="1"/>
    <col min="2" max="2" width="12" customWidth="1"/>
    <col min="3" max="3" width="86" customWidth="1"/>
    <col min="4" max="4" width="42" customWidth="1"/>
    <col min="5" max="5" width="24" customWidth="1"/>
  </cols>
  <sheetData>
    <row r="1" spans="1:5" ht="20.65" x14ac:dyDescent="0.6">
      <c r="A1" s="15" t="s">
        <v>783</v>
      </c>
    </row>
    <row r="2" spans="1:5" x14ac:dyDescent="0.6">
      <c r="A2" s="16" t="s">
        <v>784</v>
      </c>
    </row>
    <row r="4" spans="1:5" ht="28.05" customHeight="1" x14ac:dyDescent="0.6">
      <c r="A4" s="7" t="s">
        <v>172</v>
      </c>
      <c r="B4" s="7" t="s">
        <v>785</v>
      </c>
      <c r="C4" s="7" t="s">
        <v>786</v>
      </c>
      <c r="D4" s="7" t="s">
        <v>787</v>
      </c>
      <c r="E4" s="7" t="s">
        <v>8</v>
      </c>
    </row>
    <row r="5" spans="1:5" x14ac:dyDescent="0.6">
      <c r="A5" s="8" t="s">
        <v>488</v>
      </c>
      <c r="B5" s="8" t="s">
        <v>788</v>
      </c>
      <c r="C5" s="9" t="s">
        <v>789</v>
      </c>
      <c r="D5" s="9" t="s">
        <v>790</v>
      </c>
      <c r="E5" s="8" t="s">
        <v>791</v>
      </c>
    </row>
    <row r="6" spans="1:5" x14ac:dyDescent="0.6">
      <c r="A6" s="10" t="s">
        <v>488</v>
      </c>
      <c r="B6" s="10" t="s">
        <v>792</v>
      </c>
      <c r="C6" s="11" t="s">
        <v>793</v>
      </c>
      <c r="D6" s="11" t="s">
        <v>794</v>
      </c>
      <c r="E6" s="10" t="s">
        <v>791</v>
      </c>
    </row>
    <row r="7" spans="1:5" x14ac:dyDescent="0.6">
      <c r="A7" s="8" t="s">
        <v>488</v>
      </c>
      <c r="B7" s="8" t="s">
        <v>795</v>
      </c>
      <c r="C7" s="9" t="s">
        <v>796</v>
      </c>
      <c r="D7" s="9" t="s">
        <v>797</v>
      </c>
      <c r="E7" s="8" t="s">
        <v>798</v>
      </c>
    </row>
    <row r="8" spans="1:5" x14ac:dyDescent="0.6">
      <c r="A8" s="10" t="s">
        <v>488</v>
      </c>
      <c r="B8" s="10" t="s">
        <v>799</v>
      </c>
      <c r="C8" s="11" t="s">
        <v>800</v>
      </c>
      <c r="D8" s="11" t="s">
        <v>801</v>
      </c>
      <c r="E8" s="10" t="s">
        <v>802</v>
      </c>
    </row>
    <row r="9" spans="1:5" x14ac:dyDescent="0.6">
      <c r="A9" s="8" t="s">
        <v>488</v>
      </c>
      <c r="B9" s="8" t="s">
        <v>803</v>
      </c>
      <c r="C9" s="9" t="s">
        <v>804</v>
      </c>
      <c r="D9" s="9" t="s">
        <v>805</v>
      </c>
      <c r="E9" s="8" t="s">
        <v>802</v>
      </c>
    </row>
    <row r="10" spans="1:5" x14ac:dyDescent="0.6">
      <c r="A10" s="10" t="s">
        <v>488</v>
      </c>
      <c r="B10" s="10" t="s">
        <v>806</v>
      </c>
      <c r="C10" s="11" t="s">
        <v>807</v>
      </c>
      <c r="D10" s="11" t="s">
        <v>808</v>
      </c>
      <c r="E10" s="10" t="s">
        <v>809</v>
      </c>
    </row>
    <row r="11" spans="1:5" x14ac:dyDescent="0.6">
      <c r="A11" s="8" t="s">
        <v>488</v>
      </c>
      <c r="B11" s="8" t="s">
        <v>810</v>
      </c>
      <c r="C11" s="9" t="s">
        <v>811</v>
      </c>
      <c r="D11" s="9" t="s">
        <v>812</v>
      </c>
      <c r="E11" s="8" t="s">
        <v>809</v>
      </c>
    </row>
    <row r="12" spans="1:5" x14ac:dyDescent="0.6">
      <c r="A12" s="10" t="s">
        <v>190</v>
      </c>
      <c r="B12" s="10" t="s">
        <v>813</v>
      </c>
      <c r="C12" s="11" t="s">
        <v>814</v>
      </c>
      <c r="D12" s="11" t="s">
        <v>815</v>
      </c>
      <c r="E12" s="10" t="s">
        <v>809</v>
      </c>
    </row>
    <row r="13" spans="1:5" x14ac:dyDescent="0.6">
      <c r="A13" s="8" t="s">
        <v>190</v>
      </c>
      <c r="B13" s="8" t="s">
        <v>816</v>
      </c>
      <c r="C13" s="9" t="s">
        <v>817</v>
      </c>
      <c r="D13" s="9" t="s">
        <v>818</v>
      </c>
      <c r="E13" s="8" t="s">
        <v>809</v>
      </c>
    </row>
    <row r="14" spans="1:5" x14ac:dyDescent="0.6">
      <c r="A14" s="10" t="s">
        <v>190</v>
      </c>
      <c r="B14" s="10" t="s">
        <v>819</v>
      </c>
      <c r="C14" s="11" t="s">
        <v>820</v>
      </c>
      <c r="D14" s="11" t="s">
        <v>818</v>
      </c>
      <c r="E14" s="10" t="s">
        <v>809</v>
      </c>
    </row>
    <row r="15" spans="1:5" x14ac:dyDescent="0.6">
      <c r="A15" s="8" t="s">
        <v>190</v>
      </c>
      <c r="B15" s="8" t="s">
        <v>821</v>
      </c>
      <c r="C15" s="9" t="s">
        <v>822</v>
      </c>
      <c r="D15" s="9" t="s">
        <v>823</v>
      </c>
      <c r="E15" s="8" t="s">
        <v>809</v>
      </c>
    </row>
    <row r="16" spans="1:5" x14ac:dyDescent="0.6">
      <c r="A16" s="10" t="s">
        <v>190</v>
      </c>
      <c r="B16" s="10" t="s">
        <v>824</v>
      </c>
      <c r="C16" s="11" t="s">
        <v>825</v>
      </c>
      <c r="D16" s="11" t="s">
        <v>826</v>
      </c>
      <c r="E16" s="10" t="s">
        <v>809</v>
      </c>
    </row>
    <row r="17" spans="1:5" x14ac:dyDescent="0.6">
      <c r="A17" s="8" t="s">
        <v>190</v>
      </c>
      <c r="B17" s="8" t="s">
        <v>827</v>
      </c>
      <c r="C17" s="9" t="s">
        <v>828</v>
      </c>
      <c r="D17" s="9" t="s">
        <v>829</v>
      </c>
      <c r="E17" s="8" t="s">
        <v>809</v>
      </c>
    </row>
    <row r="18" spans="1:5" x14ac:dyDescent="0.6">
      <c r="A18" s="10" t="s">
        <v>190</v>
      </c>
      <c r="B18" s="10" t="s">
        <v>830</v>
      </c>
      <c r="C18" s="11" t="s">
        <v>831</v>
      </c>
      <c r="D18" s="11" t="s">
        <v>832</v>
      </c>
      <c r="E18" s="10" t="s">
        <v>809</v>
      </c>
    </row>
    <row r="19" spans="1:5" x14ac:dyDescent="0.6">
      <c r="A19" s="8" t="s">
        <v>190</v>
      </c>
      <c r="B19" s="8" t="s">
        <v>833</v>
      </c>
      <c r="C19" s="9" t="s">
        <v>834</v>
      </c>
      <c r="D19" s="9" t="s">
        <v>835</v>
      </c>
      <c r="E19" s="8" t="s">
        <v>809</v>
      </c>
    </row>
    <row r="20" spans="1:5" x14ac:dyDescent="0.6">
      <c r="A20" s="10" t="s">
        <v>190</v>
      </c>
      <c r="B20" s="10" t="s">
        <v>836</v>
      </c>
      <c r="C20" s="11" t="s">
        <v>837</v>
      </c>
      <c r="D20" s="11" t="s">
        <v>838</v>
      </c>
      <c r="E20" s="10" t="s">
        <v>809</v>
      </c>
    </row>
    <row r="21" spans="1:5" x14ac:dyDescent="0.6">
      <c r="A21" s="8" t="s">
        <v>500</v>
      </c>
      <c r="B21" s="8" t="s">
        <v>839</v>
      </c>
      <c r="C21" s="9" t="s">
        <v>840</v>
      </c>
      <c r="D21" s="9" t="s">
        <v>841</v>
      </c>
      <c r="E21" s="8" t="s">
        <v>809</v>
      </c>
    </row>
    <row r="22" spans="1:5" x14ac:dyDescent="0.6">
      <c r="A22" s="10" t="s">
        <v>500</v>
      </c>
      <c r="B22" s="10" t="s">
        <v>842</v>
      </c>
      <c r="C22" s="11" t="s">
        <v>843</v>
      </c>
      <c r="D22" s="11" t="s">
        <v>844</v>
      </c>
      <c r="E22" s="10" t="s">
        <v>809</v>
      </c>
    </row>
    <row r="23" spans="1:5" x14ac:dyDescent="0.6">
      <c r="A23" s="8" t="s">
        <v>500</v>
      </c>
      <c r="B23" s="8" t="s">
        <v>845</v>
      </c>
      <c r="C23" s="9" t="s">
        <v>846</v>
      </c>
      <c r="D23" s="9" t="s">
        <v>847</v>
      </c>
      <c r="E23" s="8" t="s">
        <v>809</v>
      </c>
    </row>
    <row r="24" spans="1:5" x14ac:dyDescent="0.6">
      <c r="A24" s="10" t="s">
        <v>500</v>
      </c>
      <c r="B24" s="10" t="s">
        <v>848</v>
      </c>
      <c r="C24" s="11" t="s">
        <v>849</v>
      </c>
      <c r="D24" s="11" t="s">
        <v>850</v>
      </c>
      <c r="E24" s="10" t="s">
        <v>809</v>
      </c>
    </row>
    <row r="25" spans="1:5" x14ac:dyDescent="0.6">
      <c r="A25" s="8" t="s">
        <v>177</v>
      </c>
      <c r="B25" s="8" t="s">
        <v>851</v>
      </c>
      <c r="C25" s="9" t="s">
        <v>852</v>
      </c>
      <c r="D25" s="9" t="s">
        <v>853</v>
      </c>
      <c r="E25" s="8" t="s">
        <v>809</v>
      </c>
    </row>
    <row r="26" spans="1:5" x14ac:dyDescent="0.6">
      <c r="A26" s="10" t="s">
        <v>177</v>
      </c>
      <c r="B26" s="10" t="s">
        <v>854</v>
      </c>
      <c r="C26" s="11" t="s">
        <v>855</v>
      </c>
      <c r="D26" s="11" t="s">
        <v>853</v>
      </c>
      <c r="E26" s="10" t="s">
        <v>809</v>
      </c>
    </row>
    <row r="27" spans="1:5" x14ac:dyDescent="0.6">
      <c r="A27" s="8" t="s">
        <v>177</v>
      </c>
      <c r="B27" s="8" t="s">
        <v>856</v>
      </c>
      <c r="C27" s="9" t="s">
        <v>857</v>
      </c>
      <c r="D27" s="9" t="s">
        <v>853</v>
      </c>
      <c r="E27" s="8" t="s">
        <v>809</v>
      </c>
    </row>
    <row r="28" spans="1:5" x14ac:dyDescent="0.6">
      <c r="A28" s="10" t="s">
        <v>177</v>
      </c>
      <c r="B28" s="10" t="s">
        <v>858</v>
      </c>
      <c r="C28" s="11" t="s">
        <v>859</v>
      </c>
      <c r="D28" s="11" t="s">
        <v>853</v>
      </c>
      <c r="E28" s="10" t="s">
        <v>809</v>
      </c>
    </row>
    <row r="29" spans="1:5" x14ac:dyDescent="0.6">
      <c r="A29" s="8" t="s">
        <v>177</v>
      </c>
      <c r="B29" s="8" t="s">
        <v>860</v>
      </c>
      <c r="C29" s="9" t="s">
        <v>861</v>
      </c>
      <c r="D29" s="9" t="s">
        <v>862</v>
      </c>
      <c r="E29" s="8" t="s">
        <v>809</v>
      </c>
    </row>
    <row r="30" spans="1:5" x14ac:dyDescent="0.6">
      <c r="A30" s="10" t="s">
        <v>177</v>
      </c>
      <c r="B30" s="10" t="s">
        <v>863</v>
      </c>
      <c r="C30" s="11" t="s">
        <v>864</v>
      </c>
      <c r="D30" s="11" t="s">
        <v>853</v>
      </c>
      <c r="E30" s="10" t="s">
        <v>809</v>
      </c>
    </row>
    <row r="31" spans="1:5" x14ac:dyDescent="0.6">
      <c r="A31" s="8" t="s">
        <v>177</v>
      </c>
      <c r="B31" s="8" t="s">
        <v>865</v>
      </c>
      <c r="C31" s="9" t="s">
        <v>866</v>
      </c>
      <c r="D31" s="9" t="s">
        <v>853</v>
      </c>
      <c r="E31" s="8" t="s">
        <v>809</v>
      </c>
    </row>
    <row r="32" spans="1:5" x14ac:dyDescent="0.6">
      <c r="A32" s="10" t="s">
        <v>177</v>
      </c>
      <c r="B32" s="10" t="s">
        <v>867</v>
      </c>
      <c r="C32" s="11" t="s">
        <v>868</v>
      </c>
      <c r="D32" s="11" t="s">
        <v>869</v>
      </c>
      <c r="E32" s="10" t="s">
        <v>809</v>
      </c>
    </row>
    <row r="33" spans="1:5" x14ac:dyDescent="0.6">
      <c r="A33" s="8" t="s">
        <v>177</v>
      </c>
      <c r="B33" s="8" t="s">
        <v>870</v>
      </c>
      <c r="C33" s="9" t="s">
        <v>871</v>
      </c>
      <c r="D33" s="9" t="s">
        <v>872</v>
      </c>
      <c r="E33" s="8" t="s">
        <v>809</v>
      </c>
    </row>
    <row r="34" spans="1:5" x14ac:dyDescent="0.6">
      <c r="A34" s="10" t="s">
        <v>177</v>
      </c>
      <c r="B34" s="10" t="s">
        <v>873</v>
      </c>
      <c r="C34" s="11" t="s">
        <v>874</v>
      </c>
      <c r="D34" s="11" t="s">
        <v>875</v>
      </c>
      <c r="E34" s="10" t="s">
        <v>809</v>
      </c>
    </row>
    <row r="35" spans="1:5" x14ac:dyDescent="0.6">
      <c r="A35" s="8" t="s">
        <v>876</v>
      </c>
      <c r="B35" s="8" t="s">
        <v>877</v>
      </c>
      <c r="C35" s="9" t="s">
        <v>878</v>
      </c>
      <c r="D35" s="9" t="s">
        <v>879</v>
      </c>
      <c r="E35" s="8" t="s">
        <v>809</v>
      </c>
    </row>
    <row r="36" spans="1:5" x14ac:dyDescent="0.6">
      <c r="A36" s="10" t="s">
        <v>876</v>
      </c>
      <c r="B36" s="10" t="s">
        <v>880</v>
      </c>
      <c r="C36" s="11" t="s">
        <v>881</v>
      </c>
      <c r="D36" s="11" t="s">
        <v>882</v>
      </c>
      <c r="E36" s="10" t="s">
        <v>809</v>
      </c>
    </row>
    <row r="37" spans="1:5" x14ac:dyDescent="0.6">
      <c r="A37" s="8" t="s">
        <v>876</v>
      </c>
      <c r="B37" s="8" t="s">
        <v>883</v>
      </c>
      <c r="C37" s="9" t="s">
        <v>884</v>
      </c>
      <c r="D37" s="9" t="s">
        <v>885</v>
      </c>
      <c r="E37" s="8" t="s">
        <v>809</v>
      </c>
    </row>
    <row r="38" spans="1:5" x14ac:dyDescent="0.6">
      <c r="A38" s="10" t="s">
        <v>876</v>
      </c>
      <c r="B38" s="10" t="s">
        <v>886</v>
      </c>
      <c r="C38" s="11" t="s">
        <v>887</v>
      </c>
      <c r="D38" s="11" t="s">
        <v>888</v>
      </c>
      <c r="E38" s="10" t="s">
        <v>809</v>
      </c>
    </row>
    <row r="39" spans="1:5" x14ac:dyDescent="0.6">
      <c r="A39" s="8" t="s">
        <v>876</v>
      </c>
      <c r="B39" s="8" t="s">
        <v>889</v>
      </c>
      <c r="C39" s="9" t="s">
        <v>890</v>
      </c>
      <c r="D39" s="9" t="s">
        <v>891</v>
      </c>
      <c r="E39" s="8" t="s">
        <v>809</v>
      </c>
    </row>
    <row r="41" spans="1:5" x14ac:dyDescent="0.6">
      <c r="A41" s="5" t="s">
        <v>892</v>
      </c>
    </row>
    <row r="42" spans="1:5" ht="28.05" customHeight="1" x14ac:dyDescent="0.6">
      <c r="A42" s="7" t="s">
        <v>893</v>
      </c>
      <c r="B42" s="7" t="s">
        <v>315</v>
      </c>
    </row>
    <row r="43" spans="1:5" x14ac:dyDescent="0.6">
      <c r="A43" s="8" t="s">
        <v>894</v>
      </c>
      <c r="B43" s="8">
        <f>COUNTA(B5:B39)</f>
        <v>35</v>
      </c>
    </row>
    <row r="44" spans="1:5" x14ac:dyDescent="0.6">
      <c r="A44" s="10" t="s">
        <v>791</v>
      </c>
      <c r="B44" s="10">
        <f>COUNTIF(E5:E39,"Complete")+COUNTIF(E5:E39,"Complete - issued for review")</f>
        <v>3</v>
      </c>
    </row>
    <row r="45" spans="1:5" x14ac:dyDescent="0.6">
      <c r="A45" s="8" t="s">
        <v>895</v>
      </c>
      <c r="B45" s="8">
        <f>COUNTIF(E5:E39,"Pending you")</f>
        <v>2</v>
      </c>
    </row>
    <row r="46" spans="1:5" x14ac:dyDescent="0.6">
      <c r="A46" s="10" t="s">
        <v>809</v>
      </c>
      <c r="B46" s="10">
        <f>COUNTIF(E5:E39,"Not started")</f>
        <v>30</v>
      </c>
    </row>
    <row r="48" spans="1:5" x14ac:dyDescent="0.6">
      <c r="A48" s="16" t="s">
        <v>896</v>
      </c>
    </row>
  </sheetData>
  <phoneticPr fontId="10" type="noConversion"/>
  <dataValidations count="1">
    <dataValidation type="list" allowBlank="1" sqref="E5:E39" xr:uid="{00000000-0002-0000-0800-000000000000}">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3"/>
  <sheetViews>
    <sheetView showGridLines="0" workbookViewId="0">
      <pane ySplit="3" topLeftCell="A4" activePane="bottomLeft" state="frozen"/>
      <selection pane="bottomLeft" activeCell="A14" sqref="A14"/>
    </sheetView>
  </sheetViews>
  <sheetFormatPr defaultRowHeight="16.899999999999999" x14ac:dyDescent="0.6"/>
  <cols>
    <col min="1" max="1" width="34.25" customWidth="1"/>
    <col min="2" max="2" width="59.1875" customWidth="1"/>
    <col min="3" max="3" width="20" customWidth="1"/>
    <col min="4" max="4" width="16" customWidth="1"/>
    <col min="5" max="5" width="14" customWidth="1"/>
    <col min="6" max="6" width="52" customWidth="1"/>
  </cols>
  <sheetData>
    <row r="1" spans="1:4" ht="20.65" x14ac:dyDescent="0.6">
      <c r="A1" s="15" t="s">
        <v>897</v>
      </c>
    </row>
    <row r="3" spans="1:4" x14ac:dyDescent="0.6">
      <c r="A3" s="5" t="s">
        <v>898</v>
      </c>
    </row>
    <row r="4" spans="1:4" ht="28.05" customHeight="1" x14ac:dyDescent="0.6">
      <c r="A4" s="7" t="s">
        <v>899</v>
      </c>
      <c r="B4" s="7" t="s">
        <v>900</v>
      </c>
      <c r="C4" s="7" t="s">
        <v>901</v>
      </c>
      <c r="D4" s="7" t="s">
        <v>902</v>
      </c>
    </row>
    <row r="5" spans="1:4" ht="25.5" x14ac:dyDescent="0.6">
      <c r="A5" s="8" t="s">
        <v>903</v>
      </c>
      <c r="B5" s="9" t="s">
        <v>904</v>
      </c>
      <c r="C5" s="8" t="s">
        <v>905</v>
      </c>
      <c r="D5" s="9" t="s">
        <v>906</v>
      </c>
    </row>
    <row r="6" spans="1:4" ht="25.5" x14ac:dyDescent="0.6">
      <c r="A6" s="10" t="s">
        <v>907</v>
      </c>
      <c r="B6" s="11" t="s">
        <v>908</v>
      </c>
      <c r="C6" s="10" t="s">
        <v>905</v>
      </c>
      <c r="D6" s="11" t="s">
        <v>909</v>
      </c>
    </row>
    <row r="7" spans="1:4" ht="25.5" x14ac:dyDescent="0.6">
      <c r="A7" s="8" t="s">
        <v>910</v>
      </c>
      <c r="B7" s="9" t="s">
        <v>911</v>
      </c>
      <c r="C7" s="8" t="s">
        <v>912</v>
      </c>
      <c r="D7" s="9" t="s">
        <v>913</v>
      </c>
    </row>
    <row r="8" spans="1:4" ht="38.25" x14ac:dyDescent="0.6">
      <c r="A8" s="18" t="s">
        <v>914</v>
      </c>
      <c r="B8" s="17" t="s">
        <v>915</v>
      </c>
      <c r="C8" s="18" t="s">
        <v>916</v>
      </c>
      <c r="D8" s="17" t="s">
        <v>917</v>
      </c>
    </row>
    <row r="9" spans="1:4" ht="25.5" x14ac:dyDescent="0.6">
      <c r="A9" s="8" t="s">
        <v>918</v>
      </c>
      <c r="B9" s="9" t="s">
        <v>919</v>
      </c>
      <c r="C9" s="8" t="s">
        <v>920</v>
      </c>
      <c r="D9" s="9" t="s">
        <v>921</v>
      </c>
    </row>
    <row r="10" spans="1:4" x14ac:dyDescent="0.6">
      <c r="A10" s="10" t="s">
        <v>922</v>
      </c>
      <c r="B10" s="11" t="s">
        <v>923</v>
      </c>
      <c r="C10" s="10" t="s">
        <v>924</v>
      </c>
      <c r="D10" s="11" t="s">
        <v>925</v>
      </c>
    </row>
    <row r="12" spans="1:4" x14ac:dyDescent="0.6">
      <c r="A12" s="5" t="s">
        <v>926</v>
      </c>
    </row>
    <row r="13" spans="1:4" ht="28.05" customHeight="1" x14ac:dyDescent="0.6">
      <c r="A13" s="7" t="s">
        <v>927</v>
      </c>
      <c r="B13" s="7" t="s">
        <v>484</v>
      </c>
      <c r="C13" s="7" t="s">
        <v>928</v>
      </c>
    </row>
    <row r="14" spans="1:4" ht="25.5" x14ac:dyDescent="0.6">
      <c r="A14" s="8" t="s">
        <v>929</v>
      </c>
      <c r="B14" s="9" t="s">
        <v>930</v>
      </c>
      <c r="C14" s="8" t="s">
        <v>931</v>
      </c>
    </row>
    <row r="15" spans="1:4" ht="38.25" x14ac:dyDescent="0.6">
      <c r="A15" s="10" t="s">
        <v>932</v>
      </c>
      <c r="B15" s="11" t="s">
        <v>933</v>
      </c>
      <c r="C15" s="10" t="s">
        <v>934</v>
      </c>
    </row>
    <row r="16" spans="1:4" ht="51" x14ac:dyDescent="0.6">
      <c r="A16" s="8" t="s">
        <v>935</v>
      </c>
      <c r="B16" s="9" t="s">
        <v>936</v>
      </c>
      <c r="C16" s="8" t="s">
        <v>937</v>
      </c>
    </row>
    <row r="17" spans="1:6" ht="51" x14ac:dyDescent="0.6">
      <c r="A17" s="10" t="s">
        <v>938</v>
      </c>
      <c r="B17" s="11" t="s">
        <v>939</v>
      </c>
      <c r="C17" s="10" t="s">
        <v>940</v>
      </c>
    </row>
    <row r="19" spans="1:6" x14ac:dyDescent="0.6">
      <c r="A19" s="16" t="s">
        <v>941</v>
      </c>
    </row>
    <row r="20" spans="1:6" x14ac:dyDescent="0.6">
      <c r="A20" s="5" t="s">
        <v>942</v>
      </c>
    </row>
    <row r="21" spans="1:6" ht="28.05" customHeight="1" x14ac:dyDescent="0.6">
      <c r="A21" s="7" t="s">
        <v>943</v>
      </c>
      <c r="B21" s="7" t="s">
        <v>944</v>
      </c>
      <c r="C21" s="7" t="s">
        <v>945</v>
      </c>
      <c r="D21" s="7" t="s">
        <v>938</v>
      </c>
      <c r="E21" s="7" t="s">
        <v>72</v>
      </c>
      <c r="F21" s="7" t="s">
        <v>601</v>
      </c>
    </row>
    <row r="22" spans="1:6" x14ac:dyDescent="0.6">
      <c r="A22" s="8" t="s">
        <v>122</v>
      </c>
      <c r="B22" s="8" t="s">
        <v>76</v>
      </c>
      <c r="C22" s="8" t="s">
        <v>76</v>
      </c>
      <c r="D22" s="8" t="s">
        <v>76</v>
      </c>
      <c r="E22" s="8" t="s">
        <v>75</v>
      </c>
      <c r="F22" s="9" t="s">
        <v>946</v>
      </c>
    </row>
    <row r="23" spans="1:6" x14ac:dyDescent="0.6">
      <c r="A23" s="10" t="s">
        <v>7</v>
      </c>
      <c r="B23" s="10" t="s">
        <v>76</v>
      </c>
      <c r="C23" s="10" t="s">
        <v>76</v>
      </c>
      <c r="D23" s="10" t="s">
        <v>947</v>
      </c>
      <c r="E23" s="10" t="s">
        <v>11</v>
      </c>
      <c r="F23" s="11" t="s">
        <v>948</v>
      </c>
    </row>
    <row r="24" spans="1:6" x14ac:dyDescent="0.6">
      <c r="A24" s="8"/>
      <c r="B24" s="8"/>
      <c r="C24" s="8"/>
      <c r="D24" s="8"/>
      <c r="E24" s="8"/>
      <c r="F24" s="9"/>
    </row>
    <row r="26" spans="1:6" x14ac:dyDescent="0.6">
      <c r="A26" s="16" t="s">
        <v>949</v>
      </c>
    </row>
    <row r="27" spans="1:6" x14ac:dyDescent="0.6">
      <c r="A27" s="5" t="s">
        <v>950</v>
      </c>
    </row>
    <row r="28" spans="1:6" ht="28.05" customHeight="1" x14ac:dyDescent="0.6">
      <c r="A28" s="7" t="s">
        <v>512</v>
      </c>
    </row>
    <row r="29" spans="1:6" x14ac:dyDescent="0.6">
      <c r="A29" s="9" t="s">
        <v>951</v>
      </c>
    </row>
    <row r="30" spans="1:6" x14ac:dyDescent="0.6">
      <c r="A30" s="11" t="s">
        <v>952</v>
      </c>
    </row>
    <row r="31" spans="1:6" x14ac:dyDescent="0.6">
      <c r="A31" s="9" t="s">
        <v>953</v>
      </c>
    </row>
    <row r="32" spans="1:6" x14ac:dyDescent="0.6">
      <c r="A32" s="11" t="s">
        <v>954</v>
      </c>
    </row>
    <row r="33" spans="1:1" x14ac:dyDescent="0.6">
      <c r="A33" s="19" t="s">
        <v>955</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1"/>
  <sheetViews>
    <sheetView showGridLines="0" workbookViewId="0">
      <pane ySplit="3" topLeftCell="A10" activePane="bottomLeft" state="frozen"/>
      <selection pane="bottomLeft" activeCell="B25" sqref="B25"/>
    </sheetView>
  </sheetViews>
  <sheetFormatPr defaultRowHeight="16.899999999999999" x14ac:dyDescent="0.6"/>
  <cols>
    <col min="1" max="1" width="9" customWidth="1"/>
    <col min="2" max="2" width="110" customWidth="1"/>
    <col min="3" max="3" width="24" customWidth="1"/>
    <col min="4" max="4" width="10" customWidth="1"/>
    <col min="5" max="5" width="64" customWidth="1"/>
  </cols>
  <sheetData>
    <row r="1" spans="1:5" ht="20.65" x14ac:dyDescent="0.6">
      <c r="A1" s="15" t="s">
        <v>956</v>
      </c>
    </row>
    <row r="3" spans="1:5" x14ac:dyDescent="0.6">
      <c r="A3" s="5" t="s">
        <v>957</v>
      </c>
    </row>
    <row r="4" spans="1:5" ht="28.05" customHeight="1" x14ac:dyDescent="0.6">
      <c r="A4" s="7" t="s">
        <v>96</v>
      </c>
      <c r="B4" s="7" t="s">
        <v>958</v>
      </c>
      <c r="C4" s="7" t="s">
        <v>959</v>
      </c>
      <c r="D4" s="7" t="s">
        <v>960</v>
      </c>
      <c r="E4" s="7" t="s">
        <v>961</v>
      </c>
    </row>
    <row r="5" spans="1:5" ht="25.5" x14ac:dyDescent="0.6">
      <c r="A5" s="18" t="s">
        <v>962</v>
      </c>
      <c r="B5" s="17" t="s">
        <v>963</v>
      </c>
      <c r="C5" s="18" t="s">
        <v>964</v>
      </c>
      <c r="D5" s="18" t="s">
        <v>965</v>
      </c>
      <c r="E5" s="17" t="s">
        <v>966</v>
      </c>
    </row>
    <row r="6" spans="1:5" ht="25.5" x14ac:dyDescent="0.6">
      <c r="A6" s="10" t="s">
        <v>967</v>
      </c>
      <c r="B6" s="11" t="s">
        <v>968</v>
      </c>
      <c r="C6" s="10" t="s">
        <v>965</v>
      </c>
      <c r="D6" s="10" t="s">
        <v>964</v>
      </c>
      <c r="E6" s="11" t="s">
        <v>969</v>
      </c>
    </row>
    <row r="7" spans="1:5" ht="25.5" x14ac:dyDescent="0.6">
      <c r="A7" s="18" t="s">
        <v>970</v>
      </c>
      <c r="B7" s="17" t="s">
        <v>971</v>
      </c>
      <c r="C7" s="18" t="s">
        <v>76</v>
      </c>
      <c r="D7" s="18" t="s">
        <v>76</v>
      </c>
      <c r="E7" s="17" t="s">
        <v>972</v>
      </c>
    </row>
    <row r="8" spans="1:5" ht="25.5" x14ac:dyDescent="0.6">
      <c r="A8" s="10" t="s">
        <v>973</v>
      </c>
      <c r="B8" s="11" t="s">
        <v>974</v>
      </c>
      <c r="C8" s="10" t="s">
        <v>965</v>
      </c>
      <c r="D8" s="10" t="s">
        <v>964</v>
      </c>
      <c r="E8" s="11" t="s">
        <v>975</v>
      </c>
    </row>
    <row r="9" spans="1:5" ht="25.5" x14ac:dyDescent="0.6">
      <c r="A9" s="18" t="s">
        <v>976</v>
      </c>
      <c r="B9" s="17" t="s">
        <v>977</v>
      </c>
      <c r="C9" s="18" t="s">
        <v>978</v>
      </c>
      <c r="D9" s="18" t="s">
        <v>978</v>
      </c>
      <c r="E9" s="17" t="s">
        <v>979</v>
      </c>
    </row>
    <row r="10" spans="1:5" ht="25.5" x14ac:dyDescent="0.6">
      <c r="A10" s="10" t="s">
        <v>980</v>
      </c>
      <c r="B10" s="11" t="s">
        <v>981</v>
      </c>
      <c r="C10" s="10" t="s">
        <v>964</v>
      </c>
      <c r="D10" s="10" t="s">
        <v>965</v>
      </c>
      <c r="E10" s="11" t="s">
        <v>982</v>
      </c>
    </row>
    <row r="11" spans="1:5" x14ac:dyDescent="0.6">
      <c r="A11" s="8" t="s">
        <v>983</v>
      </c>
      <c r="B11" s="9" t="s">
        <v>984</v>
      </c>
      <c r="C11" s="8" t="s">
        <v>964</v>
      </c>
      <c r="D11" s="8" t="s">
        <v>978</v>
      </c>
      <c r="E11" s="9" t="s">
        <v>985</v>
      </c>
    </row>
    <row r="12" spans="1:5" ht="38.25" x14ac:dyDescent="0.6">
      <c r="A12" s="20" t="s">
        <v>986</v>
      </c>
      <c r="B12" s="19" t="s">
        <v>987</v>
      </c>
      <c r="C12" s="20" t="s">
        <v>965</v>
      </c>
      <c r="D12" s="20" t="s">
        <v>965</v>
      </c>
      <c r="E12" s="19" t="s">
        <v>988</v>
      </c>
    </row>
    <row r="13" spans="1:5" ht="25.5" x14ac:dyDescent="0.6">
      <c r="A13" s="20" t="s">
        <v>989</v>
      </c>
      <c r="B13" s="19" t="s">
        <v>990</v>
      </c>
      <c r="C13" s="20" t="s">
        <v>964</v>
      </c>
      <c r="D13" s="20" t="s">
        <v>964</v>
      </c>
      <c r="E13" s="19" t="s">
        <v>991</v>
      </c>
    </row>
    <row r="14" spans="1:5" ht="25.5" x14ac:dyDescent="0.6">
      <c r="A14" s="20" t="s">
        <v>992</v>
      </c>
      <c r="B14" s="19" t="s">
        <v>993</v>
      </c>
      <c r="C14" s="20" t="s">
        <v>965</v>
      </c>
      <c r="D14" s="20" t="s">
        <v>965</v>
      </c>
      <c r="E14" s="19" t="s">
        <v>994</v>
      </c>
    </row>
    <row r="16" spans="1:5" x14ac:dyDescent="0.6">
      <c r="A16" s="5" t="s">
        <v>995</v>
      </c>
    </row>
    <row r="17" spans="1:3" ht="28.05" customHeight="1" x14ac:dyDescent="0.6">
      <c r="A17" s="7" t="s">
        <v>96</v>
      </c>
      <c r="B17" s="7" t="s">
        <v>996</v>
      </c>
      <c r="C17" s="7" t="s">
        <v>8</v>
      </c>
    </row>
    <row r="18" spans="1:3" x14ac:dyDescent="0.6">
      <c r="A18" s="18" t="s">
        <v>997</v>
      </c>
      <c r="B18" s="17" t="s">
        <v>998</v>
      </c>
      <c r="C18" s="18" t="s">
        <v>999</v>
      </c>
    </row>
    <row r="19" spans="1:3" x14ac:dyDescent="0.6">
      <c r="A19" s="18" t="s">
        <v>1000</v>
      </c>
      <c r="B19" s="17" t="s">
        <v>1001</v>
      </c>
      <c r="C19" s="18" t="s">
        <v>1002</v>
      </c>
    </row>
    <row r="20" spans="1:3" x14ac:dyDescent="0.6">
      <c r="A20" s="8" t="s">
        <v>1003</v>
      </c>
      <c r="B20" s="9" t="s">
        <v>1004</v>
      </c>
      <c r="C20" s="8" t="s">
        <v>1005</v>
      </c>
    </row>
    <row r="21" spans="1:3" x14ac:dyDescent="0.6">
      <c r="A21" s="10" t="s">
        <v>1006</v>
      </c>
      <c r="B21" s="11" t="s">
        <v>1007</v>
      </c>
      <c r="C21" s="10" t="s">
        <v>1005</v>
      </c>
    </row>
    <row r="22" spans="1:3" x14ac:dyDescent="0.6">
      <c r="A22" s="18" t="s">
        <v>1008</v>
      </c>
      <c r="B22" s="17" t="s">
        <v>1009</v>
      </c>
      <c r="C22" s="18" t="s">
        <v>1010</v>
      </c>
    </row>
    <row r="23" spans="1:3" x14ac:dyDescent="0.6">
      <c r="A23" s="10" t="s">
        <v>1011</v>
      </c>
      <c r="B23" s="11" t="s">
        <v>1012</v>
      </c>
      <c r="C23" s="10" t="s">
        <v>1005</v>
      </c>
    </row>
    <row r="24" spans="1:3" x14ac:dyDescent="0.6">
      <c r="A24" s="18" t="s">
        <v>1013</v>
      </c>
      <c r="B24" s="17" t="s">
        <v>1014</v>
      </c>
      <c r="C24" s="18" t="s">
        <v>1015</v>
      </c>
    </row>
    <row r="25" spans="1:3" x14ac:dyDescent="0.6">
      <c r="A25" s="20" t="s">
        <v>1016</v>
      </c>
      <c r="B25" s="19" t="s">
        <v>1017</v>
      </c>
      <c r="C25" s="20" t="s">
        <v>1018</v>
      </c>
    </row>
    <row r="26" spans="1:3" x14ac:dyDescent="0.6">
      <c r="A26" s="20" t="s">
        <v>1019</v>
      </c>
      <c r="B26" s="19" t="s">
        <v>1020</v>
      </c>
      <c r="C26" s="20" t="s">
        <v>1021</v>
      </c>
    </row>
    <row r="28" spans="1:3" x14ac:dyDescent="0.6">
      <c r="A28" s="3" t="s">
        <v>66</v>
      </c>
    </row>
    <row r="29" spans="1:3" x14ac:dyDescent="0.6">
      <c r="A29" s="12" t="s">
        <v>67</v>
      </c>
    </row>
    <row r="30" spans="1:3" x14ac:dyDescent="0.6">
      <c r="A30" s="13" t="s">
        <v>68</v>
      </c>
    </row>
    <row r="31" spans="1:3" x14ac:dyDescent="0.6">
      <c r="A31" s="14" t="s">
        <v>69</v>
      </c>
    </row>
  </sheetData>
  <phoneticPr fontId="1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0"/>
  <sheetViews>
    <sheetView showGridLines="0" workbookViewId="0">
      <pane ySplit="4" topLeftCell="A25" activePane="bottomLeft" state="frozen"/>
      <selection pane="bottomLeft" activeCell="D30" sqref="D30"/>
    </sheetView>
  </sheetViews>
  <sheetFormatPr defaultColWidth="34.125" defaultRowHeight="16.899999999999999" x14ac:dyDescent="0.6"/>
  <cols>
    <col min="1" max="1" width="8.875" customWidth="1"/>
    <col min="2" max="2" width="19.5625" customWidth="1"/>
  </cols>
  <sheetData>
    <row r="1" spans="1:5" ht="20.65" x14ac:dyDescent="0.6">
      <c r="A1" s="15" t="s">
        <v>1022</v>
      </c>
    </row>
    <row r="2" spans="1:5" x14ac:dyDescent="0.6">
      <c r="A2" s="16" t="s">
        <v>1023</v>
      </c>
    </row>
    <row r="4" spans="1:5" x14ac:dyDescent="0.6">
      <c r="A4" s="5" t="s">
        <v>1024</v>
      </c>
    </row>
    <row r="5" spans="1:5" x14ac:dyDescent="0.6">
      <c r="A5" s="7" t="s">
        <v>96</v>
      </c>
      <c r="B5" s="7" t="s">
        <v>1025</v>
      </c>
      <c r="C5" s="7" t="s">
        <v>1026</v>
      </c>
      <c r="D5" s="7" t="s">
        <v>1027</v>
      </c>
      <c r="E5" s="7" t="s">
        <v>1028</v>
      </c>
    </row>
    <row r="6" spans="1:5" ht="51" x14ac:dyDescent="0.6">
      <c r="A6" s="8" t="s">
        <v>107</v>
      </c>
      <c r="B6" s="8" t="s">
        <v>231</v>
      </c>
      <c r="C6" s="9" t="s">
        <v>1029</v>
      </c>
      <c r="D6" s="9" t="s">
        <v>1030</v>
      </c>
      <c r="E6" s="9" t="s">
        <v>1031</v>
      </c>
    </row>
    <row r="7" spans="1:5" ht="25.5" x14ac:dyDescent="0.6">
      <c r="A7" s="10" t="s">
        <v>243</v>
      </c>
      <c r="B7" s="10" t="s">
        <v>231</v>
      </c>
      <c r="C7" s="11" t="s">
        <v>1032</v>
      </c>
      <c r="D7" s="11" t="s">
        <v>1033</v>
      </c>
      <c r="E7" s="11" t="s">
        <v>1034</v>
      </c>
    </row>
    <row r="8" spans="1:5" ht="38.25" x14ac:dyDescent="0.6">
      <c r="A8" s="8" t="s">
        <v>221</v>
      </c>
      <c r="B8" s="8" t="s">
        <v>1035</v>
      </c>
      <c r="C8" s="9" t="s">
        <v>1036</v>
      </c>
      <c r="D8" s="9" t="s">
        <v>1037</v>
      </c>
      <c r="E8" s="9" t="s">
        <v>1038</v>
      </c>
    </row>
    <row r="9" spans="1:5" ht="25.5" x14ac:dyDescent="0.6">
      <c r="A9" s="10" t="s">
        <v>437</v>
      </c>
      <c r="B9" s="10" t="s">
        <v>608</v>
      </c>
      <c r="C9" s="11" t="s">
        <v>1039</v>
      </c>
      <c r="D9" s="11" t="s">
        <v>1040</v>
      </c>
      <c r="E9" s="11" t="s">
        <v>1041</v>
      </c>
    </row>
    <row r="10" spans="1:5" x14ac:dyDescent="0.6">
      <c r="A10" s="8" t="s">
        <v>118</v>
      </c>
      <c r="B10" s="8" t="s">
        <v>1042</v>
      </c>
      <c r="C10" s="9" t="s">
        <v>1043</v>
      </c>
      <c r="D10" s="9" t="s">
        <v>1044</v>
      </c>
      <c r="E10" s="9" t="s">
        <v>1045</v>
      </c>
    </row>
    <row r="11" spans="1:5" ht="25.5" x14ac:dyDescent="0.6">
      <c r="A11" s="10" t="s">
        <v>309</v>
      </c>
      <c r="B11" s="10" t="s">
        <v>1046</v>
      </c>
      <c r="C11" s="11" t="s">
        <v>1047</v>
      </c>
      <c r="D11" s="11" t="s">
        <v>1048</v>
      </c>
      <c r="E11" s="11" t="s">
        <v>1049</v>
      </c>
    </row>
    <row r="12" spans="1:5" ht="25.5" x14ac:dyDescent="0.6">
      <c r="A12" s="8" t="s">
        <v>1050</v>
      </c>
      <c r="B12" s="8" t="s">
        <v>1051</v>
      </c>
      <c r="C12" s="9" t="s">
        <v>1052</v>
      </c>
      <c r="D12" s="9" t="s">
        <v>1053</v>
      </c>
      <c r="E12" s="9" t="s">
        <v>1054</v>
      </c>
    </row>
    <row r="13" spans="1:5" ht="38.25" x14ac:dyDescent="0.6">
      <c r="A13" s="10" t="s">
        <v>111</v>
      </c>
      <c r="B13" s="10" t="s">
        <v>1055</v>
      </c>
      <c r="C13" s="11" t="s">
        <v>1056</v>
      </c>
      <c r="D13" s="11" t="s">
        <v>1057</v>
      </c>
      <c r="E13" s="11" t="s">
        <v>1058</v>
      </c>
    </row>
    <row r="14" spans="1:5" ht="25.5" x14ac:dyDescent="0.6">
      <c r="A14" s="8" t="s">
        <v>103</v>
      </c>
      <c r="B14" s="8" t="s">
        <v>1059</v>
      </c>
      <c r="C14" s="9" t="s">
        <v>1060</v>
      </c>
      <c r="D14" s="9" t="s">
        <v>1061</v>
      </c>
      <c r="E14" s="9" t="s">
        <v>1062</v>
      </c>
    </row>
    <row r="15" spans="1:5" ht="25.5" x14ac:dyDescent="0.6">
      <c r="A15" s="10" t="s">
        <v>1063</v>
      </c>
      <c r="B15" s="10" t="s">
        <v>1064</v>
      </c>
      <c r="C15" s="11" t="s">
        <v>1065</v>
      </c>
      <c r="D15" s="11" t="s">
        <v>1066</v>
      </c>
      <c r="E15" s="11" t="s">
        <v>1067</v>
      </c>
    </row>
    <row r="16" spans="1:5" ht="25.5" x14ac:dyDescent="0.6">
      <c r="A16" s="8" t="s">
        <v>233</v>
      </c>
      <c r="B16" s="8" t="s">
        <v>1068</v>
      </c>
      <c r="C16" s="9" t="s">
        <v>1069</v>
      </c>
      <c r="D16" s="9" t="s">
        <v>1070</v>
      </c>
      <c r="E16" s="9" t="s">
        <v>1071</v>
      </c>
    </row>
    <row r="17" spans="1:5" x14ac:dyDescent="0.6">
      <c r="A17" s="10" t="s">
        <v>1072</v>
      </c>
      <c r="B17" s="10" t="s">
        <v>1073</v>
      </c>
      <c r="C17" s="11" t="s">
        <v>1074</v>
      </c>
      <c r="D17" s="11" t="s">
        <v>1075</v>
      </c>
      <c r="E17" s="11" t="s">
        <v>1076</v>
      </c>
    </row>
    <row r="19" spans="1:5" x14ac:dyDescent="0.6">
      <c r="A19" s="5" t="s">
        <v>1077</v>
      </c>
    </row>
    <row r="20" spans="1:5" x14ac:dyDescent="0.6">
      <c r="A20" s="7" t="s">
        <v>96</v>
      </c>
      <c r="B20" s="7" t="s">
        <v>1025</v>
      </c>
      <c r="C20" s="7" t="s">
        <v>1078</v>
      </c>
      <c r="D20" s="7" t="s">
        <v>1079</v>
      </c>
      <c r="E20" s="7" t="s">
        <v>1027</v>
      </c>
    </row>
    <row r="21" spans="1:5" ht="89.25" x14ac:dyDescent="0.6">
      <c r="A21" s="8" t="s">
        <v>1080</v>
      </c>
      <c r="B21" s="8" t="s">
        <v>1081</v>
      </c>
      <c r="C21" s="25" t="s">
        <v>1175</v>
      </c>
      <c r="D21" s="8" t="s">
        <v>488</v>
      </c>
      <c r="E21" s="26" t="s">
        <v>1176</v>
      </c>
    </row>
    <row r="22" spans="1:5" ht="76.5" x14ac:dyDescent="0.6">
      <c r="A22" s="10" t="s">
        <v>1082</v>
      </c>
      <c r="B22" s="10" t="s">
        <v>1083</v>
      </c>
      <c r="C22" s="27" t="s">
        <v>1177</v>
      </c>
      <c r="D22" s="10" t="s">
        <v>190</v>
      </c>
      <c r="E22" s="26" t="s">
        <v>1178</v>
      </c>
    </row>
    <row r="23" spans="1:5" ht="102" x14ac:dyDescent="0.6">
      <c r="A23" s="8" t="s">
        <v>1084</v>
      </c>
      <c r="B23" s="8" t="s">
        <v>1083</v>
      </c>
      <c r="C23" s="25" t="s">
        <v>1179</v>
      </c>
      <c r="D23" s="8" t="s">
        <v>190</v>
      </c>
      <c r="E23" s="26" t="s">
        <v>1181</v>
      </c>
    </row>
    <row r="24" spans="1:5" ht="114.75" x14ac:dyDescent="0.6">
      <c r="A24" s="10" t="s">
        <v>1085</v>
      </c>
      <c r="B24" s="10" t="s">
        <v>231</v>
      </c>
      <c r="C24" s="27" t="s">
        <v>1180</v>
      </c>
      <c r="D24" s="10" t="s">
        <v>190</v>
      </c>
      <c r="E24" s="26" t="s">
        <v>1182</v>
      </c>
    </row>
    <row r="25" spans="1:5" ht="102" x14ac:dyDescent="0.6">
      <c r="A25" s="8" t="s">
        <v>1086</v>
      </c>
      <c r="B25" s="8" t="s">
        <v>231</v>
      </c>
      <c r="C25" s="9" t="s">
        <v>1087</v>
      </c>
      <c r="D25" s="8" t="s">
        <v>190</v>
      </c>
      <c r="E25" s="26" t="s">
        <v>1183</v>
      </c>
    </row>
    <row r="26" spans="1:5" ht="51" x14ac:dyDescent="0.6">
      <c r="A26" s="10" t="s">
        <v>1088</v>
      </c>
      <c r="B26" s="10" t="s">
        <v>231</v>
      </c>
      <c r="C26" s="11" t="s">
        <v>1089</v>
      </c>
      <c r="D26" s="10" t="s">
        <v>190</v>
      </c>
      <c r="E26" s="28" t="s">
        <v>1184</v>
      </c>
    </row>
    <row r="27" spans="1:5" ht="63.75" x14ac:dyDescent="0.6">
      <c r="A27" s="8" t="s">
        <v>1090</v>
      </c>
      <c r="B27" s="8" t="s">
        <v>1083</v>
      </c>
      <c r="C27" s="25" t="s">
        <v>1185</v>
      </c>
      <c r="D27" s="8" t="s">
        <v>190</v>
      </c>
      <c r="E27" s="28" t="s">
        <v>1187</v>
      </c>
    </row>
    <row r="28" spans="1:5" ht="76.5" x14ac:dyDescent="0.6">
      <c r="A28" s="10" t="s">
        <v>1091</v>
      </c>
      <c r="B28" s="10" t="s">
        <v>1092</v>
      </c>
      <c r="C28" s="27" t="s">
        <v>1188</v>
      </c>
      <c r="D28" s="10" t="s">
        <v>190</v>
      </c>
      <c r="E28" s="26" t="s">
        <v>1189</v>
      </c>
    </row>
    <row r="30" spans="1:5" x14ac:dyDescent="0.6">
      <c r="A30" s="16" t="s">
        <v>1093</v>
      </c>
    </row>
  </sheetData>
  <phoneticPr fontId="10"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showGridLines="0" tabSelected="1" topLeftCell="C1" workbookViewId="0">
      <pane ySplit="4" topLeftCell="A13" activePane="bottomLeft" state="frozen"/>
      <selection pane="bottomLeft" activeCell="F19" sqref="F19"/>
    </sheetView>
  </sheetViews>
  <sheetFormatPr defaultRowHeight="16.899999999999999" x14ac:dyDescent="0.6"/>
  <cols>
    <col min="1" max="1" width="30" customWidth="1"/>
    <col min="2" max="2" width="26" customWidth="1"/>
    <col min="3" max="3" width="16" customWidth="1"/>
    <col min="4" max="4" width="46" customWidth="1"/>
    <col min="5" max="5" width="76" customWidth="1"/>
    <col min="6" max="6" width="12" customWidth="1"/>
  </cols>
  <sheetData>
    <row r="1" spans="1:6" ht="20.65" x14ac:dyDescent="0.6">
      <c r="A1" s="15" t="s">
        <v>1094</v>
      </c>
    </row>
    <row r="2" spans="1:6" x14ac:dyDescent="0.6">
      <c r="A2" s="16" t="s">
        <v>1095</v>
      </c>
    </row>
    <row r="4" spans="1:6" ht="28.05" customHeight="1" x14ac:dyDescent="0.6">
      <c r="A4" s="7" t="s">
        <v>1096</v>
      </c>
      <c r="B4" s="7" t="s">
        <v>1097</v>
      </c>
      <c r="C4" s="7" t="s">
        <v>1098</v>
      </c>
      <c r="D4" s="7" t="s">
        <v>1099</v>
      </c>
      <c r="E4" s="7" t="s">
        <v>1100</v>
      </c>
      <c r="F4" s="7" t="s">
        <v>8</v>
      </c>
    </row>
    <row r="5" spans="1:6" ht="25.5" x14ac:dyDescent="0.6">
      <c r="A5" s="8" t="s">
        <v>488</v>
      </c>
      <c r="B5" s="8" t="s">
        <v>62</v>
      </c>
      <c r="C5" s="9" t="s">
        <v>1101</v>
      </c>
      <c r="D5" s="9" t="s">
        <v>1102</v>
      </c>
      <c r="E5" s="9" t="s">
        <v>1103</v>
      </c>
      <c r="F5" s="8" t="s">
        <v>1104</v>
      </c>
    </row>
    <row r="6" spans="1:6" ht="140.25" x14ac:dyDescent="0.6">
      <c r="A6" s="10" t="s">
        <v>190</v>
      </c>
      <c r="B6" s="10" t="s">
        <v>1105</v>
      </c>
      <c r="C6" s="11" t="s">
        <v>1106</v>
      </c>
      <c r="D6" s="11" t="s">
        <v>1107</v>
      </c>
      <c r="E6" s="11" t="s">
        <v>1108</v>
      </c>
      <c r="F6" s="10" t="s">
        <v>1104</v>
      </c>
    </row>
    <row r="7" spans="1:6" ht="165.75" x14ac:dyDescent="0.6">
      <c r="A7" s="8" t="s">
        <v>500</v>
      </c>
      <c r="B7" s="8" t="s">
        <v>1109</v>
      </c>
      <c r="C7" s="9" t="s">
        <v>1110</v>
      </c>
      <c r="D7" s="9" t="s">
        <v>1111</v>
      </c>
      <c r="E7" s="9" t="s">
        <v>1112</v>
      </c>
      <c r="F7" s="8" t="s">
        <v>1104</v>
      </c>
    </row>
    <row r="8" spans="1:6" ht="76.5" x14ac:dyDescent="0.6">
      <c r="A8" s="10" t="s">
        <v>177</v>
      </c>
      <c r="B8" s="10" t="s">
        <v>1109</v>
      </c>
      <c r="C8" s="11" t="s">
        <v>1113</v>
      </c>
      <c r="D8" s="11" t="s">
        <v>1114</v>
      </c>
      <c r="E8" s="11" t="s">
        <v>1115</v>
      </c>
      <c r="F8" s="10" t="s">
        <v>1116</v>
      </c>
    </row>
    <row r="9" spans="1:6" ht="63.75" x14ac:dyDescent="0.6">
      <c r="A9" s="8" t="s">
        <v>876</v>
      </c>
      <c r="B9" s="8" t="s">
        <v>1117</v>
      </c>
      <c r="C9" s="9" t="s">
        <v>1118</v>
      </c>
      <c r="D9" s="9" t="s">
        <v>1119</v>
      </c>
      <c r="E9" s="9" t="s">
        <v>1120</v>
      </c>
      <c r="F9" s="8" t="s">
        <v>1116</v>
      </c>
    </row>
    <row r="10" spans="1:6" ht="63.75" x14ac:dyDescent="0.6">
      <c r="A10" s="10" t="s">
        <v>1121</v>
      </c>
      <c r="B10" s="10" t="s">
        <v>48</v>
      </c>
      <c r="C10" s="11" t="s">
        <v>1122</v>
      </c>
      <c r="D10" s="11" t="s">
        <v>1123</v>
      </c>
      <c r="E10" s="11" t="s">
        <v>1124</v>
      </c>
      <c r="F10" s="10" t="s">
        <v>1104</v>
      </c>
    </row>
    <row r="11" spans="1:6" ht="38.25" x14ac:dyDescent="0.6">
      <c r="A11" s="8" t="s">
        <v>1125</v>
      </c>
      <c r="B11" s="8" t="s">
        <v>1126</v>
      </c>
      <c r="C11" s="9" t="s">
        <v>1127</v>
      </c>
      <c r="D11" s="9" t="s">
        <v>1111</v>
      </c>
      <c r="E11" s="9" t="s">
        <v>1128</v>
      </c>
      <c r="F11" s="8" t="s">
        <v>1104</v>
      </c>
    </row>
    <row r="12" spans="1:6" ht="51" x14ac:dyDescent="0.6">
      <c r="A12" s="10" t="s">
        <v>1129</v>
      </c>
      <c r="B12" s="10" t="s">
        <v>1130</v>
      </c>
      <c r="C12" s="11" t="s">
        <v>1131</v>
      </c>
      <c r="D12" s="11" t="s">
        <v>1132</v>
      </c>
      <c r="E12" s="11" t="s">
        <v>1133</v>
      </c>
      <c r="F12" s="10" t="s">
        <v>1104</v>
      </c>
    </row>
    <row r="13" spans="1:6" ht="76.5" x14ac:dyDescent="0.6">
      <c r="A13" s="8" t="s">
        <v>1134</v>
      </c>
      <c r="B13" s="8" t="s">
        <v>1135</v>
      </c>
      <c r="C13" s="9" t="s">
        <v>1136</v>
      </c>
      <c r="D13" s="9" t="s">
        <v>1111</v>
      </c>
      <c r="E13" s="9" t="s">
        <v>1137</v>
      </c>
      <c r="F13" s="8" t="s">
        <v>1104</v>
      </c>
    </row>
    <row r="14" spans="1:6" ht="38.25" x14ac:dyDescent="0.6">
      <c r="A14" s="10" t="s">
        <v>1138</v>
      </c>
      <c r="B14" s="10" t="s">
        <v>1139</v>
      </c>
      <c r="C14" s="11" t="s">
        <v>1140</v>
      </c>
      <c r="D14" s="11" t="s">
        <v>1141</v>
      </c>
      <c r="E14" s="11" t="s">
        <v>1142</v>
      </c>
      <c r="F14" s="10" t="s">
        <v>1116</v>
      </c>
    </row>
    <row r="15" spans="1:6" ht="25.5" x14ac:dyDescent="0.6">
      <c r="A15" s="8" t="s">
        <v>1143</v>
      </c>
      <c r="B15" s="8" t="s">
        <v>1144</v>
      </c>
      <c r="C15" s="9" t="s">
        <v>1048</v>
      </c>
      <c r="D15" s="9" t="s">
        <v>1111</v>
      </c>
      <c r="E15" s="9" t="s">
        <v>1145</v>
      </c>
      <c r="F15" s="8" t="s">
        <v>1104</v>
      </c>
    </row>
    <row r="16" spans="1:6" ht="38.25" x14ac:dyDescent="0.6">
      <c r="A16" s="10" t="s">
        <v>1146</v>
      </c>
      <c r="B16" s="10" t="s">
        <v>1147</v>
      </c>
      <c r="C16" s="11" t="s">
        <v>1148</v>
      </c>
      <c r="D16" s="11" t="s">
        <v>1149</v>
      </c>
      <c r="E16" s="11" t="s">
        <v>1150</v>
      </c>
      <c r="F16" s="10" t="s">
        <v>1116</v>
      </c>
    </row>
    <row r="17" spans="1:6" ht="38.25" x14ac:dyDescent="0.6">
      <c r="A17" s="8" t="s">
        <v>1151</v>
      </c>
      <c r="B17" s="8" t="s">
        <v>1152</v>
      </c>
      <c r="C17" s="9" t="s">
        <v>1153</v>
      </c>
      <c r="D17" s="9" t="s">
        <v>1154</v>
      </c>
      <c r="E17" s="9" t="s">
        <v>1155</v>
      </c>
      <c r="F17" s="8" t="s">
        <v>1104</v>
      </c>
    </row>
    <row r="18" spans="1:6" ht="38.25" x14ac:dyDescent="0.6">
      <c r="A18" s="10" t="s">
        <v>1156</v>
      </c>
      <c r="B18" s="10" t="s">
        <v>1157</v>
      </c>
      <c r="C18" s="11" t="s">
        <v>1158</v>
      </c>
      <c r="D18" s="11" t="s">
        <v>1111</v>
      </c>
      <c r="E18" s="11" t="s">
        <v>1159</v>
      </c>
      <c r="F18" s="10" t="s">
        <v>1104</v>
      </c>
    </row>
    <row r="19" spans="1:6" ht="38.25" x14ac:dyDescent="0.6">
      <c r="A19" s="8" t="s">
        <v>1160</v>
      </c>
      <c r="B19" s="8" t="s">
        <v>76</v>
      </c>
      <c r="C19" s="9" t="s">
        <v>1161</v>
      </c>
      <c r="D19" s="9" t="s">
        <v>1162</v>
      </c>
      <c r="E19" s="9" t="s">
        <v>1163</v>
      </c>
      <c r="F19" s="8" t="s">
        <v>1116</v>
      </c>
    </row>
    <row r="21" spans="1:6" x14ac:dyDescent="0.6">
      <c r="A21" s="5" t="s">
        <v>1164</v>
      </c>
    </row>
    <row r="22" spans="1:6" ht="28.05" customHeight="1" x14ac:dyDescent="0.6">
      <c r="A22" s="7" t="s">
        <v>893</v>
      </c>
      <c r="B22" s="7" t="s">
        <v>315</v>
      </c>
    </row>
    <row r="23" spans="1:6" x14ac:dyDescent="0.6">
      <c r="A23" s="8" t="s">
        <v>1165</v>
      </c>
      <c r="B23" s="8">
        <f>COUNTIF(F5:F19,"Closed")</f>
        <v>10</v>
      </c>
    </row>
    <row r="24" spans="1:6" x14ac:dyDescent="0.6">
      <c r="A24" s="10" t="s">
        <v>1166</v>
      </c>
      <c r="B24" s="10">
        <f>COUNTIF(F5:F19,"Open")</f>
        <v>5</v>
      </c>
    </row>
    <row r="25" spans="1:6" x14ac:dyDescent="0.6">
      <c r="A25" s="8" t="s">
        <v>1167</v>
      </c>
      <c r="B25" s="8">
        <f>COUNTA(A5:A19)</f>
        <v>15</v>
      </c>
    </row>
    <row r="27" spans="1:6" x14ac:dyDescent="0.6">
      <c r="A27" s="5" t="s">
        <v>1168</v>
      </c>
    </row>
    <row r="28" spans="1:6" ht="28.05" customHeight="1" x14ac:dyDescent="0.6">
      <c r="A28" s="7" t="s">
        <v>1169</v>
      </c>
      <c r="B28" s="7" t="s">
        <v>1170</v>
      </c>
      <c r="C28" s="7" t="s">
        <v>72</v>
      </c>
      <c r="D28" s="7" t="s">
        <v>633</v>
      </c>
    </row>
    <row r="29" spans="1:6" x14ac:dyDescent="0.6">
      <c r="A29" s="8" t="s">
        <v>1171</v>
      </c>
      <c r="B29" s="23"/>
      <c r="C29" s="23"/>
      <c r="D29" s="22" t="s">
        <v>1172</v>
      </c>
    </row>
    <row r="31" spans="1:6" x14ac:dyDescent="0.6">
      <c r="A31" s="16" t="s">
        <v>1173</v>
      </c>
    </row>
  </sheetData>
  <phoneticPr fontId="10" type="noConversion"/>
  <dataValidations count="1">
    <dataValidation type="list" allowBlank="1" sqref="F5:F19" xr:uid="{00000000-0002-0000-0C00-000000000000}">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00_Cover</vt:lpstr>
      <vt:lpstr>01_Version_History</vt:lpstr>
      <vt:lpstr>02_Scope</vt:lpstr>
      <vt:lpstr>03_Requirements</vt:lpstr>
      <vt:lpstr>04_Data_Model</vt:lpstr>
      <vt:lpstr>05_Resource_Logic</vt:lpstr>
      <vt:lpstr>06_Dashboard_Design</vt:lpstr>
      <vt:lpstr>07_Architecture</vt:lpstr>
      <vt:lpstr>08_WBS_Schedule</vt:lpstr>
      <vt:lpstr>09_Version_Control</vt:lpstr>
      <vt:lpstr>10_Risks</vt:lpstr>
      <vt:lpstr>11_Open_Questions</vt:lpstr>
      <vt:lpstr>12_Review_Log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2026-07-31T14:07:01Z</dcterms:created>
  <dcterms:modified xsi:type="dcterms:W3CDTF">2026-07-31T15:05:43Z</dcterms:modified>
</cp:coreProperties>
</file>