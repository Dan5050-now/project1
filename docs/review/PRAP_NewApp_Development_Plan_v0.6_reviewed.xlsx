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FE626B44-E7A8-4A34-901E-735389944A88}" xr6:coauthVersionLast="47" xr6:coauthVersionMax="47" xr10:uidLastSave="{00000000-0000-0000-0000-000000000000}"/>
  <bookViews>
    <workbookView xWindow="-98" yWindow="-98" windowWidth="21795" windowHeight="12975" tabRatio="953" firstSheet="5" activeTab="13" xr2:uid="{00000000-000D-0000-FFFF-FFFF00000000}"/>
  </bookViews>
  <sheets>
    <sheet name="00_Cover" sheetId="1" r:id="rId1"/>
    <sheet name="01_Version_History" sheetId="2" r:id="rId2"/>
    <sheet name="02_Scope" sheetId="3" r:id="rId3"/>
    <sheet name="03_Requirements" sheetId="4" r:id="rId4"/>
    <sheet name="04_Architecture" sheetId="5" r:id="rId5"/>
    <sheet name="05_Data_Flow" sheetId="6" r:id="rId6"/>
    <sheet name="05a_Sharing" sheetId="7" r:id="rId7"/>
    <sheet name="06_Decisions" sheetId="8" r:id="rId8"/>
    <sheet name="07_WBS_Schedule" sheetId="9" r:id="rId9"/>
    <sheet name="08_Verification" sheetId="10" r:id="rId10"/>
    <sheet name="09_Version_Control" sheetId="11" r:id="rId11"/>
    <sheet name="10_Risks" sheetId="12" r:id="rId12"/>
    <sheet name="11_Open_Questions" sheetId="13" r:id="rId13"/>
    <sheet name="12_Review_Log"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9" l="1"/>
  <c r="B52" i="9"/>
  <c r="B51" i="9"/>
  <c r="B50" i="9"/>
  <c r="B80" i="4"/>
  <c r="B79" i="4"/>
  <c r="B78" i="4"/>
  <c r="B77" i="4"/>
</calcChain>
</file>

<file path=xl/sharedStrings.xml><?xml version="1.0" encoding="utf-8"?>
<sst xmlns="http://schemas.openxmlformats.org/spreadsheetml/2006/main" count="1899" uniqueCount="1315">
  <si>
    <t>Project Resource Assignment Program (PRAP)</t>
  </si>
  <si>
    <t>Desktop Application - Development Plan</t>
  </si>
  <si>
    <t>Document ID</t>
  </si>
  <si>
    <t>PRAP-NAPP-PLAN-001</t>
  </si>
  <si>
    <t>Document type</t>
  </si>
  <si>
    <t>Development plan (Step 1 deliverable) for a SECOND application</t>
  </si>
  <si>
    <t>Version</t>
  </si>
  <si>
    <t>v0.6</t>
  </si>
  <si>
    <t>Status</t>
  </si>
  <si>
    <t>DRAFT - issued for review round 5. Step 1 of 5. Windows-only, non-installed, shareable from a network folder, single-writer, and with users who identify themselves so a blocked colleague knows who to ask. Nothing is built until Gate N1 is passed.</t>
  </si>
  <si>
    <t>Issue date</t>
  </si>
  <si>
    <t>2026-08-13</t>
  </si>
  <si>
    <t>Author</t>
  </si>
  <si>
    <t>Claude Code</t>
  </si>
  <si>
    <t>Reviewer</t>
  </si>
  <si>
    <t>Requester - rounds 1 to 5 answered 2026-08-13; round 6 pending</t>
  </si>
  <si>
    <t>Sharing model</t>
  </si>
  <si>
    <t>SINGLE WRITER, MANY READERS. Instructed 2026-08-13: while one person is editing a plan, no other session may update it. Everyone may open and read it at any time. The claim is made at the first EDIT, not at open - see sheet 05a, which is given over to this.</t>
  </si>
  <si>
    <t>Fixed constraints</t>
  </si>
  <si>
    <t>WINDOWS ONLY, and NON-INSTALLED. Instructed 2026-08-13. The application is copied as a folder and run from it - no installer, no administrator rights, no registry, nothing written outside its own folder. See sheet 04 for what this changes and sheet 10 for what it does not fix.</t>
  </si>
  <si>
    <t>Under consideration</t>
  </si>
  <si>
    <t>The application folder MAY sit on a SHARED NETWORK FOLDER (Q-N12, round 2). Planned for as though it will: several people running one copy is designed for on sheet 05, and it is what makes workspace locking (NR-STO-10) necessary rather than optional.</t>
  </si>
  <si>
    <t>Relationship to the web application</t>
  </si>
  <si>
    <t>PARALLEL, NOT SUCCESSOR. The web application and its documents are complete and stay in service. This plan does not supersede, amend or retire any of them.</t>
  </si>
  <si>
    <t>Governs</t>
  </si>
  <si>
    <t>A packaged desktop application built on the same calculation engine</t>
  </si>
  <si>
    <t>Does NOT govern</t>
  </si>
  <si>
    <t>app/PRAP.html (application v1.24), which remains under PRAP_Development_Plan_v2.26.xlsx</t>
  </si>
  <si>
    <t>Repository</t>
  </si>
  <si>
    <t>Dan5050-now/project1</t>
  </si>
  <si>
    <t>Branch</t>
  </si>
  <si>
    <t>claude/project-resource-assignment-app-1vjdzh</t>
  </si>
  <si>
    <t>Supersedes</t>
  </si>
  <si>
    <t>Nothing. This is a new document line, numbered from v0.1</t>
  </si>
  <si>
    <t>Why a second plan rather than a new version of the first</t>
  </si>
  <si>
    <t>The web application is finished, verified and about to be used. Folding a desktop rewrite into its plan would</t>
  </si>
  <si>
    <t>put a completed, approved document back into draft, and would make it impossible to tell which requirements</t>
  </si>
  <si>
    <t>the finished tool actually satisfies. Two plans keep both answers clean:</t>
  </si>
  <si>
    <t xml:space="preserve">    PRAP_Development_Plan_v2.26.xlsx          the web application - CLOSED at Gate 4, going to Gate 5</t>
  </si>
  <si>
    <t xml:space="preserve">    PRAP_NewApp_Development_Plan_v0.6.xlsx      the desktop application - OPEN at Step 1</t>
  </si>
  <si>
    <t>They share one calculation engine and one data contract, and sheet 02 states exactly how that sharing is</t>
  </si>
  <si>
    <t>kept honest. Everything else about them is independent: their own versions, their own gates, their own</t>
  </si>
  <si>
    <t>approvals, their own release cycles.</t>
  </si>
  <si>
    <t>File naming follows the repository convention already in use - no spaces, version suffix, one generator script per document. The generator for this plan is tools/build_newapp_plan.py.</t>
  </si>
  <si>
    <t>Version history</t>
  </si>
  <si>
    <t>This document's own line. It does not continue the web application plan's numbering.</t>
  </si>
  <si>
    <t>Date</t>
  </si>
  <si>
    <t>Summary of change</t>
  </si>
  <si>
    <t>0.6</t>
  </si>
  <si>
    <t>Pending</t>
  </si>
  <si>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</si>
  <si>
    <t>0.5</t>
  </si>
  <si>
    <t>Superseded</t>
  </si>
  <si>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</si>
  <si>
    <t>0.4</t>
  </si>
  <si>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</si>
  <si>
    <t>0.3</t>
  </si>
  <si>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</si>
  <si>
    <t>0.2</t>
  </si>
  <si>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</si>
  <si>
    <t>0.1</t>
  </si>
  <si>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</si>
  <si>
    <t>Numbering rules for this document line</t>
  </si>
  <si>
    <t>Meaning</t>
  </si>
  <si>
    <t>v0.x</t>
  </si>
  <si>
    <t>Draft issues during Step 1 review rounds.</t>
  </si>
  <si>
    <t>v1.0</t>
  </si>
  <si>
    <t>The approved baseline, set at Gate N1.</t>
  </si>
  <si>
    <t>v1.x</t>
  </si>
  <si>
    <t>Approved changes against that baseline, each separately approved.</t>
  </si>
  <si>
    <t>v2.0</t>
  </si>
  <si>
    <t>Reserved for a structural change, on the same rule the web plan used.</t>
  </si>
  <si>
    <t>Gate prefixes are N1..N5 throughout this document, so a reference such as 'G4' can never be confused between the two plans.</t>
  </si>
  <si>
    <t>Legend</t>
  </si>
  <si>
    <t>Green = new to the desktop application; nothing in the web application corresponds to it.</t>
  </si>
  <si>
    <t>Orange = inherited from the web application but deliberately changed here.</t>
  </si>
  <si>
    <t>Yellow = needs your decision before the work can proceed.</t>
  </si>
  <si>
    <t>Scope - two applications, one engine</t>
  </si>
  <si>
    <t>What the desktop application is for, what it inherits, and what is explicitly out of scope.</t>
  </si>
  <si>
    <t>Objective</t>
  </si>
  <si>
    <t>Deliver the same resource simulation as a conventional installed program: an application with its own icon,</t>
  </si>
  <si>
    <t>its own window and its own files, which remembers the data it was given and opens showing the plan the user</t>
  </si>
  <si>
    <t>was last working on. The simulation itself - the load formula, the period derivation, the validation rules -</t>
  </si>
  <si>
    <t>does not change at all, and must not.</t>
  </si>
  <si>
    <t>The two applications side by side</t>
  </si>
  <si>
    <t>Aspect</t>
  </si>
  <si>
    <t>Web application</t>
  </si>
  <si>
    <t>Desktop application</t>
  </si>
  <si>
    <t>Requirement</t>
  </si>
  <si>
    <t>Form</t>
  </si>
  <si>
    <t>One HTML file, opened in a browser</t>
  </si>
  <si>
    <t>Program with its own window and icon, run from a copied folder - NOT installed</t>
  </si>
  <si>
    <t>NR-APP-01, NR-DEP-05</t>
  </si>
  <si>
    <t>Platform</t>
  </si>
  <si>
    <t>Any browser on any OS</t>
  </si>
  <si>
    <t>Windows 10 / 11 only</t>
  </si>
  <si>
    <t>NR-DEP-01</t>
  </si>
  <si>
    <t>Data after closing</t>
  </si>
  <si>
    <t>Lost - the file must be re-imported each session</t>
  </si>
  <si>
    <t>KEPT - the workspace reopens as it was left</t>
  </si>
  <si>
    <t>NR-STO-01</t>
  </si>
  <si>
    <t>Source of truth</t>
  </si>
  <si>
    <t>The Excel workbook outside the application</t>
  </si>
  <si>
    <t>The workspace file the application owns; Excel becomes exchange</t>
  </si>
  <si>
    <t>NR-STO-02</t>
  </si>
  <si>
    <t>Calculation engine</t>
  </si>
  <si>
    <t>Shared - one implementation</t>
  </si>
  <si>
    <t>Shared - the same implementation, not a copy</t>
  </si>
  <si>
    <t>NR-PAR-01</t>
  </si>
  <si>
    <t>Data contract</t>
  </si>
  <si>
    <t>Schema version 5, ten sheets</t>
  </si>
  <si>
    <t>Identical, unchanged</t>
  </si>
  <si>
    <t>NR-PAR-02</t>
  </si>
  <si>
    <t>AI agent interoperability</t>
  </si>
  <si>
    <t>prap-source-data JSON, format_version 1</t>
  </si>
  <si>
    <t>Identical, and now also the on-disk format</t>
  </si>
  <si>
    <t>NR-STO-03</t>
  </si>
  <si>
    <t>Distribution</t>
  </si>
  <si>
    <t>Copy one file</t>
  </si>
  <si>
    <t>Copy one folder. No installer, no administrator rights, no registry. Size unconstrained</t>
  </si>
  <si>
    <t>NR-DEP-02, NR-DEP-05</t>
  </si>
  <si>
    <t>Removal</t>
  </si>
  <si>
    <t>Delete the file</t>
  </si>
  <si>
    <t>Delete the folder. Nothing is left behind anywhere on the machine</t>
  </si>
  <si>
    <t>NR-DEP-07</t>
  </si>
  <si>
    <t>Network use</t>
  </si>
  <si>
    <t>None</t>
  </si>
  <si>
    <t>NR-SEC-01</t>
  </si>
  <si>
    <t>Complete, in service, frozen at Gate 5</t>
  </si>
  <si>
    <t>Not started - this plan is Step 1</t>
  </si>
  <si>
    <t>-</t>
  </si>
  <si>
    <t>What the web application keeps - not touched by this plan</t>
  </si>
  <si>
    <t>Point</t>
  </si>
  <si>
    <t>app/PRAP.html (application v1.24) continues in service, unchanged, and is released as v1.0 under its own Gate 5.</t>
  </si>
  <si>
    <t>PRAP_Development_Plan_v2.26.xlsx, the programming specification v1.0 and the UI component list v1.0 stay approved as they are.</t>
  </si>
  <si>
    <t>The source workbook template, the dummy datasets and the AI agent guide serve BOTH applications and are not forked.</t>
  </si>
  <si>
    <t>The 13 verification suites under tools/ keep running against the HTML build after every change, which is how a regression in the shared engine is caught before it can reach either application.</t>
  </si>
  <si>
    <t>Any engine fix found while building the desktop application is made in the shared engine, re-verified against both, and released to the HTML build as a point version. Fixes flow to both; features do not flow backwards without their own approval.</t>
  </si>
  <si>
    <t>In scope</t>
  </si>
  <si>
    <t>Item</t>
  </si>
  <si>
    <t>A desktop application for Windows 10 / 11, launched from an icon, no browser involved.</t>
  </si>
  <si>
    <t>Portable operation: the whole application is one folder that is copied where the user wants it and run from there, with everything it needs and everything it writes kept inside that folder.</t>
  </si>
  <si>
    <t>Persistent storage: a workspace the application owns, written on every Save and reopened at launch.</t>
  </si>
  <si>
    <t>Import from the Excel source workbook and from prap-source-data JSON, as today - but as an INGEST into the workspace rather than as the session's only data.</t>
  </si>
  <si>
    <t>Export to Excel and JSON, as today, for sharing and archiving.</t>
  </si>
  <si>
    <t>Desktop conventions the web version cannot offer: native Open/Save dialogs, a recent-workspaces list, a menu bar, window state remembered between sessions.</t>
  </si>
  <si>
    <t>Crash and power-loss recovery, including edits that were pending when the application stopped.</t>
  </si>
  <si>
    <t>The refactor that makes one engine serve both applications, with the HTML build proven unchanged by it.</t>
  </si>
  <si>
    <t>Out of scope for v1.0</t>
  </si>
  <si>
    <t>Excluded</t>
  </si>
  <si>
    <t>Why</t>
  </si>
  <si>
    <t>Any change to the load formula, the period derivation, the validation rules or the data schema.</t>
  </si>
  <si>
    <t>The engine is shared. Changing it here would change the finished web application too.</t>
  </si>
  <si>
    <t>Multi-user or concurrent editing of one workspace.</t>
  </si>
  <si>
    <t>Assumption A-06 of the web plan still holds - one person maintains a plan at a time. Q-N06 asks whether that is still true.</t>
  </si>
  <si>
    <t>A server, a database service, or any network feature.</t>
  </si>
  <si>
    <t>The tool is offline by requirement, and that is a property worth keeping rather than an accident.</t>
  </si>
  <si>
    <t>macOS and Linux builds.</t>
  </si>
  <si>
    <t>CLOSED at review round 1: Windows only. The same source would build for them, but they are neither verified nor supported.</t>
  </si>
  <si>
    <t>An installer, a Start-menu entry, a file association, or any registry entry.</t>
  </si>
  <si>
    <t>CLOSED at review round 1: the application is non-installed. Each of these would write outside its own folder, which NR-DEP-06 forbids. The cost is recorded honestly at NR-IMP-04 and decision N-15.</t>
  </si>
  <si>
    <t>Automatic update over the network.</t>
  </si>
  <si>
    <t>It would be the only thing in the product that needs a network. Updates are distributed as a new package.</t>
  </si>
  <si>
    <t>Migrating the web application onto the desktop shell, or retiring it.</t>
  </si>
  <si>
    <t>Explicitly excluded on your instruction: both applications stay.</t>
  </si>
  <si>
    <t>Requirement register - desktop application</t>
  </si>
  <si>
    <t>NR-ids belong to this plan. REQ-ids referenced in the last column belong to the web application plan and are inherited unchanged.</t>
  </si>
  <si>
    <t>Inheritance rule</t>
  </si>
  <si>
    <t>Every requirement of the web application plan that concerns DATA or CALCULATION is inherited by this</t>
  </si>
  <si>
    <t>application unchanged, and is not restated here. This register holds only what is new or deliberately</t>
  </si>
  <si>
    <t>different. Where a requirement here replaces an inherited one, the inherited ID is named so the</t>
  </si>
  <si>
    <t>contradiction is visible rather than buried.</t>
  </si>
  <si>
    <t>ID</t>
  </si>
  <si>
    <t>Area</t>
  </si>
  <si>
    <t>Priority</t>
  </si>
  <si>
    <t>Source</t>
  </si>
  <si>
    <t>Gate</t>
  </si>
  <si>
    <t>NR-APP-01</t>
  </si>
  <si>
    <t>Application form</t>
  </si>
  <si>
    <t>The application is a desktop program with its own window, icon and menu bar. No browser is visible to the user at any point.</t>
  </si>
  <si>
    <t>Must</t>
  </si>
  <si>
    <t>Your instruction</t>
  </si>
  <si>
    <t>N4</t>
  </si>
  <si>
    <t>NR-APP-02</t>
  </si>
  <si>
    <t>It runs fully offline. It makes no network request of any kind, including on first launch.</t>
  </si>
  <si>
    <t>Inherited intent</t>
  </si>
  <si>
    <t>NR-APP-03</t>
  </si>
  <si>
    <t>It launches to the plan the user last had open, without asking for a file.</t>
  </si>
  <si>
    <t>NR-APP-04</t>
  </si>
  <si>
    <t>Window size, position and the active tab are remembered between sessions.</t>
  </si>
  <si>
    <t>Should</t>
  </si>
  <si>
    <t>Desktop convention</t>
  </si>
  <si>
    <t>NR-APP-05</t>
  </si>
  <si>
    <t>Native Open, Save, Save As, Import and Export dialogs are used, not browser download prompts.</t>
  </si>
  <si>
    <t>NR-APP-06</t>
  </si>
  <si>
    <t>A recent-workspaces list of at least ten entries is available from the menu. It is stored in the application's own data folder, not in the registry or in the user profile.</t>
  </si>
  <si>
    <t>Desktop convention + NR-DEP-06</t>
  </si>
  <si>
    <t>NR-APP-07</t>
  </si>
  <si>
    <t>The application version is visible in an About dialog and in the window title alongside the open workspace name.</t>
  </si>
  <si>
    <t>Version control</t>
  </si>
  <si>
    <t>Storage</t>
  </si>
  <si>
    <t>Imported and hand-entered data survives closing the application. Reopening shows the same plan, with the same figures, without re-importing anything.</t>
  </si>
  <si>
    <t>The application owns a workspace file on disk. That file, not the source Excel workbook, is the working store from the moment data is imported into it.</t>
  </si>
  <si>
    <t>Derived from NR-STO-01</t>
  </si>
  <si>
    <t>The workspace file is prap-source-data JSON - the same format the AI agent guide already documents - so a workspace can be read, written or generated by an AI agent with no new contract.</t>
  </si>
  <si>
    <t>Interoperability</t>
  </si>
  <si>
    <t>NR-STO-04</t>
  </si>
  <si>
    <t>A committed Save is written to disk before the application reports it as saved. A save that did not reach the disk is never reported as done.</t>
  </si>
  <si>
    <t>Data safety</t>
  </si>
  <si>
    <t>NR-STO-05</t>
  </si>
  <si>
    <t>Workspace writes are atomic: an interrupted write can never leave a workspace file that is neither the old contents nor the new.</t>
  </si>
  <si>
    <t>NR-STO-06</t>
  </si>
  <si>
    <t>The last N committed versions of a workspace are retained and can be restored from within the application. N is a setting, default 10.</t>
  </si>
  <si>
    <t>NR-STO-07</t>
  </si>
  <si>
    <t>Edits pending at the moment of a crash or power loss are recovered on the next launch, and the user is asked whether to keep or discard them.</t>
  </si>
  <si>
    <t>NR-STO-08</t>
  </si>
  <si>
    <t>Several workspaces may exist. The user chooses which to open, and may create a new empty one at any time.</t>
  </si>
  <si>
    <t>Scenario planning</t>
  </si>
  <si>
    <t>NR-STO-09</t>
  </si>
  <si>
    <t>A workspace records which source file it was imported from, when, and by which application version.</t>
  </si>
  <si>
    <t>Traceability</t>
  </si>
  <si>
    <t>NR-STO-10</t>
  </si>
  <si>
    <t>While one session is editing a workspace, no other session may update it. The claim is made when the FIRST EDIT is attempted - not when the workspace is opened - so that reading is never blocked.</t>
  </si>
  <si>
    <t>Your instruction, round 3</t>
  </si>
  <si>
    <t>NR-STO-11</t>
  </si>
  <si>
    <t>Reading is a full working mode, not a refusal: every figure, table, graph, filter and export is available to a session that does not hold the claim. Only writing to that workspace is withheld.</t>
  </si>
  <si>
    <t>Consequence of NR-STO-10</t>
  </si>
  <si>
    <t>NR-STO-12</t>
  </si>
  <si>
    <t>A session refused the claim is shown a message naming who holds it, how to reach them, since when, whether their session is still responding, and when the plan becomes free - never merely that the file is locked.</t>
  </si>
  <si>
    <t>Q-N17</t>
  </si>
  <si>
    <t>NR-STO-13</t>
  </si>
  <si>
    <t>The claim is made by an operation that cannot be won by two sessions at once, even when they attempt it in the same instant and even across a network share.</t>
  </si>
  <si>
    <t>Correctness</t>
  </si>
  <si>
    <t>NR-STO-14</t>
  </si>
  <si>
    <t>A holding session refreshes its claim every 30 seconds while it lives, so the application always knows whether the holder is alive. A claim that has stopped being refreshed expires after 30 MINUTES, after which anybody may take it over.</t>
  </si>
  <si>
    <t>Q-N16</t>
  </si>
  <si>
    <t>NR-STO-19</t>
  </si>
  <si>
    <t>A user may reclaim a stalled claim held by their OWN name on their OWN machine immediately, without waiting out the expiry. Being locked out of your own plan because your application crashed is not a rule worth enforcing.</t>
  </si>
  <si>
    <t>Consequence of the 30-minute expiry</t>
  </si>
  <si>
    <t>NR-STO-15</t>
  </si>
  <si>
    <t>The claim ends when the holder saves and closes, discards their edits, or closes the application - and a session waiting to edit is offered it without having to reopen the workspace.</t>
  </si>
  <si>
    <t>Usability</t>
  </si>
  <si>
    <t>NR-STO-16</t>
  </si>
  <si>
    <t>A reading session notices when the workspace has changed on disk beneath it, says so, and offers to reload. It never presents figures it knows to be superseded as though they were current.</t>
  </si>
  <si>
    <t>Consequence of many readers</t>
  </si>
  <si>
    <t>NR-STO-17</t>
  </si>
  <si>
    <t>A session that cannot claim the workspace may still Save As a copy of its own, and may still export. Being unable to edit a shared plan never means being unable to work.</t>
  </si>
  <si>
    <t>NR-STO-18</t>
  </si>
  <si>
    <t>Importing into a workspace is an edit and takes the claim like any other. It is the largest change the application can make, so it cannot be the one that bypasses the rule.</t>
  </si>
  <si>
    <t>NR-IMP-01</t>
  </si>
  <si>
    <t>Import / export</t>
  </si>
  <si>
    <t>Import reads the Excel source workbook and prap-source-data JSON exactly as the web application does, using the same reader and reporting the same findings.</t>
  </si>
  <si>
    <t>Replaces nothing - REQ-IMP-01 inherited</t>
  </si>
  <si>
    <t>NR-IMP-02</t>
  </si>
  <si>
    <t>Importing into a workspace that already holds data presents the differences and lets the user decide, per sheet, whether to replace, merge or skip. It never overwrites silently.</t>
  </si>
  <si>
    <t>New consequence of NR-STO-02</t>
  </si>
  <si>
    <t>NR-IMP-03</t>
  </si>
  <si>
    <t>Export to Excel and to JSON produces byte-for-byte the same content the web application would produce from the same data.</t>
  </si>
  <si>
    <t>Parity</t>
  </si>
  <si>
    <t>NR-IMP-04</t>
  </si>
  <si>
    <t>A workspace can be opened by dragging it onto the running application's window. Double-clicking a workspace file in Explorer does NOT open it, because a file association would require a registry entry that NR-DEP-06 forbids.</t>
  </si>
  <si>
    <t>Could</t>
  </si>
  <si>
    <t>Reduced by the non-installed rule</t>
  </si>
  <si>
    <t>NR-USR-01</t>
  </si>
  <si>
    <t>User identity</t>
  </si>
  <si>
    <t>The application asks who the user is when it starts, before any workspace is opened, and carries that identity for the session.</t>
  </si>
  <si>
    <t>NR-USR-02</t>
  </si>
  <si>
    <t>It asks in full only the first time. Afterwards it shows what it remembers, pre-filled, for the user to confirm with one click - and offers 'not me' for a shared PC.</t>
  </si>
  <si>
    <t>Q-N17, usability</t>
  </si>
  <si>
    <t>NR-USR-03</t>
  </si>
  <si>
    <t>The name is pre-filled from the Windows account name the first time, so the common case is confirming rather than typing. It stays editable - a Windows account name is often not how colleagues know each other.</t>
  </si>
  <si>
    <t>NR-USR-04</t>
  </si>
  <si>
    <t>An identity is a name and a DEPARTMENT. Both are recorded; no e-mail, telephone or other field is collected. A name and a department are what a colleague needs to find somebody in the company directory.</t>
  </si>
  <si>
    <t>Q-N18</t>
  </si>
  <si>
    <t>NR-USR-05</t>
  </si>
  <si>
    <t>A claim carries the holder's name and contact details, so the message a blocked colleague sees can be acted on rather than merely read. Those details are removed with the claim.</t>
  </si>
  <si>
    <t>Q-N17 - contact</t>
  </si>
  <si>
    <t>NR-USR-06</t>
  </si>
  <si>
    <t>The blocked message shows the holder's name and department together, and offers to copy them, so a colleague can look them up or ask their department without writing anything down.</t>
  </si>
  <si>
    <t>NR-USR-07</t>
  </si>
  <si>
    <t>A workspace records who last saved it - name and department - and when, shown when it is opened. On a shared plan, knowing whose figures these are matters as much as knowing when they were made.</t>
  </si>
  <si>
    <t>Follows from having identities</t>
  </si>
  <si>
    <t>NR-USR-08</t>
  </si>
  <si>
    <t>This identity is DECLARED, not verified. The application states as much where it is entered, and nothing in it is treated as proof of who acted.</t>
  </si>
  <si>
    <t>Honesty about what it is</t>
  </si>
  <si>
    <t>N2</t>
  </si>
  <si>
    <t>NR-USR-09</t>
  </si>
  <si>
    <t>Identity is held per user in their own data folder, never in the shared application folder, so two people on one copy do not overwrite each other's details.</t>
  </si>
  <si>
    <t>NR-DEP-11</t>
  </si>
  <si>
    <t>NR-USR-10</t>
  </si>
  <si>
    <t>The department is offered from the departments already present in the open workspace's Person records, and typed freely only where none matches. One vocabulary, not two - 'Data Management' and 'DM' should not both exist because one was typed at a login prompt.</t>
  </si>
  <si>
    <t>Q-N18, Person.department</t>
  </si>
  <si>
    <t>NR-USR-11</t>
  </si>
  <si>
    <t>Where the declared name matches a person in the open workspace, that person's department is offered first. The user is usually one of the people in the plan, so their own record is the best answer available.</t>
  </si>
  <si>
    <t>The calculation engine, the validation rules and the period derivation are ONE implementation shared by both applications, not two copies kept in step by hand.</t>
  </si>
  <si>
    <t>Your instruction to keep both</t>
  </si>
  <si>
    <t>Given identical input, both applications produce identical figures, identical findings and identical exports. This is proven by an automated test, not asserted.</t>
  </si>
  <si>
    <t>Derived from NR-PAR-01</t>
  </si>
  <si>
    <t>NR-PAR-03</t>
  </si>
  <si>
    <t>The HTML application continues to be built from the shared engine and its behaviour is unchanged by the refactor, proven by the existing 13 suites passing unmodified.</t>
  </si>
  <si>
    <t>Protects the finished product</t>
  </si>
  <si>
    <t>NR-PAR-04</t>
  </si>
  <si>
    <t>Screen layout, wording and interaction match the web application except where a desktop convention requires otherwise, and every such difference is listed.</t>
  </si>
  <si>
    <t>Two tools, one habit</t>
  </si>
  <si>
    <t>N3</t>
  </si>
  <si>
    <t>Deployment</t>
  </si>
  <si>
    <t>The application runs on Windows 10 and Windows 11, 64-bit. No other operating system is supported or tested.</t>
  </si>
  <si>
    <t>N5</t>
  </si>
  <si>
    <t>NR-DEP-02</t>
  </si>
  <si>
    <t>There is NO INSTALLER. The application is a folder that is copied to wherever the user wants it and run from there. It requires no administrator rights, at any point, for any purpose.</t>
  </si>
  <si>
    <t>NR-DEP-03</t>
  </si>
  <si>
    <t>Updating means replacing the application files inside that folder. No workspace, setting or recent-file entry is touched by an update, and a workspace written by an older version opens in a newer one.</t>
  </si>
  <si>
    <t>NR-DEP-04</t>
  </si>
  <si>
    <t>A workspace written by a NEWER version than the running one is refused with a clear message rather than partially read.</t>
  </si>
  <si>
    <t>NR-DEP-05</t>
  </si>
  <si>
    <t>The application folder is self-contained: it carries its own browser engine and every other dependency, and requires nothing to be present on the machine beyond Windows itself. Package size is not constrained.</t>
  </si>
  <si>
    <t>NR-DEP-06</t>
  </si>
  <si>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</si>
  <si>
    <t>Non-installed rule, amended for the shared folder</t>
  </si>
  <si>
    <t>Deleting the folder removes the application completely, leaving no trace on the machine.</t>
  </si>
  <si>
    <t>Non-installed rule</t>
  </si>
  <si>
    <t>NR-DEP-08</t>
  </si>
  <si>
    <t>The folder can be copied to another Windows PC, or moved to a different path on the same PC, and works unchanged - including its recent-workspaces list where those workspaces travelled with it. No path is recorded absolutely where a relative one would do.</t>
  </si>
  <si>
    <t>NR-DEP-09</t>
  </si>
  <si>
    <t>Where the application folder is read-only or shared - typically on a network folder - the application still runs, tells the user plainly that it cannot keep data beside itself, and keeps that data in a folder the user chooses instead.</t>
  </si>
  <si>
    <t>Raised from Should at round 2 - Q-N12</t>
  </si>
  <si>
    <t>NR-DEP-10</t>
  </si>
  <si>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</si>
  <si>
    <t>Q-N12</t>
  </si>
  <si>
    <t>Where several people run one shared copy, each has their own settings, recent list, backups and default workspace folder. No user can see, overwrite or lock out another through the application.</t>
  </si>
  <si>
    <t>NR-DEP-12</t>
  </si>
  <si>
    <t>The application can create a personal desktop shortcut, at the user's request, that carries their own --data path. This is how a shared copy is used day to day without being asked anything at launch.</t>
  </si>
  <si>
    <t>NR-DEP-13</t>
  </si>
  <si>
    <t>The application runs correctly when launched from a UNC path (\\server\share\PRAP) as well as from a mapped drive letter.</t>
  </si>
  <si>
    <t>Security</t>
  </si>
  <si>
    <t>No telemetry, no crash reporting to any server, no automatic update check, no font or script loaded from a remote host. Verified by observing that the packaged application opens no socket.</t>
  </si>
  <si>
    <t>Offline by requirement</t>
  </si>
  <si>
    <t>NR-SEC-02</t>
  </si>
  <si>
    <t>The embedded browser engine runs with remote content disabled and Node integration off in the renderer, so a crafted workspace file cannot execute code.</t>
  </si>
  <si>
    <t>Standard hardening</t>
  </si>
  <si>
    <t>NR-SEC-03</t>
  </si>
  <si>
    <t>Workspace files contain business data only - no credentials, no connection strings, nothing that would be sensitive if the file were mailed to a colleague.</t>
  </si>
  <si>
    <t>Data hygiene</t>
  </si>
  <si>
    <t>NR-NFR-01</t>
  </si>
  <si>
    <t>Performance</t>
  </si>
  <si>
    <t>Launch to a usable window in under 5 seconds from a local disk, and reopening the last workspace adds no more than 2 seconds on the volumes in A-N01. Launch from a network folder is measured and stated rather than promised - see R-N12.</t>
  </si>
  <si>
    <t>NR-NFR-02</t>
  </si>
  <si>
    <t>A Save completes in under 1 second at those volumes, so autosave is never felt.</t>
  </si>
  <si>
    <t>Count</t>
  </si>
  <si>
    <t>Measure</t>
  </si>
  <si>
    <t>Total requirements</t>
  </si>
  <si>
    <t>Please mark any requirement you disagree with in the Priority column, or strike it out. The register is the contract for Steps 2 to 5, exactly as sheet 03 of the web plan was.</t>
  </si>
  <si>
    <t>Architecture - one engine, two shells</t>
  </si>
  <si>
    <t>The single decision that makes two applications affordable to maintain.</t>
  </si>
  <si>
    <t>The problem this solves</t>
  </si>
  <si>
    <t>Two applications doing the same arithmetic will drift apart. The month one of them reports 3.4 FTE and the</t>
  </si>
  <si>
    <t>other 3.6 for the same person, both become untrustworthy - and nobody will know which to believe. The only</t>
  </si>
  <si>
    <t>durable answer is that there are not two implementations to drift.</t>
  </si>
  <si>
    <t>app/PRAP.html (application v1.24) is 4,865 lines, of which about 4,160 are script. Only 69 of those script lines touch the DOM</t>
  </si>
  <si>
    <t>at all. The engine is therefore already almost separable; this is a lift, not a rewrite.</t>
  </si>
  <si>
    <t>Layers</t>
  </si>
  <si>
    <t>Layer</t>
  </si>
  <si>
    <t>Responsibility</t>
  </si>
  <si>
    <t>Shared?</t>
  </si>
  <si>
    <t>Why the boundary is there</t>
  </si>
  <si>
    <t>core/</t>
  </si>
  <si>
    <t>Parse, validate, derive periods, calculate load, read and write xlsx, read and write JSON. No DOM, no filesystem, no dialogs.</t>
  </si>
  <si>
    <t>Shared, identical</t>
  </si>
  <si>
    <t>The whole of the trust in both products sits here.</t>
  </si>
  <si>
    <t>ui/</t>
  </si>
  <si>
    <t>Tabs, tables, charts, filters, the provisional-edit model, the change log.</t>
  </si>
  <si>
    <t>Renders into a DOM; indifferent to which shell provides it.</t>
  </si>
  <si>
    <t>storage/</t>
  </si>
  <si>
    <t>An interface: open, save, listWorkspaces, restoreVersion, recoverPending.</t>
  </si>
  <si>
    <t>Interface shared, implementation per shell</t>
  </si>
  <si>
    <t>The whole of the difference between the two products sits here.</t>
  </si>
  <si>
    <t>shell/web/</t>
  </si>
  <si>
    <t>Storage over the browser's own storage; the build step that emits the single HTML file.</t>
  </si>
  <si>
    <t>Web only</t>
  </si>
  <si>
    <t>Keeps the finished product buildable and unchanged.</t>
  </si>
  <si>
    <t>shell/desktop/</t>
  </si>
  <si>
    <t>Application window, menu bar, native dialogs, storage over the filesystem, recent files, window state.</t>
  </si>
  <si>
    <t>Desktop only</t>
  </si>
  <si>
    <t>New code, and the only genuinely new code in the product.</t>
  </si>
  <si>
    <t>tools/</t>
  </si>
  <si>
    <t>The 13 verification suites, the document generators, the Python reference implementation.</t>
  </si>
  <si>
    <t>Shared</t>
  </si>
  <si>
    <t>Runs against both shells after the refactor.</t>
  </si>
  <si>
    <t>Read the table by its third column. Everything that decides a number is shared; everything that differs is about where bytes are kept and which dialog opens. That is the whole architecture.</t>
  </si>
  <si>
    <t>Build targets from one source tree</t>
  </si>
  <si>
    <t xml:space="preserve">    core/ + ui/ + shell/web/       --build--&gt;   app/PRAP.html          one file, unchanged, still supported</t>
  </si>
  <si>
    <t xml:space="preserve">    core/ + ui/ + shell/desktop/   --build--&gt;   PRAP Desktop package   new</t>
  </si>
  <si>
    <t xml:space="preserve">    core/                          --used by--&gt; tools/ test suites     unchanged</t>
  </si>
  <si>
    <t>The HTML file stops being hand-written and becomes a build output. Its content is identical - task N2.1 requires the rebuilt file to pass all 13 suites before anything else starts.</t>
  </si>
  <si>
    <t>Shell technology - the choice, and why</t>
  </si>
  <si>
    <t>Option</t>
  </si>
  <si>
    <t>For</t>
  </si>
  <si>
    <t>Against</t>
  </si>
  <si>
    <t>Electron</t>
  </si>
  <si>
    <t>RECOMMENDED</t>
  </si>
  <si>
    <t>Reuses the engine and the UI unchanged. Filesystem access is direct. Testable in this repository today - Playwright drives an Electron application natively, so all 13 suites plus new desktop suites run before you ever see a build.</t>
  </si>
  <si>
    <t>Package around 180 MB. Chromium security updates mean rebuilding periodically.</t>
  </si>
  <si>
    <t>Tauri</t>
  </si>
  <si>
    <t>Later option</t>
  </si>
  <si>
    <t>Package around 10 MB, single executable. Same engine reuse.</t>
  </si>
  <si>
    <t>Needs a Rust toolchain and a Windows build host; cannot be verified from the current environment. Automated UI testing needs a WebDriver setup that is not available here.</t>
  </si>
  <si>
    <t>Native rewrite (C# / .NET, Java)</t>
  </si>
  <si>
    <t>Rejected</t>
  </si>
  <si>
    <t>Smallest package, best desktop integration.</t>
  </si>
  <si>
    <t>Discards a verified engine and a verified UI, and creates the second implementation that NR-PAR-01 exists to prevent. Months of work to reach where the product already is.</t>
  </si>
  <si>
    <t>Progressive web app</t>
  </si>
  <si>
    <t>No packaging at all.</t>
  </si>
  <si>
    <t>Does not meet NR-APP-01 - it is still the browser, with the browser's storage rules.</t>
  </si>
  <si>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</si>
  <si>
    <t>Portable packaging   [round 1: non-installed]</t>
  </si>
  <si>
    <t>'Non-installed' is a stronger constraint than 'no administrator rights', and it rules out two shapes of</t>
  </si>
  <si>
    <t>package that are otherwise normal on Windows. The two that remain differ in a way the user feels:</t>
  </si>
  <si>
    <t>Shape</t>
  </si>
  <si>
    <t>Assessment</t>
  </si>
  <si>
    <t>Installer (MSI / NSIS / MSIX)</t>
  </si>
  <si>
    <t>REJECTED</t>
  </si>
  <si>
    <t>Writes to Program Files and the registry, creates Start-menu entries and an uninstall record. This is precisely what 'non-installed' excludes.</t>
  </si>
  <si>
    <t>Single self-extracting .exe</t>
  </si>
  <si>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</si>
  <si>
    <t>Plain folder, run in place</t>
  </si>
  <si>
    <t>SELECTED - N-14</t>
  </si>
  <si>
    <t>PRAP.exe sits in a folder with its engine and resources beside it. Copy the folder, double-click the exe, it runs. Nothing is unpacked, nothing is registered, launch is as fast as the disk. The folder is large and visibly full of files, which is the only real cost.</t>
  </si>
  <si>
    <t>ZIP of that folder</t>
  </si>
  <si>
    <t>How it is delivered</t>
  </si>
  <si>
    <t>The delivered artifact is a .zip of the folder above. The user extracts it once, wherever they like, and that extracted folder IS the application.</t>
  </si>
  <si>
    <t>Worth being explicit, because the single .exe is what most people picture when they hear 'portable': it is the worse option here on three of this plan's own requirements. A folder is less elegant and behaves better.</t>
  </si>
  <si>
    <t>What the non-installed rule costs</t>
  </si>
  <si>
    <t>Cost</t>
  </si>
  <si>
    <t>What is done about it</t>
  </si>
  <si>
    <t>Double-clicking a .prap file in Explorer will not open it.</t>
  </si>
  <si>
    <t>A file association is a registry entry. Mitigated by drag-and-drop onto the window, and by the recent-workspaces list (NR-IMP-04, NR-APP-06).</t>
  </si>
  <si>
    <t>No Start-menu or taskbar entry appears by itself.</t>
  </si>
  <si>
    <t>The user can pin the exe by hand - which is a user action, not something the application does. The user guide will say how.</t>
  </si>
  <si>
    <t>Windows will not treat the application as known software.</t>
  </si>
  <si>
    <t>SmartScreen and anti-virus judge an unsigned, unregistered executable more harshly, not less. See risks R-N01 and R-N09 - this is the one place where 'non-installed' makes a problem harder rather than easier.</t>
  </si>
  <si>
    <t>The folder must not be nested too deeply.</t>
  </si>
  <si>
    <t>Windows path-length limits. See R-N10.</t>
  </si>
  <si>
    <t>None of these is a reason to reconsider - they are the price of the constraint, listed so that nobody is surprised by them at Gate N5.</t>
  </si>
  <si>
    <t>Data flow and persistence</t>
  </si>
  <si>
    <t>The second of the two requirements: data that survives closing the application.</t>
  </si>
  <si>
    <t>Today, and what changes</t>
  </si>
  <si>
    <t xml:space="preserve">  WEB APPLICATION      Excel  --import--&gt;  memory  --export--&gt;  Excel</t>
  </si>
  <si>
    <t xml:space="preserve">                                             |</t>
  </si>
  <si>
    <t xml:space="preserve">                                          closing the tab loses everything</t>
  </si>
  <si>
    <t xml:space="preserve">  DESKTOP APPLICATION  Excel / JSON  --import--&gt;  WORKSPACE (on disk)  --export--&gt;  Excel / JSON</t>
  </si>
  <si>
    <t xml:space="preserve">                                                       ^   |</t>
  </si>
  <si>
    <t xml:space="preserve">                                                       |   +--&gt; reopened automatically at launch</t>
  </si>
  <si>
    <t xml:space="preserve">                                                       +------- written on every committed Save</t>
  </si>
  <si>
    <t>The consequential change is not the file - it is that the workspace becomes the source of truth. After the first import, the Excel workbook is an exchange format: something you export FOR somebody, or import FROM somebody, not the thing the application reads every morning.</t>
  </si>
  <si>
    <t>The workspace file</t>
  </si>
  <si>
    <t>Decision</t>
  </si>
  <si>
    <t>Ref</t>
  </si>
  <si>
    <t>Format</t>
  </si>
  <si>
    <t>prap-source-data JSON, format_version 1 - the format the AI agent guide already documents.</t>
  </si>
  <si>
    <t>Why not SQLite</t>
  </si>
  <si>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</si>
  <si>
    <t>N-02</t>
  </si>
  <si>
    <t>Why not the Excel workbook itself</t>
  </si>
  <si>
    <t>Writing xlsx on every Save would be slow, would lose the provisional-edit state, and would make an interrupted write corrupt the user's own archive file.</t>
  </si>
  <si>
    <t>Extension</t>
  </si>
  <si>
    <t>.prap - but NOT registered with Windows, because that would need a registry entry the non-installed rule forbids. Workspaces are opened from within the application, or dragged onto its window.</t>
  </si>
  <si>
    <t>Contents</t>
  </si>
  <si>
    <t>The ten sheets exactly as imported, plus a small header: application version, schema version, source file name and import timestamp, and the retained version history.</t>
  </si>
  <si>
    <t>Readable</t>
  </si>
  <si>
    <t>Yes - it is JSON. A workspace can be inspected, diffed, version-controlled, or handed to an AI agent as-is.</t>
  </si>
  <si>
    <t>Where things live   [round 1: non-installed]</t>
  </si>
  <si>
    <t>The portable rule says everything lives in one folder. Data safety says an update must not be able to</t>
  </si>
  <si>
    <t>delete a plan. Those two pull against each other, and the layout below is what resolves them:</t>
  </si>
  <si>
    <t xml:space="preserve">    PRAP\                        &lt;- copy THIS folder anywhere; delete it to remove the application</t>
  </si>
  <si>
    <t xml:space="preserve">      PRAP.exe                    &lt;- \</t>
  </si>
  <si>
    <t xml:space="preserve">      resources\                  &lt;-  |  replaced wholesale by an update</t>
  </si>
  <si>
    <t xml:space="preserve">      version.txt                 &lt;- /</t>
  </si>
  <si>
    <t xml:space="preserve">      data\                       &lt;- NEVER touched by an update</t>
  </si>
  <si>
    <t xml:space="preserve">        settings.json             &lt;- window state, recent workspaces, preferences</t>
  </si>
  <si>
    <t xml:space="preserve">        workspaces\               &lt;- the default home for .prap files</t>
  </si>
  <si>
    <t xml:space="preserve">        backups\                  &lt;- the retained previous versions (NR-STO-06)</t>
  </si>
  <si>
    <t>Rule</t>
  </si>
  <si>
    <t>How it is upheld</t>
  </si>
  <si>
    <t>An update replaces the application files and leaves data\ alone.</t>
  </si>
  <si>
    <t>Stated as a rule in the user guide AND enforced by the updater instructions: the delivered zip contains no data\ folder, so extracting it over an existing installation cannot overwrite one.</t>
  </si>
  <si>
    <t>Workspaces default into data\workspaces\ but are not confined there.</t>
  </si>
  <si>
    <t>The user may save a workspace anywhere - a project folder, a network drive. The default simply means the application always has somewhere sensible to put one.</t>
  </si>
  <si>
    <t>Paths in settings.json are relative wherever they can be.</t>
  </si>
  <si>
    <t>So copying the folder to another PC, or to a different drive letter, does not break the recent list (NR-DEP-08).</t>
  </si>
  <si>
    <t>If the application folder is read-only, data\ cannot be created.</t>
  </si>
  <si>
    <t>The application says so plainly at first launch and asks the user where to keep data instead, remembering the answer next to nothing else - see R-N11 and NR-DEP-09.</t>
  </si>
  <si>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</si>
  <si>
    <t>When the folder is shared   [round 2: Q-N12]</t>
  </si>
  <si>
    <t>One copy on a network folder, several people running it, is a sensible way to distribute a portable</t>
  </si>
  <si>
    <t>application - and it breaks the simple layout above in two places. Both are cheap to solve now and</t>
  </si>
  <si>
    <t>expensive to solve after somebody has lost an afternoon's work.</t>
  </si>
  <si>
    <t xml:space="preserve">    1. SETTINGS COLLIDE.  One data\settings.json cannot hold two people's window sizes and recent lists.</t>
  </si>
  <si>
    <t xml:space="preserve">    2. TWO WRITERS.       Two people open the same .prap file; the second Save silently discards the first.</t>
  </si>
  <si>
    <t>Note that problem 2 exists as soon as workspaces are reachable by two people - which a shared folder makes likely even if the application itself is copied locally. So it is solved unconditionally, not only in the shared case.</t>
  </si>
  <si>
    <t>Where the data folder is - resolved in one fixed order   [NR-DEP-10]</t>
  </si>
  <si>
    <t>Order</t>
  </si>
  <si>
    <t>Why it is there</t>
  </si>
  <si>
    <t>Applies</t>
  </si>
  <si>
    <t>1</t>
  </si>
  <si>
    <t>--data=&lt;path&gt; on the command line</t>
  </si>
  <si>
    <t>How a personal shortcut carries it. Explicit, visible, and belongs to the user rather than to the application.</t>
  </si>
  <si>
    <t>Always wins</t>
  </si>
  <si>
    <t>2</t>
  </si>
  <si>
    <t>The PRAP_DATA environment variable</t>
  </si>
  <si>
    <t>For a site that wants to set it centrally, by login script or group policy.</t>
  </si>
  <si>
    <t>If no argument</t>
  </si>
  <si>
    <t>3</t>
  </si>
  <si>
    <t>data\ beside the application</t>
  </si>
  <si>
    <t>The ordinary single-user case, and the reason a copied folder simply works.</t>
  </si>
  <si>
    <t>If writable, and not shared</t>
  </si>
  <si>
    <t>4</t>
  </si>
  <si>
    <t>Ask the user, once</t>
  </si>
  <si>
    <t>The shared or read-only case. The answer is not written to a hidden file - the application offers to create a desktop shortcut carrying --data, so the choice lives somewhere the user can see, move and delete.</t>
  </si>
  <si>
    <t>Last resort</t>
  </si>
  <si>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</si>
  <si>
    <t>Two people, one workspace</t>
  </si>
  <si>
    <t>Settled at review round 3 as SINGLE WRITER, MANY READERS, and given its own sheet: see 05a.</t>
  </si>
  <si>
    <t>Writing safely</t>
  </si>
  <si>
    <t>Step</t>
  </si>
  <si>
    <t>Action</t>
  </si>
  <si>
    <t>Serialise the committed model to JSON in memory.</t>
  </si>
  <si>
    <t>Nothing has touched the disk yet.</t>
  </si>
  <si>
    <t>Write it to a temporary file in the same directory, and flush it to the physical disk.</t>
  </si>
  <si>
    <t>Same directory, so the rename in step 4 cannot cross a filesystem boundary.</t>
  </si>
  <si>
    <t>Roll the current workspace file into the version history.</t>
  </si>
  <si>
    <t>This is what NR-STO-06 restores from.</t>
  </si>
  <si>
    <t>Rename the temporary file over the workspace file.</t>
  </si>
  <si>
    <t>A rename is atomic. The file is either wholly the old contents or wholly the new - never half of each (NR-STO-05).</t>
  </si>
  <si>
    <t>5</t>
  </si>
  <si>
    <t>Only now report the save as done.</t>
  </si>
  <si>
    <t>NR-STO-04. Reporting a save that has not reached the disk is the one failure that would destroy trust in the whole feature.</t>
  </si>
  <si>
    <t>Power loss at any point leaves a readable workspace: before step 4 the old one, after it the new one. A stray temporary file is detected and removed at the next launch.</t>
  </si>
  <si>
    <t>How this meets the existing edit model</t>
  </si>
  <si>
    <t>Event</t>
  </si>
  <si>
    <t>Behaviour</t>
  </si>
  <si>
    <t>Note</t>
  </si>
  <si>
    <t>A pending edit</t>
  </si>
  <si>
    <t>Held exactly as today - snapshot taken before the first change.</t>
  </si>
  <si>
    <t>Nothing written to the workspace.</t>
  </si>
  <si>
    <t>Save</t>
  </si>
  <si>
    <t>Commits as today, then writes the workspace.</t>
  </si>
  <si>
    <t>The existing Save is already the commit point, so persistence attaches to it with no new state.</t>
  </si>
  <si>
    <t>Leave without change</t>
  </si>
  <si>
    <t>Reverts as today.</t>
  </si>
  <si>
    <t>Nothing is written, so nothing needs undoing on disk.</t>
  </si>
  <si>
    <t>Autosave of PENDING edits</t>
  </si>
  <si>
    <t>Pending edits are journalled separately, not into the workspace.</t>
  </si>
  <si>
    <t>So an unexpected close can offer them back (NR-STO-07) without a half-finished edit ever becoming committed data.</t>
  </si>
  <si>
    <t>Recovery</t>
  </si>
  <si>
    <t>At launch, a journal newer than the workspace prompts: keep these edits, or discard them.</t>
  </si>
  <si>
    <t>The user decides. Silently applying recovered edits would be worse than losing them.</t>
  </si>
  <si>
    <t>The provisional-edit model built for the web application - snapshot, commit on Save, revert on Leave without change - turns out to be exactly the seam persistence needs. No part of it changes.</t>
  </si>
  <si>
    <t>Re-importing over a workspace that already holds data</t>
  </si>
  <si>
    <t>This is the one genuinely new decision the change forces, and it is the one most likely to lose somebody's</t>
  </si>
  <si>
    <t>work if it is decided carelessly. Somebody else maintains the source workbook; you will have hand-entered</t>
  </si>
  <si>
    <t>assignments in the workspace. A silent replace destroys them, and a silent merge hides that it happened.</t>
  </si>
  <si>
    <t>Replace everything</t>
  </si>
  <si>
    <t>Simple.</t>
  </si>
  <si>
    <t>Destroys hand-entered data with no warning.</t>
  </si>
  <si>
    <t>Merge by key, source wins</t>
  </si>
  <si>
    <t>Keeps rows the import does not mention.</t>
  </si>
  <si>
    <t>Silently changes rows you edited deliberately.</t>
  </si>
  <si>
    <t>Show the differences, decide per sheet</t>
  </si>
  <si>
    <t>Nothing is lost without being seen. The user keeps authority over their own data.</t>
  </si>
  <si>
    <t>One more dialog to build and to pass through.</t>
  </si>
  <si>
    <t>PROPOSED - NR-IMP-02, decision N-07</t>
  </si>
  <si>
    <t>Refuse; require a new workspace</t>
  </si>
  <si>
    <t>Impossible to lose anything.</t>
  </si>
  <si>
    <t>Makes the ordinary case - refreshed project dates - painful.</t>
  </si>
  <si>
    <t>Q-N05 asks you to confirm this. It is worth a moment's thought: it is the one place in the design where the wrong choice quietly loses work.</t>
  </si>
  <si>
    <t>Sharing a plan between people</t>
  </si>
  <si>
    <t>Settled at review round 3: while someone is editing, no other session may update. Everyone may read, always.</t>
  </si>
  <si>
    <t>The rule</t>
  </si>
  <si>
    <t xml:space="preserve">    One writer at a time.  Any number of readers.  Nobody is ever blocked from LOOKING at a plan.</t>
  </si>
  <si>
    <t>The claim to write is made at the FIRST EDIT, not when the workspace is opened. That single choice is</t>
  </si>
  <si>
    <t>what separates this from a file lock, and it is worth being explicit about why:</t>
  </si>
  <si>
    <t>When the claim is made</t>
  </si>
  <si>
    <t>Claim on OPEN</t>
  </si>
  <si>
    <t>Simple to build.</t>
  </si>
  <si>
    <t>Somebody who opened a plan to glance at a figure, and then went to lunch, blocks everybody. Most sessions never edit anything, so most claims would be pointless.</t>
  </si>
  <si>
    <t>Claim on FIRST EDIT</t>
  </si>
  <si>
    <t>Only a session that actually intends to change something takes the claim, so a plan is free unless somebody is really working on it. It also falls exactly on the point the application already has: the snapshot taken before the first pending edit. No new state, no new concept.</t>
  </si>
  <si>
    <t>The user learns they cannot edit one moment later than they would have. Mitigated by showing who holds the claim in the window from the moment the workspace opens, so it is never a surprise at the keystroke.</t>
  </si>
  <si>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</si>
  <si>
    <t>The four states a session can be in</t>
  </si>
  <si>
    <t>State</t>
  </si>
  <si>
    <t>What the user can do</t>
  </si>
  <si>
    <t>How it is entered and left</t>
  </si>
  <si>
    <t>READING</t>
  </si>
  <si>
    <t>The workspace is open and nobody in this session has tried to change anything.</t>
  </si>
  <si>
    <t>Everything except changing the workspace: all tabs, figures, graphs, filters, horizon, exports, Save As.</t>
  </si>
  <si>
    <t>Entered on open. Leaves to EDITING on the first edit attempt.</t>
  </si>
  <si>
    <t>EDITING</t>
  </si>
  <si>
    <t>This session holds the claim.</t>
  </si>
  <si>
    <t>Everything. This is the ordinary working state, identical to the single-user case.</t>
  </si>
  <si>
    <t>Entered by a successful claim. Leaves on Save, on Leave-without-change, or on close.</t>
  </si>
  <si>
    <t>BLOCKED</t>
  </si>
  <si>
    <t>This session tried to edit and somebody else holds the claim.</t>
  </si>
  <si>
    <t>Everything READING allows. The attempted edit did not happen, and the window says who holds the plan and since when.</t>
  </si>
  <si>
    <t>Entered by a refused claim. Leaves to READING, and offers EDITING the moment the holder releases.</t>
  </si>
  <si>
    <t>STALE</t>
  </si>
  <si>
    <t>Somebody else has saved this workspace since this session read it.</t>
  </si>
  <si>
    <t>Everything READING allows, with a standing offer to reload. Editing from a stale view is refused until it reloads.</t>
  </si>
  <si>
    <t>Entered when the file changes on disk. Leaves on reload.</t>
  </si>
  <si>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</si>
  <si>
    <t>How the claim is made, on a network share</t>
  </si>
  <si>
    <t>Mechanism</t>
  </si>
  <si>
    <t>Why this way</t>
  </si>
  <si>
    <t>Create a claim file beside the workspace, using an operation that FAILS if the file already exists.</t>
  </si>
  <si>
    <t>Not read-then-write: two sessions can both read 'no claim' and both then write one. Create-if-absent is decided by the filesystem, one winner, no race - and it works over SMB (NR-STO-13).</t>
  </si>
  <si>
    <t>The file records user name, machine name, process, the application version, and the time.</t>
  </si>
  <si>
    <t>So a refusal can name a person rather than saying 'locked' (NR-STO-12). 'Kim is editing this, since 09:14, on PC-4471' is actionable; 'file in use' is not.</t>
  </si>
  <si>
    <t>While the session holds the claim it rewrites the time inside it, every 30 seconds.</t>
  </si>
  <si>
    <t>A heartbeat. It is how a live holder is told apart from a dead one, without asking the user to guess (NR-STO-14).</t>
  </si>
  <si>
    <t>A claim whose heartbeat has not moved for 30 MINUTES expires and may be taken over.</t>
  </si>
  <si>
    <t>Your answer at Q-N16. Note that the heartbeat interval and the expiry are two different numbers - see the section below, which is where the value of keeping them apart shows.</t>
  </si>
  <si>
    <t>Saving re-reads the claim first, and refuses if it is no longer this session's.</t>
  </si>
  <si>
    <t>The last defence. If anything above went wrong - a clock, a takeover, a share that lied - the save stops instead of overwriting somebody's work.</t>
  </si>
  <si>
    <t>Thirty minutes, and a thirty-second heartbeat   [round 4: Q-N16]</t>
  </si>
  <si>
    <t>The heartbeat interval and the expiry answer two different questions, and keeping them apart is what</t>
  </si>
  <si>
    <t>makes a long expiry comfortable rather than opaque:</t>
  </si>
  <si>
    <t xml:space="preserve">    HEARTBEAT, 30 seconds    'Is the holder still alive?'      Known within half a minute.</t>
  </si>
  <si>
    <t xml:space="preserve">    EXPIRY, 30 minutes       'May somebody else take it now?'  Your answer at Q-N16.</t>
  </si>
  <si>
    <t>So the application always knows the holder has gone quiet, long before anyone may act on it - and can</t>
  </si>
  <si>
    <t>say so, instead of showing the same message for a colleague who is mid-sentence and one whose laptop</t>
  </si>
  <si>
    <t>died twenty minutes ago:</t>
  </si>
  <si>
    <t>Situation</t>
  </si>
  <si>
    <t>What the colleague is told</t>
  </si>
  <si>
    <t>What they can do</t>
  </si>
  <si>
    <t>Holder active - heartbeat within the last 30 seconds</t>
  </si>
  <si>
    <t>"Kim Min-jun is editing this plan (active now)."</t>
  </si>
  <si>
    <t>Wait, or telephone them. The plan is genuinely in use.</t>
  </si>
  <si>
    <t>Holder silent - heartbeat older than 30 seconds</t>
  </si>
  <si>
    <t>"Kim Min-jun's session has not responded since 09:14. The plan becomes free at 09:44."</t>
  </si>
  <si>
    <t>The colleague can decide: wait 20 minutes, or call and ask. Both are informed choices.</t>
  </si>
  <si>
    <t>Expired - heartbeat older than 30 minutes</t>
  </si>
  <si>
    <t>"Kim Min-jun's session stopped responding at 09:14. You may take over."</t>
  </si>
  <si>
    <t>Take it over. The displacing session records whose claim it took.</t>
  </si>
  <si>
    <t>Your own stalled claim, same name and machine</t>
  </si>
  <si>
    <t>"This plan is held by your own earlier session. Take it back?"</t>
  </si>
  <si>
    <t>Immediately, without waiting (NR-STO-19).</t>
  </si>
  <si>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</si>
  <si>
    <t>Who is editing   [round 4: Q-N17]</t>
  </si>
  <si>
    <t>A thirty-minute expiry is only reasonable if the normal remedy is not waiting but ASKING. That is what</t>
  </si>
  <si>
    <t>your Q-N17 answer supplies: the application knows who people are, so a refusal can name someone and say</t>
  </si>
  <si>
    <t>how to reach them. The two answers work as a pair - neither is as good alone.</t>
  </si>
  <si>
    <t>At launch, before any plan opens</t>
  </si>
  <si>
    <t>The application asks who you are. The first time it pre-fills your Windows account name and asks for the rest; afterwards it shows what it remembers and you confirm with one click. 'Not me' switches user, which matters on a shared PC.</t>
  </si>
  <si>
    <t>NR-USR-01..03</t>
  </si>
  <si>
    <t>What is recorded</t>
  </si>
  <si>
    <t>A name and a DEPARTMENT. Nothing else - no e-mail, no telephone. A name and a department are what a colleague needs to find somebody in the company directory, and they are two fields people will actually fill in.</t>
  </si>
  <si>
    <t>Where the department comes from</t>
  </si>
  <si>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</si>
  <si>
    <t>NR-USR-10, NR-USR-11</t>
  </si>
  <si>
    <t>Where it is kept</t>
  </si>
  <si>
    <t>In the user's own data folder - never in the shared application folder, where two people would overwrite each other.</t>
  </si>
  <si>
    <t>What the claim carries</t>
  </si>
  <si>
    <t>The holder's name and contact details, so the message can be acted on. Removed when the claim ends.</t>
  </si>
  <si>
    <t>What a blocked colleague sees</t>
  </si>
  <si>
    <t>A message naming the holder and their department, when they started, whether their session is still responding, and when the plan becomes free - with a button to copy the name and department. For example: "Kim Min-jun (Data Management) has been editing this plan since 09:14, active now."</t>
  </si>
  <si>
    <t>NR-STO-12, NR-USR-06</t>
  </si>
  <si>
    <t>What else it improves</t>
  </si>
  <si>
    <t>A workspace records who last saved it and when, shown on opening. On a shared plan, whose figures these are matters as much as when they were made.</t>
  </si>
  <si>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</si>
  <si>
    <t>How a claim ends   [NR-STO-15]</t>
  </si>
  <si>
    <t>What happens</t>
  </si>
  <si>
    <t>The holder saves and closes the workspace.</t>
  </si>
  <si>
    <t>Released immediately. A waiting session is offered it without reopening anything.</t>
  </si>
  <si>
    <t>The holder discards their edits (Leave without change).</t>
  </si>
  <si>
    <t>Released immediately - there is nothing to protect any more.</t>
  </si>
  <si>
    <t>The holder closes the application.</t>
  </si>
  <si>
    <t>Released on the way out, including on an unexpected close where the application still gets to run.</t>
  </si>
  <si>
    <t>The holder's session dies without warning.</t>
  </si>
  <si>
    <t>The heartbeat stops; after three missed intervals anybody may take it over.</t>
  </si>
  <si>
    <t>The holder is NOT released merely by saving and continuing to work - that would hand the plan to somebody else mid-task. Saving keeps the claim; closing gives it up.</t>
  </si>
  <si>
    <t>What this deliberately is not</t>
  </si>
  <si>
    <t>Not this</t>
  </si>
  <si>
    <t>Why not</t>
  </si>
  <si>
    <t>Row-level or section-level locking.</t>
  </si>
  <si>
    <t>Two people editing different parts of one plan at the same time is a different product, and it needs a merge model the storage format does not have. The claim covers the whole workspace (N-20).</t>
  </si>
  <si>
    <t>Merging two people's changes.</t>
  </si>
  <si>
    <t>Out of scope, and it would change the file format. What is in scope is that no change is lost silently.</t>
  </si>
  <si>
    <t>A queue of waiting editors.</t>
  </si>
  <si>
    <t>One waiting session is offered the claim when it frees. Beyond that, people can talk to each other.</t>
  </si>
  <si>
    <t>An operating-system lock.</t>
  </si>
  <si>
    <t>A share may not honour one, and a lock left by a crash can need IT to clear it. The claim file plus a heartbeat fails softer and recovers by itself (N-21).</t>
  </si>
  <si>
    <t>The requirement you gave - block other sessions from updating while somebody is editing - is met in full by the whole-workspace claim. Everything above that line would be building a collaborative editor, which is a different tool.</t>
  </si>
  <si>
    <t>Engineering decisions</t>
  </si>
  <si>
    <t>N-ids belong to this plan. C-01..C-11 of the web plan govern the calculation and are inherited unchanged.</t>
  </si>
  <si>
    <t>Rationale</t>
  </si>
  <si>
    <t>N-01</t>
  </si>
  <si>
    <t>The desktop shell is Electron, packaged without an installer requirement.</t>
  </si>
  <si>
    <t>Reuses a verified engine and a verified UI whole, and can be tested in this repository before delivery. Size was the argument against it, and your instruction removes that argument. Reversible: only shell/desktop/ would change.</t>
  </si>
  <si>
    <t>CONFIRM</t>
  </si>
  <si>
    <t>The workspace is prap-source-data JSON, not SQLite and not xlsx.</t>
  </si>
  <si>
    <t>Small data, an existing round-trip-tested format, and it keeps a workspace directly readable by an AI agent. See sheet 05.</t>
  </si>
  <si>
    <t>N-03</t>
  </si>
  <si>
    <t>Workspace writes are atomic, with the previous versions retained.</t>
  </si>
  <si>
    <t>The cost of persistence is that a bad write now destroys data that used to live safely in Excel. Atomic rename plus history is the standard answer.</t>
  </si>
  <si>
    <t>N-04</t>
  </si>
  <si>
    <t>Many workspaces, chosen by the user, with a recent list.</t>
  </si>
  <si>
    <t>You plan scenarios. A single implicit workspace would force overwriting one plan to explore another.</t>
  </si>
  <si>
    <t>N-05</t>
  </si>
  <si>
    <t>One shared engine, two shells - never two implementations.</t>
  </si>
  <si>
    <t>Two implementations of the same arithmetic will diverge, and the divergence will be discovered by someone who trusted the wrong number.</t>
  </si>
  <si>
    <t>N-06</t>
  </si>
  <si>
    <t>The HTML application is frozen in feature terms at its v1.0. Shared-engine fixes reach it; desktop-only features do not.</t>
  </si>
  <si>
    <t>It is finished and in service. Keeping it a build target protects it; keeping it feature-frozen keeps it from becoming a second thing to design.</t>
  </si>
  <si>
    <t>N-07</t>
  </si>
  <si>
    <t>Re-import shows a difference and lets the user decide per sheet.</t>
  </si>
  <si>
    <t>The only option that cannot silently lose hand-entered work. See sheet 05.</t>
  </si>
  <si>
    <t>N-08</t>
  </si>
  <si>
    <t>Pending edits are journalled separately from the committed workspace.</t>
  </si>
  <si>
    <t>So recovery can offer them back without a half-typed row ever becoming committed data.</t>
  </si>
  <si>
    <t>N-09</t>
  </si>
  <si>
    <t>No network access of any kind, including update checks and crash reporting.</t>
  </si>
  <si>
    <t>The tool is offline by requirement. Anything that opens a socket makes it a different kind of product in the eyes of corporate IT.</t>
  </si>
  <si>
    <t>N-10</t>
  </si>
  <si>
    <t>Engine parity between the applications is mandatory and tested; visual parity is best-effort and documented.</t>
  </si>
  <si>
    <t>The figures must agree or both tools are worthless. Whether a dialog looks native matters much less.</t>
  </si>
  <si>
    <t>N-11</t>
  </si>
  <si>
    <t>The desktop application reuses the web UI rather than being redesigned.</t>
  </si>
  <si>
    <t>You have reviewed that UI over 25 rounds. Redesigning it would discard that and give you two habits to hold.</t>
  </si>
  <si>
    <t>N-12</t>
  </si>
  <si>
    <t>A workspace from a newer application version is refused, not partially read.</t>
  </si>
  <si>
    <t>Reading unknown fields and writing them back out is how data quietly disappears.</t>
  </si>
  <si>
    <t>N-13</t>
  </si>
  <si>
    <t>Application files and user data are separate folders under one parent, and an update replaces only the application files.</t>
  </si>
  <si>
    <t>Portability wants one folder; data safety forbids an update that can delete a plan. This layout gives both. Putting workspaces among the application files would eventually destroy somebody's work.</t>
  </si>
  <si>
    <t>N-14</t>
  </si>
  <si>
    <t>The package is a plain folder that runs in place, delivered as a zip - not a single self-extracting executable.</t>
  </si>
  <si>
    <t>The single .exe unpacks about 180 MB to the temporary folder on every launch: slow to start, writes outside its own folder, and re-scanned by anti-virus each time. It only looks more portable. See sheet 04.</t>
  </si>
  <si>
    <t>N-15</t>
  </si>
  <si>
    <t>No registry entry, no file association, no Start-menu entry, no AppData folder - ever.</t>
  </si>
  <si>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</si>
  <si>
    <t>N-16</t>
  </si>
  <si>
    <t>Where data lives is resolved in one fixed order, and the chosen location is shown in the About dialog.</t>
  </si>
  <si>
    <t>A portable application that guesses where its data went is a support problem. Four rules, always in the same order, always visible. The last of them creates a shortcut the user owns rather than hidden state in their profile.</t>
  </si>
  <si>
    <t>N-17</t>
  </si>
  <si>
    <t>Workspace locking is an advisory marker file, not an operating-system lock.</t>
  </si>
  <si>
    <t>A network share may not support real locking, and an OS lock left by a crash can need IT to clear it. A marker anyone can read, and the holder's own machine can clear, fails softer - and the failure that matters is silent overwriting, which a marker prevents.</t>
  </si>
  <si>
    <t>N-18</t>
  </si>
  <si>
    <t>Concurrent use is designed for unconditionally, not only if the shared folder is adopted.</t>
  </si>
  <si>
    <t>Q-N12 says 'could be considered'. The cost of building the marker anyway is one small file; the cost of not building it, and then adopting the share, is somebody's lost afternoon. This also supersedes Q-N06 - it no longer matters what the answer is.</t>
  </si>
  <si>
    <t>N-19</t>
  </si>
  <si>
    <t>The write claim is made at the first EDIT, not when the workspace is opened.</t>
  </si>
  <si>
    <t>Claiming on open would let somebody who glanced at a plan and walked away block everyone else, and most sessions never edit anything. It also falls on a point the application already has - the snapshot before the first pending edit - so it costs no new concept. See sheet 05a.</t>
  </si>
  <si>
    <t>N-20</t>
  </si>
  <si>
    <t>The claim covers the whole workspace, not a row or a section.</t>
  </si>
  <si>
    <t>Part-locking implies merging two people's edits, which the storage format cannot express and which is a different product. The requirement given - block other sessions from updating while somebody edits - is met in full by a whole-workspace claim.</t>
  </si>
  <si>
    <t>N-21</t>
  </si>
  <si>
    <t>The claim is a file created by an operation that fails if it already exists, kept alive by a heartbeat.</t>
  </si>
  <si>
    <t>Read-then-write loses races; two sessions can both see 'free'. Create-if-absent has one winner, decided by the filesystem, and works over SMB. The heartbeat is what tells a live holder from a crashed one without asking a user to guess.</t>
  </si>
  <si>
    <t>N-22</t>
  </si>
  <si>
    <t>Saving keeps the claim; only closing or discarding releases it.</t>
  </si>
  <si>
    <t>Releasing on save would hand the plan to somebody else in the middle of a working session, which is exactly when it must not move.</t>
  </si>
  <si>
    <t>N-23</t>
  </si>
  <si>
    <t>The heartbeat interval (30 seconds) and the expiry (30 minutes) are separate numbers.</t>
  </si>
  <si>
    <t>They answer different questions - is the holder alive, and may somebody else take over. Keeping them apart lets the application distinguish a colleague who is mid-sentence from one whose laptop died, and say which, instead of showing the same message for both.</t>
  </si>
  <si>
    <t>N-24</t>
  </si>
  <si>
    <t>A user may reclaim their own stalled claim immediately, without waiting out the expiry.</t>
  </si>
  <si>
    <t>Thirty minutes locked out of somebody else's plan is a policy; thirty minutes locked out of your OWN plan because your application crashed is just an obstruction. Same name and same machine is enough evidence for this purpose.</t>
  </si>
  <si>
    <t>N-25</t>
  </si>
  <si>
    <t>Identity is declared by the user, not authenticated.</t>
  </si>
  <si>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</si>
  <si>
    <t>N-26</t>
  </si>
  <si>
    <t>The name is pre-filled from the Windows account but stays editable.</t>
  </si>
  <si>
    <t>Free accuracy for the common case without a login system, and editable because a Windows account name is often not how colleagues know each other.</t>
  </si>
  <si>
    <t>N-27</t>
  </si>
  <si>
    <t>The holder's name and department travel inside the claim, and are removed with it.</t>
  </si>
  <si>
    <t>A message that names somebody but not where to find them leaves the colleague exactly as stuck. Nothing personal outlives the claim it was written for.</t>
  </si>
  <si>
    <t>N-28</t>
  </si>
  <si>
    <t>An identity is a name and a department, and nothing else.</t>
  </si>
  <si>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</si>
  <si>
    <t>Each of these is a decision I have taken provisionally so that Step 1 has something concrete to review. Change any of them in the Status column and the plan follows - none is expensive to reverse at this stage, and N-01 and N-02 become expensive after Gate N2.</t>
  </si>
  <si>
    <t>Inherited and unchanged</t>
  </si>
  <si>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</si>
  <si>
    <t>Work breakdown - five steps, five gates</t>
  </si>
  <si>
    <t>The same method as the web application: each step ends at a review gate, and the next starts only after that gate is passed.</t>
  </si>
  <si>
    <t>Task</t>
  </si>
  <si>
    <t>Activity</t>
  </si>
  <si>
    <t>Deliverable</t>
  </si>
  <si>
    <t>N1</t>
  </si>
  <si>
    <t>N1.1</t>
  </si>
  <si>
    <t>Draft this plan.</t>
  </si>
  <si>
    <t>PRAP_NewApp_Development_Plan_v0.6.xlsx</t>
  </si>
  <si>
    <t>Complete - issued for review</t>
  </si>
  <si>
    <t>N1.2</t>
  </si>
  <si>
    <t>Requester reviews; answers Q-N01..Q-N11; confirms or changes decisions N-01..N-12.</t>
  </si>
  <si>
    <t>Reviewed mark-up</t>
  </si>
  <si>
    <t>Pending you</t>
  </si>
  <si>
    <t>N1.3</t>
  </si>
  <si>
    <t>Apply the answers and re-issue.</t>
  </si>
  <si>
    <t>Plan v0.2</t>
  </si>
  <si>
    <t>Not started</t>
  </si>
  <si>
    <t>GN1</t>
  </si>
  <si>
    <t>GATE N1 - development plan approved as the baseline.</t>
  </si>
  <si>
    <t>Plan v1.0</t>
  </si>
  <si>
    <t>N2.1</t>
  </si>
  <si>
    <t>Split the source into core / ui / storage / shell-web, with a build step that re-emits app/PRAP.html. NO behaviour change.</t>
  </si>
  <si>
    <t>Source tree + rebuilt PRAP.html</t>
  </si>
  <si>
    <t>N2.2</t>
  </si>
  <si>
    <t>Prove the refactor changed nothing: all 13 existing suites pass against the rebuilt HTML file, unmodified.</t>
  </si>
  <si>
    <t>Test evidence</t>
  </si>
  <si>
    <t>N2.3</t>
  </si>
  <si>
    <t>Specify the storage interface and the workspace file format.</t>
  </si>
  <si>
    <t>Specification sheet 'Storage'</t>
  </si>
  <si>
    <t>N2.4</t>
  </si>
  <si>
    <t>Specify the desktop shell: window, menus, dialogs, recent files, drag-and-drop, About.</t>
  </si>
  <si>
    <t>Specification sheet 'Shell'</t>
  </si>
  <si>
    <t>N2.5</t>
  </si>
  <si>
    <t>Specify save safety, version retention, journalling and recovery.</t>
  </si>
  <si>
    <t>Specification sheet 'Persistence'</t>
  </si>
  <si>
    <t>N2.6</t>
  </si>
  <si>
    <t>Specify the re-import difference dialog.</t>
  </si>
  <si>
    <t>Specification sheet 'Import'</t>
  </si>
  <si>
    <t>N2.7</t>
  </si>
  <si>
    <t>Specify packaging, deployment and update.</t>
  </si>
  <si>
    <t>Specification sheet 'Deployment'</t>
  </si>
  <si>
    <t>N2.8</t>
  </si>
  <si>
    <t>Traceability matrix: every NR-id to a specification section.</t>
  </si>
  <si>
    <t>Specification sheet 'Traceability'</t>
  </si>
  <si>
    <t>GN2</t>
  </si>
  <si>
    <t>GATE N2 - programming specification approved.</t>
  </si>
  <si>
    <t>PRAP_NewApp_Specification_v1.0.xlsx</t>
  </si>
  <si>
    <t>N3.1</t>
  </si>
  <si>
    <t>Desktop-specific UI design: menu structure, dialogs, the workspace-open screen, the recovery prompt, the difference view.</t>
  </si>
  <si>
    <t>Component list draft</t>
  </si>
  <si>
    <t>N3.2</t>
  </si>
  <si>
    <t>List every deliberate divergence from the web UI, with its reason (NR-PAR-04).</t>
  </si>
  <si>
    <t>Divergence list</t>
  </si>
  <si>
    <t>N3.3</t>
  </si>
  <si>
    <t>Requester reviews the design.</t>
  </si>
  <si>
    <t>Review comments</t>
  </si>
  <si>
    <t>GN3</t>
  </si>
  <si>
    <t>GATE N3 - design and component list approved.</t>
  </si>
  <si>
    <t>PRAP_NewApp_Component_List_v1.0.xlsx</t>
  </si>
  <si>
    <t>N4.1</t>
  </si>
  <si>
    <t>Desktop shell: application window, menu bar, native dialogs, window state.</t>
  </si>
  <si>
    <t>N4.2</t>
  </si>
  <si>
    <t>Filesystem storage adapter: open, save, atomic write, version history.</t>
  </si>
  <si>
    <t>N4.3</t>
  </si>
  <si>
    <t>Workspace lifecycle: new, open, save, save as, recent list, reopen last at launch.</t>
  </si>
  <si>
    <t>N4.4</t>
  </si>
  <si>
    <t>Journalling and crash recovery.</t>
  </si>
  <si>
    <t>N4.4b</t>
  </si>
  <si>
    <t>Data-location resolution, the About dialog that shows it, and the personal shortcut.</t>
  </si>
  <si>
    <t>N4.4c</t>
  </si>
  <si>
    <t>The write claim: create-if-absent, the heartbeat, expiry and takeover, and the re-check before every save.</t>
  </si>
  <si>
    <t>N4.4d</t>
  </si>
  <si>
    <t>The four session states on screen: who holds the plan, the refusal that names them, the offer when it frees, and the staleness notice with its reload.</t>
  </si>
  <si>
    <t>N4.4e</t>
  </si>
  <si>
    <t>User identity: the launch prompt, remembering and confirming it, switching user, contact details, and the blocked message that carries them.</t>
  </si>
  <si>
    <t>shell/desktop/ + ui/</t>
  </si>
  <si>
    <t>N4.5</t>
  </si>
  <si>
    <t>Import into an occupied workspace: the difference view and the per-sheet decision.</t>
  </si>
  <si>
    <t>N4.6</t>
  </si>
  <si>
    <t>Parity suite: identical input through both applications, identical figures, findings and exports.</t>
  </si>
  <si>
    <t>tools/test_parity.py</t>
  </si>
  <si>
    <t>N4.7</t>
  </si>
  <si>
    <t>Persistence suite: save, close, relaunch, verify; kill mid-write, verify; recover pending edits.</t>
  </si>
  <si>
    <t>tools/test_persist.py</t>
  </si>
  <si>
    <t>N4.8</t>
  </si>
  <si>
    <t>Requester reviews against real data; refinements folded in.</t>
  </si>
  <si>
    <t>Updated code</t>
  </si>
  <si>
    <t>GN4</t>
  </si>
  <si>
    <t>GATE N4 - application functionally complete.</t>
  </si>
  <si>
    <t>PRAP Desktop v0.9</t>
  </si>
  <si>
    <t>N5.1</t>
  </si>
  <si>
    <t>Package as a plain Windows folder delivered in a zip; verify it launches with no installation and no administrator rights.</t>
  </si>
  <si>
    <t>PRAP_Desktop_v&lt;ver&gt;.zip</t>
  </si>
  <si>
    <t>N5.2</t>
  </si>
  <si>
    <t>Verify no socket is opened, offline, for a full session (NR-SEC-01).</t>
  </si>
  <si>
    <t>N5.3</t>
  </si>
  <si>
    <t>Portability suite: run the folder, then copy it to another path and another PC and run it again; verify the recent list and settings survive (NR-DEP-08).</t>
  </si>
  <si>
    <t>tools/test_portable.py</t>
  </si>
  <si>
    <t>N5.4</t>
  </si>
  <si>
    <t>Cleanliness check: record every file and registry key touched during a full session; verify nothing outside the application folder is written, and that deleting the folder leaves nothing behind (NR-DEP-06, NR-DEP-07).</t>
  </si>
  <si>
    <t>N5.5</t>
  </si>
  <si>
    <t>Update check: extract a newer zip over an existing folder; verify workspaces, backups and settings are untouched (NR-DEP-03).</t>
  </si>
  <si>
    <t>N5.6</t>
  </si>
  <si>
    <t>Awkward-location tests: a deeply nested path (R-N10), a read-only network folder (R-N11), and a UNC path (NR-DEP-13).</t>
  </si>
  <si>
    <t>N5.6b</t>
  </si>
  <si>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</si>
  <si>
    <t>tools/test_shared.py</t>
  </si>
  <si>
    <t>N5.6c</t>
  </si>
  <si>
    <t>Measure launch time from a local disk and from a network folder, and state both in the user guide rather than promising one.</t>
  </si>
  <si>
    <t>N5.7</t>
  </si>
  <si>
    <t>Run on a real company PC - the only place execution policy, SmartScreen and anti-virus can be judged.</t>
  </si>
  <si>
    <t>N5.8</t>
  </si>
  <si>
    <t>User guide: where to extract it, first launch and the SmartScreen prompt, workspaces, import and export, backup, updating, and what to do if it will not start.</t>
  </si>
  <si>
    <t>User guide</t>
  </si>
  <si>
    <t>N5.9</t>
  </si>
  <si>
    <t>Full pass over the traceability matrix; version alignment across both product lines.</t>
  </si>
  <si>
    <t>Traceability matrix</t>
  </si>
  <si>
    <t>GN5</t>
  </si>
  <si>
    <t>GATE N5 - release.</t>
  </si>
  <si>
    <t>PRAP Desktop v1.0</t>
  </si>
  <si>
    <t>Progress</t>
  </si>
  <si>
    <t>Tasks total</t>
  </si>
  <si>
    <t>Complete</t>
  </si>
  <si>
    <t>Awaiting the requester</t>
  </si>
  <si>
    <t>Task N2.1 is deliberately first and deliberately dull. Until the engine is shared and the HTML file is proven unchanged by the sharing, every later task risks the finished product. No durations: the pace is set by review turnaround, as before.</t>
  </si>
  <si>
    <t>How each claim will be proven</t>
  </si>
  <si>
    <t>Same standard as the web application: a claim is not made until something demonstrates it.</t>
  </si>
  <si>
    <t>Claim</t>
  </si>
  <si>
    <t>How it is proven</t>
  </si>
  <si>
    <t>Where</t>
  </si>
  <si>
    <t>The refactor changed nothing</t>
  </si>
  <si>
    <t>The 13 existing suites, unmodified, against the rebuilt app/PRAP.html.</t>
  </si>
  <si>
    <t>Automated, in this repository</t>
  </si>
  <si>
    <t>The two applications agree</t>
  </si>
  <si>
    <t>tools/test_parity.py - one dataset through both, comparing every person-month figure, every validation finding and both export files.</t>
  </si>
  <si>
    <t>Data survives closing</t>
  </si>
  <si>
    <t>tools/test_persist.py - import, save, close the application, relaunch, compare the model to what was saved.</t>
  </si>
  <si>
    <t>A save is never half-written</t>
  </si>
  <si>
    <t>Kill the process during a write, relaunch, verify the workspace is wholly old or wholly new. Repeated across many timings.</t>
  </si>
  <si>
    <t>Pending edits are recovered</t>
  </si>
  <si>
    <t>Kill the process with edits pending, relaunch, verify the prompt appears and both answers behave.</t>
  </si>
  <si>
    <t>Re-import loses nothing</t>
  </si>
  <si>
    <t>Import a changed workbook over hand-entered data; verify every difference is shown and nothing changes without a decision.</t>
  </si>
  <si>
    <t>An old workspace still opens</t>
  </si>
  <si>
    <t>Open a workspace written by an earlier version; verify it loads and reports the upgrade.</t>
  </si>
  <si>
    <t>No network access</t>
  </si>
  <si>
    <t>Run packaged, offline, with socket activity observed for a full session.</t>
  </si>
  <si>
    <t>Automated on the build machine; repeated on the company PC</t>
  </si>
  <si>
    <t>It needs no installation</t>
  </si>
  <si>
    <t>Extract the zip, run the exe, use it, delete the folder - with no administrator rights at any point.</t>
  </si>
  <si>
    <t>Automated on the build machine; repeated by you at N5.7</t>
  </si>
  <si>
    <t>It leaves the machine unchanged</t>
  </si>
  <si>
    <t>Record every file and registry key touched during a full session; verify nothing outside the application folder is written and nothing survives deleting it.</t>
  </si>
  <si>
    <t>NR-DEP-06, NR-DEP-07</t>
  </si>
  <si>
    <t>Automated, at N5.4</t>
  </si>
  <si>
    <t>It survives being moved</t>
  </si>
  <si>
    <t>Copy the folder to another path and another PC; verify it runs and its settings and recent list still work.</t>
  </si>
  <si>
    <t>Automated, at N5.3</t>
  </si>
  <si>
    <t>An update cannot delete a plan</t>
  </si>
  <si>
    <t>Extract a newer zip over an existing folder; verify workspaces, backups and settings are untouched.</t>
  </si>
  <si>
    <t>Automated, at N5.5</t>
  </si>
  <si>
    <t>One shared copy serves several people</t>
  </si>
  <si>
    <t>Two users run one folder with different --data paths; verify their settings, recent lists and backups never meet.</t>
  </si>
  <si>
    <t>Automated, at N5.6b</t>
  </si>
  <si>
    <t>Only one session can write</t>
  </si>
  <si>
    <t>Two sessions attempt the first edit together, many times over; verify exactly one is granted it and the other is told who holds it. Then verify a save is refused if the claim was displaced beneath it.</t>
  </si>
  <si>
    <t>NR-STO-10, NR-STO-13</t>
  </si>
  <si>
    <t>Reading is never blocked</t>
  </si>
  <si>
    <t>With one session editing, verify another can open, filter, chart and export the same workspace.</t>
  </si>
  <si>
    <t>NR-STO-11, NR-STO-17</t>
  </si>
  <si>
    <t>A crash does not strand a plan</t>
  </si>
  <si>
    <t>Kill the holding session; verify the heartbeat stops within 30 seconds and is reported as silent, that the claim expires at 30 minutes and can then be taken over naming whose it was, and that the SAME user on the SAME machine can reclaim it at once.</t>
  </si>
  <si>
    <t>NR-STO-14, NR-STO-19, R-N13</t>
  </si>
  <si>
    <t>A blocked colleague can act</t>
  </si>
  <si>
    <t>Block a session and verify the message names the holder and their department, says whether they are still responding and when the plan frees, and copies name and department on request.</t>
  </si>
  <si>
    <t>NR-STO-12, NR-USR-05, NR-USR-06</t>
  </si>
  <si>
    <t>One vocabulary for departments</t>
  </si>
  <si>
    <t>Declare an identity against a workspace whose people carry departments; verify those departments are offered rather than typed, and that a name matching a person offers that person's department first.</t>
  </si>
  <si>
    <t>Identities do not collide</t>
  </si>
  <si>
    <t>Two users on one shared copy; verify each keeps their own name and contact details and neither sees the other's.</t>
  </si>
  <si>
    <t>Nobody reads superseded figures unknowingly</t>
  </si>
  <si>
    <t>Save from one session; verify the other notices, says so, and offers the reload rather than continuing to show the old numbers.</t>
  </si>
  <si>
    <t>The share itself behaves</t>
  </si>
  <si>
    <t>Repeat the claim, heartbeat and staleness tests against the real network share, not a local folder.</t>
  </si>
  <si>
    <t>R-N14</t>
  </si>
  <si>
    <t>ONLY provable on your share, at N5.6b</t>
  </si>
  <si>
    <t>It is allowed to run at all</t>
  </si>
  <si>
    <t>Launch it on a company-managed PC and see whether execution policy, SmartScreen or anti-virus stops it.</t>
  </si>
  <si>
    <t>R-N01, R-N09</t>
  </si>
  <si>
    <t>ONLY provable by you - see the risk sheet</t>
  </si>
  <si>
    <t>The figures are right</t>
  </si>
  <si>
    <t>Inherited: the engine is already proven against the Python reference on all 1,225 person-months of the large dataset and 433 of the 10x10 dataset.</t>
  </si>
  <si>
    <t>Inherited</t>
  </si>
  <si>
    <t>Already done, and re-run by the parity suite</t>
  </si>
  <si>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</si>
  <si>
    <t>Version control across two product lines</t>
  </si>
  <si>
    <t>Artifacts</t>
  </si>
  <si>
    <t>Artifact</t>
  </si>
  <si>
    <t>Naming</t>
  </si>
  <si>
    <t>Folder</t>
  </si>
  <si>
    <t>Where its version is recorded</t>
  </si>
  <si>
    <t>Desktop plan</t>
  </si>
  <si>
    <t>PRAP_NewApp_Development_Plan_v&lt;ver&gt;.xlsx</t>
  </si>
  <si>
    <t>docs/</t>
  </si>
  <si>
    <t>Sheet 01 of this document</t>
  </si>
  <si>
    <t>Desktop specification</t>
  </si>
  <si>
    <t>PRAP_NewApp_Specification_v&lt;ver&gt;.xlsx</t>
  </si>
  <si>
    <t>Its own version-history sheet</t>
  </si>
  <si>
    <t>Desktop component list</t>
  </si>
  <si>
    <t>PRAP_NewApp_Component_List_v&lt;ver&gt;.xlsx</t>
  </si>
  <si>
    <t>PRAP_Desktop_v&lt;ver&gt;.zip, extracting to a PRAP\ folder</t>
  </si>
  <si>
    <t>dist/</t>
  </si>
  <si>
    <t>version.txt in the folder, plus the About dialog and window title</t>
  </si>
  <si>
    <t>Workspace file</t>
  </si>
  <si>
    <t>&lt;user's own name&gt;.prap</t>
  </si>
  <si>
    <t>data\workspaces\ by default, or wherever the user chooses</t>
  </si>
  <si>
    <t>Header block inside the file</t>
  </si>
  <si>
    <t>User settings</t>
  </si>
  <si>
    <t>settings.json</t>
  </si>
  <si>
    <t>data\</t>
  </si>
  <si>
    <t>Written by the application; never carried in the zip</t>
  </si>
  <si>
    <t>Web plan and its documents</t>
  </si>
  <si>
    <t>PRAP_Development_Plan_v&lt;ver&gt;.xlsx and siblings</t>
  </si>
  <si>
    <t>Unchanged - their own sheets</t>
  </si>
  <si>
    <t>app/PRAP.html</t>
  </si>
  <si>
    <t>app/</t>
  </si>
  <si>
    <t>APP_VERSION constant, shown in the footer</t>
  </si>
  <si>
    <t>Shared source tree</t>
  </si>
  <si>
    <t>core/, ui/, storage/, shell/</t>
  </si>
  <si>
    <t>repository root</t>
  </si>
  <si>
    <t>Git history</t>
  </si>
  <si>
    <t>Shared data contract</t>
  </si>
  <si>
    <t>schema_version in the Config sheet; format_version in the JSON</t>
  </si>
  <si>
    <t>templates/</t>
  </si>
  <si>
    <t>Unchanged at 5 and 1</t>
  </si>
  <si>
    <t>Rules</t>
  </si>
  <si>
    <t>Consequence</t>
  </si>
  <si>
    <t>The two product lines version independently.</t>
  </si>
  <si>
    <t>Desktop v1.0 and web v1.0 are unrelated numbers. Nothing forces them to move together.</t>
  </si>
  <si>
    <t>The DATA contract versions once, for both.</t>
  </si>
  <si>
    <t>Schema version 5 and JSON format_version 1 are shared. A change to either is a change to both products and needs approval on both plans.</t>
  </si>
  <si>
    <t>An engine fix is released to both.</t>
  </si>
  <si>
    <t>Fix in core/, re-verify against both, re-issue the HTML file as a point version and the desktop package as a point version. The fix is recorded in both version histories.</t>
  </si>
  <si>
    <t>A desktop feature does not reach the web application.</t>
  </si>
  <si>
    <t>Decision N-06. The web application is feature-frozen; adding to it would reopen a closed gate.</t>
  </si>
  <si>
    <t>Neither plan supersedes the other.</t>
  </si>
  <si>
    <t>Both remain live documents. The web plan's status stays exactly what it is today.</t>
  </si>
  <si>
    <t>Risks and assumptions</t>
  </si>
  <si>
    <t>Risks</t>
  </si>
  <si>
    <t>Risk</t>
  </si>
  <si>
    <t>Likelihood</t>
  </si>
  <si>
    <t>Impact</t>
  </si>
  <si>
    <t>Mitigation</t>
  </si>
  <si>
    <t>R-N01</t>
  </si>
  <si>
    <t>Corporate policy blocks the application from running at all - typically application allow-listing, or a rule against executables outside Program Files.</t>
  </si>
  <si>
    <t>Medium</t>
  </si>
  <si>
    <t>HIGH</t>
  </si>
  <si>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</si>
  <si>
    <t>R-N02</t>
  </si>
  <si>
    <t>The refactor to share the engine breaks the finished web application.</t>
  </si>
  <si>
    <t>High</t>
  </si>
  <si>
    <t>Task N2.2 gates everything else on the 13 existing suites passing unmodified against the rebuilt HTML file. If they do not pass, the refactor is wrong and nothing proceeds. This is why N2.1 is the first task and carries no other change.</t>
  </si>
  <si>
    <t>R-N03</t>
  </si>
  <si>
    <t>A workspace file is corrupted and a plan is lost - data that used to be safe in Excel because the application never wrote to it.</t>
  </si>
  <si>
    <t>Low</t>
  </si>
  <si>
    <t>This risk is CREATED by the persistence requirement. Atomic writes (N-03), retained versions (NR-STO-06) and the fact that Excel export still exists as an independent archive. The user guide will say plainly: export to Excel for anything you cannot afford to lose.</t>
  </si>
  <si>
    <t>R-N04</t>
  </si>
  <si>
    <t>The two applications drift apart and disagree about the same data.</t>
  </si>
  <si>
    <t>Prevented structurally by N-05 - there is one engine - and detected by the parity suite at N4.6, which compares figures rather than trusting the structure.</t>
  </si>
  <si>
    <t>R-N05</t>
  </si>
  <si>
    <t>Chromium security advisories oblige periodic rebuilds of an application that is otherwise finished.</t>
  </si>
  <si>
    <t>Accepted, and inherent to the option chosen at N-01. The application is offline and opens no remote content (NR-SEC-02), so the realistic exposure is a crafted workspace file. Rebuild when a package update matters; the source does not change.</t>
  </si>
  <si>
    <t>R-N06</t>
  </si>
  <si>
    <t>The Windows build cannot be verified in the development environment, which is Linux.</t>
  </si>
  <si>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</si>
  <si>
    <t>R-N07</t>
  </si>
  <si>
    <t>Two products double the maintenance from here on.</t>
  </si>
  <si>
    <t>Reduced by the architecture - most maintenance lands in the shared core and serves both - and by N-06 freezing the web application's feature set. It is not eliminated. It is the price of the bilingual arrangement, and worth stating plainly.</t>
  </si>
  <si>
    <t>R-N08</t>
  </si>
  <si>
    <t>Users are unsure which of the two applications to use, or work in both and diverge.</t>
  </si>
  <si>
    <t>A one-page note in the user guide: the desktop application for planning work you keep, the web application for a quick look on a machine where nothing may be installed. A workspace exports to Excel, which imports into either, so no work is trapped.</t>
  </si>
  <si>
    <t>R-N09</t>
  </si>
  <si>
    <t>Windows SmartScreen warns about the executable, or anti-virus quarantines it, because it is unsigned and unknown.</t>
  </si>
  <si>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</si>
  <si>
    <t>R-N10</t>
  </si>
  <si>
    <t>The application fails in a deeply nested folder because Windows path limits are exceeded.</t>
  </si>
  <si>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</si>
  <si>
    <t>R-N11</t>
  </si>
  <si>
    <t>The application folder is put on a read-only or shared network folder, so it cannot keep its data beside itself.</t>
  </si>
  <si>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</si>
  <si>
    <t>R-N12</t>
  </si>
  <si>
    <t>Launched from a network folder, the application starts slowly, or Windows treats an executable on a UNC path as untrusted.</t>
  </si>
  <si>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</si>
  <si>
    <t>R-N13</t>
  </si>
  <si>
    <t>A crash leaves a workspace claimed, and nobody can edit it.</t>
  </si>
  <si>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</si>
  <si>
    <t>A network share's caching defeats the claim or the staleness check, so two sessions both believe they hold the plan.</t>
  </si>
  <si>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</si>
  <si>
    <t>R-N16</t>
  </si>
  <si>
    <t>A declared name is mistaken for a verified one, and somebody relies on the tool to say who did what.</t>
  </si>
  <si>
    <t>The honest cost of an identity nobody checks. Anyone can type any name, so the tool answers 'who is editing this' and nothing more. Stated in the plan (NR-USR-08) and on the screen where the name is entered, so the limit is visible at the point it could mislead. If a record of who changed what is ever needed, it is a different feature resting on a real identity - Q-N09 is where that would be raised.</t>
  </si>
  <si>
    <t>R-N17</t>
  </si>
  <si>
    <t>A plan is stranded for up to 30 minutes after a crash, and somebody needs it now.</t>
  </si>
  <si>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</si>
  <si>
    <t>R-N15</t>
  </si>
  <si>
    <t>A blocked user takes a Save As copy, works in it, and the plan quietly forks in two.</t>
  </si>
  <si>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</si>
  <si>
    <t>Assumptions</t>
  </si>
  <si>
    <t>Assumption</t>
  </si>
  <si>
    <t>A-N01</t>
  </si>
  <si>
    <t>Data volume stays as assumed by the web plan - up to about 100 projects and 1,000 people.</t>
  </si>
  <si>
    <t>Inherited, standing</t>
  </si>
  <si>
    <t>A-N02</t>
  </si>
  <si>
    <t>Windows 10 or 11, 64-bit, is the only target. macOS and Linux are out of scope.</t>
  </si>
  <si>
    <t>CONFIRMED at review round 1</t>
  </si>
  <si>
    <t>A-N08</t>
  </si>
  <si>
    <t>The application is never installed: it is copied as a folder and run in place, and the machine is unchanged by its presence.</t>
  </si>
  <si>
    <t>A-N09</t>
  </si>
  <si>
    <t>The user can extract a zip and run an executable from their own folder - i.e. no application allow-listing stands in the way.</t>
  </si>
  <si>
    <t>To confirm - Q-N02. The one assumption that could invalidate the whole approach</t>
  </si>
  <si>
    <t>A-N10</t>
  </si>
  <si>
    <t>If a shared network folder is used, it is reachable whenever the application is needed. A plan kept only on an unreachable share cannot be opened.</t>
  </si>
  <si>
    <t>Standing - the user guide will recommend keeping working copies locally</t>
  </si>
  <si>
    <t>A-N03</t>
  </si>
  <si>
    <t>One person works on a given workspace at a time - but the application no longer RELIES on it, because a shared folder makes it unsafe to assume.</t>
  </si>
  <si>
    <t>WITHDRAWN as an assumption at round 2; enforced by NR-STO-10 instead</t>
  </si>
  <si>
    <t>A-N04</t>
  </si>
  <si>
    <t>Package size is unconstrained.</t>
  </si>
  <si>
    <t>CONFIRMED by your instruction, 2026-08-13</t>
  </si>
  <si>
    <t>A-N05</t>
  </si>
  <si>
    <t>Both applications remain in service indefinitely; neither is a migration path away from the other.</t>
  </si>
  <si>
    <t>A-N06</t>
  </si>
  <si>
    <t>The source Excel workbook continues to be maintained by hand, by someone other than the tool.</t>
  </si>
  <si>
    <t>Inherited A-04, standing</t>
  </si>
  <si>
    <t>A-N07</t>
  </si>
  <si>
    <t>The user can copy a package into their own profile or a network share and run it from there.</t>
  </si>
  <si>
    <t>To confirm - Q-N02</t>
  </si>
  <si>
    <t>Questions for review round 1</t>
  </si>
  <si>
    <t>Please answer in the Answer column. Q-N02 is the one worth asking someone else before you answer.</t>
  </si>
  <si>
    <t>Question</t>
  </si>
  <si>
    <t>Why it matters</t>
  </si>
  <si>
    <t>Answer</t>
  </si>
  <si>
    <t>Q-N01</t>
  </si>
  <si>
    <t>Which operating systems must this run on?</t>
  </si>
  <si>
    <t>ANSWERED 2026-08-13: Windows only. Closed - A-N02, NR-DEP-01. macOS and Linux are out of scope.</t>
  </si>
  <si>
    <t>Windows. CLOSED</t>
  </si>
  <si>
    <t>Q-N02</t>
  </si>
  <si>
    <t>Can you extract a zip into your own folder and run the .exe inside it? Specifically: is there application allow-listing, and will anti-virus or SmartScreen let an unsigned executable run after a one-time warning? Worth asking IT rather than assuming.</t>
  </si>
  <si>
    <t>STILL THE HIGHEST-VALUE QUESTION, and narrowed by your instruction. Non-installed removes the administrator-rights half of the problem completely - nothing is written to Program Files or the registry. What remains is whether the machine will EXECUTE it. See R-N01 and R-N09.</t>
  </si>
  <si>
    <t>Q-N03</t>
  </si>
  <si>
    <t>An IT purchase with a lead time, not a development task. Better known now than at Gate N5.</t>
  </si>
  <si>
    <t>Q-N04</t>
  </si>
  <si>
    <t>Where should workspaces live by default - your user profile, or a shared network drive?</t>
  </si>
  <si>
    <t>A network drive raises file-locking and latency questions that are cheap to design for now and expensive later.</t>
  </si>
  <si>
    <t>Q-N05</t>
  </si>
  <si>
    <t>When you re-import a source workbook over a workspace that already holds your hand-entered data, what should happen? The proposal is to show the differences and let you decide per sheet.</t>
  </si>
  <si>
    <t>The one design choice that can silently lose work. See sheet 05.</t>
  </si>
  <si>
    <t>Q-N06</t>
  </si>
  <si>
    <t>Will more than one person ever have the same workspace open at once?</t>
  </si>
  <si>
    <t>SUPERSEDED at round 2. Once a shared folder is on the table the safe answer is 'assume yes', and the cost of doing so is one small marker file. Handled by NR-STO-10 and decision N-18 whichever way it turns out. No answer needed.</t>
  </si>
  <si>
    <t>Superseded - no longer needs an answer</t>
  </si>
  <si>
    <t>Q-N07</t>
  </si>
  <si>
    <t>How many previous versions of a workspace should be retained, and for how long?</t>
  </si>
  <si>
    <t>Default proposed: the last 10. Retention costs only disk space.</t>
  </si>
  <si>
    <t>Q-N08</t>
  </si>
  <si>
    <t>How will updates reach you - a file you copy, a shared folder, or a software-distribution system?</t>
  </si>
  <si>
    <t>Decides whether the package needs to be distribution-system friendly, which affects how it is built.</t>
  </si>
  <si>
    <t>Q-N09</t>
  </si>
  <si>
    <t>Governance</t>
  </si>
  <si>
    <t>Does this tool fall under any internal validation or record-keeping obligation, given that it will now HOLD data rather than only display it?</t>
  </si>
  <si>
    <t>Holding data can change how a tool is treated in a regulated company. Cheaper to know at Step 1 than at release.</t>
  </si>
  <si>
    <t>Q-N10</t>
  </si>
  <si>
    <t>Scope</t>
  </si>
  <si>
    <t>Should the desktop application be able to open the same source workbook read-only, as the web application does, for a quick look without creating a workspace?</t>
  </si>
  <si>
    <t>A small feature, but it decides whether the workspace is mandatory or optional.</t>
  </si>
  <si>
    <t>Q-N11</t>
  </si>
  <si>
    <t>What should the application be called on screen? 'PRAP' or something else?</t>
  </si>
  <si>
    <t>Cosmetic, but it appears in the folder name, the executable name and the window title. No longer affects a Start-menu entry or a file association, since the non-installed rule removes both.</t>
  </si>
  <si>
    <t>Where will you keep the application folder?</t>
  </si>
  <si>
    <t>ANSWERED 2026-08-13: a shared network folder could be considered. Planned for as though it will be - NR-DEP-09..13, NR-STO-10, decisions N-16..N-18, risks R-N11..R-N13. Sheet 05 sets out how data and locking work in that arrangement.</t>
  </si>
  <si>
    <t>Q-N13</t>
  </si>
  <si>
    <t>Is it acceptable that double-clicking a .prap file in Explorer will NOT open the application?</t>
  </si>
  <si>
    <t>ANSWERED 2026-08-13: not needed, drag-and-drop is fine. Closed. NR-IMP-04 stands as reduced, decision N-15 is unchallenged, and no registry entry will be written for any reason.</t>
  </si>
  <si>
    <t>Not needed. CLOSED</t>
  </si>
  <si>
    <t>Q-N14</t>
  </si>
  <si>
    <t>If the folder goes on a share, is that share where people RUN it from, or where they copy it from once and then run it locally?</t>
  </si>
  <si>
    <t>Decides how hard the launch-time problem is. Running from the share means pulling the whole application across the network at every launch (R-N12); copying it once means the share is simply distribution, and everything is fast. The plan supports both; the user guide should recommend the one you actually intend.</t>
  </si>
  <si>
    <t>Q-N15</t>
  </si>
  <si>
    <t>Would that share be writable by the people using it, or read-only?</t>
  </si>
  <si>
    <t>If writable, each user's data can sit in a per-user folder on the share and nothing else is needed. If read-only, every user needs their own data folder elsewhere and the shortcut in NR-DEP-12 becomes the normal way to launch, not an extra.</t>
  </si>
  <si>
    <t>Sharing</t>
  </si>
  <si>
    <t>How long should a silent session hold a plan before others may take it over?</t>
  </si>
  <si>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</si>
  <si>
    <t>30 minutes. CLOSED</t>
  </si>
  <si>
    <t>Should the application be able to say who is editing, and let a blocked colleague contact them?</t>
  </si>
  <si>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</si>
  <si>
    <t>Yes, with contact details. CLOSED</t>
  </si>
  <si>
    <t>Which details should the application record beside the name?</t>
  </si>
  <si>
    <t>ANSWERED 2026-08-13: the user's department. E-mail and telephone dropped rather than kept as optional. Applied at NR-USR-04, NR-USR-06, NR-USR-07 and decision N-28; NR-USR-10 and NR-USR-11 added so the department comes from the same vocabulary as Person.department rather than being typed afresh.</t>
  </si>
  <si>
    <t>Department. CLOSED</t>
  </si>
  <si>
    <t>Nothing here blocks drafting the specification except Q-N02, Q-N05 and Q-N06 - those three change the design rather than fill it in. The rest can be answered while Step 2 proceeds.</t>
  </si>
  <si>
    <t>Review log and approval</t>
  </si>
  <si>
    <t>This document's own log. The web application's review log is unaffected and stays where it is.</t>
  </si>
  <si>
    <t>No.</t>
  </si>
  <si>
    <t>Input</t>
  </si>
  <si>
    <t>Response</t>
  </si>
  <si>
    <t>Action taken in v0.1</t>
  </si>
  <si>
    <t>Instruction 2026-08-13</t>
  </si>
  <si>
    <t>Change the program from a web application to a separate program type, like other open-source applications.</t>
  </si>
  <si>
    <t>Accepted as the purpose of this plan.</t>
  </si>
  <si>
    <t>Sheet 02 scope; NR-APP-01..07; decision N-01 selects the shell technology; sheet 04 records why the engine is not rewritten.</t>
  </si>
  <si>
    <t>Closed</t>
  </si>
  <si>
    <t>Change the data flow to keep imported data even after the application closes.</t>
  </si>
  <si>
    <t>Accepted.</t>
  </si>
  <si>
    <t>NR-STO-01..09; sheet 05 sets out the workspace model, the write protocol and the recovery behaviour; decisions N-02, N-03, N-08; risk R-N03 records the new risk this creates.</t>
  </si>
  <si>
    <t>Use both ways - the web application goes final and stays usable; keep the HTML and its documents.</t>
  </si>
  <si>
    <t>Accepted, and it shapes the architecture.</t>
  </si>
  <si>
    <t>Sheet 02 states what is kept and untouched. Decisions N-05, N-06 and N-10 make the arrangement maintainable: one engine, the web application feature-frozen, parity tested rather than assumed. Risk R-N07 records the cost.</t>
  </si>
  <si>
    <t>Develop the new application under a separate plan with a different name.</t>
  </si>
  <si>
    <t>This document, PRAP-NAPP-PLAN-001, in its own version line from v0.1 with its own gates N1..N5. The web application plan is not amended.</t>
  </si>
  <si>
    <t>Distribution size would be allowed.</t>
  </si>
  <si>
    <t>Accepted - and it decides an open question.</t>
  </si>
  <si>
    <t>Recorded as assumption A-N04. It removes the only strong argument against Electron, so decision N-01 selects it on the grounds of verifiability instead. Sheet 04 keeps Tauri as a documented later option.</t>
  </si>
  <si>
    <t>6</t>
  </si>
  <si>
    <t>Not requester input - raised while drafting.</t>
  </si>
  <si>
    <t>Two claims in this plan cannot be verified from the development environment.</t>
  </si>
  <si>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</si>
  <si>
    <t>7</t>
  </si>
  <si>
    <t>Instruction 2026-08-13 (round 1)</t>
  </si>
  <si>
    <t>The new application should work well under Windows OS.</t>
  </si>
  <si>
    <t>Accepted - Q-N01 closed.</t>
  </si>
  <si>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</si>
  <si>
    <t>8</t>
  </si>
  <si>
    <t>It should be a non-installed application.</t>
  </si>
  <si>
    <t>Accepted, and it reaches further than one requirement.</t>
  </si>
  <si>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</si>
  <si>
    <t>9</t>
  </si>
  <si>
    <t>Not requester input - found while applying item 8.</t>
  </si>
  <si>
    <t>Two consequences worth your explicit agreement.</t>
  </si>
  <si>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</si>
  <si>
    <t>Open</t>
  </si>
  <si>
    <t>10</t>
  </si>
  <si>
    <t>Non-installed makes one thing HARDER, not easier.</t>
  </si>
  <si>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</si>
  <si>
    <t>11</t>
  </si>
  <si>
    <t>Q-N13 answer (round 2)</t>
  </si>
  <si>
    <t>File association not needed; drag-and-drop is fine.</t>
  </si>
  <si>
    <t>Accepted - closes the question with no change.</t>
  </si>
  <si>
    <t>NR-IMP-04 stands as reduced at v0.2, and decision N-15 is now unchallenged: no registry entry will be written for any purpose. The 'optional associate files action' floated at v0.2 is dropped rather than left hanging.</t>
  </si>
  <si>
    <t>12</t>
  </si>
  <si>
    <t>Q-N12 answer (round 2)</t>
  </si>
  <si>
    <t>A shared network folder could be considered.</t>
  </si>
  <si>
    <t>Accepted, and planned for as though it will happen.</t>
  </si>
  <si>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</si>
  <si>
    <t>13</t>
  </si>
  <si>
    <t>Not requester input - found while applying item 12.</t>
  </si>
  <si>
    <t>A shared folder breaks the v0.2 layout in two places, and one of them silently destroys work.</t>
  </si>
  <si>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</si>
  <si>
    <t>14</t>
  </si>
  <si>
    <t>Where does a portable application remember its data location, if it cannot write beside itself?</t>
  </si>
  <si>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</si>
  <si>
    <t>15</t>
  </si>
  <si>
    <t>Not requester input - a consequence of item 12.</t>
  </si>
  <si>
    <t>The question no longer needs answering.</t>
  </si>
  <si>
    <t>Q-N06 asked whether two people would ever open one workspace at once. With concurrent use designed for unconditionally (N-18), the answer changes nothing. Marked superseded rather than left open.</t>
  </si>
  <si>
    <t>16</t>
  </si>
  <si>
    <t>Instruction 2026-08-13 (round 3)</t>
  </si>
  <si>
    <t>Block other sessions from updating while someone starts editing.</t>
  </si>
  <si>
    <t>Accepted, and it settles the sharing model: single writer, many readers.</t>
  </si>
  <si>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</si>
  <si>
    <t>17</t>
  </si>
  <si>
    <t>Not requester input - noticed while applying item 16.</t>
  </si>
  <si>
    <t>The instruction fits the application's existing edit model exactly.</t>
  </si>
  <si>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</si>
  <si>
    <t>18</t>
  </si>
  <si>
    <t>Not requester input - a gap in v0.3 that item 16 makes plain.</t>
  </si>
  <si>
    <t>Blocking writers is not enough on its own: a READER can be misled just as badly.</t>
  </si>
  <si>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</si>
  <si>
    <t>19</t>
  </si>
  <si>
    <t>Not requester input - raised while applying item 16.</t>
  </si>
  <si>
    <t>One failure mode belongs to the network, not to the application.</t>
  </si>
  <si>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</si>
  <si>
    <t>20</t>
  </si>
  <si>
    <t>Q-N16 answer (round 4)</t>
  </si>
  <si>
    <t>A silent session may hold a plan for 30 minutes.</t>
  </si>
  <si>
    <t>Accepted - twenty times the 90 seconds proposed, and coherent with the Q-N17 answer.</t>
  </si>
  <si>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</si>
  <si>
    <t>21</t>
  </si>
  <si>
    <t>Q-N17 answer (round 4)</t>
  </si>
  <si>
    <t>Ask for the user's name at log-in; show who is editing in the pop-up; let others contact that person from what the pop-up shows.</t>
  </si>
  <si>
    <t>Accepted, and it is what makes item 20 work.</t>
  </si>
  <si>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</si>
  <si>
    <t>22</t>
  </si>
  <si>
    <t>Not requester input - noticed while applying items 20 and 21.</t>
  </si>
  <si>
    <t>The two answers are stronger together than separately.</t>
  </si>
  <si>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</si>
  <si>
    <t>23</t>
  </si>
  <si>
    <t>Not requester input - found while applying item 20.</t>
  </si>
  <si>
    <t>Thirty minutes has one genuinely infuriating case.</t>
  </si>
  <si>
    <t>Your own application crashes, you restart it, and you cannot edit your own plan for half an hour. NR-STO-19 and decision N-24 let a user reclaim a stalled claim held by their own name on their own machine at once. Everybody else waits.</t>
  </si>
  <si>
    <t>24</t>
  </si>
  <si>
    <t>Not requester input - raised while applying item 21.</t>
  </si>
  <si>
    <t>What a typed name is, and is not.</t>
  </si>
  <si>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</si>
  <si>
    <t>25</t>
  </si>
  <si>
    <t>Q-N18 answer (round 5)</t>
  </si>
  <si>
    <t>Record the user's department beside their name.</t>
  </si>
  <si>
    <t>Accepted, and e-mail and telephone are dropped rather than kept as optional.</t>
  </si>
  <si>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</si>
  <si>
    <t>26</t>
  </si>
  <si>
    <t>Not requester input - noticed while applying item 25.</t>
  </si>
  <si>
    <t>The answer fits a column the data model already has.</t>
  </si>
  <si>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</si>
  <si>
    <t>Approval - Gate N1</t>
  </si>
  <si>
    <t>Document</t>
  </si>
  <si>
    <t>Approver</t>
  </si>
  <si>
    <t>PRAP NewApp Development Plan v0.6</t>
  </si>
  <si>
    <t>Awaiting review. To approve: answer Q-N01..Q-N11 on sheet 11, confirm or change decisions N-01..N-12 on sheet 06, and mark any requirement on sheet 03 you disagree with.</t>
  </si>
  <si>
    <t>STEP N1 IS OPEN. Nothing is built until this plan is approved - including the refactor, which touches the finished web application and therefore waits for the same gate as everything else.</t>
  </si>
  <si>
    <t>Yes, a zip to be saved in my own folder and to be executed. The risk, hindering or deleting the application, would be difficult to conifm with IT at this moment. Assume no issue on the approach.</t>
    <phoneticPr fontId="10" type="noConversion"/>
  </si>
  <si>
    <t>If signing IS required, is a company code-signing certificate obtainable, and by whom?</t>
    <phoneticPr fontId="10" type="noConversion"/>
  </si>
  <si>
    <t>Elaborate the question more easier. What IT purchase is needed? What is the company code-signing certificate?</t>
    <phoneticPr fontId="10" type="noConversion"/>
  </si>
  <si>
    <t>Even in a shared network, there's certain way to decrypt a file to be imported into the system.</t>
    <phoneticPr fontId="10" type="noConversion"/>
  </si>
  <si>
    <t>When importing source workbook, provide option to choose whether a user want to update the existing data in the application. As well as the difference report should be given for the user to determine overriding the data the application has by imported data.</t>
    <phoneticPr fontId="10" type="noConversion"/>
  </si>
  <si>
    <t xml:space="preserve">Only 1 previous versions before current.
</t>
    <phoneticPr fontId="10" type="noConversion"/>
  </si>
  <si>
    <t>Both ways (copied file, shared folder)</t>
    <phoneticPr fontId="10" type="noConversion"/>
  </si>
  <si>
    <t>No internal validation and record-keeping obligation.</t>
    <phoneticPr fontId="10" type="noConversion"/>
  </si>
  <si>
    <t>Yes, agree.</t>
    <phoneticPr fontId="10" type="noConversion"/>
  </si>
  <si>
    <t>"Project Management APP" or "PM_APP"</t>
    <phoneticPr fontId="10" type="noConversion"/>
  </si>
  <si>
    <t xml:space="preserve">Shared network folder possible. CLOSED, with Q-N14 and Q-N15 following from it.
</t>
    <phoneticPr fontId="10" type="noConversion"/>
  </si>
  <si>
    <t>Both ways are possible.</t>
    <phoneticPr fontId="10" type="noConversion"/>
  </si>
  <si>
    <t>Writable.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</si>
</sst>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sz val="10"/>
      <name val="Consolas"/>
    </font>
    <font>
      <i/>
      <sz val="9"/>
      <color rgb="FF808080"/>
      <name val="Arial"/>
    </font>
    <font>
      <b/>
      <sz val="16"/>
      <color rgb="FF1F3864"/>
      <name val="Arial"/>
    </font>
    <font>
      <b/>
      <sz val="10"/>
      <color rgb="FFFFFFFF"/>
      <name val="Arial"/>
    </font>
    <font>
      <sz val="8"/>
      <name val="맑은 고딕"/>
      <family val="3"/>
      <charset val="129"/>
      <scheme val="minor"/>
    </font>
    <font>
      <sz val="10"/>
      <name val="Arial"/>
      <family val="2"/>
    </font>
  </fonts>
  <fills count="7">
    <fill>
      <patternFill patternType="none"/>
    </fill>
    <fill>
      <patternFill patternType="gray125"/>
    </fill>
    <fill>
      <patternFill patternType="solid">
        <fgColor rgb="FF2F5597"/>
      </patternFill>
    </fill>
    <fill>
      <patternFill patternType="solid">
        <fgColor rgb="FFC6E0B4"/>
      </patternFill>
    </fill>
    <fill>
      <patternFill patternType="solid">
        <fgColor rgb="FFF2F5FB"/>
      </patternFill>
    </fill>
    <fill>
      <patternFill patternType="solid">
        <fgColor rgb="FFFCE4D6"/>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2" borderId="1" xfId="0" applyFont="1" applyFill="1" applyBorder="1" applyAlignment="1">
      <alignment horizontal="center"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0" xfId="0" applyFont="1" applyFill="1"/>
    <xf numFmtId="0" fontId="4" fillId="5" borderId="0" xfId="0" applyFont="1" applyFill="1"/>
    <xf numFmtId="0" fontId="4" fillId="6" borderId="0" xfId="0" applyFont="1" applyFill="1"/>
    <xf numFmtId="0" fontId="4" fillId="5" borderId="1" xfId="0" applyFont="1" applyFill="1" applyBorder="1" applyAlignment="1">
      <alignment vertical="top"/>
    </xf>
    <xf numFmtId="0" fontId="4" fillId="5"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top" wrapText="1"/>
    </xf>
    <xf numFmtId="0" fontId="11" fillId="6" borderId="1" xfId="0" applyFont="1" applyFill="1" applyBorder="1" applyAlignment="1">
      <alignment vertical="top" wrapText="1"/>
    </xf>
    <xf numFmtId="0" fontId="11" fillId="0" borderId="1" xfId="0" applyFont="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showGridLines="0" topLeftCell="A5" workbookViewId="0"/>
  </sheetViews>
  <sheetFormatPr defaultRowHeight="16.899999999999999" x14ac:dyDescent="0.6"/>
  <cols>
    <col min="1" max="1" width="36" customWidth="1"/>
    <col min="2" max="2" width="110" customWidth="1"/>
  </cols>
  <sheetData>
    <row r="1" spans="1:2" ht="25.15" x14ac:dyDescent="0.7">
      <c r="A1" s="1" t="s">
        <v>0</v>
      </c>
    </row>
    <row r="2" spans="1:2" ht="18.399999999999999" x14ac:dyDescent="0.6">
      <c r="A2" s="2" t="s">
        <v>1</v>
      </c>
    </row>
    <row r="4" spans="1:2" ht="30" customHeight="1" x14ac:dyDescent="0.6">
      <c r="A4" s="3" t="s">
        <v>2</v>
      </c>
      <c r="B4" s="4" t="s">
        <v>3</v>
      </c>
    </row>
    <row r="5" spans="1:2" ht="30" customHeight="1" x14ac:dyDescent="0.6">
      <c r="A5" s="3" t="s">
        <v>4</v>
      </c>
      <c r="B5" s="4" t="s">
        <v>5</v>
      </c>
    </row>
    <row r="6" spans="1:2" ht="30" customHeight="1" x14ac:dyDescent="0.6">
      <c r="A6" s="3" t="s">
        <v>6</v>
      </c>
      <c r="B6" s="4" t="s">
        <v>7</v>
      </c>
    </row>
    <row r="7" spans="1:2" ht="30" customHeight="1" x14ac:dyDescent="0.6">
      <c r="A7" s="3" t="s">
        <v>8</v>
      </c>
      <c r="B7" s="4" t="s">
        <v>9</v>
      </c>
    </row>
    <row r="8" spans="1:2" ht="30" customHeight="1" x14ac:dyDescent="0.6">
      <c r="A8" s="3" t="s">
        <v>10</v>
      </c>
      <c r="B8" s="4" t="s">
        <v>11</v>
      </c>
    </row>
    <row r="9" spans="1:2" ht="30" customHeight="1" x14ac:dyDescent="0.6">
      <c r="A9" s="3" t="s">
        <v>12</v>
      </c>
      <c r="B9" s="4" t="s">
        <v>13</v>
      </c>
    </row>
    <row r="10" spans="1:2" ht="30" customHeight="1" x14ac:dyDescent="0.6">
      <c r="A10" s="3" t="s">
        <v>14</v>
      </c>
      <c r="B10" s="4" t="s">
        <v>15</v>
      </c>
    </row>
    <row r="11" spans="1:2" ht="30" customHeight="1" x14ac:dyDescent="0.6">
      <c r="A11" s="3" t="s">
        <v>16</v>
      </c>
      <c r="B11" s="4" t="s">
        <v>17</v>
      </c>
    </row>
    <row r="12" spans="1:2" ht="30" customHeight="1" x14ac:dyDescent="0.6">
      <c r="A12" s="3" t="s">
        <v>18</v>
      </c>
      <c r="B12" s="4" t="s">
        <v>19</v>
      </c>
    </row>
    <row r="13" spans="1:2" ht="30" customHeight="1" x14ac:dyDescent="0.6">
      <c r="A13" s="3" t="s">
        <v>20</v>
      </c>
      <c r="B13" s="4" t="s">
        <v>21</v>
      </c>
    </row>
    <row r="14" spans="1:2" ht="30" customHeight="1" x14ac:dyDescent="0.6">
      <c r="A14" s="3" t="s">
        <v>22</v>
      </c>
      <c r="B14" s="4" t="s">
        <v>23</v>
      </c>
    </row>
    <row r="15" spans="1:2" ht="30" customHeight="1" x14ac:dyDescent="0.6">
      <c r="A15" s="3" t="s">
        <v>24</v>
      </c>
      <c r="B15" s="4" t="s">
        <v>25</v>
      </c>
    </row>
    <row r="16" spans="1:2" ht="30" customHeight="1" x14ac:dyDescent="0.6">
      <c r="A16" s="3" t="s">
        <v>26</v>
      </c>
      <c r="B16" s="4" t="s">
        <v>27</v>
      </c>
    </row>
    <row r="17" spans="1:2" ht="30" customHeight="1" x14ac:dyDescent="0.6">
      <c r="A17" s="3" t="s">
        <v>28</v>
      </c>
      <c r="B17" s="4" t="s">
        <v>29</v>
      </c>
    </row>
    <row r="18" spans="1:2" ht="30" customHeight="1" x14ac:dyDescent="0.6">
      <c r="A18" s="3" t="s">
        <v>30</v>
      </c>
      <c r="B18" s="4" t="s">
        <v>31</v>
      </c>
    </row>
    <row r="19" spans="1:2" ht="30" customHeight="1" x14ac:dyDescent="0.6">
      <c r="A19" s="3" t="s">
        <v>32</v>
      </c>
      <c r="B19" s="4" t="s">
        <v>33</v>
      </c>
    </row>
    <row r="21" spans="1:2" x14ac:dyDescent="0.6">
      <c r="A21" s="5" t="s">
        <v>34</v>
      </c>
    </row>
    <row r="22" spans="1:2" x14ac:dyDescent="0.6">
      <c r="A22" s="6" t="s">
        <v>35</v>
      </c>
    </row>
    <row r="23" spans="1:2" x14ac:dyDescent="0.6">
      <c r="A23" s="6" t="s">
        <v>36</v>
      </c>
    </row>
    <row r="24" spans="1:2" x14ac:dyDescent="0.6">
      <c r="A24" s="6" t="s">
        <v>37</v>
      </c>
    </row>
    <row r="25" spans="1:2" x14ac:dyDescent="0.6">
      <c r="A25" s="6"/>
    </row>
    <row r="26" spans="1:2" x14ac:dyDescent="0.6">
      <c r="A26" s="7" t="s">
        <v>38</v>
      </c>
    </row>
    <row r="27" spans="1:2" x14ac:dyDescent="0.6">
      <c r="A27" s="7" t="s">
        <v>39</v>
      </c>
    </row>
    <row r="28" spans="1:2" x14ac:dyDescent="0.6">
      <c r="A28" s="6"/>
    </row>
    <row r="29" spans="1:2" x14ac:dyDescent="0.6">
      <c r="A29" s="6" t="s">
        <v>40</v>
      </c>
    </row>
    <row r="30" spans="1:2" x14ac:dyDescent="0.6">
      <c r="A30" s="6" t="s">
        <v>41</v>
      </c>
    </row>
    <row r="31" spans="1:2" x14ac:dyDescent="0.6">
      <c r="A31" s="6" t="s">
        <v>42</v>
      </c>
    </row>
    <row r="33" spans="1:1" x14ac:dyDescent="0.6">
      <c r="A33" s="8" t="s">
        <v>43</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showGridLines="0" topLeftCell="C1" workbookViewId="0">
      <pane ySplit="4" topLeftCell="A5" activePane="bottomLeft" state="frozen"/>
      <selection pane="bottomLeft" activeCell="B6" sqref="B6:E6"/>
    </sheetView>
  </sheetViews>
  <sheetFormatPr defaultRowHeight="16.899999999999999" x14ac:dyDescent="0.6"/>
  <cols>
    <col min="1" max="1" width="12" customWidth="1"/>
    <col min="2" max="2" width="110" customWidth="1"/>
    <col min="3" max="3" width="15" customWidth="1"/>
    <col min="4" max="4" width="13" customWidth="1"/>
    <col min="5" max="5" width="108" customWidth="1"/>
  </cols>
  <sheetData>
    <row r="1" spans="1:5" ht="20.65" x14ac:dyDescent="0.6">
      <c r="A1" s="9" t="s">
        <v>44</v>
      </c>
    </row>
    <row r="2" spans="1:5" x14ac:dyDescent="0.6">
      <c r="A2" s="8" t="s">
        <v>45</v>
      </c>
    </row>
    <row r="4" spans="1:5" ht="28.05" customHeight="1" x14ac:dyDescent="0.6">
      <c r="A4" s="10" t="s">
        <v>6</v>
      </c>
      <c r="B4" s="10" t="s">
        <v>46</v>
      </c>
      <c r="C4" s="10" t="s">
        <v>12</v>
      </c>
      <c r="D4" s="10" t="s">
        <v>14</v>
      </c>
      <c r="E4" s="10" t="s">
        <v>47</v>
      </c>
    </row>
    <row r="5" spans="1:5" ht="76.5" x14ac:dyDescent="0.6">
      <c r="A5" s="11" t="s">
        <v>48</v>
      </c>
      <c r="B5" s="11" t="s">
        <v>11</v>
      </c>
      <c r="C5" s="11" t="s">
        <v>13</v>
      </c>
      <c r="D5" s="11" t="s">
        <v>49</v>
      </c>
      <c r="E5" s="12" t="s">
        <v>50</v>
      </c>
    </row>
    <row r="6" spans="1:5" ht="89.25" x14ac:dyDescent="0.6">
      <c r="A6" s="13" t="s">
        <v>51</v>
      </c>
      <c r="B6" s="13" t="s">
        <v>11</v>
      </c>
      <c r="C6" s="13" t="s">
        <v>13</v>
      </c>
      <c r="D6" s="13" t="s">
        <v>52</v>
      </c>
      <c r="E6" s="14" t="s">
        <v>53</v>
      </c>
    </row>
    <row r="7" spans="1:5" ht="89.25" x14ac:dyDescent="0.6">
      <c r="A7" s="15" t="s">
        <v>54</v>
      </c>
      <c r="B7" s="15" t="s">
        <v>11</v>
      </c>
      <c r="C7" s="15" t="s">
        <v>13</v>
      </c>
      <c r="D7" s="15" t="s">
        <v>52</v>
      </c>
      <c r="E7" s="16" t="s">
        <v>55</v>
      </c>
    </row>
    <row r="8" spans="1:5" ht="89.25" x14ac:dyDescent="0.6">
      <c r="A8" s="13" t="s">
        <v>56</v>
      </c>
      <c r="B8" s="13" t="s">
        <v>11</v>
      </c>
      <c r="C8" s="13" t="s">
        <v>13</v>
      </c>
      <c r="D8" s="13" t="s">
        <v>52</v>
      </c>
      <c r="E8" s="14" t="s">
        <v>57</v>
      </c>
    </row>
    <row r="9" spans="1:5" ht="102" x14ac:dyDescent="0.6">
      <c r="A9" s="15" t="s">
        <v>58</v>
      </c>
      <c r="B9" s="15" t="s">
        <v>11</v>
      </c>
      <c r="C9" s="15" t="s">
        <v>13</v>
      </c>
      <c r="D9" s="15" t="s">
        <v>52</v>
      </c>
      <c r="E9" s="16" t="s">
        <v>59</v>
      </c>
    </row>
    <row r="10" spans="1:5" ht="51" x14ac:dyDescent="0.6">
      <c r="A10" s="13" t="s">
        <v>60</v>
      </c>
      <c r="B10" s="13" t="s">
        <v>11</v>
      </c>
      <c r="C10" s="13" t="s">
        <v>13</v>
      </c>
      <c r="D10" s="13" t="s">
        <v>52</v>
      </c>
      <c r="E10" s="14" t="s">
        <v>61</v>
      </c>
    </row>
    <row r="12" spans="1:5" x14ac:dyDescent="0.6">
      <c r="A12" s="5" t="s">
        <v>62</v>
      </c>
    </row>
    <row r="13" spans="1:5" ht="28.05" customHeight="1" x14ac:dyDescent="0.6">
      <c r="A13" s="10" t="s">
        <v>6</v>
      </c>
      <c r="B13" s="10" t="s">
        <v>63</v>
      </c>
    </row>
    <row r="14" spans="1:5" x14ac:dyDescent="0.6">
      <c r="A14" s="15" t="s">
        <v>64</v>
      </c>
      <c r="B14" s="16" t="s">
        <v>65</v>
      </c>
    </row>
    <row r="15" spans="1:5" x14ac:dyDescent="0.6">
      <c r="A15" s="13" t="s">
        <v>66</v>
      </c>
      <c r="B15" s="14" t="s">
        <v>67</v>
      </c>
    </row>
    <row r="16" spans="1:5" x14ac:dyDescent="0.6">
      <c r="A16" s="15" t="s">
        <v>68</v>
      </c>
      <c r="B16" s="16" t="s">
        <v>69</v>
      </c>
    </row>
    <row r="17" spans="1:2" x14ac:dyDescent="0.6">
      <c r="A17" s="13" t="s">
        <v>70</v>
      </c>
      <c r="B17" s="14" t="s">
        <v>71</v>
      </c>
    </row>
    <row r="19" spans="1:2" x14ac:dyDescent="0.6">
      <c r="A19" s="8" t="s">
        <v>72</v>
      </c>
    </row>
    <row r="20" spans="1:2" x14ac:dyDescent="0.6">
      <c r="A20" s="3" t="s">
        <v>73</v>
      </c>
    </row>
    <row r="21" spans="1:2" x14ac:dyDescent="0.6">
      <c r="A21" s="17" t="s">
        <v>74</v>
      </c>
    </row>
    <row r="22" spans="1:2" x14ac:dyDescent="0.6">
      <c r="A22" s="18" t="s">
        <v>75</v>
      </c>
    </row>
    <row r="23" spans="1:2" x14ac:dyDescent="0.6">
      <c r="A23" s="19" t="s">
        <v>76</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9"/>
  <sheetViews>
    <sheetView showGridLines="0" workbookViewId="0">
      <pane ySplit="4" topLeftCell="A47" activePane="bottomLeft" state="frozen"/>
      <selection pane="bottomLeft" activeCell="C49" sqref="A47:C49"/>
    </sheetView>
  </sheetViews>
  <sheetFormatPr defaultRowHeight="16.899999999999999" x14ac:dyDescent="0.6"/>
  <cols>
    <col min="1" max="1" width="66" customWidth="1"/>
    <col min="2" max="2" width="80" customWidth="1"/>
    <col min="3" max="3" width="56" customWidth="1"/>
    <col min="4" max="4" width="14" customWidth="1"/>
  </cols>
  <sheetData>
    <row r="1" spans="1:4" ht="20.65" x14ac:dyDescent="0.6">
      <c r="A1" s="9" t="s">
        <v>77</v>
      </c>
    </row>
    <row r="2" spans="1:4" x14ac:dyDescent="0.6">
      <c r="A2" s="8" t="s">
        <v>78</v>
      </c>
    </row>
    <row r="4" spans="1:4" x14ac:dyDescent="0.6">
      <c r="A4" s="5" t="s">
        <v>79</v>
      </c>
    </row>
    <row r="5" spans="1:4" x14ac:dyDescent="0.6">
      <c r="A5" s="6" t="s">
        <v>80</v>
      </c>
    </row>
    <row r="6" spans="1:4" x14ac:dyDescent="0.6">
      <c r="A6" s="6" t="s">
        <v>81</v>
      </c>
    </row>
    <row r="7" spans="1:4" x14ac:dyDescent="0.6">
      <c r="A7" s="6" t="s">
        <v>82</v>
      </c>
    </row>
    <row r="8" spans="1:4" x14ac:dyDescent="0.6">
      <c r="A8" s="6" t="s">
        <v>83</v>
      </c>
    </row>
    <row r="10" spans="1:4" x14ac:dyDescent="0.6">
      <c r="A10" s="5" t="s">
        <v>84</v>
      </c>
    </row>
    <row r="11" spans="1:4" ht="28.05" customHeight="1" x14ac:dyDescent="0.6">
      <c r="A11" s="10" t="s">
        <v>85</v>
      </c>
      <c r="B11" s="10" t="s">
        <v>86</v>
      </c>
      <c r="C11" s="10" t="s">
        <v>87</v>
      </c>
      <c r="D11" s="10" t="s">
        <v>88</v>
      </c>
    </row>
    <row r="12" spans="1:4" ht="25.5" x14ac:dyDescent="0.6">
      <c r="A12" s="20" t="s">
        <v>89</v>
      </c>
      <c r="B12" s="21" t="s">
        <v>90</v>
      </c>
      <c r="C12" s="21" t="s">
        <v>91</v>
      </c>
      <c r="D12" s="20" t="s">
        <v>92</v>
      </c>
    </row>
    <row r="13" spans="1:4" x14ac:dyDescent="0.6">
      <c r="A13" s="20" t="s">
        <v>93</v>
      </c>
      <c r="B13" s="21" t="s">
        <v>94</v>
      </c>
      <c r="C13" s="21" t="s">
        <v>95</v>
      </c>
      <c r="D13" s="20" t="s">
        <v>96</v>
      </c>
    </row>
    <row r="14" spans="1:4" x14ac:dyDescent="0.6">
      <c r="A14" s="20" t="s">
        <v>97</v>
      </c>
      <c r="B14" s="21" t="s">
        <v>98</v>
      </c>
      <c r="C14" s="21" t="s">
        <v>99</v>
      </c>
      <c r="D14" s="20" t="s">
        <v>100</v>
      </c>
    </row>
    <row r="15" spans="1:4" x14ac:dyDescent="0.6">
      <c r="A15" s="20" t="s">
        <v>101</v>
      </c>
      <c r="B15" s="21" t="s">
        <v>102</v>
      </c>
      <c r="C15" s="21" t="s">
        <v>103</v>
      </c>
      <c r="D15" s="20" t="s">
        <v>104</v>
      </c>
    </row>
    <row r="16" spans="1:4" x14ac:dyDescent="0.6">
      <c r="A16" s="15" t="s">
        <v>105</v>
      </c>
      <c r="B16" s="16" t="s">
        <v>106</v>
      </c>
      <c r="C16" s="16" t="s">
        <v>107</v>
      </c>
      <c r="D16" s="15" t="s">
        <v>108</v>
      </c>
    </row>
    <row r="17" spans="1:4" x14ac:dyDescent="0.6">
      <c r="A17" s="13" t="s">
        <v>109</v>
      </c>
      <c r="B17" s="14" t="s">
        <v>110</v>
      </c>
      <c r="C17" s="14" t="s">
        <v>111</v>
      </c>
      <c r="D17" s="13" t="s">
        <v>112</v>
      </c>
    </row>
    <row r="18" spans="1:4" x14ac:dyDescent="0.6">
      <c r="A18" s="15" t="s">
        <v>113</v>
      </c>
      <c r="B18" s="16" t="s">
        <v>114</v>
      </c>
      <c r="C18" s="16" t="s">
        <v>115</v>
      </c>
      <c r="D18" s="15" t="s">
        <v>116</v>
      </c>
    </row>
    <row r="19" spans="1:4" ht="25.5" x14ac:dyDescent="0.6">
      <c r="A19" s="20" t="s">
        <v>117</v>
      </c>
      <c r="B19" s="21" t="s">
        <v>118</v>
      </c>
      <c r="C19" s="21" t="s">
        <v>119</v>
      </c>
      <c r="D19" s="20" t="s">
        <v>120</v>
      </c>
    </row>
    <row r="20" spans="1:4" x14ac:dyDescent="0.6">
      <c r="A20" s="11" t="s">
        <v>121</v>
      </c>
      <c r="B20" s="12" t="s">
        <v>122</v>
      </c>
      <c r="C20" s="12" t="s">
        <v>123</v>
      </c>
      <c r="D20" s="11" t="s">
        <v>124</v>
      </c>
    </row>
    <row r="21" spans="1:4" x14ac:dyDescent="0.6">
      <c r="A21" s="13" t="s">
        <v>125</v>
      </c>
      <c r="B21" s="14" t="s">
        <v>126</v>
      </c>
      <c r="C21" s="14" t="s">
        <v>126</v>
      </c>
      <c r="D21" s="13" t="s">
        <v>127</v>
      </c>
    </row>
    <row r="22" spans="1:4" x14ac:dyDescent="0.6">
      <c r="A22" s="15" t="s">
        <v>8</v>
      </c>
      <c r="B22" s="16" t="s">
        <v>128</v>
      </c>
      <c r="C22" s="16" t="s">
        <v>129</v>
      </c>
      <c r="D22" s="15" t="s">
        <v>130</v>
      </c>
    </row>
    <row r="25" spans="1:4" x14ac:dyDescent="0.6">
      <c r="A25" s="5" t="s">
        <v>131</v>
      </c>
    </row>
    <row r="26" spans="1:4" ht="28.05" customHeight="1" x14ac:dyDescent="0.6">
      <c r="A26" s="10" t="s">
        <v>132</v>
      </c>
    </row>
    <row r="27" spans="1:4" ht="25.5" x14ac:dyDescent="0.6">
      <c r="A27" s="16" t="s">
        <v>133</v>
      </c>
    </row>
    <row r="28" spans="1:4" ht="25.5" x14ac:dyDescent="0.6">
      <c r="A28" s="14" t="s">
        <v>134</v>
      </c>
    </row>
    <row r="29" spans="1:4" ht="25.5" x14ac:dyDescent="0.6">
      <c r="A29" s="16" t="s">
        <v>135</v>
      </c>
    </row>
    <row r="30" spans="1:4" ht="38.25" x14ac:dyDescent="0.6">
      <c r="A30" s="14" t="s">
        <v>136</v>
      </c>
    </row>
    <row r="31" spans="1:4" ht="38.25" x14ac:dyDescent="0.6">
      <c r="A31" s="16" t="s">
        <v>137</v>
      </c>
    </row>
    <row r="34" spans="1:2" x14ac:dyDescent="0.6">
      <c r="A34" s="5" t="s">
        <v>138</v>
      </c>
    </row>
    <row r="35" spans="1:2" ht="28.05" customHeight="1" x14ac:dyDescent="0.6">
      <c r="A35" s="10" t="s">
        <v>139</v>
      </c>
    </row>
    <row r="36" spans="1:2" ht="25.5" x14ac:dyDescent="0.6">
      <c r="A36" s="16" t="s">
        <v>140</v>
      </c>
    </row>
    <row r="37" spans="1:2" ht="38.25" x14ac:dyDescent="0.6">
      <c r="A37" s="14" t="s">
        <v>141</v>
      </c>
    </row>
    <row r="38" spans="1:2" ht="25.5" x14ac:dyDescent="0.6">
      <c r="A38" s="16" t="s">
        <v>142</v>
      </c>
    </row>
    <row r="39" spans="1:2" ht="25.5" x14ac:dyDescent="0.6">
      <c r="A39" s="14" t="s">
        <v>143</v>
      </c>
    </row>
    <row r="40" spans="1:2" x14ac:dyDescent="0.6">
      <c r="A40" s="16" t="s">
        <v>144</v>
      </c>
    </row>
    <row r="41" spans="1:2" ht="25.5" x14ac:dyDescent="0.6">
      <c r="A41" s="14" t="s">
        <v>145</v>
      </c>
    </row>
    <row r="42" spans="1:2" ht="25.5" x14ac:dyDescent="0.6">
      <c r="A42" s="16" t="s">
        <v>146</v>
      </c>
    </row>
    <row r="43" spans="1:2" ht="25.5" x14ac:dyDescent="0.6">
      <c r="A43" s="14" t="s">
        <v>147</v>
      </c>
    </row>
    <row r="46" spans="1:2" x14ac:dyDescent="0.6">
      <c r="A46" s="5" t="s">
        <v>148</v>
      </c>
    </row>
    <row r="47" spans="1:2" ht="28.05" customHeight="1" x14ac:dyDescent="0.6">
      <c r="A47" s="10" t="s">
        <v>149</v>
      </c>
      <c r="B47" s="10" t="s">
        <v>150</v>
      </c>
    </row>
    <row r="48" spans="1:2" ht="25.5" x14ac:dyDescent="0.6">
      <c r="A48" s="16" t="s">
        <v>151</v>
      </c>
      <c r="B48" s="16" t="s">
        <v>152</v>
      </c>
    </row>
    <row r="49" spans="1:2" ht="25.5" x14ac:dyDescent="0.6">
      <c r="A49" s="14" t="s">
        <v>153</v>
      </c>
      <c r="B49" s="14" t="s">
        <v>154</v>
      </c>
    </row>
    <row r="50" spans="1:2" x14ac:dyDescent="0.6">
      <c r="A50" s="16" t="s">
        <v>155</v>
      </c>
      <c r="B50" s="16" t="s">
        <v>156</v>
      </c>
    </row>
    <row r="51" spans="1:2" ht="25.5" x14ac:dyDescent="0.6">
      <c r="A51" s="14" t="s">
        <v>157</v>
      </c>
      <c r="B51" s="14" t="s">
        <v>158</v>
      </c>
    </row>
    <row r="52" spans="1:2" ht="25.5" x14ac:dyDescent="0.6">
      <c r="A52" s="16" t="s">
        <v>159</v>
      </c>
      <c r="B52" s="16" t="s">
        <v>160</v>
      </c>
    </row>
    <row r="53" spans="1:2" ht="25.5" x14ac:dyDescent="0.6">
      <c r="A53" s="14" t="s">
        <v>161</v>
      </c>
      <c r="B53" s="14" t="s">
        <v>162</v>
      </c>
    </row>
    <row r="54" spans="1:2" x14ac:dyDescent="0.6">
      <c r="A54" s="16" t="s">
        <v>163</v>
      </c>
      <c r="B54" s="16" t="s">
        <v>164</v>
      </c>
    </row>
    <row r="56" spans="1:2" x14ac:dyDescent="0.6">
      <c r="A56" s="3" t="s">
        <v>73</v>
      </c>
    </row>
    <row r="57" spans="1:2" x14ac:dyDescent="0.6">
      <c r="A57" s="17" t="s">
        <v>74</v>
      </c>
    </row>
    <row r="58" spans="1:2" x14ac:dyDescent="0.6">
      <c r="A58" s="18" t="s">
        <v>75</v>
      </c>
    </row>
    <row r="59" spans="1:2" x14ac:dyDescent="0.6">
      <c r="A59" s="19" t="s">
        <v>76</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6"/>
  <sheetViews>
    <sheetView showGridLines="0" topLeftCell="B1" workbookViewId="0">
      <pane ySplit="4" topLeftCell="A48" activePane="bottomLeft" state="frozen"/>
      <selection pane="bottomLeft" activeCell="C18" sqref="C18:G18"/>
    </sheetView>
  </sheetViews>
  <sheetFormatPr defaultRowHeight="16.899999999999999" x14ac:dyDescent="0.6"/>
  <cols>
    <col min="1" max="1" width="26" customWidth="1"/>
    <col min="2" max="2" width="12" customWidth="1"/>
    <col min="3" max="3" width="92" customWidth="1"/>
    <col min="4" max="4" width="9" customWidth="1"/>
    <col min="5" max="5" width="30" customWidth="1"/>
    <col min="6" max="6" width="7" customWidth="1"/>
  </cols>
  <sheetData>
    <row r="1" spans="1:6" ht="20.65" x14ac:dyDescent="0.6">
      <c r="A1" s="9" t="s">
        <v>165</v>
      </c>
    </row>
    <row r="2" spans="1:6" x14ac:dyDescent="0.6">
      <c r="A2" s="8" t="s">
        <v>166</v>
      </c>
    </row>
    <row r="4" spans="1:6" x14ac:dyDescent="0.6">
      <c r="A4" s="5" t="s">
        <v>167</v>
      </c>
    </row>
    <row r="5" spans="1:6" x14ac:dyDescent="0.6">
      <c r="A5" s="6" t="s">
        <v>168</v>
      </c>
    </row>
    <row r="6" spans="1:6" x14ac:dyDescent="0.6">
      <c r="A6" s="6" t="s">
        <v>169</v>
      </c>
    </row>
    <row r="7" spans="1:6" x14ac:dyDescent="0.6">
      <c r="A7" s="6" t="s">
        <v>170</v>
      </c>
    </row>
    <row r="8" spans="1:6" x14ac:dyDescent="0.6">
      <c r="A8" s="6" t="s">
        <v>171</v>
      </c>
    </row>
    <row r="10" spans="1:6" ht="28.05" customHeight="1" x14ac:dyDescent="0.6">
      <c r="A10" s="10" t="s">
        <v>172</v>
      </c>
      <c r="B10" s="10" t="s">
        <v>173</v>
      </c>
      <c r="C10" s="10" t="s">
        <v>88</v>
      </c>
      <c r="D10" s="10" t="s">
        <v>174</v>
      </c>
      <c r="E10" s="10" t="s">
        <v>175</v>
      </c>
      <c r="F10" s="10" t="s">
        <v>176</v>
      </c>
    </row>
    <row r="11" spans="1:6" ht="25.5" x14ac:dyDescent="0.6">
      <c r="A11" s="20" t="s">
        <v>177</v>
      </c>
      <c r="B11" s="20" t="s">
        <v>178</v>
      </c>
      <c r="C11" s="21" t="s">
        <v>179</v>
      </c>
      <c r="D11" s="20" t="s">
        <v>180</v>
      </c>
      <c r="E11" s="21" t="s">
        <v>181</v>
      </c>
      <c r="F11" s="20" t="s">
        <v>182</v>
      </c>
    </row>
    <row r="12" spans="1:6" x14ac:dyDescent="0.6">
      <c r="A12" s="11" t="s">
        <v>183</v>
      </c>
      <c r="B12" s="11" t="s">
        <v>178</v>
      </c>
      <c r="C12" s="12" t="s">
        <v>184</v>
      </c>
      <c r="D12" s="11" t="s">
        <v>180</v>
      </c>
      <c r="E12" s="12" t="s">
        <v>185</v>
      </c>
      <c r="F12" s="11" t="s">
        <v>182</v>
      </c>
    </row>
    <row r="13" spans="1:6" x14ac:dyDescent="0.6">
      <c r="A13" s="11" t="s">
        <v>186</v>
      </c>
      <c r="B13" s="11" t="s">
        <v>178</v>
      </c>
      <c r="C13" s="12" t="s">
        <v>187</v>
      </c>
      <c r="D13" s="11" t="s">
        <v>180</v>
      </c>
      <c r="E13" s="12" t="s">
        <v>181</v>
      </c>
      <c r="F13" s="11" t="s">
        <v>182</v>
      </c>
    </row>
    <row r="14" spans="1:6" x14ac:dyDescent="0.6">
      <c r="A14" s="11" t="s">
        <v>188</v>
      </c>
      <c r="B14" s="11" t="s">
        <v>178</v>
      </c>
      <c r="C14" s="12" t="s">
        <v>189</v>
      </c>
      <c r="D14" s="11" t="s">
        <v>190</v>
      </c>
      <c r="E14" s="12" t="s">
        <v>191</v>
      </c>
      <c r="F14" s="11" t="s">
        <v>182</v>
      </c>
    </row>
    <row r="15" spans="1:6" x14ac:dyDescent="0.6">
      <c r="A15" s="11" t="s">
        <v>192</v>
      </c>
      <c r="B15" s="11" t="s">
        <v>178</v>
      </c>
      <c r="C15" s="12" t="s">
        <v>193</v>
      </c>
      <c r="D15" s="11" t="s">
        <v>180</v>
      </c>
      <c r="E15" s="12" t="s">
        <v>191</v>
      </c>
      <c r="F15" s="11" t="s">
        <v>182</v>
      </c>
    </row>
    <row r="16" spans="1:6" ht="25.5" x14ac:dyDescent="0.6">
      <c r="A16" s="20" t="s">
        <v>194</v>
      </c>
      <c r="B16" s="20" t="s">
        <v>178</v>
      </c>
      <c r="C16" s="21" t="s">
        <v>195</v>
      </c>
      <c r="D16" s="20" t="s">
        <v>190</v>
      </c>
      <c r="E16" s="21" t="s">
        <v>196</v>
      </c>
      <c r="F16" s="20" t="s">
        <v>182</v>
      </c>
    </row>
    <row r="17" spans="1:6" x14ac:dyDescent="0.6">
      <c r="A17" s="11" t="s">
        <v>197</v>
      </c>
      <c r="B17" s="11" t="s">
        <v>178</v>
      </c>
      <c r="C17" s="12" t="s">
        <v>198</v>
      </c>
      <c r="D17" s="11" t="s">
        <v>180</v>
      </c>
      <c r="E17" s="12" t="s">
        <v>199</v>
      </c>
      <c r="F17" s="11" t="s">
        <v>182</v>
      </c>
    </row>
    <row r="18" spans="1:6" ht="25.5" x14ac:dyDescent="0.6">
      <c r="A18" s="11" t="s">
        <v>100</v>
      </c>
      <c r="B18" s="11" t="s">
        <v>200</v>
      </c>
      <c r="C18" s="12" t="s">
        <v>201</v>
      </c>
      <c r="D18" s="11" t="s">
        <v>180</v>
      </c>
      <c r="E18" s="12" t="s">
        <v>181</v>
      </c>
      <c r="F18" s="11" t="s">
        <v>182</v>
      </c>
    </row>
    <row r="19" spans="1:6" ht="25.5" x14ac:dyDescent="0.6">
      <c r="A19" s="11" t="s">
        <v>104</v>
      </c>
      <c r="B19" s="11" t="s">
        <v>200</v>
      </c>
      <c r="C19" s="12" t="s">
        <v>202</v>
      </c>
      <c r="D19" s="11" t="s">
        <v>180</v>
      </c>
      <c r="E19" s="12" t="s">
        <v>203</v>
      </c>
      <c r="F19" s="11" t="s">
        <v>182</v>
      </c>
    </row>
    <row r="20" spans="1:6" ht="25.5" x14ac:dyDescent="0.6">
      <c r="A20" s="11" t="s">
        <v>116</v>
      </c>
      <c r="B20" s="11" t="s">
        <v>200</v>
      </c>
      <c r="C20" s="12" t="s">
        <v>204</v>
      </c>
      <c r="D20" s="11" t="s">
        <v>180</v>
      </c>
      <c r="E20" s="12" t="s">
        <v>205</v>
      </c>
      <c r="F20" s="11" t="s">
        <v>182</v>
      </c>
    </row>
    <row r="21" spans="1:6" ht="25.5" x14ac:dyDescent="0.6">
      <c r="A21" s="11" t="s">
        <v>206</v>
      </c>
      <c r="B21" s="11" t="s">
        <v>200</v>
      </c>
      <c r="C21" s="12" t="s">
        <v>207</v>
      </c>
      <c r="D21" s="11" t="s">
        <v>180</v>
      </c>
      <c r="E21" s="12" t="s">
        <v>208</v>
      </c>
      <c r="F21" s="11" t="s">
        <v>182</v>
      </c>
    </row>
    <row r="22" spans="1:6" ht="25.5" x14ac:dyDescent="0.6">
      <c r="A22" s="11" t="s">
        <v>209</v>
      </c>
      <c r="B22" s="11" t="s">
        <v>200</v>
      </c>
      <c r="C22" s="12" t="s">
        <v>210</v>
      </c>
      <c r="D22" s="11" t="s">
        <v>180</v>
      </c>
      <c r="E22" s="12" t="s">
        <v>208</v>
      </c>
      <c r="F22" s="11" t="s">
        <v>182</v>
      </c>
    </row>
    <row r="23" spans="1:6" ht="25.5" x14ac:dyDescent="0.6">
      <c r="A23" s="11" t="s">
        <v>211</v>
      </c>
      <c r="B23" s="11" t="s">
        <v>200</v>
      </c>
      <c r="C23" s="12" t="s">
        <v>212</v>
      </c>
      <c r="D23" s="11" t="s">
        <v>190</v>
      </c>
      <c r="E23" s="12" t="s">
        <v>208</v>
      </c>
      <c r="F23" s="11" t="s">
        <v>182</v>
      </c>
    </row>
    <row r="24" spans="1:6" ht="25.5" x14ac:dyDescent="0.6">
      <c r="A24" s="11" t="s">
        <v>213</v>
      </c>
      <c r="B24" s="11" t="s">
        <v>200</v>
      </c>
      <c r="C24" s="12" t="s">
        <v>214</v>
      </c>
      <c r="D24" s="11" t="s">
        <v>190</v>
      </c>
      <c r="E24" s="12" t="s">
        <v>208</v>
      </c>
      <c r="F24" s="11" t="s">
        <v>182</v>
      </c>
    </row>
    <row r="25" spans="1:6" x14ac:dyDescent="0.6">
      <c r="A25" s="11" t="s">
        <v>215</v>
      </c>
      <c r="B25" s="11" t="s">
        <v>200</v>
      </c>
      <c r="C25" s="12" t="s">
        <v>216</v>
      </c>
      <c r="D25" s="11" t="s">
        <v>180</v>
      </c>
      <c r="E25" s="12" t="s">
        <v>217</v>
      </c>
      <c r="F25" s="11" t="s">
        <v>182</v>
      </c>
    </row>
    <row r="26" spans="1:6" x14ac:dyDescent="0.6">
      <c r="A26" s="11" t="s">
        <v>218</v>
      </c>
      <c r="B26" s="11" t="s">
        <v>200</v>
      </c>
      <c r="C26" s="12" t="s">
        <v>219</v>
      </c>
      <c r="D26" s="11" t="s">
        <v>190</v>
      </c>
      <c r="E26" s="12" t="s">
        <v>220</v>
      </c>
      <c r="F26" s="11" t="s">
        <v>182</v>
      </c>
    </row>
    <row r="27" spans="1:6" ht="25.5" x14ac:dyDescent="0.6">
      <c r="A27" s="20" t="s">
        <v>221</v>
      </c>
      <c r="B27" s="20" t="s">
        <v>200</v>
      </c>
      <c r="C27" s="21" t="s">
        <v>222</v>
      </c>
      <c r="D27" s="20" t="s">
        <v>180</v>
      </c>
      <c r="E27" s="21" t="s">
        <v>223</v>
      </c>
      <c r="F27" s="20" t="s">
        <v>182</v>
      </c>
    </row>
    <row r="28" spans="1:6" ht="25.5" x14ac:dyDescent="0.6">
      <c r="A28" s="20" t="s">
        <v>224</v>
      </c>
      <c r="B28" s="20" t="s">
        <v>200</v>
      </c>
      <c r="C28" s="21" t="s">
        <v>225</v>
      </c>
      <c r="D28" s="20" t="s">
        <v>180</v>
      </c>
      <c r="E28" s="21" t="s">
        <v>226</v>
      </c>
      <c r="F28" s="20" t="s">
        <v>182</v>
      </c>
    </row>
    <row r="29" spans="1:6" ht="25.5" x14ac:dyDescent="0.6">
      <c r="A29" s="20" t="s">
        <v>227</v>
      </c>
      <c r="B29" s="20" t="s">
        <v>200</v>
      </c>
      <c r="C29" s="21" t="s">
        <v>228</v>
      </c>
      <c r="D29" s="20" t="s">
        <v>180</v>
      </c>
      <c r="E29" s="21" t="s">
        <v>229</v>
      </c>
      <c r="F29" s="20" t="s">
        <v>182</v>
      </c>
    </row>
    <row r="30" spans="1:6" ht="25.5" x14ac:dyDescent="0.6">
      <c r="A30" s="11" t="s">
        <v>230</v>
      </c>
      <c r="B30" s="11" t="s">
        <v>200</v>
      </c>
      <c r="C30" s="12" t="s">
        <v>231</v>
      </c>
      <c r="D30" s="11" t="s">
        <v>180</v>
      </c>
      <c r="E30" s="12" t="s">
        <v>232</v>
      </c>
      <c r="F30" s="11" t="s">
        <v>182</v>
      </c>
    </row>
    <row r="31" spans="1:6" ht="25.5" x14ac:dyDescent="0.6">
      <c r="A31" s="20" t="s">
        <v>233</v>
      </c>
      <c r="B31" s="20" t="s">
        <v>200</v>
      </c>
      <c r="C31" s="21" t="s">
        <v>234</v>
      </c>
      <c r="D31" s="20" t="s">
        <v>180</v>
      </c>
      <c r="E31" s="21" t="s">
        <v>235</v>
      </c>
      <c r="F31" s="20" t="s">
        <v>182</v>
      </c>
    </row>
    <row r="32" spans="1:6" ht="25.5" x14ac:dyDescent="0.6">
      <c r="A32" s="11" t="s">
        <v>236</v>
      </c>
      <c r="B32" s="11" t="s">
        <v>200</v>
      </c>
      <c r="C32" s="12" t="s">
        <v>237</v>
      </c>
      <c r="D32" s="11" t="s">
        <v>180</v>
      </c>
      <c r="E32" s="12" t="s">
        <v>238</v>
      </c>
      <c r="F32" s="11" t="s">
        <v>182</v>
      </c>
    </row>
    <row r="33" spans="1:6" ht="25.5" x14ac:dyDescent="0.6">
      <c r="A33" s="11" t="s">
        <v>239</v>
      </c>
      <c r="B33" s="11" t="s">
        <v>200</v>
      </c>
      <c r="C33" s="12" t="s">
        <v>240</v>
      </c>
      <c r="D33" s="11" t="s">
        <v>180</v>
      </c>
      <c r="E33" s="12" t="s">
        <v>241</v>
      </c>
      <c r="F33" s="11" t="s">
        <v>182</v>
      </c>
    </row>
    <row r="34" spans="1:6" ht="25.5" x14ac:dyDescent="0.6">
      <c r="A34" s="11" t="s">
        <v>242</v>
      </c>
      <c r="B34" s="11" t="s">
        <v>200</v>
      </c>
      <c r="C34" s="12" t="s">
        <v>243</v>
      </c>
      <c r="D34" s="11" t="s">
        <v>180</v>
      </c>
      <c r="E34" s="12" t="s">
        <v>244</v>
      </c>
      <c r="F34" s="11" t="s">
        <v>182</v>
      </c>
    </row>
    <row r="35" spans="1:6" ht="25.5" x14ac:dyDescent="0.6">
      <c r="A35" s="11" t="s">
        <v>245</v>
      </c>
      <c r="B35" s="11" t="s">
        <v>200</v>
      </c>
      <c r="C35" s="12" t="s">
        <v>246</v>
      </c>
      <c r="D35" s="11" t="s">
        <v>180</v>
      </c>
      <c r="E35" s="12" t="s">
        <v>241</v>
      </c>
      <c r="F35" s="11" t="s">
        <v>182</v>
      </c>
    </row>
    <row r="36" spans="1:6" ht="25.5" x14ac:dyDescent="0.6">
      <c r="A36" s="11" t="s">
        <v>247</v>
      </c>
      <c r="B36" s="11" t="s">
        <v>200</v>
      </c>
      <c r="C36" s="12" t="s">
        <v>248</v>
      </c>
      <c r="D36" s="11" t="s">
        <v>180</v>
      </c>
      <c r="E36" s="12" t="s">
        <v>232</v>
      </c>
      <c r="F36" s="11" t="s">
        <v>182</v>
      </c>
    </row>
    <row r="37" spans="1:6" ht="25.5" x14ac:dyDescent="0.6">
      <c r="A37" s="20" t="s">
        <v>249</v>
      </c>
      <c r="B37" s="20" t="s">
        <v>250</v>
      </c>
      <c r="C37" s="21" t="s">
        <v>251</v>
      </c>
      <c r="D37" s="20" t="s">
        <v>180</v>
      </c>
      <c r="E37" s="21" t="s">
        <v>252</v>
      </c>
      <c r="F37" s="20" t="s">
        <v>182</v>
      </c>
    </row>
    <row r="38" spans="1:6" ht="25.5" x14ac:dyDescent="0.6">
      <c r="A38" s="20" t="s">
        <v>253</v>
      </c>
      <c r="B38" s="20" t="s">
        <v>250</v>
      </c>
      <c r="C38" s="21" t="s">
        <v>254</v>
      </c>
      <c r="D38" s="20" t="s">
        <v>180</v>
      </c>
      <c r="E38" s="21" t="s">
        <v>255</v>
      </c>
      <c r="F38" s="20" t="s">
        <v>182</v>
      </c>
    </row>
    <row r="39" spans="1:6" ht="25.5" x14ac:dyDescent="0.6">
      <c r="A39" s="20" t="s">
        <v>256</v>
      </c>
      <c r="B39" s="20" t="s">
        <v>250</v>
      </c>
      <c r="C39" s="21" t="s">
        <v>257</v>
      </c>
      <c r="D39" s="20" t="s">
        <v>180</v>
      </c>
      <c r="E39" s="21" t="s">
        <v>258</v>
      </c>
      <c r="F39" s="20" t="s">
        <v>182</v>
      </c>
    </row>
    <row r="40" spans="1:6" ht="25.5" x14ac:dyDescent="0.6">
      <c r="A40" s="20" t="s">
        <v>259</v>
      </c>
      <c r="B40" s="20" t="s">
        <v>250</v>
      </c>
      <c r="C40" s="21" t="s">
        <v>260</v>
      </c>
      <c r="D40" s="20" t="s">
        <v>261</v>
      </c>
      <c r="E40" s="21" t="s">
        <v>262</v>
      </c>
      <c r="F40" s="20" t="s">
        <v>182</v>
      </c>
    </row>
    <row r="41" spans="1:6" ht="25.5" x14ac:dyDescent="0.6">
      <c r="A41" s="11" t="s">
        <v>263</v>
      </c>
      <c r="B41" s="11" t="s">
        <v>264</v>
      </c>
      <c r="C41" s="12" t="s">
        <v>265</v>
      </c>
      <c r="D41" s="11" t="s">
        <v>180</v>
      </c>
      <c r="E41" s="12" t="s">
        <v>229</v>
      </c>
      <c r="F41" s="11" t="s">
        <v>182</v>
      </c>
    </row>
    <row r="42" spans="1:6" ht="25.5" x14ac:dyDescent="0.6">
      <c r="A42" s="11" t="s">
        <v>266</v>
      </c>
      <c r="B42" s="11" t="s">
        <v>264</v>
      </c>
      <c r="C42" s="12" t="s">
        <v>267</v>
      </c>
      <c r="D42" s="11" t="s">
        <v>180</v>
      </c>
      <c r="E42" s="12" t="s">
        <v>268</v>
      </c>
      <c r="F42" s="11" t="s">
        <v>182</v>
      </c>
    </row>
    <row r="43" spans="1:6" ht="25.5" x14ac:dyDescent="0.6">
      <c r="A43" s="11" t="s">
        <v>269</v>
      </c>
      <c r="B43" s="11" t="s">
        <v>264</v>
      </c>
      <c r="C43" s="12" t="s">
        <v>270</v>
      </c>
      <c r="D43" s="11" t="s">
        <v>190</v>
      </c>
      <c r="E43" s="12" t="s">
        <v>229</v>
      </c>
      <c r="F43" s="11" t="s">
        <v>182</v>
      </c>
    </row>
    <row r="44" spans="1:6" ht="25.5" x14ac:dyDescent="0.6">
      <c r="A44" s="20" t="s">
        <v>271</v>
      </c>
      <c r="B44" s="20" t="s">
        <v>264</v>
      </c>
      <c r="C44" s="21" t="s">
        <v>272</v>
      </c>
      <c r="D44" s="20" t="s">
        <v>180</v>
      </c>
      <c r="E44" s="21" t="s">
        <v>273</v>
      </c>
      <c r="F44" s="20" t="s">
        <v>182</v>
      </c>
    </row>
    <row r="45" spans="1:6" ht="25.5" x14ac:dyDescent="0.6">
      <c r="A45" s="11" t="s">
        <v>274</v>
      </c>
      <c r="B45" s="11" t="s">
        <v>264</v>
      </c>
      <c r="C45" s="12" t="s">
        <v>275</v>
      </c>
      <c r="D45" s="11" t="s">
        <v>180</v>
      </c>
      <c r="E45" s="12" t="s">
        <v>276</v>
      </c>
      <c r="F45" s="11" t="s">
        <v>182</v>
      </c>
    </row>
    <row r="46" spans="1:6" ht="25.5" x14ac:dyDescent="0.6">
      <c r="A46" s="20" t="s">
        <v>277</v>
      </c>
      <c r="B46" s="20" t="s">
        <v>264</v>
      </c>
      <c r="C46" s="21" t="s">
        <v>278</v>
      </c>
      <c r="D46" s="20" t="s">
        <v>190</v>
      </c>
      <c r="E46" s="21" t="s">
        <v>273</v>
      </c>
      <c r="F46" s="20" t="s">
        <v>182</v>
      </c>
    </row>
    <row r="47" spans="1:6" ht="25.5" x14ac:dyDescent="0.6">
      <c r="A47" s="20" t="s">
        <v>279</v>
      </c>
      <c r="B47" s="20" t="s">
        <v>264</v>
      </c>
      <c r="C47" s="21" t="s">
        <v>280</v>
      </c>
      <c r="D47" s="20" t="s">
        <v>190</v>
      </c>
      <c r="E47" s="21" t="s">
        <v>281</v>
      </c>
      <c r="F47" s="20" t="s">
        <v>182</v>
      </c>
    </row>
    <row r="48" spans="1:6" ht="25.5" x14ac:dyDescent="0.6">
      <c r="A48" s="11" t="s">
        <v>282</v>
      </c>
      <c r="B48" s="11" t="s">
        <v>264</v>
      </c>
      <c r="C48" s="12" t="s">
        <v>283</v>
      </c>
      <c r="D48" s="11" t="s">
        <v>180</v>
      </c>
      <c r="E48" s="12" t="s">
        <v>284</v>
      </c>
      <c r="F48" s="11" t="s">
        <v>285</v>
      </c>
    </row>
    <row r="49" spans="1:6" ht="25.5" x14ac:dyDescent="0.6">
      <c r="A49" s="11" t="s">
        <v>286</v>
      </c>
      <c r="B49" s="11" t="s">
        <v>264</v>
      </c>
      <c r="C49" s="12" t="s">
        <v>287</v>
      </c>
      <c r="D49" s="11" t="s">
        <v>180</v>
      </c>
      <c r="E49" s="12" t="s">
        <v>288</v>
      </c>
      <c r="F49" s="11" t="s">
        <v>182</v>
      </c>
    </row>
    <row r="50" spans="1:6" ht="38.25" x14ac:dyDescent="0.6">
      <c r="A50" s="11" t="s">
        <v>289</v>
      </c>
      <c r="B50" s="11" t="s">
        <v>264</v>
      </c>
      <c r="C50" s="12" t="s">
        <v>290</v>
      </c>
      <c r="D50" s="11" t="s">
        <v>190</v>
      </c>
      <c r="E50" s="12" t="s">
        <v>291</v>
      </c>
      <c r="F50" s="11" t="s">
        <v>182</v>
      </c>
    </row>
    <row r="51" spans="1:6" ht="25.5" x14ac:dyDescent="0.6">
      <c r="A51" s="11" t="s">
        <v>292</v>
      </c>
      <c r="B51" s="11" t="s">
        <v>264</v>
      </c>
      <c r="C51" s="12" t="s">
        <v>293</v>
      </c>
      <c r="D51" s="11" t="s">
        <v>261</v>
      </c>
      <c r="E51" s="12" t="s">
        <v>273</v>
      </c>
      <c r="F51" s="11" t="s">
        <v>182</v>
      </c>
    </row>
    <row r="52" spans="1:6" ht="25.5" x14ac:dyDescent="0.6">
      <c r="A52" s="11" t="s">
        <v>108</v>
      </c>
      <c r="B52" s="11" t="s">
        <v>258</v>
      </c>
      <c r="C52" s="12" t="s">
        <v>294</v>
      </c>
      <c r="D52" s="11" t="s">
        <v>180</v>
      </c>
      <c r="E52" s="12" t="s">
        <v>295</v>
      </c>
      <c r="F52" s="11" t="s">
        <v>285</v>
      </c>
    </row>
    <row r="53" spans="1:6" ht="25.5" x14ac:dyDescent="0.6">
      <c r="A53" s="11" t="s">
        <v>112</v>
      </c>
      <c r="B53" s="11" t="s">
        <v>258</v>
      </c>
      <c r="C53" s="12" t="s">
        <v>296</v>
      </c>
      <c r="D53" s="11" t="s">
        <v>180</v>
      </c>
      <c r="E53" s="12" t="s">
        <v>297</v>
      </c>
      <c r="F53" s="11" t="s">
        <v>182</v>
      </c>
    </row>
    <row r="54" spans="1:6" ht="25.5" x14ac:dyDescent="0.6">
      <c r="A54" s="11" t="s">
        <v>298</v>
      </c>
      <c r="B54" s="11" t="s">
        <v>258</v>
      </c>
      <c r="C54" s="12" t="s">
        <v>299</v>
      </c>
      <c r="D54" s="11" t="s">
        <v>180</v>
      </c>
      <c r="E54" s="12" t="s">
        <v>300</v>
      </c>
      <c r="F54" s="11" t="s">
        <v>285</v>
      </c>
    </row>
    <row r="55" spans="1:6" ht="25.5" x14ac:dyDescent="0.6">
      <c r="A55" s="11" t="s">
        <v>301</v>
      </c>
      <c r="B55" s="11" t="s">
        <v>258</v>
      </c>
      <c r="C55" s="12" t="s">
        <v>302</v>
      </c>
      <c r="D55" s="11" t="s">
        <v>190</v>
      </c>
      <c r="E55" s="12" t="s">
        <v>303</v>
      </c>
      <c r="F55" s="11" t="s">
        <v>304</v>
      </c>
    </row>
    <row r="56" spans="1:6" x14ac:dyDescent="0.6">
      <c r="A56" s="20" t="s">
        <v>96</v>
      </c>
      <c r="B56" s="20" t="s">
        <v>305</v>
      </c>
      <c r="C56" s="21" t="s">
        <v>306</v>
      </c>
      <c r="D56" s="20" t="s">
        <v>180</v>
      </c>
      <c r="E56" s="21" t="s">
        <v>181</v>
      </c>
      <c r="F56" s="20" t="s">
        <v>307</v>
      </c>
    </row>
    <row r="57" spans="1:6" ht="25.5" x14ac:dyDescent="0.6">
      <c r="A57" s="20" t="s">
        <v>308</v>
      </c>
      <c r="B57" s="20" t="s">
        <v>305</v>
      </c>
      <c r="C57" s="21" t="s">
        <v>309</v>
      </c>
      <c r="D57" s="20" t="s">
        <v>180</v>
      </c>
      <c r="E57" s="21" t="s">
        <v>181</v>
      </c>
      <c r="F57" s="20" t="s">
        <v>307</v>
      </c>
    </row>
    <row r="58" spans="1:6" ht="25.5" x14ac:dyDescent="0.6">
      <c r="A58" s="20" t="s">
        <v>310</v>
      </c>
      <c r="B58" s="20" t="s">
        <v>305</v>
      </c>
      <c r="C58" s="21" t="s">
        <v>311</v>
      </c>
      <c r="D58" s="20" t="s">
        <v>180</v>
      </c>
      <c r="E58" s="21" t="s">
        <v>208</v>
      </c>
      <c r="F58" s="20" t="s">
        <v>307</v>
      </c>
    </row>
    <row r="59" spans="1:6" ht="25.5" x14ac:dyDescent="0.6">
      <c r="A59" s="11" t="s">
        <v>312</v>
      </c>
      <c r="B59" s="11" t="s">
        <v>305</v>
      </c>
      <c r="C59" s="12" t="s">
        <v>313</v>
      </c>
      <c r="D59" s="11" t="s">
        <v>180</v>
      </c>
      <c r="E59" s="12" t="s">
        <v>208</v>
      </c>
      <c r="F59" s="11" t="s">
        <v>182</v>
      </c>
    </row>
    <row r="60" spans="1:6" ht="25.5" x14ac:dyDescent="0.6">
      <c r="A60" s="11" t="s">
        <v>314</v>
      </c>
      <c r="B60" s="11" t="s">
        <v>305</v>
      </c>
      <c r="C60" s="12" t="s">
        <v>315</v>
      </c>
      <c r="D60" s="11" t="s">
        <v>180</v>
      </c>
      <c r="E60" s="12" t="s">
        <v>181</v>
      </c>
      <c r="F60" s="11" t="s">
        <v>307</v>
      </c>
    </row>
    <row r="61" spans="1:6" ht="38.25" x14ac:dyDescent="0.6">
      <c r="A61" s="20" t="s">
        <v>316</v>
      </c>
      <c r="B61" s="20" t="s">
        <v>305</v>
      </c>
      <c r="C61" s="21" t="s">
        <v>317</v>
      </c>
      <c r="D61" s="20" t="s">
        <v>180</v>
      </c>
      <c r="E61" s="21" t="s">
        <v>318</v>
      </c>
      <c r="F61" s="20" t="s">
        <v>307</v>
      </c>
    </row>
    <row r="62" spans="1:6" x14ac:dyDescent="0.6">
      <c r="A62" s="11" t="s">
        <v>124</v>
      </c>
      <c r="B62" s="11" t="s">
        <v>305</v>
      </c>
      <c r="C62" s="12" t="s">
        <v>319</v>
      </c>
      <c r="D62" s="11" t="s">
        <v>180</v>
      </c>
      <c r="E62" s="12" t="s">
        <v>320</v>
      </c>
      <c r="F62" s="11" t="s">
        <v>307</v>
      </c>
    </row>
    <row r="63" spans="1:6" ht="38.25" x14ac:dyDescent="0.6">
      <c r="A63" s="11" t="s">
        <v>321</v>
      </c>
      <c r="B63" s="11" t="s">
        <v>305</v>
      </c>
      <c r="C63" s="12" t="s">
        <v>322</v>
      </c>
      <c r="D63" s="11" t="s">
        <v>180</v>
      </c>
      <c r="E63" s="12" t="s">
        <v>320</v>
      </c>
      <c r="F63" s="11" t="s">
        <v>307</v>
      </c>
    </row>
    <row r="64" spans="1:6" ht="25.5" x14ac:dyDescent="0.6">
      <c r="A64" s="20" t="s">
        <v>323</v>
      </c>
      <c r="B64" s="20" t="s">
        <v>305</v>
      </c>
      <c r="C64" s="21" t="s">
        <v>324</v>
      </c>
      <c r="D64" s="20" t="s">
        <v>180</v>
      </c>
      <c r="E64" s="21" t="s">
        <v>325</v>
      </c>
      <c r="F64" s="20" t="s">
        <v>182</v>
      </c>
    </row>
    <row r="65" spans="1:6" ht="38.25" x14ac:dyDescent="0.6">
      <c r="A65" s="11" t="s">
        <v>326</v>
      </c>
      <c r="B65" s="11" t="s">
        <v>305</v>
      </c>
      <c r="C65" s="12" t="s">
        <v>327</v>
      </c>
      <c r="D65" s="11" t="s">
        <v>180</v>
      </c>
      <c r="E65" s="12" t="s">
        <v>328</v>
      </c>
      <c r="F65" s="11" t="s">
        <v>182</v>
      </c>
    </row>
    <row r="66" spans="1:6" ht="25.5" x14ac:dyDescent="0.6">
      <c r="A66" s="11" t="s">
        <v>288</v>
      </c>
      <c r="B66" s="11" t="s">
        <v>305</v>
      </c>
      <c r="C66" s="12" t="s">
        <v>329</v>
      </c>
      <c r="D66" s="11" t="s">
        <v>180</v>
      </c>
      <c r="E66" s="12" t="s">
        <v>328</v>
      </c>
      <c r="F66" s="11" t="s">
        <v>182</v>
      </c>
    </row>
    <row r="67" spans="1:6" ht="25.5" x14ac:dyDescent="0.6">
      <c r="A67" s="11" t="s">
        <v>330</v>
      </c>
      <c r="B67" s="11" t="s">
        <v>305</v>
      </c>
      <c r="C67" s="12" t="s">
        <v>331</v>
      </c>
      <c r="D67" s="11" t="s">
        <v>190</v>
      </c>
      <c r="E67" s="12" t="s">
        <v>328</v>
      </c>
      <c r="F67" s="11" t="s">
        <v>182</v>
      </c>
    </row>
    <row r="68" spans="1:6" ht="25.5" x14ac:dyDescent="0.6">
      <c r="A68" s="11" t="s">
        <v>332</v>
      </c>
      <c r="B68" s="11" t="s">
        <v>305</v>
      </c>
      <c r="C68" s="12" t="s">
        <v>333</v>
      </c>
      <c r="D68" s="11" t="s">
        <v>180</v>
      </c>
      <c r="E68" s="12" t="s">
        <v>328</v>
      </c>
      <c r="F68" s="11" t="s">
        <v>307</v>
      </c>
    </row>
    <row r="69" spans="1:6" ht="25.5" x14ac:dyDescent="0.6">
      <c r="A69" s="11" t="s">
        <v>127</v>
      </c>
      <c r="B69" s="11" t="s">
        <v>334</v>
      </c>
      <c r="C69" s="12" t="s">
        <v>335</v>
      </c>
      <c r="D69" s="11" t="s">
        <v>180</v>
      </c>
      <c r="E69" s="12" t="s">
        <v>336</v>
      </c>
      <c r="F69" s="11" t="s">
        <v>307</v>
      </c>
    </row>
    <row r="70" spans="1:6" ht="25.5" x14ac:dyDescent="0.6">
      <c r="A70" s="11" t="s">
        <v>337</v>
      </c>
      <c r="B70" s="11" t="s">
        <v>334</v>
      </c>
      <c r="C70" s="12" t="s">
        <v>338</v>
      </c>
      <c r="D70" s="11" t="s">
        <v>180</v>
      </c>
      <c r="E70" s="12" t="s">
        <v>339</v>
      </c>
      <c r="F70" s="11" t="s">
        <v>182</v>
      </c>
    </row>
    <row r="71" spans="1:6" ht="25.5" x14ac:dyDescent="0.6">
      <c r="A71" s="11" t="s">
        <v>340</v>
      </c>
      <c r="B71" s="11" t="s">
        <v>334</v>
      </c>
      <c r="C71" s="12" t="s">
        <v>341</v>
      </c>
      <c r="D71" s="11" t="s">
        <v>180</v>
      </c>
      <c r="E71" s="12" t="s">
        <v>342</v>
      </c>
      <c r="F71" s="11" t="s">
        <v>285</v>
      </c>
    </row>
    <row r="72" spans="1:6" ht="38.25" x14ac:dyDescent="0.6">
      <c r="A72" s="20" t="s">
        <v>343</v>
      </c>
      <c r="B72" s="20" t="s">
        <v>344</v>
      </c>
      <c r="C72" s="21" t="s">
        <v>345</v>
      </c>
      <c r="D72" s="20" t="s">
        <v>190</v>
      </c>
      <c r="E72" s="21" t="s">
        <v>241</v>
      </c>
      <c r="F72" s="20" t="s">
        <v>182</v>
      </c>
    </row>
    <row r="73" spans="1:6" x14ac:dyDescent="0.6">
      <c r="A73" s="11" t="s">
        <v>346</v>
      </c>
      <c r="B73" s="11" t="s">
        <v>344</v>
      </c>
      <c r="C73" s="12" t="s">
        <v>347</v>
      </c>
      <c r="D73" s="11" t="s">
        <v>190</v>
      </c>
      <c r="E73" s="12" t="s">
        <v>241</v>
      </c>
      <c r="F73" s="11" t="s">
        <v>182</v>
      </c>
    </row>
    <row r="75" spans="1:6" x14ac:dyDescent="0.6">
      <c r="A75" s="5" t="s">
        <v>348</v>
      </c>
    </row>
    <row r="76" spans="1:6" ht="28.05" customHeight="1" x14ac:dyDescent="0.6">
      <c r="A76" s="10" t="s">
        <v>349</v>
      </c>
      <c r="B76" s="10" t="s">
        <v>348</v>
      </c>
    </row>
    <row r="77" spans="1:6" x14ac:dyDescent="0.6">
      <c r="A77" s="15" t="s">
        <v>350</v>
      </c>
      <c r="B77" s="15">
        <f>COUNTA(A11:A73)</f>
        <v>63</v>
      </c>
    </row>
    <row r="78" spans="1:6" x14ac:dyDescent="0.6">
      <c r="A78" s="13" t="s">
        <v>180</v>
      </c>
      <c r="B78" s="13">
        <f>COUNTIF(D11:D73,"Must")</f>
        <v>48</v>
      </c>
    </row>
    <row r="79" spans="1:6" x14ac:dyDescent="0.6">
      <c r="A79" s="15" t="s">
        <v>190</v>
      </c>
      <c r="B79" s="15">
        <f>COUNTIF(D11:D73,"Should")</f>
        <v>13</v>
      </c>
    </row>
    <row r="80" spans="1:6" x14ac:dyDescent="0.6">
      <c r="A80" s="13" t="s">
        <v>261</v>
      </c>
      <c r="B80" s="13">
        <f>COUNTIF(D11:D73,"Could")</f>
        <v>2</v>
      </c>
    </row>
    <row r="82" spans="1:1" x14ac:dyDescent="0.6">
      <c r="A82" s="8" t="s">
        <v>351</v>
      </c>
    </row>
    <row r="83" spans="1:1" x14ac:dyDescent="0.6">
      <c r="A83" s="3" t="s">
        <v>73</v>
      </c>
    </row>
    <row r="84" spans="1:1" x14ac:dyDescent="0.6">
      <c r="A84" s="17" t="s">
        <v>74</v>
      </c>
    </row>
    <row r="85" spans="1:1" x14ac:dyDescent="0.6">
      <c r="A85" s="18" t="s">
        <v>75</v>
      </c>
    </row>
    <row r="86" spans="1:1" x14ac:dyDescent="0.6">
      <c r="A86" s="19" t="s">
        <v>76</v>
      </c>
    </row>
  </sheetData>
  <phoneticPr fontId="10" type="noConversion"/>
  <dataValidations count="1">
    <dataValidation type="list" allowBlank="1" sqref="D11:D73"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4"/>
  <sheetViews>
    <sheetView showGridLines="0" workbookViewId="0">
      <pane ySplit="4" topLeftCell="A5" activePane="bottomLeft" state="frozen"/>
      <selection pane="bottomLeft"/>
    </sheetView>
  </sheetViews>
  <sheetFormatPr defaultRowHeight="16.899999999999999" x14ac:dyDescent="0.6"/>
  <cols>
    <col min="1" max="1" width="56" customWidth="1"/>
    <col min="2" max="2" width="90" customWidth="1"/>
    <col min="3" max="3" width="96" customWidth="1"/>
    <col min="4" max="4" width="50" customWidth="1"/>
  </cols>
  <sheetData>
    <row r="1" spans="1:4" ht="20.65" x14ac:dyDescent="0.6">
      <c r="A1" s="9" t="s">
        <v>352</v>
      </c>
    </row>
    <row r="2" spans="1:4" x14ac:dyDescent="0.6">
      <c r="A2" s="8" t="s">
        <v>353</v>
      </c>
    </row>
    <row r="4" spans="1:4" x14ac:dyDescent="0.6">
      <c r="A4" s="5" t="s">
        <v>354</v>
      </c>
    </row>
    <row r="5" spans="1:4" x14ac:dyDescent="0.6">
      <c r="A5" s="6" t="s">
        <v>355</v>
      </c>
    </row>
    <row r="6" spans="1:4" x14ac:dyDescent="0.6">
      <c r="A6" s="6" t="s">
        <v>356</v>
      </c>
    </row>
    <row r="7" spans="1:4" x14ac:dyDescent="0.6">
      <c r="A7" s="6" t="s">
        <v>357</v>
      </c>
    </row>
    <row r="8" spans="1:4" x14ac:dyDescent="0.6">
      <c r="A8" s="6"/>
    </row>
    <row r="9" spans="1:4" x14ac:dyDescent="0.6">
      <c r="A9" s="6" t="s">
        <v>358</v>
      </c>
    </row>
    <row r="10" spans="1:4" x14ac:dyDescent="0.6">
      <c r="A10" s="6" t="s">
        <v>359</v>
      </c>
    </row>
    <row r="12" spans="1:4" x14ac:dyDescent="0.6">
      <c r="A12" s="5" t="s">
        <v>360</v>
      </c>
    </row>
    <row r="13" spans="1:4" ht="28.05" customHeight="1" x14ac:dyDescent="0.6">
      <c r="A13" s="10" t="s">
        <v>361</v>
      </c>
      <c r="B13" s="10" t="s">
        <v>362</v>
      </c>
      <c r="C13" s="10" t="s">
        <v>363</v>
      </c>
      <c r="D13" s="10" t="s">
        <v>364</v>
      </c>
    </row>
    <row r="14" spans="1:4" ht="25.5" x14ac:dyDescent="0.6">
      <c r="A14" s="15" t="s">
        <v>365</v>
      </c>
      <c r="B14" s="16" t="s">
        <v>366</v>
      </c>
      <c r="C14" s="16" t="s">
        <v>367</v>
      </c>
      <c r="D14" s="16" t="s">
        <v>368</v>
      </c>
    </row>
    <row r="15" spans="1:4" x14ac:dyDescent="0.6">
      <c r="A15" s="13" t="s">
        <v>369</v>
      </c>
      <c r="B15" s="14" t="s">
        <v>370</v>
      </c>
      <c r="C15" s="14" t="s">
        <v>367</v>
      </c>
      <c r="D15" s="14" t="s">
        <v>371</v>
      </c>
    </row>
    <row r="16" spans="1:4" x14ac:dyDescent="0.6">
      <c r="A16" s="15" t="s">
        <v>372</v>
      </c>
      <c r="B16" s="16" t="s">
        <v>373</v>
      </c>
      <c r="C16" s="16" t="s">
        <v>374</v>
      </c>
      <c r="D16" s="16" t="s">
        <v>375</v>
      </c>
    </row>
    <row r="17" spans="1:4" x14ac:dyDescent="0.6">
      <c r="A17" s="13" t="s">
        <v>376</v>
      </c>
      <c r="B17" s="14" t="s">
        <v>377</v>
      </c>
      <c r="C17" s="14" t="s">
        <v>378</v>
      </c>
      <c r="D17" s="14" t="s">
        <v>379</v>
      </c>
    </row>
    <row r="18" spans="1:4" x14ac:dyDescent="0.6">
      <c r="A18" s="11" t="s">
        <v>380</v>
      </c>
      <c r="B18" s="12" t="s">
        <v>381</v>
      </c>
      <c r="C18" s="12" t="s">
        <v>382</v>
      </c>
      <c r="D18" s="12" t="s">
        <v>383</v>
      </c>
    </row>
    <row r="19" spans="1:4" x14ac:dyDescent="0.6">
      <c r="A19" s="13" t="s">
        <v>384</v>
      </c>
      <c r="B19" s="14" t="s">
        <v>385</v>
      </c>
      <c r="C19" s="14" t="s">
        <v>386</v>
      </c>
      <c r="D19" s="14" t="s">
        <v>387</v>
      </c>
    </row>
    <row r="22" spans="1:4" x14ac:dyDescent="0.6">
      <c r="A22" s="8" t="s">
        <v>388</v>
      </c>
    </row>
    <row r="24" spans="1:4" x14ac:dyDescent="0.6">
      <c r="A24" s="5" t="s">
        <v>389</v>
      </c>
    </row>
    <row r="25" spans="1:4" x14ac:dyDescent="0.6">
      <c r="A25" s="7" t="s">
        <v>390</v>
      </c>
    </row>
    <row r="26" spans="1:4" x14ac:dyDescent="0.6">
      <c r="A26" s="7" t="s">
        <v>391</v>
      </c>
    </row>
    <row r="27" spans="1:4" x14ac:dyDescent="0.6">
      <c r="A27" s="7" t="s">
        <v>392</v>
      </c>
    </row>
    <row r="29" spans="1:4" x14ac:dyDescent="0.6">
      <c r="A29" s="8" t="s">
        <v>393</v>
      </c>
    </row>
    <row r="31" spans="1:4" x14ac:dyDescent="0.6">
      <c r="A31" s="5" t="s">
        <v>394</v>
      </c>
    </row>
    <row r="32" spans="1:4" ht="28.05" customHeight="1" x14ac:dyDescent="0.6">
      <c r="A32" s="10" t="s">
        <v>395</v>
      </c>
      <c r="B32" s="10" t="s">
        <v>8</v>
      </c>
      <c r="C32" s="10" t="s">
        <v>396</v>
      </c>
      <c r="D32" s="10" t="s">
        <v>397</v>
      </c>
    </row>
    <row r="33" spans="1:4" ht="25.5" x14ac:dyDescent="0.6">
      <c r="A33" s="11" t="s">
        <v>398</v>
      </c>
      <c r="B33" s="11" t="s">
        <v>399</v>
      </c>
      <c r="C33" s="12" t="s">
        <v>400</v>
      </c>
      <c r="D33" s="12" t="s">
        <v>401</v>
      </c>
    </row>
    <row r="34" spans="1:4" ht="38.25" x14ac:dyDescent="0.6">
      <c r="A34" s="13" t="s">
        <v>402</v>
      </c>
      <c r="B34" s="13" t="s">
        <v>403</v>
      </c>
      <c r="C34" s="14" t="s">
        <v>404</v>
      </c>
      <c r="D34" s="14" t="s">
        <v>405</v>
      </c>
    </row>
    <row r="35" spans="1:4" ht="38.25" x14ac:dyDescent="0.6">
      <c r="A35" s="15" t="s">
        <v>406</v>
      </c>
      <c r="B35" s="15" t="s">
        <v>407</v>
      </c>
      <c r="C35" s="16" t="s">
        <v>408</v>
      </c>
      <c r="D35" s="16" t="s">
        <v>409</v>
      </c>
    </row>
    <row r="36" spans="1:4" ht="25.5" x14ac:dyDescent="0.6">
      <c r="A36" s="13" t="s">
        <v>410</v>
      </c>
      <c r="B36" s="13" t="s">
        <v>407</v>
      </c>
      <c r="C36" s="14" t="s">
        <v>411</v>
      </c>
      <c r="D36" s="14" t="s">
        <v>412</v>
      </c>
    </row>
    <row r="38" spans="1:4" x14ac:dyDescent="0.6">
      <c r="A38" s="8" t="s">
        <v>413</v>
      </c>
    </row>
    <row r="40" spans="1:4" x14ac:dyDescent="0.6">
      <c r="A40" s="5" t="s">
        <v>414</v>
      </c>
    </row>
    <row r="41" spans="1:4" x14ac:dyDescent="0.6">
      <c r="A41" s="6" t="s">
        <v>415</v>
      </c>
    </row>
    <row r="42" spans="1:4" x14ac:dyDescent="0.6">
      <c r="A42" s="6" t="s">
        <v>416</v>
      </c>
    </row>
    <row r="44" spans="1:4" ht="28.05" customHeight="1" x14ac:dyDescent="0.6">
      <c r="A44" s="10" t="s">
        <v>417</v>
      </c>
      <c r="B44" s="10" t="s">
        <v>8</v>
      </c>
      <c r="C44" s="10" t="s">
        <v>418</v>
      </c>
    </row>
    <row r="45" spans="1:4" ht="25.5" x14ac:dyDescent="0.6">
      <c r="A45" s="15" t="s">
        <v>419</v>
      </c>
      <c r="B45" s="15" t="s">
        <v>420</v>
      </c>
      <c r="C45" s="16" t="s">
        <v>421</v>
      </c>
    </row>
    <row r="46" spans="1:4" ht="38.25" x14ac:dyDescent="0.6">
      <c r="A46" s="13" t="s">
        <v>422</v>
      </c>
      <c r="B46" s="13" t="s">
        <v>420</v>
      </c>
      <c r="C46" s="14" t="s">
        <v>423</v>
      </c>
    </row>
    <row r="47" spans="1:4" ht="38.25" x14ac:dyDescent="0.6">
      <c r="A47" s="11" t="s">
        <v>424</v>
      </c>
      <c r="B47" s="11" t="s">
        <v>425</v>
      </c>
      <c r="C47" s="12" t="s">
        <v>426</v>
      </c>
    </row>
    <row r="48" spans="1:4" ht="25.5" x14ac:dyDescent="0.6">
      <c r="A48" s="13" t="s">
        <v>427</v>
      </c>
      <c r="B48" s="13" t="s">
        <v>428</v>
      </c>
      <c r="C48" s="14" t="s">
        <v>429</v>
      </c>
    </row>
    <row r="51" spans="1:2" x14ac:dyDescent="0.6">
      <c r="A51" s="8" t="s">
        <v>430</v>
      </c>
    </row>
    <row r="53" spans="1:2" x14ac:dyDescent="0.6">
      <c r="A53" s="5" t="s">
        <v>431</v>
      </c>
    </row>
    <row r="54" spans="1:2" ht="28.05" customHeight="1" x14ac:dyDescent="0.6">
      <c r="A54" s="10" t="s">
        <v>432</v>
      </c>
      <c r="B54" s="10" t="s">
        <v>433</v>
      </c>
    </row>
    <row r="55" spans="1:2" ht="25.5" x14ac:dyDescent="0.6">
      <c r="A55" s="16" t="s">
        <v>434</v>
      </c>
      <c r="B55" s="16" t="s">
        <v>435</v>
      </c>
    </row>
    <row r="56" spans="1:2" ht="25.5" x14ac:dyDescent="0.6">
      <c r="A56" s="14" t="s">
        <v>436</v>
      </c>
      <c r="B56" s="14" t="s">
        <v>437</v>
      </c>
    </row>
    <row r="57" spans="1:2" ht="25.5" x14ac:dyDescent="0.6">
      <c r="A57" s="16" t="s">
        <v>438</v>
      </c>
      <c r="B57" s="16" t="s">
        <v>439</v>
      </c>
    </row>
    <row r="58" spans="1:2" x14ac:dyDescent="0.6">
      <c r="A58" s="14" t="s">
        <v>440</v>
      </c>
      <c r="B58" s="14" t="s">
        <v>441</v>
      </c>
    </row>
    <row r="60" spans="1:2" x14ac:dyDescent="0.6">
      <c r="A60" s="8" t="s">
        <v>442</v>
      </c>
    </row>
    <row r="61" spans="1:2" x14ac:dyDescent="0.6">
      <c r="A61" s="3" t="s">
        <v>73</v>
      </c>
    </row>
    <row r="62" spans="1:2" x14ac:dyDescent="0.6">
      <c r="A62" s="17" t="s">
        <v>74</v>
      </c>
    </row>
    <row r="63" spans="1:2" x14ac:dyDescent="0.6">
      <c r="A63" s="18" t="s">
        <v>75</v>
      </c>
    </row>
    <row r="64" spans="1:2" x14ac:dyDescent="0.6">
      <c r="A64" s="19" t="s">
        <v>76</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6"/>
  <sheetViews>
    <sheetView showGridLines="0" workbookViewId="0">
      <pane ySplit="4" topLeftCell="A5" activePane="bottomLeft" state="frozen"/>
      <selection pane="bottomLeft"/>
    </sheetView>
  </sheetViews>
  <sheetFormatPr defaultRowHeight="16.899999999999999" x14ac:dyDescent="0.6"/>
  <cols>
    <col min="1" max="1" width="40" customWidth="1"/>
    <col min="2" max="3" width="44" customWidth="1"/>
    <col min="4" max="4" width="22" customWidth="1"/>
  </cols>
  <sheetData>
    <row r="1" spans="1:1" ht="20.65" x14ac:dyDescent="0.6">
      <c r="A1" s="9" t="s">
        <v>443</v>
      </c>
    </row>
    <row r="2" spans="1:1" x14ac:dyDescent="0.6">
      <c r="A2" s="8" t="s">
        <v>444</v>
      </c>
    </row>
    <row r="4" spans="1:1" x14ac:dyDescent="0.6">
      <c r="A4" s="5" t="s">
        <v>445</v>
      </c>
    </row>
    <row r="5" spans="1:1" x14ac:dyDescent="0.6">
      <c r="A5" s="7" t="s">
        <v>446</v>
      </c>
    </row>
    <row r="6" spans="1:1" x14ac:dyDescent="0.6">
      <c r="A6" s="7" t="s">
        <v>447</v>
      </c>
    </row>
    <row r="7" spans="1:1" x14ac:dyDescent="0.6">
      <c r="A7" s="7" t="s">
        <v>448</v>
      </c>
    </row>
    <row r="8" spans="1:1" x14ac:dyDescent="0.6">
      <c r="A8" s="6"/>
    </row>
    <row r="9" spans="1:1" x14ac:dyDescent="0.6">
      <c r="A9" s="7" t="s">
        <v>449</v>
      </c>
    </row>
    <row r="10" spans="1:1" x14ac:dyDescent="0.6">
      <c r="A10" s="7" t="s">
        <v>450</v>
      </c>
    </row>
    <row r="11" spans="1:1" x14ac:dyDescent="0.6">
      <c r="A11" s="7" t="s">
        <v>451</v>
      </c>
    </row>
    <row r="12" spans="1:1" x14ac:dyDescent="0.6">
      <c r="A12" s="7" t="s">
        <v>452</v>
      </c>
    </row>
    <row r="14" spans="1:1" x14ac:dyDescent="0.6">
      <c r="A14" s="8" t="s">
        <v>453</v>
      </c>
    </row>
    <row r="16" spans="1:1" x14ac:dyDescent="0.6">
      <c r="A16" s="5" t="s">
        <v>454</v>
      </c>
    </row>
    <row r="17" spans="1:3" ht="28.05" customHeight="1" x14ac:dyDescent="0.6">
      <c r="A17" s="10" t="s">
        <v>85</v>
      </c>
      <c r="B17" s="10" t="s">
        <v>455</v>
      </c>
      <c r="C17" s="10" t="s">
        <v>456</v>
      </c>
    </row>
    <row r="18" spans="1:3" ht="25.5" x14ac:dyDescent="0.6">
      <c r="A18" s="15" t="s">
        <v>457</v>
      </c>
      <c r="B18" s="16" t="s">
        <v>458</v>
      </c>
      <c r="C18" s="15" t="s">
        <v>116</v>
      </c>
    </row>
    <row r="19" spans="1:3" ht="76.5" x14ac:dyDescent="0.6">
      <c r="A19" s="13" t="s">
        <v>459</v>
      </c>
      <c r="B19" s="14" t="s">
        <v>460</v>
      </c>
      <c r="C19" s="13" t="s">
        <v>461</v>
      </c>
    </row>
    <row r="20" spans="1:3" ht="38.25" x14ac:dyDescent="0.6">
      <c r="A20" s="15" t="s">
        <v>462</v>
      </c>
      <c r="B20" s="16" t="s">
        <v>463</v>
      </c>
      <c r="C20" s="15" t="s">
        <v>461</v>
      </c>
    </row>
    <row r="21" spans="1:3" ht="51" x14ac:dyDescent="0.6">
      <c r="A21" s="13" t="s">
        <v>464</v>
      </c>
      <c r="B21" s="14" t="s">
        <v>465</v>
      </c>
      <c r="C21" s="13" t="s">
        <v>259</v>
      </c>
    </row>
    <row r="22" spans="1:3" ht="38.25" x14ac:dyDescent="0.6">
      <c r="A22" s="15" t="s">
        <v>466</v>
      </c>
      <c r="B22" s="16" t="s">
        <v>467</v>
      </c>
      <c r="C22" s="15" t="s">
        <v>218</v>
      </c>
    </row>
    <row r="23" spans="1:3" ht="25.5" x14ac:dyDescent="0.6">
      <c r="A23" s="13" t="s">
        <v>468</v>
      </c>
      <c r="B23" s="14" t="s">
        <v>469</v>
      </c>
      <c r="C23" s="13" t="s">
        <v>116</v>
      </c>
    </row>
    <row r="26" spans="1:3" x14ac:dyDescent="0.6">
      <c r="A26" s="5" t="s">
        <v>470</v>
      </c>
    </row>
    <row r="27" spans="1:3" x14ac:dyDescent="0.6">
      <c r="A27" s="6" t="s">
        <v>471</v>
      </c>
    </row>
    <row r="28" spans="1:3" x14ac:dyDescent="0.6">
      <c r="A28" s="6" t="s">
        <v>472</v>
      </c>
    </row>
    <row r="29" spans="1:3" x14ac:dyDescent="0.6">
      <c r="A29" s="6"/>
    </row>
    <row r="30" spans="1:3" x14ac:dyDescent="0.6">
      <c r="A30" s="7" t="s">
        <v>473</v>
      </c>
    </row>
    <row r="31" spans="1:3" x14ac:dyDescent="0.6">
      <c r="A31" s="7" t="s">
        <v>474</v>
      </c>
    </row>
    <row r="32" spans="1:3" x14ac:dyDescent="0.6">
      <c r="A32" s="7" t="s">
        <v>475</v>
      </c>
    </row>
    <row r="33" spans="1:2" x14ac:dyDescent="0.6">
      <c r="A33" s="7" t="s">
        <v>476</v>
      </c>
    </row>
    <row r="34" spans="1:2" x14ac:dyDescent="0.6">
      <c r="A34" s="7" t="s">
        <v>477</v>
      </c>
    </row>
    <row r="35" spans="1:2" x14ac:dyDescent="0.6">
      <c r="A35" s="7" t="s">
        <v>478</v>
      </c>
    </row>
    <row r="36" spans="1:2" x14ac:dyDescent="0.6">
      <c r="A36" s="7" t="s">
        <v>479</v>
      </c>
    </row>
    <row r="37" spans="1:2" x14ac:dyDescent="0.6">
      <c r="A37" s="7" t="s">
        <v>480</v>
      </c>
    </row>
    <row r="39" spans="1:2" ht="28.05" customHeight="1" x14ac:dyDescent="0.6">
      <c r="A39" s="10" t="s">
        <v>481</v>
      </c>
      <c r="B39" s="10" t="s">
        <v>482</v>
      </c>
    </row>
    <row r="40" spans="1:2" ht="51" x14ac:dyDescent="0.6">
      <c r="A40" s="16" t="s">
        <v>483</v>
      </c>
      <c r="B40" s="16" t="s">
        <v>484</v>
      </c>
    </row>
    <row r="41" spans="1:2" ht="38.25" x14ac:dyDescent="0.6">
      <c r="A41" s="14" t="s">
        <v>485</v>
      </c>
      <c r="B41" s="14" t="s">
        <v>486</v>
      </c>
    </row>
    <row r="42" spans="1:2" ht="25.5" x14ac:dyDescent="0.6">
      <c r="A42" s="16" t="s">
        <v>487</v>
      </c>
      <c r="B42" s="16" t="s">
        <v>488</v>
      </c>
    </row>
    <row r="43" spans="1:2" ht="51" x14ac:dyDescent="0.6">
      <c r="A43" s="14" t="s">
        <v>489</v>
      </c>
      <c r="B43" s="14" t="s">
        <v>490</v>
      </c>
    </row>
    <row r="45" spans="1:2" x14ac:dyDescent="0.6">
      <c r="A45" s="8" t="s">
        <v>491</v>
      </c>
    </row>
    <row r="47" spans="1:2" x14ac:dyDescent="0.6">
      <c r="A47" s="5" t="s">
        <v>492</v>
      </c>
    </row>
    <row r="48" spans="1:2" x14ac:dyDescent="0.6">
      <c r="A48" s="6" t="s">
        <v>493</v>
      </c>
    </row>
    <row r="49" spans="1:4" x14ac:dyDescent="0.6">
      <c r="A49" s="6" t="s">
        <v>494</v>
      </c>
    </row>
    <row r="50" spans="1:4" x14ac:dyDescent="0.6">
      <c r="A50" s="6" t="s">
        <v>495</v>
      </c>
    </row>
    <row r="51" spans="1:4" x14ac:dyDescent="0.6">
      <c r="A51" s="6"/>
    </row>
    <row r="52" spans="1:4" x14ac:dyDescent="0.6">
      <c r="A52" s="6" t="s">
        <v>496</v>
      </c>
    </row>
    <row r="53" spans="1:4" x14ac:dyDescent="0.6">
      <c r="A53" s="6" t="s">
        <v>497</v>
      </c>
    </row>
    <row r="55" spans="1:4" x14ac:dyDescent="0.6">
      <c r="A55" s="8" t="s">
        <v>498</v>
      </c>
    </row>
    <row r="57" spans="1:4" x14ac:dyDescent="0.6">
      <c r="A57" s="5" t="s">
        <v>499</v>
      </c>
    </row>
    <row r="58" spans="1:4" ht="28.05" customHeight="1" x14ac:dyDescent="0.6">
      <c r="A58" s="10" t="s">
        <v>500</v>
      </c>
      <c r="B58" s="10" t="s">
        <v>175</v>
      </c>
      <c r="C58" s="10" t="s">
        <v>501</v>
      </c>
      <c r="D58" s="10" t="s">
        <v>502</v>
      </c>
    </row>
    <row r="59" spans="1:4" ht="25.5" x14ac:dyDescent="0.6">
      <c r="A59" s="15" t="s">
        <v>503</v>
      </c>
      <c r="B59" s="15" t="s">
        <v>504</v>
      </c>
      <c r="C59" s="16" t="s">
        <v>505</v>
      </c>
      <c r="D59" s="15" t="s">
        <v>506</v>
      </c>
    </row>
    <row r="60" spans="1:4" ht="25.5" x14ac:dyDescent="0.6">
      <c r="A60" s="13" t="s">
        <v>507</v>
      </c>
      <c r="B60" s="13" t="s">
        <v>508</v>
      </c>
      <c r="C60" s="14" t="s">
        <v>509</v>
      </c>
      <c r="D60" s="13" t="s">
        <v>510</v>
      </c>
    </row>
    <row r="61" spans="1:4" ht="25.5" x14ac:dyDescent="0.6">
      <c r="A61" s="15" t="s">
        <v>511</v>
      </c>
      <c r="B61" s="15" t="s">
        <v>512</v>
      </c>
      <c r="C61" s="16" t="s">
        <v>513</v>
      </c>
      <c r="D61" s="15" t="s">
        <v>514</v>
      </c>
    </row>
    <row r="62" spans="1:4" ht="51" x14ac:dyDescent="0.6">
      <c r="A62" s="13" t="s">
        <v>515</v>
      </c>
      <c r="B62" s="13" t="s">
        <v>516</v>
      </c>
      <c r="C62" s="14" t="s">
        <v>517</v>
      </c>
      <c r="D62" s="13" t="s">
        <v>518</v>
      </c>
    </row>
    <row r="64" spans="1:4" x14ac:dyDescent="0.6">
      <c r="A64" s="8" t="s">
        <v>519</v>
      </c>
    </row>
    <row r="66" spans="1:3" x14ac:dyDescent="0.6">
      <c r="A66" s="5" t="s">
        <v>520</v>
      </c>
    </row>
    <row r="67" spans="1:3" x14ac:dyDescent="0.6">
      <c r="A67" s="8" t="s">
        <v>521</v>
      </c>
    </row>
    <row r="69" spans="1:3" x14ac:dyDescent="0.6">
      <c r="A69" s="5" t="s">
        <v>522</v>
      </c>
    </row>
    <row r="70" spans="1:3" ht="28.05" customHeight="1" x14ac:dyDescent="0.6">
      <c r="A70" s="10" t="s">
        <v>523</v>
      </c>
      <c r="B70" s="10" t="s">
        <v>524</v>
      </c>
      <c r="C70" s="10" t="s">
        <v>150</v>
      </c>
    </row>
    <row r="71" spans="1:3" x14ac:dyDescent="0.6">
      <c r="A71" s="15" t="s">
        <v>503</v>
      </c>
      <c r="B71" s="16" t="s">
        <v>525</v>
      </c>
      <c r="C71" s="16" t="s">
        <v>526</v>
      </c>
    </row>
    <row r="72" spans="1:3" ht="25.5" x14ac:dyDescent="0.6">
      <c r="A72" s="13" t="s">
        <v>507</v>
      </c>
      <c r="B72" s="14" t="s">
        <v>527</v>
      </c>
      <c r="C72" s="14" t="s">
        <v>528</v>
      </c>
    </row>
    <row r="73" spans="1:3" x14ac:dyDescent="0.6">
      <c r="A73" s="15" t="s">
        <v>511</v>
      </c>
      <c r="B73" s="16" t="s">
        <v>529</v>
      </c>
      <c r="C73" s="16" t="s">
        <v>530</v>
      </c>
    </row>
    <row r="74" spans="1:3" ht="38.25" x14ac:dyDescent="0.6">
      <c r="A74" s="13" t="s">
        <v>515</v>
      </c>
      <c r="B74" s="14" t="s">
        <v>531</v>
      </c>
      <c r="C74" s="14" t="s">
        <v>532</v>
      </c>
    </row>
    <row r="75" spans="1:3" ht="38.25" x14ac:dyDescent="0.6">
      <c r="A75" s="15" t="s">
        <v>533</v>
      </c>
      <c r="B75" s="16" t="s">
        <v>534</v>
      </c>
      <c r="C75" s="16" t="s">
        <v>535</v>
      </c>
    </row>
    <row r="78" spans="1:3" x14ac:dyDescent="0.6">
      <c r="A78" s="8" t="s">
        <v>536</v>
      </c>
    </row>
    <row r="80" spans="1:3" x14ac:dyDescent="0.6">
      <c r="A80" s="5" t="s">
        <v>537</v>
      </c>
    </row>
    <row r="81" spans="1:4" ht="28.05" customHeight="1" x14ac:dyDescent="0.6">
      <c r="A81" s="10" t="s">
        <v>538</v>
      </c>
      <c r="B81" s="10" t="s">
        <v>539</v>
      </c>
      <c r="C81" s="10" t="s">
        <v>540</v>
      </c>
    </row>
    <row r="82" spans="1:4" ht="25.5" x14ac:dyDescent="0.6">
      <c r="A82" s="15" t="s">
        <v>541</v>
      </c>
      <c r="B82" s="16" t="s">
        <v>542</v>
      </c>
      <c r="C82" s="16" t="s">
        <v>543</v>
      </c>
    </row>
    <row r="83" spans="1:4" ht="25.5" x14ac:dyDescent="0.6">
      <c r="A83" s="13" t="s">
        <v>544</v>
      </c>
      <c r="B83" s="14" t="s">
        <v>545</v>
      </c>
      <c r="C83" s="14" t="s">
        <v>546</v>
      </c>
    </row>
    <row r="84" spans="1:4" x14ac:dyDescent="0.6">
      <c r="A84" s="15" t="s">
        <v>547</v>
      </c>
      <c r="B84" s="16" t="s">
        <v>548</v>
      </c>
      <c r="C84" s="16" t="s">
        <v>549</v>
      </c>
    </row>
    <row r="85" spans="1:4" ht="38.25" x14ac:dyDescent="0.6">
      <c r="A85" s="11" t="s">
        <v>550</v>
      </c>
      <c r="B85" s="12" t="s">
        <v>551</v>
      </c>
      <c r="C85" s="12" t="s">
        <v>552</v>
      </c>
    </row>
    <row r="86" spans="1:4" ht="25.5" x14ac:dyDescent="0.6">
      <c r="A86" s="11" t="s">
        <v>553</v>
      </c>
      <c r="B86" s="12" t="s">
        <v>554</v>
      </c>
      <c r="C86" s="12" t="s">
        <v>555</v>
      </c>
    </row>
    <row r="89" spans="1:4" x14ac:dyDescent="0.6">
      <c r="A89" s="8" t="s">
        <v>556</v>
      </c>
    </row>
    <row r="91" spans="1:4" x14ac:dyDescent="0.6">
      <c r="A91" s="5" t="s">
        <v>557</v>
      </c>
    </row>
    <row r="92" spans="1:4" x14ac:dyDescent="0.6">
      <c r="A92" s="6" t="s">
        <v>558</v>
      </c>
    </row>
    <row r="93" spans="1:4" x14ac:dyDescent="0.6">
      <c r="A93" s="6" t="s">
        <v>559</v>
      </c>
    </row>
    <row r="94" spans="1:4" x14ac:dyDescent="0.6">
      <c r="A94" s="6" t="s">
        <v>560</v>
      </c>
    </row>
    <row r="96" spans="1:4" ht="28.05" customHeight="1" x14ac:dyDescent="0.6">
      <c r="A96" s="10" t="s">
        <v>395</v>
      </c>
      <c r="B96" s="10" t="s">
        <v>396</v>
      </c>
      <c r="C96" s="10" t="s">
        <v>397</v>
      </c>
      <c r="D96" s="10" t="s">
        <v>8</v>
      </c>
    </row>
    <row r="97" spans="1:4" x14ac:dyDescent="0.6">
      <c r="A97" s="15" t="s">
        <v>561</v>
      </c>
      <c r="B97" s="16" t="s">
        <v>562</v>
      </c>
      <c r="C97" s="16" t="s">
        <v>563</v>
      </c>
      <c r="D97" s="15" t="s">
        <v>407</v>
      </c>
    </row>
    <row r="98" spans="1:4" x14ac:dyDescent="0.6">
      <c r="A98" s="13" t="s">
        <v>564</v>
      </c>
      <c r="B98" s="14" t="s">
        <v>565</v>
      </c>
      <c r="C98" s="14" t="s">
        <v>566</v>
      </c>
      <c r="D98" s="13" t="s">
        <v>407</v>
      </c>
    </row>
    <row r="99" spans="1:4" ht="25.5" x14ac:dyDescent="0.6">
      <c r="A99" s="11" t="s">
        <v>567</v>
      </c>
      <c r="B99" s="12" t="s">
        <v>568</v>
      </c>
      <c r="C99" s="12" t="s">
        <v>569</v>
      </c>
      <c r="D99" s="11" t="s">
        <v>570</v>
      </c>
    </row>
    <row r="100" spans="1:4" ht="25.5" x14ac:dyDescent="0.6">
      <c r="A100" s="13" t="s">
        <v>571</v>
      </c>
      <c r="B100" s="14" t="s">
        <v>572</v>
      </c>
      <c r="C100" s="14" t="s">
        <v>573</v>
      </c>
      <c r="D100" s="13" t="s">
        <v>407</v>
      </c>
    </row>
    <row r="102" spans="1:4" x14ac:dyDescent="0.6">
      <c r="A102" s="8" t="s">
        <v>574</v>
      </c>
    </row>
    <row r="103" spans="1:4" x14ac:dyDescent="0.6">
      <c r="A103" s="3" t="s">
        <v>73</v>
      </c>
    </row>
    <row r="104" spans="1:4" x14ac:dyDescent="0.6">
      <c r="A104" s="17" t="s">
        <v>74</v>
      </c>
    </row>
    <row r="105" spans="1:4" x14ac:dyDescent="0.6">
      <c r="A105" s="18" t="s">
        <v>75</v>
      </c>
    </row>
    <row r="106" spans="1:4" x14ac:dyDescent="0.6">
      <c r="A106" s="19" t="s">
        <v>76</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1"/>
  <sheetViews>
    <sheetView showGridLines="0" workbookViewId="0">
      <pane ySplit="4" topLeftCell="A5" activePane="bottomLeft" state="frozen"/>
      <selection pane="bottomLeft"/>
    </sheetView>
  </sheetViews>
  <sheetFormatPr defaultRowHeight="16.899999999999999" x14ac:dyDescent="0.6"/>
  <cols>
    <col min="1" max="1" width="46" customWidth="1"/>
    <col min="2" max="2" width="100" customWidth="1"/>
    <col min="3" max="3" width="16" customWidth="1"/>
    <col min="4" max="4" width="40" customWidth="1"/>
  </cols>
  <sheetData>
    <row r="1" spans="1:3" ht="20.65" x14ac:dyDescent="0.6">
      <c r="A1" s="9" t="s">
        <v>575</v>
      </c>
    </row>
    <row r="2" spans="1:3" x14ac:dyDescent="0.6">
      <c r="A2" s="8" t="s">
        <v>576</v>
      </c>
    </row>
    <row r="4" spans="1:3" x14ac:dyDescent="0.6">
      <c r="A4" s="5" t="s">
        <v>577</v>
      </c>
    </row>
    <row r="5" spans="1:3" x14ac:dyDescent="0.6">
      <c r="A5" s="6" t="s">
        <v>578</v>
      </c>
    </row>
    <row r="6" spans="1:3" x14ac:dyDescent="0.6">
      <c r="A6" s="6"/>
    </row>
    <row r="7" spans="1:3" x14ac:dyDescent="0.6">
      <c r="A7" s="6" t="s">
        <v>579</v>
      </c>
    </row>
    <row r="8" spans="1:3" x14ac:dyDescent="0.6">
      <c r="A8" s="6" t="s">
        <v>580</v>
      </c>
    </row>
    <row r="10" spans="1:3" ht="28.05" customHeight="1" x14ac:dyDescent="0.6">
      <c r="A10" s="10" t="s">
        <v>581</v>
      </c>
      <c r="B10" s="10" t="s">
        <v>396</v>
      </c>
      <c r="C10" s="10" t="s">
        <v>397</v>
      </c>
    </row>
    <row r="11" spans="1:3" ht="127.5" x14ac:dyDescent="0.6">
      <c r="A11" s="15" t="s">
        <v>582</v>
      </c>
      <c r="B11" s="16" t="s">
        <v>583</v>
      </c>
      <c r="C11" s="16" t="s">
        <v>584</v>
      </c>
    </row>
    <row r="12" spans="1:3" ht="165.75" x14ac:dyDescent="0.6">
      <c r="A12" s="11" t="s">
        <v>585</v>
      </c>
      <c r="B12" s="12" t="s">
        <v>586</v>
      </c>
      <c r="C12" s="12" t="s">
        <v>587</v>
      </c>
    </row>
    <row r="14" spans="1:3" x14ac:dyDescent="0.6">
      <c r="A14" s="8" t="s">
        <v>588</v>
      </c>
    </row>
    <row r="16" spans="1:3" x14ac:dyDescent="0.6">
      <c r="A16" s="5" t="s">
        <v>589</v>
      </c>
    </row>
    <row r="17" spans="1:4" ht="28.05" customHeight="1" x14ac:dyDescent="0.6">
      <c r="A17" s="10" t="s">
        <v>590</v>
      </c>
      <c r="B17" s="10" t="s">
        <v>63</v>
      </c>
      <c r="C17" s="10" t="s">
        <v>591</v>
      </c>
      <c r="D17" s="10" t="s">
        <v>592</v>
      </c>
    </row>
    <row r="18" spans="1:4" ht="76.5" x14ac:dyDescent="0.6">
      <c r="A18" s="15" t="s">
        <v>593</v>
      </c>
      <c r="B18" s="16" t="s">
        <v>594</v>
      </c>
      <c r="C18" s="16" t="s">
        <v>595</v>
      </c>
      <c r="D18" s="16" t="s">
        <v>596</v>
      </c>
    </row>
    <row r="19" spans="1:4" ht="63.75" x14ac:dyDescent="0.6">
      <c r="A19" s="13" t="s">
        <v>597</v>
      </c>
      <c r="B19" s="14" t="s">
        <v>598</v>
      </c>
      <c r="C19" s="14" t="s">
        <v>599</v>
      </c>
      <c r="D19" s="14" t="s">
        <v>600</v>
      </c>
    </row>
    <row r="20" spans="1:4" ht="89.25" x14ac:dyDescent="0.6">
      <c r="A20" s="15" t="s">
        <v>601</v>
      </c>
      <c r="B20" s="16" t="s">
        <v>602</v>
      </c>
      <c r="C20" s="16" t="s">
        <v>603</v>
      </c>
      <c r="D20" s="16" t="s">
        <v>604</v>
      </c>
    </row>
    <row r="21" spans="1:4" ht="89.25" x14ac:dyDescent="0.6">
      <c r="A21" s="13" t="s">
        <v>605</v>
      </c>
      <c r="B21" s="14" t="s">
        <v>606</v>
      </c>
      <c r="C21" s="14" t="s">
        <v>607</v>
      </c>
      <c r="D21" s="14" t="s">
        <v>608</v>
      </c>
    </row>
    <row r="24" spans="1:4" x14ac:dyDescent="0.6">
      <c r="A24" s="8" t="s">
        <v>609</v>
      </c>
    </row>
    <row r="26" spans="1:4" x14ac:dyDescent="0.6">
      <c r="A26" s="5" t="s">
        <v>610</v>
      </c>
    </row>
    <row r="27" spans="1:4" ht="28.05" customHeight="1" x14ac:dyDescent="0.6">
      <c r="A27" s="10" t="s">
        <v>523</v>
      </c>
      <c r="B27" s="10" t="s">
        <v>611</v>
      </c>
      <c r="C27" s="10" t="s">
        <v>612</v>
      </c>
    </row>
    <row r="28" spans="1:4" ht="127.5" x14ac:dyDescent="0.6">
      <c r="A28" s="15" t="s">
        <v>503</v>
      </c>
      <c r="B28" s="16" t="s">
        <v>613</v>
      </c>
      <c r="C28" s="16" t="s">
        <v>614</v>
      </c>
    </row>
    <row r="29" spans="1:4" ht="114.75" x14ac:dyDescent="0.6">
      <c r="A29" s="13" t="s">
        <v>507</v>
      </c>
      <c r="B29" s="14" t="s">
        <v>615</v>
      </c>
      <c r="C29" s="14" t="s">
        <v>616</v>
      </c>
    </row>
    <row r="30" spans="1:4" ht="89.25" x14ac:dyDescent="0.6">
      <c r="A30" s="15" t="s">
        <v>511</v>
      </c>
      <c r="B30" s="16" t="s">
        <v>617</v>
      </c>
      <c r="C30" s="16" t="s">
        <v>618</v>
      </c>
    </row>
    <row r="31" spans="1:4" ht="127.5" x14ac:dyDescent="0.6">
      <c r="A31" s="13" t="s">
        <v>515</v>
      </c>
      <c r="B31" s="14" t="s">
        <v>619</v>
      </c>
      <c r="C31" s="14" t="s">
        <v>620</v>
      </c>
    </row>
    <row r="32" spans="1:4" ht="102" x14ac:dyDescent="0.6">
      <c r="A32" s="15" t="s">
        <v>533</v>
      </c>
      <c r="B32" s="16" t="s">
        <v>621</v>
      </c>
      <c r="C32" s="16" t="s">
        <v>622</v>
      </c>
    </row>
    <row r="35" spans="1:3" x14ac:dyDescent="0.6">
      <c r="A35" s="5" t="s">
        <v>623</v>
      </c>
    </row>
    <row r="36" spans="1:3" x14ac:dyDescent="0.6">
      <c r="A36" s="6" t="s">
        <v>624</v>
      </c>
    </row>
    <row r="37" spans="1:3" x14ac:dyDescent="0.6">
      <c r="A37" s="6" t="s">
        <v>625</v>
      </c>
    </row>
    <row r="38" spans="1:3" x14ac:dyDescent="0.6">
      <c r="A38" s="6"/>
    </row>
    <row r="39" spans="1:3" x14ac:dyDescent="0.6">
      <c r="A39" s="7" t="s">
        <v>626</v>
      </c>
    </row>
    <row r="40" spans="1:3" x14ac:dyDescent="0.6">
      <c r="A40" s="7" t="s">
        <v>627</v>
      </c>
    </row>
    <row r="41" spans="1:3" x14ac:dyDescent="0.6">
      <c r="A41" s="6"/>
    </row>
    <row r="42" spans="1:3" x14ac:dyDescent="0.6">
      <c r="A42" s="6" t="s">
        <v>628</v>
      </c>
    </row>
    <row r="43" spans="1:3" x14ac:dyDescent="0.6">
      <c r="A43" s="6" t="s">
        <v>629</v>
      </c>
    </row>
    <row r="44" spans="1:3" x14ac:dyDescent="0.6">
      <c r="A44" s="6" t="s">
        <v>630</v>
      </c>
    </row>
    <row r="46" spans="1:3" ht="28.05" customHeight="1" x14ac:dyDescent="0.6">
      <c r="A46" s="10" t="s">
        <v>631</v>
      </c>
      <c r="B46" s="10" t="s">
        <v>632</v>
      </c>
      <c r="C46" s="10" t="s">
        <v>633</v>
      </c>
    </row>
    <row r="47" spans="1:3" ht="38.25" x14ac:dyDescent="0.6">
      <c r="A47" s="15" t="s">
        <v>634</v>
      </c>
      <c r="B47" s="16" t="s">
        <v>635</v>
      </c>
      <c r="C47" s="16" t="s">
        <v>636</v>
      </c>
    </row>
    <row r="48" spans="1:3" ht="63.75" x14ac:dyDescent="0.6">
      <c r="A48" s="13" t="s">
        <v>637</v>
      </c>
      <c r="B48" s="14" t="s">
        <v>638</v>
      </c>
      <c r="C48" s="14" t="s">
        <v>639</v>
      </c>
    </row>
    <row r="49" spans="1:3" ht="51" x14ac:dyDescent="0.6">
      <c r="A49" s="15" t="s">
        <v>640</v>
      </c>
      <c r="B49" s="16" t="s">
        <v>641</v>
      </c>
      <c r="C49" s="16" t="s">
        <v>642</v>
      </c>
    </row>
    <row r="50" spans="1:3" ht="38.25" x14ac:dyDescent="0.6">
      <c r="A50" s="11" t="s">
        <v>643</v>
      </c>
      <c r="B50" s="12" t="s">
        <v>644</v>
      </c>
      <c r="C50" s="12" t="s">
        <v>645</v>
      </c>
    </row>
    <row r="52" spans="1:3" x14ac:dyDescent="0.6">
      <c r="A52" s="8" t="s">
        <v>646</v>
      </c>
    </row>
    <row r="54" spans="1:3" x14ac:dyDescent="0.6">
      <c r="A54" s="5" t="s">
        <v>647</v>
      </c>
    </row>
    <row r="55" spans="1:3" x14ac:dyDescent="0.6">
      <c r="A55" s="6" t="s">
        <v>648</v>
      </c>
    </row>
    <row r="56" spans="1:3" x14ac:dyDescent="0.6">
      <c r="A56" s="6" t="s">
        <v>649</v>
      </c>
    </row>
    <row r="57" spans="1:3" x14ac:dyDescent="0.6">
      <c r="A57" s="6" t="s">
        <v>650</v>
      </c>
    </row>
    <row r="59" spans="1:3" ht="28.05" customHeight="1" x14ac:dyDescent="0.6">
      <c r="A59" s="10" t="s">
        <v>85</v>
      </c>
      <c r="B59" s="10" t="s">
        <v>539</v>
      </c>
      <c r="C59" s="10" t="s">
        <v>88</v>
      </c>
    </row>
    <row r="60" spans="1:3" ht="25.5" x14ac:dyDescent="0.6">
      <c r="A60" s="15" t="s">
        <v>651</v>
      </c>
      <c r="B60" s="16" t="s">
        <v>652</v>
      </c>
      <c r="C60" s="15" t="s">
        <v>653</v>
      </c>
    </row>
    <row r="61" spans="1:3" ht="25.5" x14ac:dyDescent="0.6">
      <c r="A61" s="13" t="s">
        <v>654</v>
      </c>
      <c r="B61" s="14" t="s">
        <v>655</v>
      </c>
      <c r="C61" s="13" t="s">
        <v>271</v>
      </c>
    </row>
    <row r="62" spans="1:3" ht="38.25" x14ac:dyDescent="0.6">
      <c r="A62" s="15" t="s">
        <v>656</v>
      </c>
      <c r="B62" s="16" t="s">
        <v>657</v>
      </c>
      <c r="C62" s="15" t="s">
        <v>658</v>
      </c>
    </row>
    <row r="63" spans="1:3" x14ac:dyDescent="0.6">
      <c r="A63" s="13" t="s">
        <v>659</v>
      </c>
      <c r="B63" s="14" t="s">
        <v>660</v>
      </c>
      <c r="C63" s="13" t="s">
        <v>286</v>
      </c>
    </row>
    <row r="64" spans="1:3" x14ac:dyDescent="0.6">
      <c r="A64" s="15" t="s">
        <v>661</v>
      </c>
      <c r="B64" s="16" t="s">
        <v>662</v>
      </c>
      <c r="C64" s="15" t="s">
        <v>274</v>
      </c>
    </row>
    <row r="65" spans="1:3" ht="38.25" x14ac:dyDescent="0.6">
      <c r="A65" s="13" t="s">
        <v>663</v>
      </c>
      <c r="B65" s="14" t="s">
        <v>664</v>
      </c>
      <c r="C65" s="13" t="s">
        <v>665</v>
      </c>
    </row>
    <row r="66" spans="1:3" ht="25.5" x14ac:dyDescent="0.6">
      <c r="A66" s="15" t="s">
        <v>666</v>
      </c>
      <c r="B66" s="16" t="s">
        <v>667</v>
      </c>
      <c r="C66" s="15" t="s">
        <v>279</v>
      </c>
    </row>
    <row r="69" spans="1:3" x14ac:dyDescent="0.6">
      <c r="A69" s="8" t="s">
        <v>668</v>
      </c>
    </row>
    <row r="71" spans="1:3" x14ac:dyDescent="0.6">
      <c r="A71" s="5" t="s">
        <v>669</v>
      </c>
    </row>
    <row r="72" spans="1:3" ht="28.05" customHeight="1" x14ac:dyDescent="0.6">
      <c r="A72" s="10" t="s">
        <v>538</v>
      </c>
      <c r="B72" s="10" t="s">
        <v>670</v>
      </c>
    </row>
    <row r="73" spans="1:3" x14ac:dyDescent="0.6">
      <c r="A73" s="16" t="s">
        <v>671</v>
      </c>
      <c r="B73" s="16" t="s">
        <v>672</v>
      </c>
    </row>
    <row r="74" spans="1:3" x14ac:dyDescent="0.6">
      <c r="A74" s="14" t="s">
        <v>673</v>
      </c>
      <c r="B74" s="14" t="s">
        <v>674</v>
      </c>
    </row>
    <row r="75" spans="1:3" x14ac:dyDescent="0.6">
      <c r="A75" s="16" t="s">
        <v>675</v>
      </c>
      <c r="B75" s="16" t="s">
        <v>676</v>
      </c>
    </row>
    <row r="76" spans="1:3" x14ac:dyDescent="0.6">
      <c r="A76" s="14" t="s">
        <v>677</v>
      </c>
      <c r="B76" s="14" t="s">
        <v>678</v>
      </c>
    </row>
    <row r="78" spans="1:3" x14ac:dyDescent="0.6">
      <c r="A78" s="8" t="s">
        <v>679</v>
      </c>
    </row>
    <row r="80" spans="1:3" x14ac:dyDescent="0.6">
      <c r="A80" s="5" t="s">
        <v>680</v>
      </c>
    </row>
    <row r="81" spans="1:2" ht="28.05" customHeight="1" x14ac:dyDescent="0.6">
      <c r="A81" s="10" t="s">
        <v>681</v>
      </c>
      <c r="B81" s="10" t="s">
        <v>682</v>
      </c>
    </row>
    <row r="82" spans="1:2" ht="25.5" x14ac:dyDescent="0.6">
      <c r="A82" s="16" t="s">
        <v>683</v>
      </c>
      <c r="B82" s="16" t="s">
        <v>684</v>
      </c>
    </row>
    <row r="83" spans="1:2" x14ac:dyDescent="0.6">
      <c r="A83" s="14" t="s">
        <v>685</v>
      </c>
      <c r="B83" s="14" t="s">
        <v>686</v>
      </c>
    </row>
    <row r="84" spans="1:2" x14ac:dyDescent="0.6">
      <c r="A84" s="16" t="s">
        <v>687</v>
      </c>
      <c r="B84" s="16" t="s">
        <v>688</v>
      </c>
    </row>
    <row r="85" spans="1:2" ht="25.5" x14ac:dyDescent="0.6">
      <c r="A85" s="14" t="s">
        <v>689</v>
      </c>
      <c r="B85" s="14" t="s">
        <v>690</v>
      </c>
    </row>
    <row r="87" spans="1:2" x14ac:dyDescent="0.6">
      <c r="A87" s="8" t="s">
        <v>691</v>
      </c>
    </row>
    <row r="88" spans="1:2" x14ac:dyDescent="0.6">
      <c r="A88" s="3" t="s">
        <v>73</v>
      </c>
    </row>
    <row r="89" spans="1:2" x14ac:dyDescent="0.6">
      <c r="A89" s="17" t="s">
        <v>74</v>
      </c>
    </row>
    <row r="90" spans="1:2" x14ac:dyDescent="0.6">
      <c r="A90" s="18" t="s">
        <v>75</v>
      </c>
    </row>
    <row r="91" spans="1:2" x14ac:dyDescent="0.6">
      <c r="A91" s="19" t="s">
        <v>76</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7"/>
  <sheetViews>
    <sheetView showGridLines="0" workbookViewId="0">
      <pane ySplit="4" topLeftCell="A5" activePane="bottomLeft" state="frozen"/>
      <selection pane="bottomLeft"/>
    </sheetView>
  </sheetViews>
  <sheetFormatPr defaultRowHeight="16.899999999999999" x14ac:dyDescent="0.6"/>
  <cols>
    <col min="1" max="1" width="8" customWidth="1"/>
    <col min="2" max="2" width="62" customWidth="1"/>
    <col min="3" max="3" width="74" customWidth="1"/>
    <col min="4" max="4" width="14" customWidth="1"/>
  </cols>
  <sheetData>
    <row r="1" spans="1:4" ht="20.65" x14ac:dyDescent="0.6">
      <c r="A1" s="9" t="s">
        <v>692</v>
      </c>
    </row>
    <row r="2" spans="1:4" x14ac:dyDescent="0.6">
      <c r="A2" s="8" t="s">
        <v>693</v>
      </c>
    </row>
    <row r="4" spans="1:4" ht="28.05" customHeight="1" x14ac:dyDescent="0.6">
      <c r="A4" s="10" t="s">
        <v>172</v>
      </c>
      <c r="B4" s="10" t="s">
        <v>455</v>
      </c>
      <c r="C4" s="10" t="s">
        <v>694</v>
      </c>
      <c r="D4" s="10" t="s">
        <v>8</v>
      </c>
    </row>
    <row r="5" spans="1:4" ht="38.25" x14ac:dyDescent="0.6">
      <c r="A5" s="15" t="s">
        <v>695</v>
      </c>
      <c r="B5" s="16" t="s">
        <v>696</v>
      </c>
      <c r="C5" s="16" t="s">
        <v>697</v>
      </c>
      <c r="D5" s="22" t="s">
        <v>698</v>
      </c>
    </row>
    <row r="6" spans="1:4" ht="25.5" x14ac:dyDescent="0.6">
      <c r="A6" s="13" t="s">
        <v>461</v>
      </c>
      <c r="B6" s="14" t="s">
        <v>699</v>
      </c>
      <c r="C6" s="14" t="s">
        <v>700</v>
      </c>
      <c r="D6" s="22" t="s">
        <v>698</v>
      </c>
    </row>
    <row r="7" spans="1:4" ht="25.5" x14ac:dyDescent="0.6">
      <c r="A7" s="15" t="s">
        <v>701</v>
      </c>
      <c r="B7" s="16" t="s">
        <v>702</v>
      </c>
      <c r="C7" s="16" t="s">
        <v>703</v>
      </c>
      <c r="D7" s="22" t="s">
        <v>698</v>
      </c>
    </row>
    <row r="8" spans="1:4" ht="25.5" x14ac:dyDescent="0.6">
      <c r="A8" s="13" t="s">
        <v>704</v>
      </c>
      <c r="B8" s="14" t="s">
        <v>705</v>
      </c>
      <c r="C8" s="14" t="s">
        <v>706</v>
      </c>
      <c r="D8" s="22" t="s">
        <v>698</v>
      </c>
    </row>
    <row r="9" spans="1:4" ht="25.5" x14ac:dyDescent="0.6">
      <c r="A9" s="15" t="s">
        <v>707</v>
      </c>
      <c r="B9" s="16" t="s">
        <v>708</v>
      </c>
      <c r="C9" s="16" t="s">
        <v>709</v>
      </c>
      <c r="D9" s="22" t="s">
        <v>698</v>
      </c>
    </row>
    <row r="10" spans="1:4" ht="25.5" x14ac:dyDescent="0.6">
      <c r="A10" s="13" t="s">
        <v>710</v>
      </c>
      <c r="B10" s="14" t="s">
        <v>711</v>
      </c>
      <c r="C10" s="14" t="s">
        <v>712</v>
      </c>
      <c r="D10" s="22" t="s">
        <v>698</v>
      </c>
    </row>
    <row r="11" spans="1:4" x14ac:dyDescent="0.6">
      <c r="A11" s="15" t="s">
        <v>713</v>
      </c>
      <c r="B11" s="16" t="s">
        <v>714</v>
      </c>
      <c r="C11" s="16" t="s">
        <v>715</v>
      </c>
      <c r="D11" s="22" t="s">
        <v>698</v>
      </c>
    </row>
    <row r="12" spans="1:4" x14ac:dyDescent="0.6">
      <c r="A12" s="13" t="s">
        <v>716</v>
      </c>
      <c r="B12" s="14" t="s">
        <v>717</v>
      </c>
      <c r="C12" s="14" t="s">
        <v>718</v>
      </c>
      <c r="D12" s="22" t="s">
        <v>698</v>
      </c>
    </row>
    <row r="13" spans="1:4" ht="25.5" x14ac:dyDescent="0.6">
      <c r="A13" s="15" t="s">
        <v>719</v>
      </c>
      <c r="B13" s="16" t="s">
        <v>720</v>
      </c>
      <c r="C13" s="16" t="s">
        <v>721</v>
      </c>
      <c r="D13" s="22" t="s">
        <v>698</v>
      </c>
    </row>
    <row r="14" spans="1:4" ht="25.5" x14ac:dyDescent="0.6">
      <c r="A14" s="13" t="s">
        <v>722</v>
      </c>
      <c r="B14" s="14" t="s">
        <v>723</v>
      </c>
      <c r="C14" s="14" t="s">
        <v>724</v>
      </c>
      <c r="D14" s="22" t="s">
        <v>698</v>
      </c>
    </row>
    <row r="15" spans="1:4" ht="25.5" x14ac:dyDescent="0.6">
      <c r="A15" s="15" t="s">
        <v>725</v>
      </c>
      <c r="B15" s="16" t="s">
        <v>726</v>
      </c>
      <c r="C15" s="16" t="s">
        <v>727</v>
      </c>
      <c r="D15" s="22" t="s">
        <v>698</v>
      </c>
    </row>
    <row r="16" spans="1:4" x14ac:dyDescent="0.6">
      <c r="A16" s="13" t="s">
        <v>728</v>
      </c>
      <c r="B16" s="14" t="s">
        <v>729</v>
      </c>
      <c r="C16" s="14" t="s">
        <v>730</v>
      </c>
      <c r="D16" s="22" t="s">
        <v>698</v>
      </c>
    </row>
    <row r="17" spans="1:4" ht="38.25" x14ac:dyDescent="0.6">
      <c r="A17" s="15" t="s">
        <v>731</v>
      </c>
      <c r="B17" s="16" t="s">
        <v>732</v>
      </c>
      <c r="C17" s="16" t="s">
        <v>733</v>
      </c>
      <c r="D17" s="22" t="s">
        <v>698</v>
      </c>
    </row>
    <row r="18" spans="1:4" ht="38.25" x14ac:dyDescent="0.6">
      <c r="A18" s="13" t="s">
        <v>734</v>
      </c>
      <c r="B18" s="14" t="s">
        <v>735</v>
      </c>
      <c r="C18" s="14" t="s">
        <v>736</v>
      </c>
      <c r="D18" s="22" t="s">
        <v>698</v>
      </c>
    </row>
    <row r="19" spans="1:4" ht="51" x14ac:dyDescent="0.6">
      <c r="A19" s="15" t="s">
        <v>737</v>
      </c>
      <c r="B19" s="16" t="s">
        <v>738</v>
      </c>
      <c r="C19" s="16" t="s">
        <v>739</v>
      </c>
      <c r="D19" s="22" t="s">
        <v>698</v>
      </c>
    </row>
    <row r="20" spans="1:4" ht="38.25" x14ac:dyDescent="0.6">
      <c r="A20" s="13" t="s">
        <v>740</v>
      </c>
      <c r="B20" s="14" t="s">
        <v>741</v>
      </c>
      <c r="C20" s="14" t="s">
        <v>742</v>
      </c>
      <c r="D20" s="22" t="s">
        <v>698</v>
      </c>
    </row>
    <row r="21" spans="1:4" ht="38.25" x14ac:dyDescent="0.6">
      <c r="A21" s="15" t="s">
        <v>743</v>
      </c>
      <c r="B21" s="16" t="s">
        <v>744</v>
      </c>
      <c r="C21" s="16" t="s">
        <v>745</v>
      </c>
      <c r="D21" s="22" t="s">
        <v>698</v>
      </c>
    </row>
    <row r="22" spans="1:4" ht="38.25" x14ac:dyDescent="0.6">
      <c r="A22" s="13" t="s">
        <v>746</v>
      </c>
      <c r="B22" s="14" t="s">
        <v>747</v>
      </c>
      <c r="C22" s="14" t="s">
        <v>748</v>
      </c>
      <c r="D22" s="22" t="s">
        <v>698</v>
      </c>
    </row>
    <row r="23" spans="1:4" ht="38.25" x14ac:dyDescent="0.6">
      <c r="A23" s="15" t="s">
        <v>749</v>
      </c>
      <c r="B23" s="16" t="s">
        <v>750</v>
      </c>
      <c r="C23" s="16" t="s">
        <v>751</v>
      </c>
      <c r="D23" s="22" t="s">
        <v>698</v>
      </c>
    </row>
    <row r="24" spans="1:4" ht="38.25" x14ac:dyDescent="0.6">
      <c r="A24" s="13" t="s">
        <v>752</v>
      </c>
      <c r="B24" s="14" t="s">
        <v>753</v>
      </c>
      <c r="C24" s="14" t="s">
        <v>754</v>
      </c>
      <c r="D24" s="22" t="s">
        <v>698</v>
      </c>
    </row>
    <row r="25" spans="1:4" ht="38.25" x14ac:dyDescent="0.6">
      <c r="A25" s="15" t="s">
        <v>755</v>
      </c>
      <c r="B25" s="16" t="s">
        <v>756</v>
      </c>
      <c r="C25" s="16" t="s">
        <v>757</v>
      </c>
      <c r="D25" s="22" t="s">
        <v>698</v>
      </c>
    </row>
    <row r="26" spans="1:4" ht="25.5" x14ac:dyDescent="0.6">
      <c r="A26" s="13" t="s">
        <v>758</v>
      </c>
      <c r="B26" s="14" t="s">
        <v>759</v>
      </c>
      <c r="C26" s="14" t="s">
        <v>760</v>
      </c>
      <c r="D26" s="22" t="s">
        <v>698</v>
      </c>
    </row>
    <row r="27" spans="1:4" ht="38.25" x14ac:dyDescent="0.6">
      <c r="A27" s="15" t="s">
        <v>761</v>
      </c>
      <c r="B27" s="16" t="s">
        <v>762</v>
      </c>
      <c r="C27" s="16" t="s">
        <v>763</v>
      </c>
      <c r="D27" s="22" t="s">
        <v>698</v>
      </c>
    </row>
    <row r="28" spans="1:4" ht="38.25" x14ac:dyDescent="0.6">
      <c r="A28" s="13" t="s">
        <v>764</v>
      </c>
      <c r="B28" s="14" t="s">
        <v>765</v>
      </c>
      <c r="C28" s="14" t="s">
        <v>766</v>
      </c>
      <c r="D28" s="22" t="s">
        <v>698</v>
      </c>
    </row>
    <row r="29" spans="1:4" ht="51" x14ac:dyDescent="0.6">
      <c r="A29" s="15" t="s">
        <v>767</v>
      </c>
      <c r="B29" s="16" t="s">
        <v>768</v>
      </c>
      <c r="C29" s="16" t="s">
        <v>769</v>
      </c>
      <c r="D29" s="22" t="s">
        <v>698</v>
      </c>
    </row>
    <row r="30" spans="1:4" ht="25.5" x14ac:dyDescent="0.6">
      <c r="A30" s="13" t="s">
        <v>770</v>
      </c>
      <c r="B30" s="14" t="s">
        <v>771</v>
      </c>
      <c r="C30" s="14" t="s">
        <v>772</v>
      </c>
      <c r="D30" s="22" t="s">
        <v>698</v>
      </c>
    </row>
    <row r="31" spans="1:4" ht="25.5" x14ac:dyDescent="0.6">
      <c r="A31" s="15" t="s">
        <v>773</v>
      </c>
      <c r="B31" s="16" t="s">
        <v>774</v>
      </c>
      <c r="C31" s="16" t="s">
        <v>775</v>
      </c>
      <c r="D31" s="22" t="s">
        <v>698</v>
      </c>
    </row>
    <row r="32" spans="1:4" ht="63.75" x14ac:dyDescent="0.6">
      <c r="A32" s="13" t="s">
        <v>776</v>
      </c>
      <c r="B32" s="14" t="s">
        <v>777</v>
      </c>
      <c r="C32" s="14" t="s">
        <v>778</v>
      </c>
      <c r="D32" s="22" t="s">
        <v>698</v>
      </c>
    </row>
    <row r="34" spans="1:1" x14ac:dyDescent="0.6">
      <c r="A34" s="8" t="s">
        <v>779</v>
      </c>
    </row>
    <row r="36" spans="1:1" x14ac:dyDescent="0.6">
      <c r="A36" s="5" t="s">
        <v>780</v>
      </c>
    </row>
    <row r="37" spans="1:1" x14ac:dyDescent="0.6">
      <c r="A37" s="8" t="s">
        <v>781</v>
      </c>
    </row>
  </sheetData>
  <phoneticPr fontId="10" type="noConversion"/>
  <dataValidations count="1">
    <dataValidation type="list" allowBlank="1" sqref="D5:D32" xr:uid="{00000000-0002-0000-0700-000000000000}">
      <formula1>"CONFIRM,CONFIRMED,REJECTED,DEFERRED"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6"/>
  <sheetViews>
    <sheetView showGridLines="0" workbookViewId="0">
      <pane ySplit="4" topLeftCell="A5" activePane="bottomLeft" state="frozen"/>
      <selection pane="bottomLeft"/>
    </sheetView>
  </sheetViews>
  <sheetFormatPr defaultRowHeight="16.899999999999999" x14ac:dyDescent="0.6"/>
  <cols>
    <col min="1" max="1" width="26" customWidth="1"/>
    <col min="2" max="2" width="12" customWidth="1"/>
    <col min="3" max="3" width="94" customWidth="1"/>
    <col min="4" max="4" width="40" customWidth="1"/>
    <col min="5" max="5" width="26" customWidth="1"/>
  </cols>
  <sheetData>
    <row r="1" spans="1:5" ht="20.65" x14ac:dyDescent="0.6">
      <c r="A1" s="9" t="s">
        <v>782</v>
      </c>
    </row>
    <row r="2" spans="1:5" x14ac:dyDescent="0.6">
      <c r="A2" s="8" t="s">
        <v>783</v>
      </c>
    </row>
    <row r="4" spans="1:5" ht="28.05" customHeight="1" x14ac:dyDescent="0.6">
      <c r="A4" s="10" t="s">
        <v>523</v>
      </c>
      <c r="B4" s="10" t="s">
        <v>784</v>
      </c>
      <c r="C4" s="10" t="s">
        <v>785</v>
      </c>
      <c r="D4" s="10" t="s">
        <v>786</v>
      </c>
      <c r="E4" s="10" t="s">
        <v>8</v>
      </c>
    </row>
    <row r="5" spans="1:5" x14ac:dyDescent="0.6">
      <c r="A5" s="15" t="s">
        <v>787</v>
      </c>
      <c r="B5" s="15" t="s">
        <v>788</v>
      </c>
      <c r="C5" s="16" t="s">
        <v>789</v>
      </c>
      <c r="D5" s="16" t="s">
        <v>790</v>
      </c>
      <c r="E5" s="15" t="s">
        <v>791</v>
      </c>
    </row>
    <row r="6" spans="1:5" x14ac:dyDescent="0.6">
      <c r="A6" s="13" t="s">
        <v>787</v>
      </c>
      <c r="B6" s="13" t="s">
        <v>792</v>
      </c>
      <c r="C6" s="14" t="s">
        <v>793</v>
      </c>
      <c r="D6" s="14" t="s">
        <v>794</v>
      </c>
      <c r="E6" s="13" t="s">
        <v>795</v>
      </c>
    </row>
    <row r="7" spans="1:5" x14ac:dyDescent="0.6">
      <c r="A7" s="15" t="s">
        <v>787</v>
      </c>
      <c r="B7" s="15" t="s">
        <v>796</v>
      </c>
      <c r="C7" s="16" t="s">
        <v>797</v>
      </c>
      <c r="D7" s="16" t="s">
        <v>798</v>
      </c>
      <c r="E7" s="15" t="s">
        <v>799</v>
      </c>
    </row>
    <row r="8" spans="1:5" x14ac:dyDescent="0.6">
      <c r="A8" s="13" t="s">
        <v>787</v>
      </c>
      <c r="B8" s="13" t="s">
        <v>800</v>
      </c>
      <c r="C8" s="14" t="s">
        <v>801</v>
      </c>
      <c r="D8" s="14" t="s">
        <v>802</v>
      </c>
      <c r="E8" s="13" t="s">
        <v>799</v>
      </c>
    </row>
    <row r="9" spans="1:5" x14ac:dyDescent="0.6">
      <c r="A9" s="15" t="s">
        <v>285</v>
      </c>
      <c r="B9" s="15" t="s">
        <v>803</v>
      </c>
      <c r="C9" s="16" t="s">
        <v>804</v>
      </c>
      <c r="D9" s="16" t="s">
        <v>805</v>
      </c>
      <c r="E9" s="15" t="s">
        <v>799</v>
      </c>
    </row>
    <row r="10" spans="1:5" x14ac:dyDescent="0.6">
      <c r="A10" s="13" t="s">
        <v>285</v>
      </c>
      <c r="B10" s="13" t="s">
        <v>806</v>
      </c>
      <c r="C10" s="14" t="s">
        <v>807</v>
      </c>
      <c r="D10" s="14" t="s">
        <v>808</v>
      </c>
      <c r="E10" s="13" t="s">
        <v>799</v>
      </c>
    </row>
    <row r="11" spans="1:5" x14ac:dyDescent="0.6">
      <c r="A11" s="15" t="s">
        <v>285</v>
      </c>
      <c r="B11" s="15" t="s">
        <v>809</v>
      </c>
      <c r="C11" s="16" t="s">
        <v>810</v>
      </c>
      <c r="D11" s="16" t="s">
        <v>811</v>
      </c>
      <c r="E11" s="15" t="s">
        <v>799</v>
      </c>
    </row>
    <row r="12" spans="1:5" x14ac:dyDescent="0.6">
      <c r="A12" s="13" t="s">
        <v>285</v>
      </c>
      <c r="B12" s="13" t="s">
        <v>812</v>
      </c>
      <c r="C12" s="14" t="s">
        <v>813</v>
      </c>
      <c r="D12" s="14" t="s">
        <v>814</v>
      </c>
      <c r="E12" s="13" t="s">
        <v>799</v>
      </c>
    </row>
    <row r="13" spans="1:5" x14ac:dyDescent="0.6">
      <c r="A13" s="15" t="s">
        <v>285</v>
      </c>
      <c r="B13" s="15" t="s">
        <v>815</v>
      </c>
      <c r="C13" s="16" t="s">
        <v>816</v>
      </c>
      <c r="D13" s="16" t="s">
        <v>817</v>
      </c>
      <c r="E13" s="15" t="s">
        <v>799</v>
      </c>
    </row>
    <row r="14" spans="1:5" x14ac:dyDescent="0.6">
      <c r="A14" s="13" t="s">
        <v>285</v>
      </c>
      <c r="B14" s="13" t="s">
        <v>818</v>
      </c>
      <c r="C14" s="14" t="s">
        <v>819</v>
      </c>
      <c r="D14" s="14" t="s">
        <v>820</v>
      </c>
      <c r="E14" s="13" t="s">
        <v>799</v>
      </c>
    </row>
    <row r="15" spans="1:5" x14ac:dyDescent="0.6">
      <c r="A15" s="15" t="s">
        <v>285</v>
      </c>
      <c r="B15" s="15" t="s">
        <v>821</v>
      </c>
      <c r="C15" s="16" t="s">
        <v>822</v>
      </c>
      <c r="D15" s="16" t="s">
        <v>823</v>
      </c>
      <c r="E15" s="15" t="s">
        <v>799</v>
      </c>
    </row>
    <row r="16" spans="1:5" x14ac:dyDescent="0.6">
      <c r="A16" s="13" t="s">
        <v>285</v>
      </c>
      <c r="B16" s="13" t="s">
        <v>824</v>
      </c>
      <c r="C16" s="14" t="s">
        <v>825</v>
      </c>
      <c r="D16" s="14" t="s">
        <v>826</v>
      </c>
      <c r="E16" s="13" t="s">
        <v>799</v>
      </c>
    </row>
    <row r="17" spans="1:5" x14ac:dyDescent="0.6">
      <c r="A17" s="15" t="s">
        <v>285</v>
      </c>
      <c r="B17" s="15" t="s">
        <v>827</v>
      </c>
      <c r="C17" s="16" t="s">
        <v>828</v>
      </c>
      <c r="D17" s="16" t="s">
        <v>829</v>
      </c>
      <c r="E17" s="15" t="s">
        <v>799</v>
      </c>
    </row>
    <row r="18" spans="1:5" x14ac:dyDescent="0.6">
      <c r="A18" s="13" t="s">
        <v>304</v>
      </c>
      <c r="B18" s="13" t="s">
        <v>830</v>
      </c>
      <c r="C18" s="14" t="s">
        <v>831</v>
      </c>
      <c r="D18" s="14" t="s">
        <v>832</v>
      </c>
      <c r="E18" s="13" t="s">
        <v>799</v>
      </c>
    </row>
    <row r="19" spans="1:5" x14ac:dyDescent="0.6">
      <c r="A19" s="15" t="s">
        <v>304</v>
      </c>
      <c r="B19" s="15" t="s">
        <v>833</v>
      </c>
      <c r="C19" s="16" t="s">
        <v>834</v>
      </c>
      <c r="D19" s="16" t="s">
        <v>835</v>
      </c>
      <c r="E19" s="15" t="s">
        <v>799</v>
      </c>
    </row>
    <row r="20" spans="1:5" x14ac:dyDescent="0.6">
      <c r="A20" s="13" t="s">
        <v>304</v>
      </c>
      <c r="B20" s="13" t="s">
        <v>836</v>
      </c>
      <c r="C20" s="14" t="s">
        <v>837</v>
      </c>
      <c r="D20" s="14" t="s">
        <v>838</v>
      </c>
      <c r="E20" s="13" t="s">
        <v>799</v>
      </c>
    </row>
    <row r="21" spans="1:5" x14ac:dyDescent="0.6">
      <c r="A21" s="15" t="s">
        <v>304</v>
      </c>
      <c r="B21" s="15" t="s">
        <v>839</v>
      </c>
      <c r="C21" s="16" t="s">
        <v>840</v>
      </c>
      <c r="D21" s="16" t="s">
        <v>841</v>
      </c>
      <c r="E21" s="15" t="s">
        <v>799</v>
      </c>
    </row>
    <row r="22" spans="1:5" x14ac:dyDescent="0.6">
      <c r="A22" s="13" t="s">
        <v>182</v>
      </c>
      <c r="B22" s="13" t="s">
        <v>842</v>
      </c>
      <c r="C22" s="14" t="s">
        <v>843</v>
      </c>
      <c r="D22" s="14" t="s">
        <v>380</v>
      </c>
      <c r="E22" s="13" t="s">
        <v>799</v>
      </c>
    </row>
    <row r="23" spans="1:5" x14ac:dyDescent="0.6">
      <c r="A23" s="15" t="s">
        <v>182</v>
      </c>
      <c r="B23" s="15" t="s">
        <v>844</v>
      </c>
      <c r="C23" s="16" t="s">
        <v>845</v>
      </c>
      <c r="D23" s="16" t="s">
        <v>372</v>
      </c>
      <c r="E23" s="15" t="s">
        <v>799</v>
      </c>
    </row>
    <row r="24" spans="1:5" x14ac:dyDescent="0.6">
      <c r="A24" s="13" t="s">
        <v>182</v>
      </c>
      <c r="B24" s="13" t="s">
        <v>846</v>
      </c>
      <c r="C24" s="14" t="s">
        <v>847</v>
      </c>
      <c r="D24" s="14" t="s">
        <v>380</v>
      </c>
      <c r="E24" s="13" t="s">
        <v>799</v>
      </c>
    </row>
    <row r="25" spans="1:5" x14ac:dyDescent="0.6">
      <c r="A25" s="15" t="s">
        <v>182</v>
      </c>
      <c r="B25" s="15" t="s">
        <v>848</v>
      </c>
      <c r="C25" s="16" t="s">
        <v>849</v>
      </c>
      <c r="D25" s="16" t="s">
        <v>372</v>
      </c>
      <c r="E25" s="15" t="s">
        <v>799</v>
      </c>
    </row>
    <row r="26" spans="1:5" x14ac:dyDescent="0.6">
      <c r="A26" s="13" t="s">
        <v>182</v>
      </c>
      <c r="B26" s="13" t="s">
        <v>850</v>
      </c>
      <c r="C26" s="14" t="s">
        <v>851</v>
      </c>
      <c r="D26" s="14" t="s">
        <v>380</v>
      </c>
      <c r="E26" s="13" t="s">
        <v>799</v>
      </c>
    </row>
    <row r="27" spans="1:5" x14ac:dyDescent="0.6">
      <c r="A27" s="15" t="s">
        <v>182</v>
      </c>
      <c r="B27" s="15" t="s">
        <v>852</v>
      </c>
      <c r="C27" s="16" t="s">
        <v>853</v>
      </c>
      <c r="D27" s="16" t="s">
        <v>372</v>
      </c>
      <c r="E27" s="15" t="s">
        <v>799</v>
      </c>
    </row>
    <row r="28" spans="1:5" ht="25.5" x14ac:dyDescent="0.6">
      <c r="A28" s="13" t="s">
        <v>182</v>
      </c>
      <c r="B28" s="13" t="s">
        <v>854</v>
      </c>
      <c r="C28" s="14" t="s">
        <v>855</v>
      </c>
      <c r="D28" s="14" t="s">
        <v>369</v>
      </c>
      <c r="E28" s="13" t="s">
        <v>799</v>
      </c>
    </row>
    <row r="29" spans="1:5" ht="25.5" x14ac:dyDescent="0.6">
      <c r="A29" s="15" t="s">
        <v>182</v>
      </c>
      <c r="B29" s="15" t="s">
        <v>856</v>
      </c>
      <c r="C29" s="16" t="s">
        <v>857</v>
      </c>
      <c r="D29" s="16" t="s">
        <v>858</v>
      </c>
      <c r="E29" s="15" t="s">
        <v>799</v>
      </c>
    </row>
    <row r="30" spans="1:5" x14ac:dyDescent="0.6">
      <c r="A30" s="13" t="s">
        <v>182</v>
      </c>
      <c r="B30" s="13" t="s">
        <v>859</v>
      </c>
      <c r="C30" s="14" t="s">
        <v>860</v>
      </c>
      <c r="D30" s="14" t="s">
        <v>369</v>
      </c>
      <c r="E30" s="13" t="s">
        <v>799</v>
      </c>
    </row>
    <row r="31" spans="1:5" x14ac:dyDescent="0.6">
      <c r="A31" s="15" t="s">
        <v>182</v>
      </c>
      <c r="B31" s="15" t="s">
        <v>861</v>
      </c>
      <c r="C31" s="16" t="s">
        <v>862</v>
      </c>
      <c r="D31" s="16" t="s">
        <v>863</v>
      </c>
      <c r="E31" s="15" t="s">
        <v>799</v>
      </c>
    </row>
    <row r="32" spans="1:5" x14ac:dyDescent="0.6">
      <c r="A32" s="13" t="s">
        <v>182</v>
      </c>
      <c r="B32" s="13" t="s">
        <v>864</v>
      </c>
      <c r="C32" s="14" t="s">
        <v>865</v>
      </c>
      <c r="D32" s="14" t="s">
        <v>866</v>
      </c>
      <c r="E32" s="13" t="s">
        <v>799</v>
      </c>
    </row>
    <row r="33" spans="1:5" x14ac:dyDescent="0.6">
      <c r="A33" s="15" t="s">
        <v>182</v>
      </c>
      <c r="B33" s="15" t="s">
        <v>867</v>
      </c>
      <c r="C33" s="16" t="s">
        <v>868</v>
      </c>
      <c r="D33" s="16" t="s">
        <v>869</v>
      </c>
      <c r="E33" s="15" t="s">
        <v>799</v>
      </c>
    </row>
    <row r="34" spans="1:5" x14ac:dyDescent="0.6">
      <c r="A34" s="13" t="s">
        <v>182</v>
      </c>
      <c r="B34" s="13" t="s">
        <v>870</v>
      </c>
      <c r="C34" s="14" t="s">
        <v>871</v>
      </c>
      <c r="D34" s="14" t="s">
        <v>872</v>
      </c>
      <c r="E34" s="13" t="s">
        <v>799</v>
      </c>
    </row>
    <row r="35" spans="1:5" x14ac:dyDescent="0.6">
      <c r="A35" s="15" t="s">
        <v>307</v>
      </c>
      <c r="B35" s="15" t="s">
        <v>873</v>
      </c>
      <c r="C35" s="16" t="s">
        <v>874</v>
      </c>
      <c r="D35" s="16" t="s">
        <v>875</v>
      </c>
      <c r="E35" s="15" t="s">
        <v>799</v>
      </c>
    </row>
    <row r="36" spans="1:5" x14ac:dyDescent="0.6">
      <c r="A36" s="13" t="s">
        <v>307</v>
      </c>
      <c r="B36" s="13" t="s">
        <v>876</v>
      </c>
      <c r="C36" s="14" t="s">
        <v>877</v>
      </c>
      <c r="D36" s="14" t="s">
        <v>808</v>
      </c>
      <c r="E36" s="13" t="s">
        <v>799</v>
      </c>
    </row>
    <row r="37" spans="1:5" ht="25.5" x14ac:dyDescent="0.6">
      <c r="A37" s="15" t="s">
        <v>307</v>
      </c>
      <c r="B37" s="15" t="s">
        <v>878</v>
      </c>
      <c r="C37" s="16" t="s">
        <v>879</v>
      </c>
      <c r="D37" s="16" t="s">
        <v>880</v>
      </c>
      <c r="E37" s="15" t="s">
        <v>799</v>
      </c>
    </row>
    <row r="38" spans="1:5" ht="25.5" x14ac:dyDescent="0.6">
      <c r="A38" s="13" t="s">
        <v>307</v>
      </c>
      <c r="B38" s="13" t="s">
        <v>881</v>
      </c>
      <c r="C38" s="14" t="s">
        <v>882</v>
      </c>
      <c r="D38" s="14" t="s">
        <v>808</v>
      </c>
      <c r="E38" s="13" t="s">
        <v>799</v>
      </c>
    </row>
    <row r="39" spans="1:5" ht="25.5" x14ac:dyDescent="0.6">
      <c r="A39" s="15" t="s">
        <v>307</v>
      </c>
      <c r="B39" s="15" t="s">
        <v>883</v>
      </c>
      <c r="C39" s="16" t="s">
        <v>884</v>
      </c>
      <c r="D39" s="16" t="s">
        <v>808</v>
      </c>
      <c r="E39" s="15" t="s">
        <v>799</v>
      </c>
    </row>
    <row r="40" spans="1:5" x14ac:dyDescent="0.6">
      <c r="A40" s="13" t="s">
        <v>307</v>
      </c>
      <c r="B40" s="13" t="s">
        <v>885</v>
      </c>
      <c r="C40" s="14" t="s">
        <v>886</v>
      </c>
      <c r="D40" s="14" t="s">
        <v>808</v>
      </c>
      <c r="E40" s="13" t="s">
        <v>799</v>
      </c>
    </row>
    <row r="41" spans="1:5" ht="51" x14ac:dyDescent="0.6">
      <c r="A41" s="15" t="s">
        <v>307</v>
      </c>
      <c r="B41" s="15" t="s">
        <v>887</v>
      </c>
      <c r="C41" s="16" t="s">
        <v>888</v>
      </c>
      <c r="D41" s="16" t="s">
        <v>889</v>
      </c>
      <c r="E41" s="15" t="s">
        <v>799</v>
      </c>
    </row>
    <row r="42" spans="1:5" ht="25.5" x14ac:dyDescent="0.6">
      <c r="A42" s="13" t="s">
        <v>307</v>
      </c>
      <c r="B42" s="13" t="s">
        <v>890</v>
      </c>
      <c r="C42" s="14" t="s">
        <v>891</v>
      </c>
      <c r="D42" s="14" t="s">
        <v>808</v>
      </c>
      <c r="E42" s="13" t="s">
        <v>799</v>
      </c>
    </row>
    <row r="43" spans="1:5" x14ac:dyDescent="0.6">
      <c r="A43" s="15" t="s">
        <v>307</v>
      </c>
      <c r="B43" s="15" t="s">
        <v>892</v>
      </c>
      <c r="C43" s="16" t="s">
        <v>893</v>
      </c>
      <c r="D43" s="16" t="s">
        <v>808</v>
      </c>
      <c r="E43" s="15" t="s">
        <v>795</v>
      </c>
    </row>
    <row r="44" spans="1:5" ht="25.5" x14ac:dyDescent="0.6">
      <c r="A44" s="13" t="s">
        <v>307</v>
      </c>
      <c r="B44" s="13" t="s">
        <v>894</v>
      </c>
      <c r="C44" s="14" t="s">
        <v>895</v>
      </c>
      <c r="D44" s="14" t="s">
        <v>896</v>
      </c>
      <c r="E44" s="13" t="s">
        <v>799</v>
      </c>
    </row>
    <row r="45" spans="1:5" x14ac:dyDescent="0.6">
      <c r="A45" s="15" t="s">
        <v>307</v>
      </c>
      <c r="B45" s="15" t="s">
        <v>897</v>
      </c>
      <c r="C45" s="16" t="s">
        <v>898</v>
      </c>
      <c r="D45" s="16" t="s">
        <v>899</v>
      </c>
      <c r="E45" s="15" t="s">
        <v>799</v>
      </c>
    </row>
    <row r="46" spans="1:5" x14ac:dyDescent="0.6">
      <c r="A46" s="13" t="s">
        <v>307</v>
      </c>
      <c r="B46" s="13" t="s">
        <v>900</v>
      </c>
      <c r="C46" s="14" t="s">
        <v>901</v>
      </c>
      <c r="D46" s="14" t="s">
        <v>902</v>
      </c>
      <c r="E46" s="13" t="s">
        <v>799</v>
      </c>
    </row>
    <row r="48" spans="1:5" x14ac:dyDescent="0.6">
      <c r="A48" s="5" t="s">
        <v>903</v>
      </c>
    </row>
    <row r="49" spans="1:2" ht="28.05" customHeight="1" x14ac:dyDescent="0.6">
      <c r="A49" s="10" t="s">
        <v>349</v>
      </c>
      <c r="B49" s="10" t="s">
        <v>348</v>
      </c>
    </row>
    <row r="50" spans="1:2" x14ac:dyDescent="0.6">
      <c r="A50" s="15" t="s">
        <v>904</v>
      </c>
      <c r="B50" s="15">
        <f>COUNTA(B5:B46)</f>
        <v>42</v>
      </c>
    </row>
    <row r="51" spans="1:2" x14ac:dyDescent="0.6">
      <c r="A51" s="13" t="s">
        <v>905</v>
      </c>
      <c r="B51" s="13">
        <f>COUNTIF(E5:E46,"Complete")+COUNTIF(E5:E46,"Complete - issued for review")</f>
        <v>1</v>
      </c>
    </row>
    <row r="52" spans="1:2" x14ac:dyDescent="0.6">
      <c r="A52" s="15" t="s">
        <v>906</v>
      </c>
      <c r="B52" s="15">
        <f>COUNTIF(E5:E46,"Pending you")</f>
        <v>2</v>
      </c>
    </row>
    <row r="53" spans="1:2" x14ac:dyDescent="0.6">
      <c r="A53" s="13" t="s">
        <v>799</v>
      </c>
      <c r="B53" s="13">
        <f>COUNTIF(E5:E46,"Not started")</f>
        <v>39</v>
      </c>
    </row>
    <row r="56" spans="1:2" x14ac:dyDescent="0.6">
      <c r="A56" s="8" t="s">
        <v>907</v>
      </c>
    </row>
  </sheetData>
  <phoneticPr fontId="10" type="noConversion"/>
  <dataValidations count="1">
    <dataValidation type="list" allowBlank="1" sqref="E5:E46"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4"/>
  <sheetViews>
    <sheetView showGridLines="0" workbookViewId="0">
      <pane ySplit="4" topLeftCell="A5" activePane="bottomLeft" state="frozen"/>
      <selection pane="bottomLeft"/>
    </sheetView>
  </sheetViews>
  <sheetFormatPr defaultRowHeight="16.899999999999999" x14ac:dyDescent="0.6"/>
  <cols>
    <col min="1" max="1" width="34" customWidth="1"/>
    <col min="2" max="2" width="66" customWidth="1"/>
    <col min="3" max="3" width="14" customWidth="1"/>
    <col min="4" max="4" width="34" customWidth="1"/>
  </cols>
  <sheetData>
    <row r="1" spans="1:4" ht="20.65" x14ac:dyDescent="0.6">
      <c r="A1" s="9" t="s">
        <v>908</v>
      </c>
    </row>
    <row r="2" spans="1:4" x14ac:dyDescent="0.6">
      <c r="A2" s="8" t="s">
        <v>909</v>
      </c>
    </row>
    <row r="4" spans="1:4" ht="28.05" customHeight="1" x14ac:dyDescent="0.6">
      <c r="A4" s="10" t="s">
        <v>910</v>
      </c>
      <c r="B4" s="10" t="s">
        <v>911</v>
      </c>
      <c r="C4" s="10" t="s">
        <v>88</v>
      </c>
      <c r="D4" s="10" t="s">
        <v>912</v>
      </c>
    </row>
    <row r="5" spans="1:4" x14ac:dyDescent="0.6">
      <c r="A5" s="15" t="s">
        <v>913</v>
      </c>
      <c r="B5" s="16" t="s">
        <v>914</v>
      </c>
      <c r="C5" s="15" t="s">
        <v>298</v>
      </c>
      <c r="D5" s="16" t="s">
        <v>915</v>
      </c>
    </row>
    <row r="6" spans="1:4" ht="25.5" x14ac:dyDescent="0.6">
      <c r="A6" s="13" t="s">
        <v>916</v>
      </c>
      <c r="B6" s="14" t="s">
        <v>917</v>
      </c>
      <c r="C6" s="13" t="s">
        <v>112</v>
      </c>
      <c r="D6" s="14" t="s">
        <v>915</v>
      </c>
    </row>
    <row r="7" spans="1:4" ht="25.5" x14ac:dyDescent="0.6">
      <c r="A7" s="15" t="s">
        <v>918</v>
      </c>
      <c r="B7" s="16" t="s">
        <v>919</v>
      </c>
      <c r="C7" s="15" t="s">
        <v>100</v>
      </c>
      <c r="D7" s="16" t="s">
        <v>915</v>
      </c>
    </row>
    <row r="8" spans="1:4" ht="25.5" x14ac:dyDescent="0.6">
      <c r="A8" s="13" t="s">
        <v>920</v>
      </c>
      <c r="B8" s="14" t="s">
        <v>921</v>
      </c>
      <c r="C8" s="13" t="s">
        <v>209</v>
      </c>
      <c r="D8" s="14" t="s">
        <v>915</v>
      </c>
    </row>
    <row r="9" spans="1:4" ht="25.5" x14ac:dyDescent="0.6">
      <c r="A9" s="15" t="s">
        <v>922</v>
      </c>
      <c r="B9" s="16" t="s">
        <v>923</v>
      </c>
      <c r="C9" s="15" t="s">
        <v>213</v>
      </c>
      <c r="D9" s="16" t="s">
        <v>915</v>
      </c>
    </row>
    <row r="10" spans="1:4" ht="25.5" x14ac:dyDescent="0.6">
      <c r="A10" s="13" t="s">
        <v>924</v>
      </c>
      <c r="B10" s="14" t="s">
        <v>925</v>
      </c>
      <c r="C10" s="13" t="s">
        <v>253</v>
      </c>
      <c r="D10" s="14" t="s">
        <v>915</v>
      </c>
    </row>
    <row r="11" spans="1:4" ht="25.5" x14ac:dyDescent="0.6">
      <c r="A11" s="15" t="s">
        <v>926</v>
      </c>
      <c r="B11" s="16" t="s">
        <v>927</v>
      </c>
      <c r="C11" s="15" t="s">
        <v>310</v>
      </c>
      <c r="D11" s="16" t="s">
        <v>915</v>
      </c>
    </row>
    <row r="12" spans="1:4" ht="25.5" x14ac:dyDescent="0.6">
      <c r="A12" s="11" t="s">
        <v>928</v>
      </c>
      <c r="B12" s="12" t="s">
        <v>929</v>
      </c>
      <c r="C12" s="11" t="s">
        <v>127</v>
      </c>
      <c r="D12" s="12" t="s">
        <v>930</v>
      </c>
    </row>
    <row r="13" spans="1:4" ht="25.5" x14ac:dyDescent="0.6">
      <c r="A13" s="20" t="s">
        <v>931</v>
      </c>
      <c r="B13" s="21" t="s">
        <v>932</v>
      </c>
      <c r="C13" s="20" t="s">
        <v>308</v>
      </c>
      <c r="D13" s="21" t="s">
        <v>933</v>
      </c>
    </row>
    <row r="14" spans="1:4" ht="25.5" x14ac:dyDescent="0.6">
      <c r="A14" s="11" t="s">
        <v>934</v>
      </c>
      <c r="B14" s="12" t="s">
        <v>935</v>
      </c>
      <c r="C14" s="11" t="s">
        <v>936</v>
      </c>
      <c r="D14" s="12" t="s">
        <v>937</v>
      </c>
    </row>
    <row r="15" spans="1:4" ht="25.5" x14ac:dyDescent="0.6">
      <c r="A15" s="11" t="s">
        <v>938</v>
      </c>
      <c r="B15" s="12" t="s">
        <v>939</v>
      </c>
      <c r="C15" s="11" t="s">
        <v>321</v>
      </c>
      <c r="D15" s="12" t="s">
        <v>940</v>
      </c>
    </row>
    <row r="16" spans="1:4" ht="25.5" x14ac:dyDescent="0.6">
      <c r="A16" s="11" t="s">
        <v>941</v>
      </c>
      <c r="B16" s="12" t="s">
        <v>942</v>
      </c>
      <c r="C16" s="11" t="s">
        <v>310</v>
      </c>
      <c r="D16" s="12" t="s">
        <v>943</v>
      </c>
    </row>
    <row r="17" spans="1:4" ht="25.5" x14ac:dyDescent="0.6">
      <c r="A17" s="11" t="s">
        <v>944</v>
      </c>
      <c r="B17" s="12" t="s">
        <v>945</v>
      </c>
      <c r="C17" s="11" t="s">
        <v>288</v>
      </c>
      <c r="D17" s="12" t="s">
        <v>946</v>
      </c>
    </row>
    <row r="18" spans="1:4" ht="38.25" x14ac:dyDescent="0.6">
      <c r="A18" s="20" t="s">
        <v>947</v>
      </c>
      <c r="B18" s="21" t="s">
        <v>948</v>
      </c>
      <c r="C18" s="20" t="s">
        <v>949</v>
      </c>
      <c r="D18" s="21" t="s">
        <v>946</v>
      </c>
    </row>
    <row r="19" spans="1:4" ht="25.5" x14ac:dyDescent="0.6">
      <c r="A19" s="11" t="s">
        <v>950</v>
      </c>
      <c r="B19" s="12" t="s">
        <v>951</v>
      </c>
      <c r="C19" s="11" t="s">
        <v>952</v>
      </c>
      <c r="D19" s="12" t="s">
        <v>946</v>
      </c>
    </row>
    <row r="20" spans="1:4" ht="38.25" x14ac:dyDescent="0.6">
      <c r="A20" s="20" t="s">
        <v>953</v>
      </c>
      <c r="B20" s="21" t="s">
        <v>954</v>
      </c>
      <c r="C20" s="20" t="s">
        <v>955</v>
      </c>
      <c r="D20" s="21" t="s">
        <v>946</v>
      </c>
    </row>
    <row r="21" spans="1:4" ht="38.25" x14ac:dyDescent="0.6">
      <c r="A21" s="20" t="s">
        <v>956</v>
      </c>
      <c r="B21" s="21" t="s">
        <v>957</v>
      </c>
      <c r="C21" s="20" t="s">
        <v>958</v>
      </c>
      <c r="D21" s="21" t="s">
        <v>946</v>
      </c>
    </row>
    <row r="22" spans="1:4" ht="38.25" x14ac:dyDescent="0.6">
      <c r="A22" s="11" t="s">
        <v>959</v>
      </c>
      <c r="B22" s="12" t="s">
        <v>960</v>
      </c>
      <c r="C22" s="11" t="s">
        <v>658</v>
      </c>
      <c r="D22" s="12" t="s">
        <v>946</v>
      </c>
    </row>
    <row r="23" spans="1:4" ht="25.5" x14ac:dyDescent="0.6">
      <c r="A23" s="11" t="s">
        <v>961</v>
      </c>
      <c r="B23" s="12" t="s">
        <v>962</v>
      </c>
      <c r="C23" s="11" t="s">
        <v>286</v>
      </c>
      <c r="D23" s="12" t="s">
        <v>946</v>
      </c>
    </row>
    <row r="24" spans="1:4" ht="25.5" x14ac:dyDescent="0.6">
      <c r="A24" s="11" t="s">
        <v>963</v>
      </c>
      <c r="B24" s="12" t="s">
        <v>964</v>
      </c>
      <c r="C24" s="11" t="s">
        <v>242</v>
      </c>
      <c r="D24" s="12" t="s">
        <v>946</v>
      </c>
    </row>
    <row r="25" spans="1:4" ht="25.5" x14ac:dyDescent="0.6">
      <c r="A25" s="11" t="s">
        <v>965</v>
      </c>
      <c r="B25" s="12" t="s">
        <v>966</v>
      </c>
      <c r="C25" s="11" t="s">
        <v>967</v>
      </c>
      <c r="D25" s="12" t="s">
        <v>968</v>
      </c>
    </row>
    <row r="26" spans="1:4" ht="25.5" x14ac:dyDescent="0.6">
      <c r="A26" s="11" t="s">
        <v>969</v>
      </c>
      <c r="B26" s="12" t="s">
        <v>970</v>
      </c>
      <c r="C26" s="11" t="s">
        <v>971</v>
      </c>
      <c r="D26" s="12" t="s">
        <v>972</v>
      </c>
    </row>
    <row r="27" spans="1:4" ht="25.5" x14ac:dyDescent="0.6">
      <c r="A27" s="15" t="s">
        <v>973</v>
      </c>
      <c r="B27" s="16" t="s">
        <v>974</v>
      </c>
      <c r="C27" s="15" t="s">
        <v>975</v>
      </c>
      <c r="D27" s="16" t="s">
        <v>976</v>
      </c>
    </row>
    <row r="30" spans="1:4" x14ac:dyDescent="0.6">
      <c r="A30" s="8" t="s">
        <v>977</v>
      </c>
    </row>
    <row r="31" spans="1:4" x14ac:dyDescent="0.6">
      <c r="A31" s="3" t="s">
        <v>73</v>
      </c>
    </row>
    <row r="32" spans="1:4" x14ac:dyDescent="0.6">
      <c r="A32" s="17" t="s">
        <v>74</v>
      </c>
    </row>
    <row r="33" spans="1:1" x14ac:dyDescent="0.6">
      <c r="A33" s="18" t="s">
        <v>75</v>
      </c>
    </row>
    <row r="34" spans="1:1" x14ac:dyDescent="0.6">
      <c r="A34" s="19" t="s">
        <v>76</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3"/>
  <sheetViews>
    <sheetView showGridLines="0" workbookViewId="0">
      <pane ySplit="3" topLeftCell="A4" activePane="bottomLeft" state="frozen"/>
      <selection pane="bottomLeft"/>
    </sheetView>
  </sheetViews>
  <sheetFormatPr defaultRowHeight="16.899999999999999" x14ac:dyDescent="0.6"/>
  <cols>
    <col min="1" max="1" width="56" customWidth="1"/>
    <col min="2" max="2" width="90" customWidth="1"/>
    <col min="3" max="3" width="24" customWidth="1"/>
    <col min="4" max="4" width="42" customWidth="1"/>
  </cols>
  <sheetData>
    <row r="1" spans="1:4" ht="20.65" x14ac:dyDescent="0.6">
      <c r="A1" s="9" t="s">
        <v>978</v>
      </c>
    </row>
    <row r="3" spans="1:4" x14ac:dyDescent="0.6">
      <c r="A3" s="5" t="s">
        <v>979</v>
      </c>
    </row>
    <row r="4" spans="1:4" ht="28.05" customHeight="1" x14ac:dyDescent="0.6">
      <c r="A4" s="10" t="s">
        <v>980</v>
      </c>
      <c r="B4" s="10" t="s">
        <v>981</v>
      </c>
      <c r="C4" s="10" t="s">
        <v>982</v>
      </c>
      <c r="D4" s="10" t="s">
        <v>983</v>
      </c>
    </row>
    <row r="5" spans="1:4" x14ac:dyDescent="0.6">
      <c r="A5" s="15" t="s">
        <v>984</v>
      </c>
      <c r="B5" s="16" t="s">
        <v>985</v>
      </c>
      <c r="C5" s="15" t="s">
        <v>986</v>
      </c>
      <c r="D5" s="16" t="s">
        <v>987</v>
      </c>
    </row>
    <row r="6" spans="1:4" x14ac:dyDescent="0.6">
      <c r="A6" s="13" t="s">
        <v>988</v>
      </c>
      <c r="B6" s="14" t="s">
        <v>989</v>
      </c>
      <c r="C6" s="13" t="s">
        <v>986</v>
      </c>
      <c r="D6" s="14" t="s">
        <v>990</v>
      </c>
    </row>
    <row r="7" spans="1:4" x14ac:dyDescent="0.6">
      <c r="A7" s="15" t="s">
        <v>991</v>
      </c>
      <c r="B7" s="16" t="s">
        <v>992</v>
      </c>
      <c r="C7" s="15" t="s">
        <v>986</v>
      </c>
      <c r="D7" s="16" t="s">
        <v>990</v>
      </c>
    </row>
    <row r="8" spans="1:4" ht="25.5" x14ac:dyDescent="0.6">
      <c r="A8" s="13" t="s">
        <v>87</v>
      </c>
      <c r="B8" s="14" t="s">
        <v>993</v>
      </c>
      <c r="C8" s="13" t="s">
        <v>994</v>
      </c>
      <c r="D8" s="14" t="s">
        <v>995</v>
      </c>
    </row>
    <row r="9" spans="1:4" x14ac:dyDescent="0.6">
      <c r="A9" s="15" t="s">
        <v>996</v>
      </c>
      <c r="B9" s="16" t="s">
        <v>997</v>
      </c>
      <c r="C9" s="15" t="s">
        <v>998</v>
      </c>
      <c r="D9" s="16" t="s">
        <v>999</v>
      </c>
    </row>
    <row r="10" spans="1:4" x14ac:dyDescent="0.6">
      <c r="A10" s="13" t="s">
        <v>1000</v>
      </c>
      <c r="B10" s="14" t="s">
        <v>1001</v>
      </c>
      <c r="C10" s="13" t="s">
        <v>1002</v>
      </c>
      <c r="D10" s="14" t="s">
        <v>1003</v>
      </c>
    </row>
    <row r="11" spans="1:4" x14ac:dyDescent="0.6">
      <c r="A11" s="15" t="s">
        <v>1004</v>
      </c>
      <c r="B11" s="16" t="s">
        <v>1005</v>
      </c>
      <c r="C11" s="15" t="s">
        <v>986</v>
      </c>
      <c r="D11" s="16" t="s">
        <v>1006</v>
      </c>
    </row>
    <row r="12" spans="1:4" x14ac:dyDescent="0.6">
      <c r="A12" s="13" t="s">
        <v>86</v>
      </c>
      <c r="B12" s="14" t="s">
        <v>1007</v>
      </c>
      <c r="C12" s="13" t="s">
        <v>1008</v>
      </c>
      <c r="D12" s="14" t="s">
        <v>1009</v>
      </c>
    </row>
    <row r="13" spans="1:4" x14ac:dyDescent="0.6">
      <c r="A13" s="15" t="s">
        <v>1010</v>
      </c>
      <c r="B13" s="16" t="s">
        <v>1011</v>
      </c>
      <c r="C13" s="15" t="s">
        <v>1012</v>
      </c>
      <c r="D13" s="16" t="s">
        <v>1013</v>
      </c>
    </row>
    <row r="14" spans="1:4" x14ac:dyDescent="0.6">
      <c r="A14" s="13" t="s">
        <v>1014</v>
      </c>
      <c r="B14" s="14" t="s">
        <v>1015</v>
      </c>
      <c r="C14" s="13" t="s">
        <v>1016</v>
      </c>
      <c r="D14" s="14" t="s">
        <v>1017</v>
      </c>
    </row>
    <row r="17" spans="1:2" x14ac:dyDescent="0.6">
      <c r="A17" s="5" t="s">
        <v>1018</v>
      </c>
    </row>
    <row r="18" spans="1:2" ht="28.05" customHeight="1" x14ac:dyDescent="0.6">
      <c r="A18" s="10" t="s">
        <v>481</v>
      </c>
      <c r="B18" s="10" t="s">
        <v>1019</v>
      </c>
    </row>
    <row r="19" spans="1:2" x14ac:dyDescent="0.6">
      <c r="A19" s="16" t="s">
        <v>1020</v>
      </c>
      <c r="B19" s="16" t="s">
        <v>1021</v>
      </c>
    </row>
    <row r="20" spans="1:2" ht="25.5" x14ac:dyDescent="0.6">
      <c r="A20" s="14" t="s">
        <v>1022</v>
      </c>
      <c r="B20" s="14" t="s">
        <v>1023</v>
      </c>
    </row>
    <row r="21" spans="1:2" ht="25.5" x14ac:dyDescent="0.6">
      <c r="A21" s="16" t="s">
        <v>1024</v>
      </c>
      <c r="B21" s="16" t="s">
        <v>1025</v>
      </c>
    </row>
    <row r="22" spans="1:2" x14ac:dyDescent="0.6">
      <c r="A22" s="14" t="s">
        <v>1026</v>
      </c>
      <c r="B22" s="14" t="s">
        <v>1027</v>
      </c>
    </row>
    <row r="23" spans="1:2" x14ac:dyDescent="0.6">
      <c r="A23" s="16" t="s">
        <v>1028</v>
      </c>
      <c r="B23" s="16" t="s">
        <v>1029</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9"/>
  <sheetViews>
    <sheetView showGridLines="0" workbookViewId="0">
      <pane ySplit="3" topLeftCell="A4" activePane="bottomLeft" state="frozen"/>
      <selection pane="bottomLeft"/>
    </sheetView>
  </sheetViews>
  <sheetFormatPr defaultRowHeight="16.899999999999999" x14ac:dyDescent="0.6"/>
  <cols>
    <col min="1" max="1" width="9" customWidth="1"/>
    <col min="2" max="2" width="108" customWidth="1"/>
    <col min="3" max="3" width="26" customWidth="1"/>
    <col min="4" max="4" width="10" customWidth="1"/>
    <col min="5" max="5" width="66" customWidth="1"/>
  </cols>
  <sheetData>
    <row r="1" spans="1:5" ht="20.65" x14ac:dyDescent="0.6">
      <c r="A1" s="9" t="s">
        <v>1030</v>
      </c>
    </row>
    <row r="3" spans="1:5" x14ac:dyDescent="0.6">
      <c r="A3" s="5" t="s">
        <v>1031</v>
      </c>
    </row>
    <row r="4" spans="1:5" ht="28.05" customHeight="1" x14ac:dyDescent="0.6">
      <c r="A4" s="10" t="s">
        <v>172</v>
      </c>
      <c r="B4" s="10" t="s">
        <v>1032</v>
      </c>
      <c r="C4" s="10" t="s">
        <v>1033</v>
      </c>
      <c r="D4" s="10" t="s">
        <v>1034</v>
      </c>
      <c r="E4" s="10" t="s">
        <v>1035</v>
      </c>
    </row>
    <row r="5" spans="1:5" ht="63.75" x14ac:dyDescent="0.6">
      <c r="A5" s="20" t="s">
        <v>1036</v>
      </c>
      <c r="B5" s="21" t="s">
        <v>1037</v>
      </c>
      <c r="C5" s="20" t="s">
        <v>1038</v>
      </c>
      <c r="D5" s="20" t="s">
        <v>1039</v>
      </c>
      <c r="E5" s="21" t="s">
        <v>1040</v>
      </c>
    </row>
    <row r="6" spans="1:5" ht="38.25" x14ac:dyDescent="0.6">
      <c r="A6" s="11" t="s">
        <v>1041</v>
      </c>
      <c r="B6" s="12" t="s">
        <v>1042</v>
      </c>
      <c r="C6" s="11" t="s">
        <v>1038</v>
      </c>
      <c r="D6" s="11" t="s">
        <v>1043</v>
      </c>
      <c r="E6" s="12" t="s">
        <v>1044</v>
      </c>
    </row>
    <row r="7" spans="1:5" ht="51" x14ac:dyDescent="0.6">
      <c r="A7" s="11" t="s">
        <v>1045</v>
      </c>
      <c r="B7" s="12" t="s">
        <v>1046</v>
      </c>
      <c r="C7" s="11" t="s">
        <v>1047</v>
      </c>
      <c r="D7" s="11" t="s">
        <v>1039</v>
      </c>
      <c r="E7" s="12" t="s">
        <v>1048</v>
      </c>
    </row>
    <row r="8" spans="1:5" ht="25.5" x14ac:dyDescent="0.6">
      <c r="A8" s="11" t="s">
        <v>1049</v>
      </c>
      <c r="B8" s="12" t="s">
        <v>1050</v>
      </c>
      <c r="C8" s="11" t="s">
        <v>1047</v>
      </c>
      <c r="D8" s="11" t="s">
        <v>1039</v>
      </c>
      <c r="E8" s="12" t="s">
        <v>1051</v>
      </c>
    </row>
    <row r="9" spans="1:5" ht="38.25" x14ac:dyDescent="0.6">
      <c r="A9" s="11" t="s">
        <v>1052</v>
      </c>
      <c r="B9" s="12" t="s">
        <v>1053</v>
      </c>
      <c r="C9" s="11" t="s">
        <v>1043</v>
      </c>
      <c r="D9" s="11" t="s">
        <v>1047</v>
      </c>
      <c r="E9" s="12" t="s">
        <v>1054</v>
      </c>
    </row>
    <row r="10" spans="1:5" ht="51" x14ac:dyDescent="0.6">
      <c r="A10" s="11" t="s">
        <v>1055</v>
      </c>
      <c r="B10" s="12" t="s">
        <v>1056</v>
      </c>
      <c r="C10" s="11" t="s">
        <v>1043</v>
      </c>
      <c r="D10" s="11" t="s">
        <v>1038</v>
      </c>
      <c r="E10" s="12" t="s">
        <v>1057</v>
      </c>
    </row>
    <row r="11" spans="1:5" ht="38.25" x14ac:dyDescent="0.6">
      <c r="A11" s="11" t="s">
        <v>1058</v>
      </c>
      <c r="B11" s="12" t="s">
        <v>1059</v>
      </c>
      <c r="C11" s="11" t="s">
        <v>1038</v>
      </c>
      <c r="D11" s="11" t="s">
        <v>1038</v>
      </c>
      <c r="E11" s="12" t="s">
        <v>1060</v>
      </c>
    </row>
    <row r="12" spans="1:5" ht="51" x14ac:dyDescent="0.6">
      <c r="A12" s="11" t="s">
        <v>1061</v>
      </c>
      <c r="B12" s="12" t="s">
        <v>1062</v>
      </c>
      <c r="C12" s="11" t="s">
        <v>1038</v>
      </c>
      <c r="D12" s="11" t="s">
        <v>1038</v>
      </c>
      <c r="E12" s="12" t="s">
        <v>1063</v>
      </c>
    </row>
    <row r="13" spans="1:5" ht="76.5" x14ac:dyDescent="0.6">
      <c r="A13" s="11" t="s">
        <v>1064</v>
      </c>
      <c r="B13" s="12" t="s">
        <v>1065</v>
      </c>
      <c r="C13" s="11" t="s">
        <v>1039</v>
      </c>
      <c r="D13" s="11" t="s">
        <v>1038</v>
      </c>
      <c r="E13" s="12" t="s">
        <v>1066</v>
      </c>
    </row>
    <row r="14" spans="1:5" ht="63.75" x14ac:dyDescent="0.6">
      <c r="A14" s="11" t="s">
        <v>1067</v>
      </c>
      <c r="B14" s="12" t="s">
        <v>1068</v>
      </c>
      <c r="C14" s="11" t="s">
        <v>1038</v>
      </c>
      <c r="D14" s="11" t="s">
        <v>1038</v>
      </c>
      <c r="E14" s="12" t="s">
        <v>1069</v>
      </c>
    </row>
    <row r="15" spans="1:5" ht="63.75" x14ac:dyDescent="0.6">
      <c r="A15" s="20" t="s">
        <v>1070</v>
      </c>
      <c r="B15" s="21" t="s">
        <v>1071</v>
      </c>
      <c r="C15" s="20" t="s">
        <v>1039</v>
      </c>
      <c r="D15" s="20" t="s">
        <v>1038</v>
      </c>
      <c r="E15" s="21" t="s">
        <v>1072</v>
      </c>
    </row>
    <row r="16" spans="1:5" ht="63.75" x14ac:dyDescent="0.6">
      <c r="A16" s="11" t="s">
        <v>1073</v>
      </c>
      <c r="B16" s="12" t="s">
        <v>1074</v>
      </c>
      <c r="C16" s="11" t="s">
        <v>1038</v>
      </c>
      <c r="D16" s="11" t="s">
        <v>1038</v>
      </c>
      <c r="E16" s="12" t="s">
        <v>1075</v>
      </c>
    </row>
    <row r="17" spans="1:5" ht="51" x14ac:dyDescent="0.6">
      <c r="A17" s="20" t="s">
        <v>1076</v>
      </c>
      <c r="B17" s="21" t="s">
        <v>1077</v>
      </c>
      <c r="C17" s="20" t="s">
        <v>1038</v>
      </c>
      <c r="D17" s="20" t="s">
        <v>1047</v>
      </c>
      <c r="E17" s="21" t="s">
        <v>1078</v>
      </c>
    </row>
    <row r="18" spans="1:5" ht="89.25" x14ac:dyDescent="0.6">
      <c r="A18" s="11" t="s">
        <v>967</v>
      </c>
      <c r="B18" s="12" t="s">
        <v>1079</v>
      </c>
      <c r="C18" s="11" t="s">
        <v>1047</v>
      </c>
      <c r="D18" s="11" t="s">
        <v>1039</v>
      </c>
      <c r="E18" s="12" t="s">
        <v>1080</v>
      </c>
    </row>
    <row r="19" spans="1:5" ht="63.75" x14ac:dyDescent="0.6">
      <c r="A19" s="11" t="s">
        <v>1081</v>
      </c>
      <c r="B19" s="12" t="s">
        <v>1082</v>
      </c>
      <c r="C19" s="11" t="s">
        <v>1038</v>
      </c>
      <c r="D19" s="11" t="s">
        <v>1038</v>
      </c>
      <c r="E19" s="12" t="s">
        <v>1083</v>
      </c>
    </row>
    <row r="20" spans="1:5" ht="63.75" x14ac:dyDescent="0.6">
      <c r="A20" s="11" t="s">
        <v>1084</v>
      </c>
      <c r="B20" s="12" t="s">
        <v>1085</v>
      </c>
      <c r="C20" s="11" t="s">
        <v>1038</v>
      </c>
      <c r="D20" s="11" t="s">
        <v>1047</v>
      </c>
      <c r="E20" s="12" t="s">
        <v>1086</v>
      </c>
    </row>
    <row r="21" spans="1:5" ht="63.75" x14ac:dyDescent="0.6">
      <c r="A21" s="11" t="s">
        <v>1087</v>
      </c>
      <c r="B21" s="12" t="s">
        <v>1088</v>
      </c>
      <c r="C21" s="11" t="s">
        <v>1038</v>
      </c>
      <c r="D21" s="11" t="s">
        <v>1038</v>
      </c>
      <c r="E21" s="12" t="s">
        <v>1089</v>
      </c>
    </row>
    <row r="23" spans="1:5" x14ac:dyDescent="0.6">
      <c r="A23" s="5" t="s">
        <v>1090</v>
      </c>
    </row>
    <row r="24" spans="1:5" ht="28.05" customHeight="1" x14ac:dyDescent="0.6">
      <c r="A24" s="10" t="s">
        <v>172</v>
      </c>
      <c r="B24" s="10" t="s">
        <v>1091</v>
      </c>
      <c r="C24" s="10" t="s">
        <v>8</v>
      </c>
    </row>
    <row r="25" spans="1:5" x14ac:dyDescent="0.6">
      <c r="A25" s="15" t="s">
        <v>1092</v>
      </c>
      <c r="B25" s="16" t="s">
        <v>1093</v>
      </c>
      <c r="C25" s="15" t="s">
        <v>1094</v>
      </c>
    </row>
    <row r="26" spans="1:5" x14ac:dyDescent="0.6">
      <c r="A26" s="20" t="s">
        <v>1095</v>
      </c>
      <c r="B26" s="21" t="s">
        <v>1096</v>
      </c>
      <c r="C26" s="20" t="s">
        <v>1097</v>
      </c>
    </row>
    <row r="27" spans="1:5" x14ac:dyDescent="0.6">
      <c r="A27" s="11" t="s">
        <v>1098</v>
      </c>
      <c r="B27" s="12" t="s">
        <v>1099</v>
      </c>
      <c r="C27" s="11" t="s">
        <v>1097</v>
      </c>
    </row>
    <row r="28" spans="1:5" x14ac:dyDescent="0.6">
      <c r="A28" s="11" t="s">
        <v>1100</v>
      </c>
      <c r="B28" s="12" t="s">
        <v>1101</v>
      </c>
      <c r="C28" s="11" t="s">
        <v>1102</v>
      </c>
    </row>
    <row r="29" spans="1:5" ht="25.5" x14ac:dyDescent="0.6">
      <c r="A29" s="11" t="s">
        <v>1103</v>
      </c>
      <c r="B29" s="12" t="s">
        <v>1104</v>
      </c>
      <c r="C29" s="11" t="s">
        <v>1105</v>
      </c>
    </row>
    <row r="30" spans="1:5" ht="25.5" x14ac:dyDescent="0.6">
      <c r="A30" s="20" t="s">
        <v>1106</v>
      </c>
      <c r="B30" s="21" t="s">
        <v>1107</v>
      </c>
      <c r="C30" s="20" t="s">
        <v>1108</v>
      </c>
    </row>
    <row r="31" spans="1:5" x14ac:dyDescent="0.6">
      <c r="A31" s="15" t="s">
        <v>1109</v>
      </c>
      <c r="B31" s="16" t="s">
        <v>1110</v>
      </c>
      <c r="C31" s="15" t="s">
        <v>1111</v>
      </c>
    </row>
    <row r="32" spans="1:5" x14ac:dyDescent="0.6">
      <c r="A32" s="13" t="s">
        <v>1112</v>
      </c>
      <c r="B32" s="14" t="s">
        <v>1113</v>
      </c>
      <c r="C32" s="13" t="s">
        <v>1111</v>
      </c>
    </row>
    <row r="33" spans="1:3" x14ac:dyDescent="0.6">
      <c r="A33" s="15" t="s">
        <v>1114</v>
      </c>
      <c r="B33" s="16" t="s">
        <v>1115</v>
      </c>
      <c r="C33" s="15" t="s">
        <v>1116</v>
      </c>
    </row>
    <row r="34" spans="1:3" x14ac:dyDescent="0.6">
      <c r="A34" s="13" t="s">
        <v>1117</v>
      </c>
      <c r="B34" s="14" t="s">
        <v>1118</v>
      </c>
      <c r="C34" s="13" t="s">
        <v>1119</v>
      </c>
    </row>
    <row r="36" spans="1:3" x14ac:dyDescent="0.6">
      <c r="A36" s="3" t="s">
        <v>73</v>
      </c>
    </row>
    <row r="37" spans="1:3" x14ac:dyDescent="0.6">
      <c r="A37" s="17" t="s">
        <v>74</v>
      </c>
    </row>
    <row r="38" spans="1:3" x14ac:dyDescent="0.6">
      <c r="A38" s="18" t="s">
        <v>75</v>
      </c>
    </row>
    <row r="39" spans="1:3" x14ac:dyDescent="0.6">
      <c r="A39" s="19" t="s">
        <v>76</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8"/>
  <sheetViews>
    <sheetView showGridLines="0" workbookViewId="0">
      <pane ySplit="4" topLeftCell="A21" activePane="bottomLeft" state="frozen"/>
      <selection pane="bottomLeft" activeCell="A30" sqref="A30"/>
    </sheetView>
  </sheetViews>
  <sheetFormatPr defaultRowHeight="16.899999999999999" x14ac:dyDescent="0.6"/>
  <cols>
    <col min="1" max="1" width="9" customWidth="1"/>
    <col min="2" max="2" width="15" customWidth="1"/>
    <col min="3" max="3" width="62" customWidth="1"/>
    <col min="4" max="4" width="56" customWidth="1"/>
    <col min="5" max="5" width="40" customWidth="1"/>
  </cols>
  <sheetData>
    <row r="1" spans="1:5" ht="20.65" x14ac:dyDescent="0.6">
      <c r="A1" s="9" t="s">
        <v>1120</v>
      </c>
    </row>
    <row r="2" spans="1:5" x14ac:dyDescent="0.6">
      <c r="A2" s="8" t="s">
        <v>1121</v>
      </c>
    </row>
    <row r="4" spans="1:5" ht="28.05" customHeight="1" x14ac:dyDescent="0.6">
      <c r="A4" s="10" t="s">
        <v>172</v>
      </c>
      <c r="B4" s="10" t="s">
        <v>173</v>
      </c>
      <c r="C4" s="10" t="s">
        <v>1122</v>
      </c>
      <c r="D4" s="10" t="s">
        <v>1123</v>
      </c>
      <c r="E4" s="10" t="s">
        <v>1124</v>
      </c>
    </row>
    <row r="5" spans="1:5" ht="25.5" x14ac:dyDescent="0.6">
      <c r="A5" s="20" t="s">
        <v>1125</v>
      </c>
      <c r="B5" s="20" t="s">
        <v>305</v>
      </c>
      <c r="C5" s="21" t="s">
        <v>1126</v>
      </c>
      <c r="D5" s="21" t="s">
        <v>1127</v>
      </c>
      <c r="E5" s="23" t="s">
        <v>1128</v>
      </c>
    </row>
    <row r="6" spans="1:5" ht="63.75" x14ac:dyDescent="0.6">
      <c r="A6" s="20" t="s">
        <v>1129</v>
      </c>
      <c r="B6" s="20" t="s">
        <v>305</v>
      </c>
      <c r="C6" s="21" t="s">
        <v>1130</v>
      </c>
      <c r="D6" s="21" t="s">
        <v>1131</v>
      </c>
      <c r="E6" s="24" t="s">
        <v>1302</v>
      </c>
    </row>
    <row r="7" spans="1:5" ht="38.25" x14ac:dyDescent="0.6">
      <c r="A7" s="15" t="s">
        <v>1132</v>
      </c>
      <c r="B7" s="15" t="s">
        <v>305</v>
      </c>
      <c r="C7" s="25" t="s">
        <v>1303</v>
      </c>
      <c r="D7" s="16" t="s">
        <v>1133</v>
      </c>
      <c r="E7" s="24" t="s">
        <v>1304</v>
      </c>
    </row>
    <row r="8" spans="1:5" ht="25.5" x14ac:dyDescent="0.6">
      <c r="A8" s="13" t="s">
        <v>1134</v>
      </c>
      <c r="B8" s="13" t="s">
        <v>200</v>
      </c>
      <c r="C8" s="14" t="s">
        <v>1135</v>
      </c>
      <c r="D8" s="14" t="s">
        <v>1136</v>
      </c>
      <c r="E8" s="24" t="s">
        <v>1305</v>
      </c>
    </row>
    <row r="9" spans="1:5" ht="76.5" x14ac:dyDescent="0.6">
      <c r="A9" s="15" t="s">
        <v>1137</v>
      </c>
      <c r="B9" s="15" t="s">
        <v>200</v>
      </c>
      <c r="C9" s="16" t="s">
        <v>1138</v>
      </c>
      <c r="D9" s="16" t="s">
        <v>1139</v>
      </c>
      <c r="E9" s="24" t="s">
        <v>1306</v>
      </c>
    </row>
    <row r="10" spans="1:5" ht="51" x14ac:dyDescent="0.6">
      <c r="A10" s="20" t="s">
        <v>1140</v>
      </c>
      <c r="B10" s="20" t="s">
        <v>200</v>
      </c>
      <c r="C10" s="21" t="s">
        <v>1141</v>
      </c>
      <c r="D10" s="21" t="s">
        <v>1142</v>
      </c>
      <c r="E10" s="23" t="s">
        <v>1143</v>
      </c>
    </row>
    <row r="11" spans="1:5" ht="25.5" x14ac:dyDescent="0.6">
      <c r="A11" s="15" t="s">
        <v>1144</v>
      </c>
      <c r="B11" s="15" t="s">
        <v>200</v>
      </c>
      <c r="C11" s="16" t="s">
        <v>1145</v>
      </c>
      <c r="D11" s="16" t="s">
        <v>1146</v>
      </c>
      <c r="E11" s="24" t="s">
        <v>1307</v>
      </c>
    </row>
    <row r="12" spans="1:5" ht="25.5" x14ac:dyDescent="0.6">
      <c r="A12" s="13" t="s">
        <v>1147</v>
      </c>
      <c r="B12" s="13" t="s">
        <v>305</v>
      </c>
      <c r="C12" s="14" t="s">
        <v>1148</v>
      </c>
      <c r="D12" s="14" t="s">
        <v>1149</v>
      </c>
      <c r="E12" s="24" t="s">
        <v>1308</v>
      </c>
    </row>
    <row r="13" spans="1:5" ht="25.5" x14ac:dyDescent="0.6">
      <c r="A13" s="15" t="s">
        <v>1150</v>
      </c>
      <c r="B13" s="15" t="s">
        <v>1151</v>
      </c>
      <c r="C13" s="16" t="s">
        <v>1152</v>
      </c>
      <c r="D13" s="16" t="s">
        <v>1153</v>
      </c>
      <c r="E13" s="24" t="s">
        <v>1309</v>
      </c>
    </row>
    <row r="14" spans="1:5" ht="25.5" x14ac:dyDescent="0.6">
      <c r="A14" s="13" t="s">
        <v>1154</v>
      </c>
      <c r="B14" s="13" t="s">
        <v>1155</v>
      </c>
      <c r="C14" s="14" t="s">
        <v>1156</v>
      </c>
      <c r="D14" s="14" t="s">
        <v>1157</v>
      </c>
      <c r="E14" s="24" t="s">
        <v>1310</v>
      </c>
    </row>
    <row r="15" spans="1:5" ht="38.25" x14ac:dyDescent="0.6">
      <c r="A15" s="20" t="s">
        <v>1158</v>
      </c>
      <c r="B15" s="20" t="s">
        <v>981</v>
      </c>
      <c r="C15" s="21" t="s">
        <v>1159</v>
      </c>
      <c r="D15" s="21" t="s">
        <v>1160</v>
      </c>
      <c r="E15" s="24" t="s">
        <v>1311</v>
      </c>
    </row>
    <row r="16" spans="1:5" ht="51" x14ac:dyDescent="0.6">
      <c r="A16" s="20" t="s">
        <v>328</v>
      </c>
      <c r="B16" s="20" t="s">
        <v>305</v>
      </c>
      <c r="C16" s="21" t="s">
        <v>1161</v>
      </c>
      <c r="D16" s="21" t="s">
        <v>1162</v>
      </c>
      <c r="E16" s="24" t="s">
        <v>1312</v>
      </c>
    </row>
    <row r="17" spans="1:5" ht="38.25" x14ac:dyDescent="0.6">
      <c r="A17" s="20" t="s">
        <v>1163</v>
      </c>
      <c r="B17" s="20" t="s">
        <v>305</v>
      </c>
      <c r="C17" s="21" t="s">
        <v>1164</v>
      </c>
      <c r="D17" s="21" t="s">
        <v>1165</v>
      </c>
      <c r="E17" s="23" t="s">
        <v>1166</v>
      </c>
    </row>
    <row r="18" spans="1:5" ht="63.75" x14ac:dyDescent="0.6">
      <c r="A18" s="11" t="s">
        <v>1167</v>
      </c>
      <c r="B18" s="11" t="s">
        <v>305</v>
      </c>
      <c r="C18" s="12" t="s">
        <v>1168</v>
      </c>
      <c r="D18" s="12" t="s">
        <v>1169</v>
      </c>
      <c r="E18" s="24" t="s">
        <v>1313</v>
      </c>
    </row>
    <row r="19" spans="1:5" ht="51" x14ac:dyDescent="0.6">
      <c r="A19" s="11" t="s">
        <v>1170</v>
      </c>
      <c r="B19" s="11" t="s">
        <v>305</v>
      </c>
      <c r="C19" s="12" t="s">
        <v>1171</v>
      </c>
      <c r="D19" s="12" t="s">
        <v>1172</v>
      </c>
      <c r="E19" s="24" t="s">
        <v>1314</v>
      </c>
    </row>
    <row r="20" spans="1:5" ht="63.75" x14ac:dyDescent="0.6">
      <c r="A20" s="20" t="s">
        <v>235</v>
      </c>
      <c r="B20" s="20" t="s">
        <v>1173</v>
      </c>
      <c r="C20" s="21" t="s">
        <v>1174</v>
      </c>
      <c r="D20" s="21" t="s">
        <v>1175</v>
      </c>
      <c r="E20" s="23" t="s">
        <v>1176</v>
      </c>
    </row>
    <row r="21" spans="1:5" ht="76.5" x14ac:dyDescent="0.6">
      <c r="A21" s="20" t="s">
        <v>229</v>
      </c>
      <c r="B21" s="20" t="s">
        <v>1173</v>
      </c>
      <c r="C21" s="21" t="s">
        <v>1177</v>
      </c>
      <c r="D21" s="21" t="s">
        <v>1178</v>
      </c>
      <c r="E21" s="23" t="s">
        <v>1179</v>
      </c>
    </row>
    <row r="22" spans="1:5" ht="63.75" x14ac:dyDescent="0.6">
      <c r="A22" s="20" t="s">
        <v>273</v>
      </c>
      <c r="B22" s="20" t="s">
        <v>264</v>
      </c>
      <c r="C22" s="21" t="s">
        <v>1180</v>
      </c>
      <c r="D22" s="21" t="s">
        <v>1181</v>
      </c>
      <c r="E22" s="23" t="s">
        <v>1182</v>
      </c>
    </row>
    <row r="24" spans="1:5" x14ac:dyDescent="0.6">
      <c r="A24" s="8" t="s">
        <v>1183</v>
      </c>
    </row>
    <row r="25" spans="1:5" x14ac:dyDescent="0.6">
      <c r="A25" s="3" t="s">
        <v>73</v>
      </c>
    </row>
    <row r="26" spans="1:5" x14ac:dyDescent="0.6">
      <c r="A26" s="17" t="s">
        <v>74</v>
      </c>
    </row>
    <row r="27" spans="1:5" x14ac:dyDescent="0.6">
      <c r="A27" s="18" t="s">
        <v>75</v>
      </c>
    </row>
    <row r="28" spans="1:5" x14ac:dyDescent="0.6">
      <c r="A28" s="19" t="s">
        <v>76</v>
      </c>
    </row>
  </sheetData>
  <phoneticPr fontId="10"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6"/>
  <sheetViews>
    <sheetView showGridLines="0" tabSelected="1" topLeftCell="D1" workbookViewId="0">
      <pane ySplit="4" topLeftCell="A7" activePane="bottomLeft" state="frozen"/>
      <selection pane="bottomLeft" activeCell="F11" sqref="F11"/>
    </sheetView>
  </sheetViews>
  <sheetFormatPr defaultRowHeight="16.899999999999999" x14ac:dyDescent="0.6"/>
  <cols>
    <col min="1" max="1" width="34" customWidth="1"/>
    <col min="2" max="2" width="16" customWidth="1"/>
    <col min="3" max="3" width="14" customWidth="1"/>
    <col min="4" max="4" width="84" customWidth="1"/>
    <col min="5" max="5" width="76" customWidth="1"/>
    <col min="6" max="6" width="12" customWidth="1"/>
  </cols>
  <sheetData>
    <row r="1" spans="1:6" ht="20.65" x14ac:dyDescent="0.6">
      <c r="A1" s="9" t="s">
        <v>1184</v>
      </c>
    </row>
    <row r="2" spans="1:6" x14ac:dyDescent="0.6">
      <c r="A2" s="8" t="s">
        <v>1185</v>
      </c>
    </row>
    <row r="4" spans="1:6" ht="28.05" customHeight="1" x14ac:dyDescent="0.6">
      <c r="A4" s="10" t="s">
        <v>1186</v>
      </c>
      <c r="B4" s="10" t="s">
        <v>175</v>
      </c>
      <c r="C4" s="10" t="s">
        <v>1187</v>
      </c>
      <c r="D4" s="10" t="s">
        <v>1188</v>
      </c>
      <c r="E4" s="10" t="s">
        <v>1189</v>
      </c>
      <c r="F4" s="10" t="s">
        <v>8</v>
      </c>
    </row>
    <row r="5" spans="1:6" ht="102" x14ac:dyDescent="0.6">
      <c r="A5" s="15" t="s">
        <v>503</v>
      </c>
      <c r="B5" s="15" t="s">
        <v>1190</v>
      </c>
      <c r="C5" s="16" t="s">
        <v>1191</v>
      </c>
      <c r="D5" s="16" t="s">
        <v>1192</v>
      </c>
      <c r="E5" s="16" t="s">
        <v>1193</v>
      </c>
      <c r="F5" s="15" t="s">
        <v>1194</v>
      </c>
    </row>
    <row r="6" spans="1:6" ht="76.5" x14ac:dyDescent="0.6">
      <c r="A6" s="13" t="s">
        <v>507</v>
      </c>
      <c r="B6" s="13" t="s">
        <v>1190</v>
      </c>
      <c r="C6" s="14" t="s">
        <v>1195</v>
      </c>
      <c r="D6" s="14" t="s">
        <v>1196</v>
      </c>
      <c r="E6" s="14" t="s">
        <v>1197</v>
      </c>
      <c r="F6" s="13" t="s">
        <v>1194</v>
      </c>
    </row>
    <row r="7" spans="1:6" ht="89.25" x14ac:dyDescent="0.6">
      <c r="A7" s="15" t="s">
        <v>511</v>
      </c>
      <c r="B7" s="15" t="s">
        <v>1190</v>
      </c>
      <c r="C7" s="16" t="s">
        <v>1198</v>
      </c>
      <c r="D7" s="16" t="s">
        <v>1199</v>
      </c>
      <c r="E7" s="16" t="s">
        <v>1200</v>
      </c>
      <c r="F7" s="15" t="s">
        <v>1194</v>
      </c>
    </row>
    <row r="8" spans="1:6" ht="63.75" x14ac:dyDescent="0.6">
      <c r="A8" s="13" t="s">
        <v>515</v>
      </c>
      <c r="B8" s="13" t="s">
        <v>1190</v>
      </c>
      <c r="C8" s="14" t="s">
        <v>1201</v>
      </c>
      <c r="D8" s="14" t="s">
        <v>1196</v>
      </c>
      <c r="E8" s="14" t="s">
        <v>1202</v>
      </c>
      <c r="F8" s="13" t="s">
        <v>1194</v>
      </c>
    </row>
    <row r="9" spans="1:6" ht="38.25" x14ac:dyDescent="0.6">
      <c r="A9" s="15" t="s">
        <v>533</v>
      </c>
      <c r="B9" s="15" t="s">
        <v>1190</v>
      </c>
      <c r="C9" s="16" t="s">
        <v>1203</v>
      </c>
      <c r="D9" s="16" t="s">
        <v>1204</v>
      </c>
      <c r="E9" s="16" t="s">
        <v>1205</v>
      </c>
      <c r="F9" s="15" t="s">
        <v>1194</v>
      </c>
    </row>
    <row r="10" spans="1:6" ht="51" x14ac:dyDescent="0.6">
      <c r="A10" s="13" t="s">
        <v>1206</v>
      </c>
      <c r="B10" s="13" t="s">
        <v>130</v>
      </c>
      <c r="C10" s="14" t="s">
        <v>1207</v>
      </c>
      <c r="D10" s="14" t="s">
        <v>1208</v>
      </c>
      <c r="E10" s="14" t="s">
        <v>1209</v>
      </c>
      <c r="F10" s="13" t="s">
        <v>1194</v>
      </c>
    </row>
    <row r="11" spans="1:6" ht="63.75" x14ac:dyDescent="0.6">
      <c r="A11" s="15" t="s">
        <v>1210</v>
      </c>
      <c r="B11" s="15" t="s">
        <v>1211</v>
      </c>
      <c r="C11" s="16" t="s">
        <v>1212</v>
      </c>
      <c r="D11" s="16" t="s">
        <v>1213</v>
      </c>
      <c r="E11" s="16" t="s">
        <v>1214</v>
      </c>
      <c r="F11" s="15" t="s">
        <v>1194</v>
      </c>
    </row>
    <row r="12" spans="1:6" ht="63.75" x14ac:dyDescent="0.6">
      <c r="A12" s="13" t="s">
        <v>1215</v>
      </c>
      <c r="B12" s="13" t="s">
        <v>1211</v>
      </c>
      <c r="C12" s="14" t="s">
        <v>1216</v>
      </c>
      <c r="D12" s="14" t="s">
        <v>1217</v>
      </c>
      <c r="E12" s="14" t="s">
        <v>1218</v>
      </c>
      <c r="F12" s="13" t="s">
        <v>1194</v>
      </c>
    </row>
    <row r="13" spans="1:6" ht="51" x14ac:dyDescent="0.6">
      <c r="A13" s="15" t="s">
        <v>1219</v>
      </c>
      <c r="B13" s="15" t="s">
        <v>130</v>
      </c>
      <c r="C13" s="16" t="s">
        <v>1220</v>
      </c>
      <c r="D13" s="16" t="s">
        <v>1221</v>
      </c>
      <c r="E13" s="16" t="s">
        <v>1222</v>
      </c>
      <c r="F13" s="15" t="s">
        <v>1223</v>
      </c>
    </row>
    <row r="14" spans="1:6" ht="51" x14ac:dyDescent="0.6">
      <c r="A14" s="13" t="s">
        <v>1224</v>
      </c>
      <c r="B14" s="13" t="s">
        <v>130</v>
      </c>
      <c r="C14" s="14" t="s">
        <v>1220</v>
      </c>
      <c r="D14" s="14" t="s">
        <v>1225</v>
      </c>
      <c r="E14" s="14" t="s">
        <v>1226</v>
      </c>
      <c r="F14" s="13" t="s">
        <v>1223</v>
      </c>
    </row>
    <row r="15" spans="1:6" ht="38.25" x14ac:dyDescent="0.6">
      <c r="A15" s="15" t="s">
        <v>1227</v>
      </c>
      <c r="B15" s="15" t="s">
        <v>1228</v>
      </c>
      <c r="C15" s="16" t="s">
        <v>1229</v>
      </c>
      <c r="D15" s="16" t="s">
        <v>1230</v>
      </c>
      <c r="E15" s="16" t="s">
        <v>1231</v>
      </c>
      <c r="F15" s="15" t="s">
        <v>1194</v>
      </c>
    </row>
    <row r="16" spans="1:6" ht="63.75" x14ac:dyDescent="0.6">
      <c r="A16" s="13" t="s">
        <v>1232</v>
      </c>
      <c r="B16" s="13" t="s">
        <v>1233</v>
      </c>
      <c r="C16" s="14" t="s">
        <v>1234</v>
      </c>
      <c r="D16" s="14" t="s">
        <v>1235</v>
      </c>
      <c r="E16" s="14" t="s">
        <v>1236</v>
      </c>
      <c r="F16" s="13" t="s">
        <v>1194</v>
      </c>
    </row>
    <row r="17" spans="1:6" ht="63.75" x14ac:dyDescent="0.6">
      <c r="A17" s="15" t="s">
        <v>1237</v>
      </c>
      <c r="B17" s="15" t="s">
        <v>130</v>
      </c>
      <c r="C17" s="16" t="s">
        <v>1238</v>
      </c>
      <c r="D17" s="16" t="s">
        <v>1239</v>
      </c>
      <c r="E17" s="16" t="s">
        <v>1240</v>
      </c>
      <c r="F17" s="15" t="s">
        <v>1194</v>
      </c>
    </row>
    <row r="18" spans="1:6" ht="51" x14ac:dyDescent="0.6">
      <c r="A18" s="13" t="s">
        <v>1241</v>
      </c>
      <c r="B18" s="13" t="s">
        <v>130</v>
      </c>
      <c r="C18" s="14" t="s">
        <v>1238</v>
      </c>
      <c r="D18" s="14" t="s">
        <v>1242</v>
      </c>
      <c r="E18" s="14" t="s">
        <v>1243</v>
      </c>
      <c r="F18" s="13" t="s">
        <v>1194</v>
      </c>
    </row>
    <row r="19" spans="1:6" ht="51" x14ac:dyDescent="0.6">
      <c r="A19" s="15" t="s">
        <v>1244</v>
      </c>
      <c r="B19" s="15" t="s">
        <v>1140</v>
      </c>
      <c r="C19" s="16" t="s">
        <v>1245</v>
      </c>
      <c r="D19" s="16" t="s">
        <v>1246</v>
      </c>
      <c r="E19" s="16" t="s">
        <v>1247</v>
      </c>
      <c r="F19" s="15" t="s">
        <v>1194</v>
      </c>
    </row>
    <row r="20" spans="1:6" ht="63.75" x14ac:dyDescent="0.6">
      <c r="A20" s="13" t="s">
        <v>1248</v>
      </c>
      <c r="B20" s="13" t="s">
        <v>1249</v>
      </c>
      <c r="C20" s="14" t="s">
        <v>1250</v>
      </c>
      <c r="D20" s="14" t="s">
        <v>1251</v>
      </c>
      <c r="E20" s="14" t="s">
        <v>1252</v>
      </c>
      <c r="F20" s="13" t="s">
        <v>1194</v>
      </c>
    </row>
    <row r="21" spans="1:6" ht="51" x14ac:dyDescent="0.6">
      <c r="A21" s="15" t="s">
        <v>1253</v>
      </c>
      <c r="B21" s="15" t="s">
        <v>130</v>
      </c>
      <c r="C21" s="16" t="s">
        <v>1254</v>
      </c>
      <c r="D21" s="16" t="s">
        <v>1255</v>
      </c>
      <c r="E21" s="16" t="s">
        <v>1256</v>
      </c>
      <c r="F21" s="15" t="s">
        <v>1194</v>
      </c>
    </row>
    <row r="22" spans="1:6" ht="51" x14ac:dyDescent="0.6">
      <c r="A22" s="13" t="s">
        <v>1257</v>
      </c>
      <c r="B22" s="13" t="s">
        <v>130</v>
      </c>
      <c r="C22" s="14" t="s">
        <v>1258</v>
      </c>
      <c r="D22" s="14" t="s">
        <v>1259</v>
      </c>
      <c r="E22" s="14" t="s">
        <v>1260</v>
      </c>
      <c r="F22" s="13" t="s">
        <v>1194</v>
      </c>
    </row>
    <row r="23" spans="1:6" ht="63.75" x14ac:dyDescent="0.6">
      <c r="A23" s="15" t="s">
        <v>1261</v>
      </c>
      <c r="B23" s="15" t="s">
        <v>130</v>
      </c>
      <c r="C23" s="16" t="s">
        <v>1262</v>
      </c>
      <c r="D23" s="16" t="s">
        <v>1263</v>
      </c>
      <c r="E23" s="16" t="s">
        <v>1264</v>
      </c>
      <c r="F23" s="15" t="s">
        <v>1223</v>
      </c>
    </row>
    <row r="24" spans="1:6" ht="51" x14ac:dyDescent="0.6">
      <c r="A24" s="13" t="s">
        <v>1265</v>
      </c>
      <c r="B24" s="13" t="s">
        <v>1266</v>
      </c>
      <c r="C24" s="14" t="s">
        <v>1267</v>
      </c>
      <c r="D24" s="14" t="s">
        <v>1268</v>
      </c>
      <c r="E24" s="14" t="s">
        <v>1269</v>
      </c>
      <c r="F24" s="13" t="s">
        <v>1194</v>
      </c>
    </row>
    <row r="25" spans="1:6" ht="114.75" x14ac:dyDescent="0.6">
      <c r="A25" s="15" t="s">
        <v>1270</v>
      </c>
      <c r="B25" s="15" t="s">
        <v>1271</v>
      </c>
      <c r="C25" s="16" t="s">
        <v>1272</v>
      </c>
      <c r="D25" s="16" t="s">
        <v>1273</v>
      </c>
      <c r="E25" s="16" t="s">
        <v>1274</v>
      </c>
      <c r="F25" s="15" t="s">
        <v>1194</v>
      </c>
    </row>
    <row r="26" spans="1:6" ht="51" x14ac:dyDescent="0.6">
      <c r="A26" s="13" t="s">
        <v>1275</v>
      </c>
      <c r="B26" s="13" t="s">
        <v>130</v>
      </c>
      <c r="C26" s="14" t="s">
        <v>1276</v>
      </c>
      <c r="D26" s="14" t="s">
        <v>1277</v>
      </c>
      <c r="E26" s="14" t="s">
        <v>1278</v>
      </c>
      <c r="F26" s="13" t="s">
        <v>1194</v>
      </c>
    </row>
    <row r="27" spans="1:6" ht="51" x14ac:dyDescent="0.6">
      <c r="A27" s="15" t="s">
        <v>1279</v>
      </c>
      <c r="B27" s="15" t="s">
        <v>130</v>
      </c>
      <c r="C27" s="16" t="s">
        <v>1280</v>
      </c>
      <c r="D27" s="16" t="s">
        <v>1281</v>
      </c>
      <c r="E27" s="16" t="s">
        <v>1282</v>
      </c>
      <c r="F27" s="15" t="s">
        <v>1194</v>
      </c>
    </row>
    <row r="28" spans="1:6" ht="51" x14ac:dyDescent="0.6">
      <c r="A28" s="13" t="s">
        <v>1283</v>
      </c>
      <c r="B28" s="13" t="s">
        <v>130</v>
      </c>
      <c r="C28" s="14" t="s">
        <v>1284</v>
      </c>
      <c r="D28" s="14" t="s">
        <v>1285</v>
      </c>
      <c r="E28" s="14" t="s">
        <v>1286</v>
      </c>
      <c r="F28" s="13" t="s">
        <v>1223</v>
      </c>
    </row>
    <row r="29" spans="1:6" ht="51" x14ac:dyDescent="0.6">
      <c r="A29" s="15" t="s">
        <v>1287</v>
      </c>
      <c r="B29" s="15" t="s">
        <v>1288</v>
      </c>
      <c r="C29" s="16" t="s">
        <v>1289</v>
      </c>
      <c r="D29" s="16" t="s">
        <v>1290</v>
      </c>
      <c r="E29" s="16" t="s">
        <v>1291</v>
      </c>
      <c r="F29" s="15" t="s">
        <v>1194</v>
      </c>
    </row>
    <row r="30" spans="1:6" ht="63.75" x14ac:dyDescent="0.6">
      <c r="A30" s="13" t="s">
        <v>1292</v>
      </c>
      <c r="B30" s="13" t="s">
        <v>130</v>
      </c>
      <c r="C30" s="14" t="s">
        <v>1293</v>
      </c>
      <c r="D30" s="14" t="s">
        <v>1294</v>
      </c>
      <c r="E30" s="14" t="s">
        <v>1295</v>
      </c>
      <c r="F30" s="13" t="s">
        <v>1194</v>
      </c>
    </row>
    <row r="32" spans="1:6" x14ac:dyDescent="0.6">
      <c r="A32" s="5" t="s">
        <v>1296</v>
      </c>
    </row>
    <row r="33" spans="1:4" ht="28.05" customHeight="1" x14ac:dyDescent="0.6">
      <c r="A33" s="10" t="s">
        <v>1297</v>
      </c>
      <c r="B33" s="10" t="s">
        <v>1298</v>
      </c>
      <c r="C33" s="10" t="s">
        <v>46</v>
      </c>
      <c r="D33" s="10" t="s">
        <v>455</v>
      </c>
    </row>
    <row r="34" spans="1:4" ht="25.5" x14ac:dyDescent="0.6">
      <c r="A34" s="15" t="s">
        <v>1299</v>
      </c>
      <c r="B34" s="22"/>
      <c r="C34" s="22"/>
      <c r="D34" s="16" t="s">
        <v>1300</v>
      </c>
    </row>
    <row r="36" spans="1:4" x14ac:dyDescent="0.6">
      <c r="A36" s="8" t="s">
        <v>1301</v>
      </c>
    </row>
  </sheetData>
  <phoneticPr fontId="10" type="noConversion"/>
  <dataValidations count="1">
    <dataValidation type="list" allowBlank="1" sqref="F5:F30" xr:uid="{00000000-0002-0000-0D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00_Cover</vt:lpstr>
      <vt:lpstr>01_Version_History</vt:lpstr>
      <vt:lpstr>02_Scope</vt:lpstr>
      <vt:lpstr>03_Requirements</vt:lpstr>
      <vt:lpstr>04_Architecture</vt:lpstr>
      <vt:lpstr>05_Data_Flow</vt:lpstr>
      <vt:lpstr>05a_Sharing</vt:lpstr>
      <vt:lpstr>06_Decisions</vt:lpstr>
      <vt:lpstr>07_WBS_Schedule</vt:lpstr>
      <vt:lpstr>08_Verification</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2026-08-13T11:09:20Z</dcterms:created>
  <dcterms:modified xsi:type="dcterms:W3CDTF">2026-08-13T14:31:25Z</dcterms:modified>
</cp:coreProperties>
</file>