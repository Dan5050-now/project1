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09\DL-ClaudeCW\project management app develop\"/>
    </mc:Choice>
  </mc:AlternateContent>
  <xr:revisionPtr revIDLastSave="0" documentId="8_{F3D86B30-8F1A-41E8-A6B4-353847D3C7AE}" xr6:coauthVersionLast="47" xr6:coauthVersionMax="47" xr10:uidLastSave="{00000000-0000-0000-0000-000000000000}"/>
  <bookViews>
    <workbookView xWindow="-98" yWindow="-98" windowWidth="21795" windowHeight="12975" tabRatio="911" firstSheet="4" activeTab="11" xr2:uid="{00000000-000D-0000-FFFF-FFFF00000000}"/>
  </bookViews>
  <sheets>
    <sheet name="00_Cover" sheetId="1" r:id="rId1"/>
    <sheet name="01_Version_History" sheetId="2" r:id="rId2"/>
    <sheet name="02_Scope" sheetId="3" r:id="rId3"/>
    <sheet name="03_Requirements" sheetId="4" r:id="rId4"/>
    <sheet name="04_Data_Model" sheetId="5" r:id="rId5"/>
    <sheet name="05_Resource_Logic" sheetId="6" r:id="rId6"/>
    <sheet name="06_Dashboard_Design" sheetId="7" r:id="rId7"/>
    <sheet name="07_Architecture" sheetId="8" r:id="rId8"/>
    <sheet name="08_WBS_Schedule" sheetId="9" r:id="rId9"/>
    <sheet name="09_Version_Control" sheetId="10" r:id="rId10"/>
    <sheet name="10_Risks" sheetId="11" r:id="rId11"/>
    <sheet name="11_Open_Questions" sheetId="12" r:id="rId12"/>
    <sheet name="12_Review_Log"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13" l="1"/>
  <c r="B48" i="13"/>
  <c r="B47" i="13"/>
  <c r="B52" i="9"/>
  <c r="B51" i="9"/>
  <c r="B50" i="9"/>
  <c r="B49" i="9"/>
  <c r="B76" i="4"/>
  <c r="B75" i="4"/>
  <c r="B74" i="4"/>
  <c r="B73" i="4"/>
</calcChain>
</file>

<file path=xl/sharedStrings.xml><?xml version="1.0" encoding="utf-8"?>
<sst xmlns="http://schemas.openxmlformats.org/spreadsheetml/2006/main" count="2443" uniqueCount="1557">
  <si>
    <t>Project Resource Assignment Program (PRAP)</t>
  </si>
  <si>
    <t>Application Development Plan</t>
  </si>
  <si>
    <t>Document ID</t>
  </si>
  <si>
    <t>PRAP-PLAN-001</t>
  </si>
  <si>
    <t>Document type</t>
  </si>
  <si>
    <t>Development plan (Step 1 deliverable) - change against the v1.0 baseline</t>
  </si>
  <si>
    <t>Version</t>
  </si>
  <si>
    <t>v1.1</t>
  </si>
  <si>
    <t>Status</t>
  </si>
  <si>
    <t>Change against approved baseline v1.0 - issued for approval</t>
  </si>
  <si>
    <t>Issue date</t>
  </si>
  <si>
    <t>2026-07-31</t>
  </si>
  <si>
    <t>Author</t>
  </si>
  <si>
    <t>Claude Code</t>
  </si>
  <si>
    <t>Reviewer</t>
  </si>
  <si>
    <t>Requester - four review rounds: v0.11, v0.2, v0.3, v0.4 reviewed</t>
  </si>
  <si>
    <t>Baseline</t>
  </si>
  <si>
    <t>v1.0, approved by Dan 2026-08-01 (Gate 1)</t>
  </si>
  <si>
    <t>Repository</t>
  </si>
  <si>
    <t>Dan5050-now/project1</t>
  </si>
  <si>
    <t>Branch</t>
  </si>
  <si>
    <t>claude/project-resource-assignment-app-1vjdzh</t>
  </si>
  <si>
    <t>Supersedes</t>
  </si>
  <si>
    <t>v1.0 (2026-07-31) - which remains the approved baseline until v1.1 is approved</t>
  </si>
  <si>
    <t>Status of this issue</t>
  </si>
  <si>
    <t>v1.0 was approved by Dan on 2026-08-01, closing Gate 1. It remains the approved baseline.</t>
  </si>
  <si>
    <t>This issue, v1.1, carries a change request raised after that approval: two additions marked on sheet 11</t>
  </si>
  <si>
    <t>and a set of edits made directly to the derivation table on sheet 05. Because v1.0 is a baseline, these</t>
  </si>
  <si>
    <t>cannot simply be absorbed - they are presented as a numbered change against it, and v1.1 needs its own</t>
  </si>
  <si>
    <t>approval before it supersedes v1.0. The approval block on sheet 12 now holds both.</t>
  </si>
  <si>
    <t>WHAT CHANGES</t>
  </si>
  <si>
    <t xml:space="preserve">  1. 'Inspection' becomes a standard milestone, and unlike the others it may occur SEVERAL TIMES in one</t>
  </si>
  <si>
    <t xml:space="preserve">     project. A milestone name is therefore no longer unique within a project.</t>
  </si>
  <si>
    <t xml:space="preserve">  2. A seventh period, 'After Close-out (final)', spans the inspection activity. The clinical-trial</t>
  </si>
  <si>
    <t xml:space="preserve">     period set grows from five names to six.</t>
  </si>
  <si>
    <t xml:space="preserve">  3. Three boundaries now prefer a milestone where one is recorded: Before-Start-up ends at</t>
  </si>
  <si>
    <t xml:space="preserve">     'Protocol (v1)', Start-up begins the day after it, and Start-up ends at 'First SIV'.</t>
  </si>
  <si>
    <t xml:space="preserve">  4. 'FPI' returns as a permitted milestone - as the fallback for 'First SIV'. It had been dropped from</t>
  </si>
  <si>
    <t xml:space="preserve">     the standard list at Q-15, so this reverses that.</t>
  </si>
  <si>
    <t>The revised derivation was tested against seven timelines and is contiguous in all of them. One case</t>
  </si>
  <si>
    <t>needed a rule that was not in the mark-up: an inspection dated BEFORE the final DB lock. Taken</t>
  </si>
  <si>
    <t>literally it makes the seventh period start before the sixth. v1.1 treats inspections on or before the</t>
  </si>
  <si>
    <t>final DB lock as markers inside the existing periods, so only later inspection activity opens period 7.</t>
  </si>
  <si>
    <t>Raised as R-03 on sheet 11.</t>
  </si>
  <si>
    <t>The plan in one page</t>
  </si>
  <si>
    <t xml:space="preserve">  Output        One HTML file, opened by double-click on Windows, offline, no install. One Excel</t>
  </si>
  <si>
    <t xml:space="preserve">                workbook alongside it holds the data and remains the archive of record.</t>
  </si>
  <si>
    <t xml:space="preserve">  Calculation   load = project period weight x role factor x person weight x month coverage,</t>
  </si>
  <si>
    <t xml:space="preserve">                in FTE where 1.00 FTE = 160 hours per month.</t>
  </si>
  <si>
    <t xml:space="preserve">                Over-allocated above 1.50 FTE in a month; under-allocated below 0.80 FTE for three</t>
  </si>
  <si>
    <t xml:space="preserve">                or more consecutive months, reported as a run.</t>
  </si>
  <si>
    <t xml:space="preserve">  Periods       Clinical Trial: five period names derived from milestone dates and month offsets,</t>
  </si>
  <si>
    <t xml:space="preserve">                with Conduct occurring up to twice where an interim DB lock splits it. Weights come</t>
  </si>
  <si>
    <t xml:space="preserve">                from the trial's clinical phase.</t>
  </si>
  <si>
    <t xml:space="preserve">                Others: three periods, dates and weights both entered by hand.</t>
  </si>
  <si>
    <t xml:space="preserve">  Dashboard     Overall (monthly simulation per project and per person, tables and graphs),</t>
  </si>
  <si>
    <t xml:space="preserve">                Source data (project), Source data (person). Every field editable, with identifier</t>
  </si>
  <si>
    <t xml:space="preserve">                edits cascading to referencing rows.</t>
  </si>
  <si>
    <t xml:space="preserve">  Build         Five steps, each ending at a review gate. This document closes Step 1.</t>
  </si>
  <si>
    <t>What approving this document means</t>
  </si>
  <si>
    <t>Gate 1 approval on sheet 12 baselines the 63 requirements on sheet 03 as the contract for Steps 2-5,</t>
  </si>
  <si>
    <t>and confirms the six engineering decisions C-06 to C-11 on sheet 05 that were proposed but never</t>
  </si>
  <si>
    <t>explicitly answered across the review rounds. Those six are listed there with their rationale; if any</t>
  </si>
  <si>
    <t>is wrong, say so at approval rather than after.</t>
  </si>
  <si>
    <t>How to read this workbook</t>
  </si>
  <si>
    <t>Sheet</t>
  </si>
  <si>
    <t>Contents</t>
  </si>
  <si>
    <t>00_Cover</t>
  </si>
  <si>
    <t>Document control, what changed, reading guide.</t>
  </si>
  <si>
    <t>01_Version_History</t>
  </si>
  <si>
    <t>Change log for this plan.</t>
  </si>
  <si>
    <t>02_Scope</t>
  </si>
  <si>
    <t>Background, objectives, in scope / out of scope.</t>
  </si>
  <si>
    <t>03_Requirements</t>
  </si>
  <si>
    <t>Numbered requirement register - the contract for Steps 2-5.</t>
  </si>
  <si>
    <t>04_Data_Model</t>
  </si>
  <si>
    <t>Every sheet and column of the single source workbook, with rules.</t>
  </si>
  <si>
    <t>05_Resource_Logic</t>
  </si>
  <si>
    <t>The calculation that turns assignments and weights into monthly FTE.</t>
  </si>
  <si>
    <t>06_Dashboard_Design</t>
  </si>
  <si>
    <t>The three dashboard tabs: tables, graphs, filters, editing.</t>
  </si>
  <si>
    <t>07_Architecture</t>
  </si>
  <si>
    <t>Single-file HTML + Excel-on-disk design and the file-access decision.</t>
  </si>
  <si>
    <t>08_WBS_Schedule</t>
  </si>
  <si>
    <t>The five steps broken into tasks, deliverables and review gates.</t>
  </si>
  <si>
    <t>09_Version_Control</t>
  </si>
  <si>
    <t>How plan, specification and output files are versioned together.</t>
  </si>
  <si>
    <t>10_Risks</t>
  </si>
  <si>
    <t>Risks and assumptions with mitigations.</t>
  </si>
  <si>
    <t>11_Open_Questions</t>
  </si>
  <si>
    <t>All 28 questions and their answers. Nothing open.</t>
  </si>
  <si>
    <t>12_Review_Log</t>
  </si>
  <si>
    <t>Every change made across the four review rounds, and why. Gate 1 approval block.</t>
  </si>
  <si>
    <t>Legend</t>
  </si>
  <si>
    <t>Green = new in v0.2, added from your review answers.</t>
  </si>
  <si>
    <t>Orange = changed in v0.2 as a consequence of your review.</t>
  </si>
  <si>
    <t>Yellow = still needs your input.</t>
  </si>
  <si>
    <t>Version history</t>
  </si>
  <si>
    <t>One row per issued version. Numbering rules are on sheet 09_Version_Control.</t>
  </si>
  <si>
    <t>Date</t>
  </si>
  <si>
    <t>Summary of change</t>
  </si>
  <si>
    <t>0.1</t>
  </si>
  <si>
    <t>2026-07-25</t>
  </si>
  <si>
    <t>-</t>
  </si>
  <si>
    <t>First draft issued for review. Built from the requirements supplied by the requester, incorporating two confirmed decisions: browser file-picker + SheetJS for Excel access (option a), and the five-step plan.</t>
  </si>
  <si>
    <t>Superseded</t>
  </si>
  <si>
    <t>0.11</t>
  </si>
  <si>
    <t>Requester</t>
  </si>
  <si>
    <t>Reviewer mark-up returned as PRAP_Development_Plan_v0.11_reviewed.xlsx. Answered all 12 open questions; added one Import/Export requirement; added clinical phase, four system-responsibility columns, three system-name columns, and denormalised name columns to the data model.</t>
  </si>
  <si>
    <t>Review input</t>
  </si>
  <si>
    <t>0.2</t>
  </si>
  <si>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</si>
  <si>
    <t>0.21</t>
  </si>
  <si>
    <t>Second reviewer mark-up returned as PRAP_Development_Plan_v0.2_reviewed.xlsx, answering Q-13 to Q-20.</t>
  </si>
  <si>
    <t>0.3</t>
  </si>
  <si>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</si>
  <si>
    <t>0.31</t>
  </si>
  <si>
    <t>Third reviewer mark-up returned as PRAP_Development_Plan_v0.3_reviewed.xlsx, answering Q-21 to Q-26.</t>
  </si>
  <si>
    <t>0.4</t>
  </si>
  <si>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</si>
  <si>
    <t>0.41</t>
  </si>
  <si>
    <t>Fourth reviewer mark-up returned as PRAP_Development_Plan_v0.4_reviewed.xlsx, answering Q-27 and Q-28.</t>
  </si>
  <si>
    <t>1.0</t>
  </si>
  <si>
    <t>Pending</t>
  </si>
  <si>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</si>
  <si>
    <t>APPROVED 2026-08-01 by Dan - baseline</t>
  </si>
  <si>
    <t>1.01</t>
  </si>
  <si>
    <t>Post-approval change request returned as PRAP_Development_Plan_v1.0_reviewed.xlsx: add 'Inspection' as a standard milestone, add a seventh period covering inspection activity, and prefer 'Protocol (v1)' and 'First SIV' as period boundaries where recorded.</t>
  </si>
  <si>
    <t>Change request</t>
  </si>
  <si>
    <t>1.1</t>
  </si>
  <si>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</si>
  <si>
    <t>For approval</t>
  </si>
  <si>
    <t>The reviewer's file was named v0.11. Under the numbering rule on sheet 09 that reads as a draft increment of v0.1, so it is logged above as review input and this incorporating draft is v0.2.</t>
  </si>
  <si>
    <t>Scope and objectives</t>
  </si>
  <si>
    <t>Background - the problem being solved</t>
  </si>
  <si>
    <t>Multiple projects run at the same time, and their timelines change frequently. Deciding who to assign, in which</t>
  </si>
  <si>
    <t>role, to which project is therefore difficult to do by hand. The resource burden a project places on a person is</t>
  </si>
  <si>
    <t>not constant: it varies by project, by period within that project, and by the role the person holds.</t>
  </si>
  <si>
    <t>Today there is no single view that answers 'who is over-committed next quarter, and on which project?' -</t>
  </si>
  <si>
    <t>nor the quieter question, 'who has been under-used for three months running?'.</t>
  </si>
  <si>
    <t>Objectives</t>
  </si>
  <si>
    <t>ID</t>
  </si>
  <si>
    <t>Objective</t>
  </si>
  <si>
    <t>How success is measured</t>
  </si>
  <si>
    <t>Basis</t>
  </si>
  <si>
    <t>OBJ-1</t>
  </si>
  <si>
    <t>Hold project and person data in one controlled place: a single Excel workbook kept outside the application.</t>
  </si>
  <si>
    <t>The workbook loads without error and round-trips through export.</t>
  </si>
  <si>
    <t>Q-09</t>
  </si>
  <si>
    <t>OBJ-2</t>
  </si>
  <si>
    <t>Simulate monthly resource demand per project and per person, respecting period weights and role factors.</t>
  </si>
  <si>
    <t>Monthly FTE reconciles to the worked example on sheet 05.</t>
  </si>
  <si>
    <t>Q-01</t>
  </si>
  <si>
    <t>OBJ-3</t>
  </si>
  <si>
    <t>Make both over- and under-allocation visible before they bite.</t>
  </si>
  <si>
    <t>Person-months above 1.50 FTE are flagged; runs of three or more months below 0.80 FTE are flagged.</t>
  </si>
  <si>
    <t>Q-08</t>
  </si>
  <si>
    <t>OBJ-4</t>
  </si>
  <si>
    <t>Let the user re-run the simulation immediately after a timeline change.</t>
  </si>
  <si>
    <t>Editing dates in the workbook - or in the application - and re-running updates the dashboard with no code change.</t>
  </si>
  <si>
    <t>OBJ-5</t>
  </si>
  <si>
    <t>Run entirely on a local Windows PC with no install, no server and no network.</t>
  </si>
  <si>
    <t>The HTML file opens by double-click in Edge and Chrome and works offline.</t>
  </si>
  <si>
    <t>Q-05</t>
  </si>
  <si>
    <t>In scope</t>
  </si>
  <si>
    <t>In scope for v1.0</t>
  </si>
  <si>
    <t>Single-file HTML application runnable from local disk on Windows.</t>
  </si>
  <si>
    <t>v0.1</t>
  </si>
  <si>
    <t>Import of all project and person data from ONE Excel workbook via a browser file picker or drag-and-drop.</t>
  </si>
  <si>
    <t>Editing imported data inside the application, with the edits carried into the export.</t>
  </si>
  <si>
    <t>REQ-IMP-07</t>
  </si>
  <si>
    <t>Export of the current working data back to .xlsx, so the workbook remains the archive of record.</t>
  </si>
  <si>
    <t>Monthly resource simulation in FTE per project and per person, default 24-month horizon, expandable to the latest project end date.</t>
  </si>
  <si>
    <t>Q-08, Q-11</t>
  </si>
  <si>
    <t>Three dashboard tabs: Overall, Source data (project), Source data (person).</t>
  </si>
  <si>
    <t>Tables plus graphs on the Overall tab.</t>
  </si>
  <si>
    <t>Over-allocation and under-allocation detection against the agreed FTE thresholds.</t>
  </si>
  <si>
    <t>Version control of plan, specification and application across the development lifecycle.</t>
  </si>
  <si>
    <t>Out of scope</t>
  </si>
  <si>
    <t>Excluded from v1.0</t>
  </si>
  <si>
    <t>Reason</t>
  </si>
  <si>
    <t>Multi-user concurrent editing, or any server / database component.</t>
  </si>
  <si>
    <t>Requirement is a local single-file HTML tool.</t>
  </si>
  <si>
    <t>Confirmed Q-12</t>
  </si>
  <si>
    <t>Authentication, user accounts, permissions.</t>
  </si>
  <si>
    <t>No server; the workbook carries whatever access control the file share provides.</t>
  </si>
  <si>
    <t>Automatic writing to the workbook on disk without user action.</t>
  </si>
  <si>
    <t>Browsers cannot do this from a file:// page - see 07_Architecture. Export is always a deliberate act.</t>
  </si>
  <si>
    <t>Cost, budget or salary calculation.</t>
  </si>
  <si>
    <t>Not raised. The data model leaves room to add it.</t>
  </si>
  <si>
    <t>Integration with an HR, CTMS or timesheet system.</t>
  </si>
  <si>
    <t>Not raised.</t>
  </si>
  <si>
    <t>Resource optimisation / automatic assignment suggestions.</t>
  </si>
  <si>
    <t>v1.0 reports and simulates; it does not decide.</t>
  </si>
  <si>
    <t>Working-day and holiday calendars.</t>
  </si>
  <si>
    <t>Q-02 confirmed calendar-day pro-rating. A working-day calendar is a later option.</t>
  </si>
  <si>
    <t>Confirmed Q-02</t>
  </si>
  <si>
    <t>Q-12 answer was 'Fine' - the v0.1 exclusions stand. Note that in-application editing has moved INTO scope via REQ-IMP-07; only automatic writing to disk without user action remains excluded.</t>
  </si>
  <si>
    <t>Users</t>
  </si>
  <si>
    <t>User</t>
  </si>
  <si>
    <t>Type</t>
  </si>
  <si>
    <t>What they do with the application</t>
  </si>
  <si>
    <t>Resource planner / manager</t>
  </si>
  <si>
    <t>Primary</t>
  </si>
  <si>
    <t>Loads the workbook, reviews monthly simulation, spots over- and under-allocation, tries timeline scenarios.</t>
  </si>
  <si>
    <t>Project lead</t>
  </si>
  <si>
    <t>Secondary</t>
  </si>
  <si>
    <t>Checks the resource profile of their own project and who is assigned in which role.</t>
  </si>
  <si>
    <t>Data maintainer</t>
  </si>
  <si>
    <t>Keeps the source workbook accurate; may be the same person as the planner.</t>
  </si>
  <si>
    <t>Requirement register</t>
  </si>
  <si>
    <t>The contract for Steps 2-5. Every specification section and every code module cites the REQ-IDs it satisfies.</t>
  </si>
  <si>
    <t>REQ-ID</t>
  </si>
  <si>
    <t>Category</t>
  </si>
  <si>
    <t>Requirement</t>
  </si>
  <si>
    <t>Priority</t>
  </si>
  <si>
    <t>Source</t>
  </si>
  <si>
    <t>Step</t>
  </si>
  <si>
    <t>REQ-OUT-01</t>
  </si>
  <si>
    <t>Output</t>
  </si>
  <si>
    <t>The application is a single HTML file that runs on a local Windows PC by double-click, with no install and no network access.</t>
  </si>
  <si>
    <t>Must</t>
  </si>
  <si>
    <t>4</t>
  </si>
  <si>
    <t>REQ-OUT-02</t>
  </si>
  <si>
    <t>All program logic (HTML, CSS, JavaScript, libraries) is embedded in that one HTML file so it can be copied between PCs as a single artifact.</t>
  </si>
  <si>
    <t>REQ-OUT-03</t>
  </si>
  <si>
    <t>Source data lives in ONE Excel workbook held separately from the HTML file, and that workbook is the archive of record.</t>
  </si>
  <si>
    <t>REQ-OUT-04</t>
  </si>
  <si>
    <t>The application reads the source workbook and uses it to drive every table and graph.</t>
  </si>
  <si>
    <t>REQ-OUT-05</t>
  </si>
  <si>
    <t>Plans and specifications are delivered as Excel workbooks.</t>
  </si>
  <si>
    <t>1,2</t>
  </si>
  <si>
    <t>REQ-PRJ-01</t>
  </si>
  <si>
    <t>Project data</t>
  </si>
  <si>
    <t>Each project records a project type, restricted to 'Clinical Trial' or 'Others'.</t>
  </si>
  <si>
    <t>2</t>
  </si>
  <si>
    <t>REQ-PRJ-02</t>
  </si>
  <si>
    <t>Each project records a project category. Where type = 'Clinical Trial' the category is the product name; the field is optional for 'Others'.</t>
  </si>
  <si>
    <t>REQ-PRJ-03</t>
  </si>
  <si>
    <t>Each project records a project name, unique within the source workbook.</t>
  </si>
  <si>
    <t>REQ-PRJ-04</t>
  </si>
  <si>
    <t>Each project records its conditions: outsourcing type ('Full outsourcing' / 'Partial outsourcing' / 'Full In-house') and the number of project members.</t>
  </si>
  <si>
    <t>Q-14</t>
  </si>
  <si>
    <t>REQ-PRJ-06</t>
  </si>
  <si>
    <t>Each project carries a resource weight per period. For a clinical trial the weight is seeded from a standard keyed on clinical phase; for 'Others' it is entered by hand.</t>
  </si>
  <si>
    <t>Q-26, Q-28</t>
  </si>
  <si>
    <t>REQ-PRJ-05</t>
  </si>
  <si>
    <t>Each project records a timeline: start date, major milestone dates, and total period.</t>
  </si>
  <si>
    <t>REQ-PRJ-07</t>
  </si>
  <si>
    <t>The project record accepts further project-related information without a schema change (free/extension columns).</t>
  </si>
  <si>
    <t>Should</t>
  </si>
  <si>
    <t>REQ-PRJ-08</t>
  </si>
  <si>
    <t>Total period is derived from start and end dates rather than typed by hand, so it cannot contradict the timeline.</t>
  </si>
  <si>
    <t>Derived</t>
  </si>
  <si>
    <t>REQ-PRJ-12</t>
  </si>
  <si>
    <t>The set of periods a project carries depends on its type: 'Clinical Trial' uses Before-Start-up / Start-up / Conduct / Close-out (interim) / Close-out (final) / After Close-out (final); 'Others' uses Planning / Develop / Close.</t>
  </si>
  <si>
    <t>Q-18, Q-23, R-02</t>
  </si>
  <si>
    <t>REQ-PRJ-13</t>
  </si>
  <si>
    <t>A milestone name may occur more than once in one project. 'Inspection' in particular may record several events; the others are expected once.</t>
  </si>
  <si>
    <t>R-01</t>
  </si>
  <si>
    <t>REQ-PRJ-09</t>
  </si>
  <si>
    <t>A 'Clinical Trial' project records its clinical phase (phase 1 / 2 / 3 / 4). The phase determines the project's period weights, so it drives the simulation rather than merely describing the project.</t>
  </si>
  <si>
    <t>Q-26</t>
  </si>
  <si>
    <t>REQ-PRJ-10</t>
  </si>
  <si>
    <t>A 'Clinical Trial' project records who performs each of EDC set-up, data-review-system set-up, RBQM set-up and DM conduct ('by CRO' / 'by SB').</t>
  </si>
  <si>
    <t>Reviewer v0.11</t>
  </si>
  <si>
    <t>REQ-PRJ-11</t>
  </si>
  <si>
    <t>A 'Clinical Trial' project records the EDC system, data review system and RBQM system in use, from data-driven value lists.</t>
  </si>
  <si>
    <t>REQ-PSN-01</t>
  </si>
  <si>
    <t>Person data</t>
  </si>
  <si>
    <t>Data is managed by person, by project assigned, and by project role assigned.</t>
  </si>
  <si>
    <t>REQ-PSN-02</t>
  </si>
  <si>
    <t>Each assignment records the project(s) the person is assigned to.</t>
  </si>
  <si>
    <t>REQ-PSN-03</t>
  </si>
  <si>
    <t>Each assignment records the role(s) the person holds on that project, drawn from the role list valid for that project's type.</t>
  </si>
  <si>
    <t>Q-03</t>
  </si>
  <si>
    <t>REQ-PSN-04</t>
  </si>
  <si>
    <t>Each assignment records the start date the person joins and the end date they leave that study.</t>
  </si>
  <si>
    <t>REQ-PSN-05</t>
  </si>
  <si>
    <t>Each assignment carries a person weight saying how much that person works on that project, with optional period-specific overrides.</t>
  </si>
  <si>
    <t>REQ-PSN-06</t>
  </si>
  <si>
    <t>The person record accepts further project-related information without a schema change.</t>
  </si>
  <si>
    <t>REQ-PSN-07</t>
  </si>
  <si>
    <t>One person may hold assignments on several projects simultaneously, and may hold more than one role on the same project.</t>
  </si>
  <si>
    <t>REQ-CAL-01</t>
  </si>
  <si>
    <t>Calculation</t>
  </si>
  <si>
    <t>Resource is simulated on a monthly grid, default horizon 24 months, expandable to the latest project end date.</t>
  </si>
  <si>
    <t>Q-11</t>
  </si>
  <si>
    <t>REQ-CAL-02</t>
  </si>
  <si>
    <t>Monthly load for an assignment = project period weight x role factor x person weight x fraction of the month covered. There is no separate base allocation.</t>
  </si>
  <si>
    <t>2,4</t>
  </si>
  <si>
    <t>REQ-CAL-03</t>
  </si>
  <si>
    <t>Project monthly load is the sum of its assignments; person monthly load is the sum across all their projects.</t>
  </si>
  <si>
    <t>REQ-CAL-04</t>
  </si>
  <si>
    <t>A person-month whose total exceeds the over-allocation threshold (default 1.50 FTE) is flagged as over-allocated.</t>
  </si>
  <si>
    <t>REQ-CAL-05</t>
  </si>
  <si>
    <t>A partial first or last month is pro-rated by calendar days worked, not counted as a whole month.</t>
  </si>
  <si>
    <t>Q-02</t>
  </si>
  <si>
    <t>REQ-CAL-06</t>
  </si>
  <si>
    <t>All weights, factors and thresholds are data, held in the source workbook, never hardcoded in the program.</t>
  </si>
  <si>
    <t>REQ-CAL-07</t>
  </si>
  <si>
    <t>A person whose monthly total stays below the under-allocation threshold (default 0.80 FTE) for three or more consecutive months is flagged as under-allocated, with the run's start and length reported.</t>
  </si>
  <si>
    <t>REQ-CAL-08</t>
  </si>
  <si>
    <t>Load is expressed in FTE, where 1.00 FTE = 160 hours per month (8 h/day x 5 days/week x 20 days/month). Hours are shown alongside FTE where useful.</t>
  </si>
  <si>
    <t>REQ-CAL-09</t>
  </si>
  <si>
    <t>For a 'Clinical Trial' project, period boundaries are computed from milestone dates plus fixed month offsets (sheet 05), so a timeline change re-shapes the periods without re-typing them. For 'Others', periods are entered directly - those projects have no milestone mapping.</t>
  </si>
  <si>
    <t>Q-16, Q-22, Q-23, Q-25</t>
  </si>
  <si>
    <t>REQ-CAL-10</t>
  </si>
  <si>
    <t>Every month of a project's timeline falls in exactly one period. A month left uncovered by the derivation is reported and carries weight 1.00 rather than being dropped from the simulation.</t>
  </si>
  <si>
    <t>Derived from Q-16</t>
  </si>
  <si>
    <t>REQ-CAL-11</t>
  </si>
  <si>
    <t>A period name may occur more than once in one project: 'Conduct' runs as two separate stretches where an interim DB lock splits it. Each occurrence is its own row with its own dates and a sequence number.</t>
  </si>
  <si>
    <t>Q-23</t>
  </si>
  <si>
    <t>REQ-CAL-13</t>
  </si>
  <si>
    <t>Where a period boundary has both a milestone and a month-offset definition, a recorded milestone date wins. The offset is the fallback for a project that does not carry that milestone.</t>
  </si>
  <si>
    <t>R-02</t>
  </si>
  <si>
    <t>REQ-CAL-12</t>
  </si>
  <si>
    <t>Where a timeline squeezes a derived period to zero or negative length, that period is omitted and the omission reported. Boundaries are applied in order so the periods always stay contiguous.</t>
  </si>
  <si>
    <t>Derived from Q-22, Q-23</t>
  </si>
  <si>
    <t>REQ-DSH-01</t>
  </si>
  <si>
    <t>Dashboard</t>
  </si>
  <si>
    <t>Tab 'Overall' shows monthly resource simulation per project and per person as tables.</t>
  </si>
  <si>
    <t>3,4</t>
  </si>
  <si>
    <t>REQ-DSH-02</t>
  </si>
  <si>
    <t>Tab 'Overall' shows appropriate graphs of the same simulation.</t>
  </si>
  <si>
    <t>REQ-DSH-03</t>
  </si>
  <si>
    <t>Tab 'Source data (project)' shows project information as a table.</t>
  </si>
  <si>
    <t>REQ-DSH-04</t>
  </si>
  <si>
    <t>Tab 'Source data (person)' shows person information as a table.</t>
  </si>
  <si>
    <t>REQ-DSH-05</t>
  </si>
  <si>
    <t>Tables can be filtered by date horizon, project type, project, person and role.</t>
  </si>
  <si>
    <t>REQ-DSH-06</t>
  </si>
  <si>
    <t>Any table on screen can be exported to Excel.</t>
  </si>
  <si>
    <t>REQ-DSH-07</t>
  </si>
  <si>
    <t>The horizon control offers 24 months by default and a one-click expansion to cover the latest project end date across all projects.</t>
  </si>
  <si>
    <t>REQ-DSH-08</t>
  </si>
  <si>
    <t>Over-allocated and under-allocated person-months are distinguishable at a glance, and both are counted in the summary tiles.</t>
  </si>
  <si>
    <t>REQ-IMP-01</t>
  </si>
  <si>
    <t>Import/Export</t>
  </si>
  <si>
    <t>The user loads the source workbook through a file picker or drag-and-drop, chosen because a local HTML page cannot open a file from disk unaided.</t>
  </si>
  <si>
    <t>Decision D-01</t>
  </si>
  <si>
    <t>REQ-IMP-02</t>
  </si>
  <si>
    <t>Loading validates the workbook and reports every problem found - missing sheet, missing column, bad date, unknown project reference - without stopping at the first one.</t>
  </si>
  <si>
    <t>REQ-IMP-03</t>
  </si>
  <si>
    <t>A blank source workbook template with correct sheet names, headers, value lists and one example row is delivered with the application.</t>
  </si>
  <si>
    <t>REQ-IMP-04</t>
  </si>
  <si>
    <t>The user can export current data back to .xlsx, preserving the template layout so the export can be re-imported.</t>
  </si>
  <si>
    <t>REQ-IMP-05</t>
  </si>
  <si>
    <t>The application records which file was loaded, and when, and shows it on screen.</t>
  </si>
  <si>
    <t>REQ-IMP-06</t>
  </si>
  <si>
    <t>Loaded data may be cached in the browser so re-opening the page does not force a re-import; the cache never replaces the workbook as the record.</t>
  </si>
  <si>
    <t>Could</t>
  </si>
  <si>
    <t>After import, the application lets the user update the data on screen, and those updates are carried into the file produced on export.</t>
  </si>
  <si>
    <t>REQ-IMP-08</t>
  </si>
  <si>
    <t>Unsaved edits are visible as such, and the user is warned before any action that would discard them (closing the page, loading another file).</t>
  </si>
  <si>
    <t>Derived from REQ-IMP-07</t>
  </si>
  <si>
    <t>REQ-IMP-09</t>
  </si>
  <si>
    <t>Every field is editable, including identifiers. An on-screen edit is re-validated against the same rules as an imported value, so editing cannot introduce data the import would have rejected.</t>
  </si>
  <si>
    <t>Q-20</t>
  </si>
  <si>
    <t>REQ-IMP-10</t>
  </si>
  <si>
    <t>Editing an identifier that other sheets reference cascades to every referencing row, after showing how many rows will change. Deleting a referenced row is refused, naming what still points at it.</t>
  </si>
  <si>
    <t>REQ-VC-01</t>
  </si>
  <si>
    <t>Version control</t>
  </si>
  <si>
    <t>Development plan, programming specification and output files are version-controlled together and their versions are cross-referenced.</t>
  </si>
  <si>
    <t>1-5</t>
  </si>
  <si>
    <t>REQ-VC-02</t>
  </si>
  <si>
    <t>The application displays its own version, and the version of the source data schema it expects.</t>
  </si>
  <si>
    <t>REQ-VC-03</t>
  </si>
  <si>
    <t>Loading a source file whose schema version is newer or older than the application expects produces a clear warning.</t>
  </si>
  <si>
    <t>REQ-VC-04</t>
  </si>
  <si>
    <t>Every document re-issue adds a version-history row stating what changed and why.</t>
  </si>
  <si>
    <t>REQ-NFR-01</t>
  </si>
  <si>
    <t>Non-functional</t>
  </si>
  <si>
    <t>The application is built so later requirements can be added without restructuring: parsing, calculation and presentation are separated.</t>
  </si>
  <si>
    <t>REQ-NFR-02</t>
  </si>
  <si>
    <t>Works in Microsoft Edge and Google Chrome on Windows 10/11, offline.</t>
  </si>
  <si>
    <t>REQ-NFR-03</t>
  </si>
  <si>
    <t>Handles the working data volume - 20 projects, 30 people - with headroom to 50 projects, 100 people, 500 assignments and a 60-month horizon, redrawing in under about 1 second.</t>
  </si>
  <si>
    <t>Q-06</t>
  </si>
  <si>
    <t>REQ-NFR-04</t>
  </si>
  <si>
    <t>No data leaves the PC: no network calls, no external CDN, no telemetry.</t>
  </si>
  <si>
    <t>REQ-NFR-05</t>
  </si>
  <si>
    <t>Dates are handled unambiguously (ISO yyyy-mm-dd internally) regardless of Windows regional settings.</t>
  </si>
  <si>
    <t>Requirement count by priority</t>
  </si>
  <si>
    <t>Count</t>
  </si>
  <si>
    <t>Total</t>
  </si>
  <si>
    <t>47 requirements at v0.1, 58 at v0.2, 61 at v0.3, 63 at v0.4 and v1.0. v1.1 adds 2 and rewords 3, as a change against the approved baseline.</t>
  </si>
  <si>
    <t>'Source' = Requester (in the original request), a Q-number (answered at v0.11 review), 'Reviewer v0.11' (added by the reviewer directly), Derived (engineering consequence), or a Decision ID from 07_Architecture.</t>
  </si>
  <si>
    <t>Data model - source Excel structure</t>
  </si>
  <si>
    <t>ONE workbook, PRAP_SourceData.xlsx, with the sheets below (changed at Q-09). This is the schema Step 2 will fix and the code will parse.</t>
  </si>
  <si>
    <t>Sheets in PRAP_SourceData.xlsx</t>
  </si>
  <si>
    <t>Purpose</t>
  </si>
  <si>
    <t>Kind</t>
  </si>
  <si>
    <t>Project</t>
  </si>
  <si>
    <t>One row per project.</t>
  </si>
  <si>
    <t>Master</t>
  </si>
  <si>
    <t>Milestone</t>
  </si>
  <si>
    <t>One row per project milestone.</t>
  </si>
  <si>
    <t>Child of Project</t>
  </si>
  <si>
    <t>ProjectPeriod</t>
  </si>
  <si>
    <t>The four standard periods per project, with their start/end and weight.</t>
  </si>
  <si>
    <t>PeriodWeightStandard</t>
  </si>
  <si>
    <t>Default weight per project category x period. Seeds ProjectPeriod.</t>
  </si>
  <si>
    <t>Reference</t>
  </si>
  <si>
    <t>RoleFactor</t>
  </si>
  <si>
    <t>Role list and burden factor, per project type.</t>
  </si>
  <si>
    <t>Person</t>
  </si>
  <si>
    <t>One row per person.</t>
  </si>
  <si>
    <t>Assignment</t>
  </si>
  <si>
    <t>One row per person + project + role.</t>
  </si>
  <si>
    <t>Link</t>
  </si>
  <si>
    <t>PersonPeriodWeight</t>
  </si>
  <si>
    <t>Optional time-varying override of the person weight.</t>
  </si>
  <si>
    <t>Child of Assignment</t>
  </si>
  <si>
    <t>Lists</t>
  </si>
  <si>
    <t>Value lists for every data-driven dropdown, so lists change without code.</t>
  </si>
  <si>
    <t>Config</t>
  </si>
  <si>
    <t>Parameters: schema version, thresholds, horizon, FTE hours.</t>
  </si>
  <si>
    <t>Sheet: Project</t>
  </si>
  <si>
    <t>Column</t>
  </si>
  <si>
    <t>Required</t>
  </si>
  <si>
    <t>Definition / rule</t>
  </si>
  <si>
    <t>project_id</t>
  </si>
  <si>
    <t>Text</t>
  </si>
  <si>
    <t>Yes</t>
  </si>
  <si>
    <t>Unique key, e.g. PRJ-001. Referenced by every other sheet.</t>
  </si>
  <si>
    <t>project_name</t>
  </si>
  <si>
    <t>Unique display name.</t>
  </si>
  <si>
    <t>project_type</t>
  </si>
  <si>
    <t>List</t>
  </si>
  <si>
    <t>'Clinical Trial' or 'Others'.</t>
  </si>
  <si>
    <t>project_category</t>
  </si>
  <si>
    <t>Conditional</t>
  </si>
  <si>
    <t>Product name. Required when project_type = 'Clinical Trial'.</t>
  </si>
  <si>
    <t>clinical_phase</t>
  </si>
  <si>
    <t>'Phase 1' / 'Phase 2' / 'Phase 3' / 'Phase 4'. Required when project_type = 'Clinical Trial'.</t>
  </si>
  <si>
    <t>outsourcing_type</t>
  </si>
  <si>
    <t>'Full outsourcing' / 'Partial outsourcing' / 'Full In-house'. Three values, fixed at Q-14.</t>
  </si>
  <si>
    <t>EDC_setup</t>
  </si>
  <si>
    <t>Who sets up the EDC system. 'by CRO' / 'by SB'. Required when project_type = 'Clinical Trial'.</t>
  </si>
  <si>
    <t>DataReviewSystem_setup</t>
  </si>
  <si>
    <t>Who sets up the data review system. 'by CRO' / 'by SB'.</t>
  </si>
  <si>
    <t>RBQM_setup</t>
  </si>
  <si>
    <t>Who sets up the RBQM system. 'by CRO' / 'by SB'.</t>
  </si>
  <si>
    <t>DM_conduct</t>
  </si>
  <si>
    <t>Who reviews the clinical trial data. 'by CRO' / 'by SB'.</t>
  </si>
  <si>
    <t>EDC_system</t>
  </si>
  <si>
    <t>EDC system name, e.g. 'Veeva EDC' / 'Rave' / 'eSOURCE'. Data-driven list.</t>
  </si>
  <si>
    <t>DataReviewSystem</t>
  </si>
  <si>
    <t>e.g. 'Veeva DQS' / 'Medidata CDS' / 'No system (manual)'. Data-driven list.</t>
  </si>
  <si>
    <t>RBQM_system</t>
  </si>
  <si>
    <t>e.g. 'CluePoints' / 'Medidata CDS' / 'No system (manual)'. Data-driven list.</t>
  </si>
  <si>
    <t>planned_member_count</t>
  </si>
  <si>
    <t>Integer</t>
  </si>
  <si>
    <t>No</t>
  </si>
  <si>
    <t>Planned number of project members; compared against actual assignments.</t>
  </si>
  <si>
    <t>start_date</t>
  </si>
  <si>
    <t>Project start.</t>
  </si>
  <si>
    <t>end_date</t>
  </si>
  <si>
    <t>Planned project end.</t>
  </si>
  <si>
    <t>total_period_months</t>
  </si>
  <si>
    <t>Calculated from start_date and end_date; not entered by hand.</t>
  </si>
  <si>
    <t>status</t>
  </si>
  <si>
    <t>Planned / Active / On hold / Completed. Drives default dashboard filtering.</t>
  </si>
  <si>
    <t>note_1 .. note_5</t>
  </si>
  <si>
    <t>Free extension columns.</t>
  </si>
  <si>
    <t>system_prepared_by is dropped at v0.3 (Q-19): the four *_setup columns replace it with more detail.</t>
  </si>
  <si>
    <t>Sheet: Milestone</t>
  </si>
  <si>
    <t>Foreign key to Project.</t>
  </si>
  <si>
    <t>Display convenience added at v0.11. Not authoritative: checked against Project on import and refreshed from it, so a mismatch cannot corrupt the link.</t>
  </si>
  <si>
    <t>milestone_name</t>
  </si>
  <si>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</si>
  <si>
    <t>REQ-PRJ-05, REQ-PRJ-13</t>
  </si>
  <si>
    <t>milestone_date</t>
  </si>
  <si>
    <t>Planned date.</t>
  </si>
  <si>
    <t>milestone_seq</t>
  </si>
  <si>
    <t>Display order on the timeline.</t>
  </si>
  <si>
    <t>Boundary milestones at v1.1: Protocol (v1), First SIV (or FPI), CTA submission, the DB locks, and Inspection. Only LPI and the two cut-off dates remain pure markers. milestone_seq orders repeated Inspection rows; uniqueness is on (project_id, milestone_name, milestone_date), not on name alone.</t>
  </si>
  <si>
    <t>Sheet: ProjectPeriod  [was ProjectPeriodWeight]</t>
  </si>
  <si>
    <t>period_name</t>
  </si>
  <si>
    <t>From the period set for the project's TYPE - see the two sets below. A period name from the wrong set is rejected. NOT unique within a project: 'Conduct' occurs twice where an interim DB lock splits it.</t>
  </si>
  <si>
    <t>REQ-PRJ-12, REQ-CAL-11</t>
  </si>
  <si>
    <t>period_seq</t>
  </si>
  <si>
    <t>Orders the periods along the timeline and tells the two 'Conduct' stretches apart. Unique within a project.</t>
  </si>
  <si>
    <t>period_start</t>
  </si>
  <si>
    <t>Inclusive. For Clinical Trial, computed from milestones (sheet 05) and then editable. For Others, entered directly.</t>
  </si>
  <si>
    <t>period_end</t>
  </si>
  <si>
    <t>Inclusive. Periods for one project must not overlap and must leave no gap (REQ-CAL-10).</t>
  </si>
  <si>
    <t>weight</t>
  </si>
  <si>
    <t>Decimal</t>
  </si>
  <si>
    <t>Effort multiplier for this period. For a clinical trial, seeded from PeriodWeightStandard by clinical phase and then editable. For 'Others', entered by hand (Q-28). Values are data (Q-17), not fixed in this plan.</t>
  </si>
  <si>
    <t>Period sets are type-specific (Q-18). The derivation itself is on sheet 05.</t>
  </si>
  <si>
    <t>Period set</t>
  </si>
  <si>
    <t>How boundaries are set</t>
  </si>
  <si>
    <t>Clinical Trial</t>
  </si>
  <si>
    <t>Before-Start-up, Start-up, Conduct, Close-out (interim), Close-out (final), After Close-out (final)</t>
  </si>
  <si>
    <t>Computed from milestones plus month offsets. 'Conduct' may appear twice; 'Close-out (interim)' only with an interim DB lock; 'After Close-out (final)' only where inspection activity follows the final DB lock.</t>
  </si>
  <si>
    <t>Others</t>
  </si>
  <si>
    <t>Planning, Develop, Close</t>
  </si>
  <si>
    <t>Entered directly - dates confirmed manual at Q-25, weights at Q-28. 'Others' projects are hand-entered throughout.</t>
  </si>
  <si>
    <t>Sheet: PeriodWeightStandard</t>
  </si>
  <si>
    <t>Always 'Clinical Trial' at v1.0. 'Others' projects take manual weights (Q-28), so they need no standard row. The column stays so a standard set can be added later without a schema change.</t>
  </si>
  <si>
    <t>Q-28</t>
  </si>
  <si>
    <t>The phase the standard applies to. This is the key that selects a clinical trial's weights.</t>
  </si>
  <si>
    <t>A period from that type's set.</t>
  </si>
  <si>
    <t>Q-04, Q-18</t>
  </si>
  <si>
    <t>Default multiplier. You fill these in the source workbook (Q-17); the plan fixes only where they live.</t>
  </si>
  <si>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</si>
  <si>
    <t>Sheet: RoleFactor</t>
  </si>
  <si>
    <t>'Clinical Trial' or 'Others'. Roles differ by type, so the same role name cannot leak across types.</t>
  </si>
  <si>
    <t>role_name</t>
  </si>
  <si>
    <t>Clinical Trial: 'Project oversight', 'Lead data manager', 'Clinical Data Associator', 'Clinical Database Programmer', 'Data Analyst'. Others: 'Project lead', 'Main staff', 'Other staff'.</t>
  </si>
  <si>
    <t>role_factor</t>
  </si>
  <si>
    <t>Relative burden of the role, the same for everyone holding it. Values still to be supplied - see Q-17.</t>
  </si>
  <si>
    <t>role_note</t>
  </si>
  <si>
    <t>Basis for the factor.</t>
  </si>
  <si>
    <t>Sheet: Person</t>
  </si>
  <si>
    <t>person_id</t>
  </si>
  <si>
    <t>Unique key, e.g. PSN-001.</t>
  </si>
  <si>
    <t>person_name</t>
  </si>
  <si>
    <t>Display name.</t>
  </si>
  <si>
    <t>department</t>
  </si>
  <si>
    <t>Grouping for the dashboard.</t>
  </si>
  <si>
    <t>primary_role</t>
  </si>
  <si>
    <t>Usual role; an assignment can override it.</t>
  </si>
  <si>
    <t>capacity_fte</t>
  </si>
  <si>
    <t>Available capacity in FTE, default 1.00 (= 160 h/month). Lower it for a part-timer.</t>
  </si>
  <si>
    <t>employment_start / employment_end</t>
  </si>
  <si>
    <t>Bounds availability; blank end = open.</t>
  </si>
  <si>
    <t>Sheet: Assignment</t>
  </si>
  <si>
    <t>assignment_id</t>
  </si>
  <si>
    <t>Unique key. One row per person + project + role.</t>
  </si>
  <si>
    <t>Foreign key to Person.</t>
  </si>
  <si>
    <t>Display convenience added at v0.11. Not authoritative: checked against Person on import and refreshed from it.</t>
  </si>
  <si>
    <t>Foreign key to RoleFactor, matched on (project's type, role_name). Several rows = several roles on one project.</t>
  </si>
  <si>
    <t>assign_start_date</t>
  </si>
  <si>
    <t>Date the person joins the study.</t>
  </si>
  <si>
    <t>assign_end_date</t>
  </si>
  <si>
    <t>Date the person leaves the study. Blank = runs to project end.</t>
  </si>
  <si>
    <t>person_weight</t>
  </si>
  <si>
    <t>RENAMED from base_allocation. How much this person works on this project, e.g. 0.40. Q-01 folded the two former fields into this one.</t>
  </si>
  <si>
    <t>note_1 .. note_3</t>
  </si>
  <si>
    <t>Sheet: PersonPeriodWeight</t>
  </si>
  <si>
    <t>Foreign key to Assignment.</t>
  </si>
  <si>
    <t>Inclusive.</t>
  </si>
  <si>
    <t>Inclusive. Periods within one assignment must not overlap.</t>
  </si>
  <si>
    <t>weight_override</t>
  </si>
  <si>
    <t>REPLACES person_weight for months inside this window - it no longer multiplies it. Where no row covers a month, person_weight applies unchanged.</t>
  </si>
  <si>
    <t>reason</t>
  </si>
  <si>
    <t>Why the weight differs, e.g. 'part-time', 'covering start-up peak'.</t>
  </si>
  <si>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</si>
  <si>
    <t>Sheet: Config</t>
  </si>
  <si>
    <t>parameter</t>
  </si>
  <si>
    <t>Meaning</t>
  </si>
  <si>
    <t>Default value</t>
  </si>
  <si>
    <t>schema_version</t>
  </si>
  <si>
    <t>Version of this workbook structure; checked on import.</t>
  </si>
  <si>
    <t>1</t>
  </si>
  <si>
    <t>fte_hours_per_month</t>
  </si>
  <si>
    <t>Hours equal to 1.00 FTE.</t>
  </si>
  <si>
    <t>160</t>
  </si>
  <si>
    <t>over_allocation_fte</t>
  </si>
  <si>
    <t>Person-month total above this is over-allocated.</t>
  </si>
  <si>
    <t>1.50</t>
  </si>
  <si>
    <t>under_allocation_fte</t>
  </si>
  <si>
    <t>Person-month total below this counts toward an under-allocated run.</t>
  </si>
  <si>
    <t>0.80</t>
  </si>
  <si>
    <t>under_allocation_min_months</t>
  </si>
  <si>
    <t>Consecutive months below the threshold before flagging.</t>
  </si>
  <si>
    <t>3</t>
  </si>
  <si>
    <t>default_horizon_months</t>
  </si>
  <si>
    <t>Months shown on opening.</t>
  </si>
  <si>
    <t>24</t>
  </si>
  <si>
    <t>capacity_unit</t>
  </si>
  <si>
    <t>Display unit: 'FTE' or 'percent'.</t>
  </si>
  <si>
    <t>FTE</t>
  </si>
  <si>
    <t>Sheet: Lists   [new]</t>
  </si>
  <si>
    <t>Two columns - list_name, value - holding every data-driven dropdown: outsourcing_type, clinical_phase,</t>
  </si>
  <si>
    <t>milestone_name, period_name, EDC_system, DataReviewSystem, RBQM_system, setup_party, project_status.</t>
  </si>
  <si>
    <t>Adding a permitted value is a data edit, never a code change (REQ-CAL-06).</t>
  </si>
  <si>
    <t>Referential rules checked on import</t>
  </si>
  <si>
    <t>Rule</t>
  </si>
  <si>
    <t>On failure</t>
  </si>
  <si>
    <t>V-01</t>
  </si>
  <si>
    <t>Every Assignment.project_id exists in Project.</t>
  </si>
  <si>
    <t>Error - row rejected, reported with its row number.</t>
  </si>
  <si>
    <t>V-02</t>
  </si>
  <si>
    <t>Every Assignment.person_id exists in Person.</t>
  </si>
  <si>
    <t>Error - row rejected.</t>
  </si>
  <si>
    <t>V-03</t>
  </si>
  <si>
    <t>Every Assignment.role_name exists in RoleFactor FOR THAT PROJECT'S TYPE.</t>
  </si>
  <si>
    <t>Error - row rejected. Was a warning in v0.1; roles are now type-specific, so a mismatch is a real error.</t>
  </si>
  <si>
    <t>V-04</t>
  </si>
  <si>
    <t>project_category is present when project_type = 'Clinical Trial'.</t>
  </si>
  <si>
    <t>Warning - shown as blank in the dashboard.</t>
  </si>
  <si>
    <t>V-05</t>
  </si>
  <si>
    <t>end_date is on or after start_date, for projects, assignments and all weight periods.</t>
  </si>
  <si>
    <t>V-06</t>
  </si>
  <si>
    <t>Periods within one project, and within one assignment, do not overlap.</t>
  </si>
  <si>
    <t>Error - overlapping pair reported.</t>
  </si>
  <si>
    <t>V-07</t>
  </si>
  <si>
    <t>Assignment dates fall inside the project's own start and end dates.</t>
  </si>
  <si>
    <t>Warning - kept, but listed for review.</t>
  </si>
  <si>
    <t>V-08</t>
  </si>
  <si>
    <t>project_id, person_id and assignment_id are unique in their sheet.</t>
  </si>
  <si>
    <t>Error - duplicate rejected.</t>
  </si>
  <si>
    <t>V-09</t>
  </si>
  <si>
    <t>schema_version in Config matches the version the application expects.</t>
  </si>
  <si>
    <t>Warning - proceeds, banner shown.</t>
  </si>
  <si>
    <t>V-10</t>
  </si>
  <si>
    <t>Clinical-trial projects carry clinical_phase and the four *_setup values.</t>
  </si>
  <si>
    <t>Warning - the project still simulates; the gap is listed.</t>
  </si>
  <si>
    <t>V-11</t>
  </si>
  <si>
    <t>Every list-typed value appears in the Lists sheet for its list.</t>
  </si>
  <si>
    <t>Warning - value kept, reported as unrecognised.</t>
  </si>
  <si>
    <t>V-12</t>
  </si>
  <si>
    <t>A project's periods leave no gap and no overlap across its timeline. The full set need not be present - a period may be legitimately omitted (REQ-CAL-12).</t>
  </si>
  <si>
    <t>Warning - months with no period use weight 1.00 and are listed (REQ-CAL-10).</t>
  </si>
  <si>
    <t>V-13</t>
  </si>
  <si>
    <t>Denormalised project_name / person_name match their master row.</t>
  </si>
  <si>
    <t>Warning - the master value wins and the copy is refreshed.</t>
  </si>
  <si>
    <t>V-14</t>
  </si>
  <si>
    <t>A milestone date falls inside its project's start..end window, and the boundary milestones appear in chronological order. Repeated 'Inspection' rows are exempt from the uniqueness part of this check.</t>
  </si>
  <si>
    <t>Error for period-defining milestones - the derivation cannot run. Warning for markers.</t>
  </si>
  <si>
    <t>V-15</t>
  </si>
  <si>
    <t>A period_name belongs to the period set of its project's type.</t>
  </si>
  <si>
    <t>Error - a 'Planning' period on a clinical trial is a category mistake, not a typo.</t>
  </si>
  <si>
    <t>V-16</t>
  </si>
  <si>
    <t>A clinical trial carries the milestones the derivation needs: CTA submission, and at least one DB lock.</t>
  </si>
  <si>
    <t>Error - without them no period boundary can be computed.</t>
  </si>
  <si>
    <t>V-18</t>
  </si>
  <si>
    <t>period_seq is unique within a project and orders the periods by date.</t>
  </si>
  <si>
    <t>Error - the two Conduct stretches cannot be told apart otherwise.</t>
  </si>
  <si>
    <t>V-19</t>
  </si>
  <si>
    <t>A clinical trial carries a clinical_phase, and PeriodWeightStandard has rows for that phase. Not applied to 'Others' projects, whose weights are entered directly.</t>
  </si>
  <si>
    <t>Error - since Q-26 the phase selects the weights, so a missing phase leaves the project unweighted.</t>
  </si>
  <si>
    <t>V-20</t>
  </si>
  <si>
    <t>A milestone other than 'Inspection' appears at most once per project.</t>
  </si>
  <si>
    <t>Warning - repeats are allowed but usually a data-entry slip outside Inspection.</t>
  </si>
  <si>
    <t>V-21</t>
  </si>
  <si>
    <t>'Inspection' dates on or before the final DB lock are treated as markers, not as the start of period 7.</t>
  </si>
  <si>
    <t>Information - listed so the reader can see why an early inspection did not open a period.</t>
  </si>
  <si>
    <t>V-17</t>
  </si>
  <si>
    <t>On editing an identifier, every referencing row is updated; on deleting a row, nothing may still reference it.</t>
  </si>
  <si>
    <t>Cascade after confirmation / deletion refused (REQ-IMP-10).</t>
  </si>
  <si>
    <t>Import never stops at the first problem: it collects every finding and presents one report (REQ-IMP-02). Under REQ-IMP-09 the same rules run again on any value edited on screen.</t>
  </si>
  <si>
    <t>Resource calculation logic</t>
  </si>
  <si>
    <t>Rewritten at v0.2 from the Q-01, Q-02 and Q-08 answers. Step 2 will fix this as pseudocode plus the worked example as an acceptance test.</t>
  </si>
  <si>
    <t>Monthly load for one assignment, in one month</t>
  </si>
  <si>
    <t xml:space="preserve">    load(assignment, month) = project_period_weight(project, month)</t>
  </si>
  <si>
    <t xml:space="preserve">                            x role_factor(project_type, role)</t>
  </si>
  <si>
    <t xml:space="preserve">                            x person_weight(assignment, month)</t>
  </si>
  <si>
    <t xml:space="preserve">                            x coverage(assignment, month)</t>
  </si>
  <si>
    <t>The result is FTE, where 1.00 FTE = 160 hours per month (8 h/day x 5 days/week x 20 days/month).</t>
  </si>
  <si>
    <t>project_period_weight  is set by the project's category for the milestone period the month falls in.</t>
  </si>
  <si>
    <t xml:space="preserve">                       It is identical for everyone assigned to that project in that period.</t>
  </si>
  <si>
    <t>role_factor            is the standard burden of the role, identical for everyone holding it.</t>
  </si>
  <si>
    <t xml:space="preserve">                       Roles are drawn from the list valid for the project's type.</t>
  </si>
  <si>
    <t>person_weight          is how much this person works on this project, given per assignment;</t>
  </si>
  <si>
    <t xml:space="preserve">                       a PersonPeriodWeight row replaces it for the months it covers.</t>
  </si>
  <si>
    <t>coverage               = calendar days worked in the month / calendar days in the month.</t>
  </si>
  <si>
    <t xml:space="preserve">                       1.00 for a full month, a fraction in the joining and leaving months.</t>
  </si>
  <si>
    <t>Changed from v0.1: base_allocation is gone. Q-01 named three factors, and base_allocation was a fourth that would have silently scaled all of them. person_weight now carries that meaning alone.</t>
  </si>
  <si>
    <t>Aggregation</t>
  </si>
  <si>
    <t>How it is computed</t>
  </si>
  <si>
    <t>Where it appears</t>
  </si>
  <si>
    <t>Per project, per month</t>
  </si>
  <si>
    <t>Sum of load over every assignment on that project.</t>
  </si>
  <si>
    <t>Overall tab, project table + stacked graph</t>
  </si>
  <si>
    <t>Per person, per month</t>
  </si>
  <si>
    <t>Sum of load over every assignment that person holds, across all projects.</t>
  </si>
  <si>
    <t>Overall tab, person table + graph</t>
  </si>
  <si>
    <t>Per person, per project, per month</t>
  </si>
  <si>
    <t>The individual load value.</t>
  </si>
  <si>
    <t>Drill-down when a person row is expanded</t>
  </si>
  <si>
    <t>Over-allocation flag</t>
  </si>
  <si>
    <t>Person-month total &gt; over_allocation_fte (1.50).</t>
  </si>
  <si>
    <t>Red cell + count in summary tiles</t>
  </si>
  <si>
    <t>Under-allocation run</t>
  </si>
  <si>
    <t>Person-month total &lt; under_allocation_fte (0.80) for &gt;= under_allocation_min_months (3) consecutive months. Reported as a run with its start month and length.</t>
  </si>
  <si>
    <t>Amber cells across the run + count in summary tiles</t>
  </si>
  <si>
    <t>Hours view</t>
  </si>
  <si>
    <t>load x fte_hours_per_month.</t>
  </si>
  <si>
    <t>Alternative display unit</t>
  </si>
  <si>
    <t>Head-count per project, per month</t>
  </si>
  <si>
    <t>Count of assignments with load &gt; 0 that month.</t>
  </si>
  <si>
    <t>Compared against planned_member_count</t>
  </si>
  <si>
    <t>Under-allocation needs a rolling window, not a per-month test: a single quiet month is normal, three in a row is a signal. A run is reported once, at its start, rather than as three separate flags.</t>
  </si>
  <si>
    <t>Period derivation for a 'Clinical Trial' project   [v1.1]</t>
  </si>
  <si>
    <t>Boundaries come from milestone dates plus month offsets, so moving a milestone re-shapes the periods.</t>
  </si>
  <si>
    <t>Where a boundary has both a milestone and an offset definition, the RECORDED MILESTONE WINS and the</t>
  </si>
  <si>
    <t>offset is the fallback (REQ-CAL-13). Boundary milestones: Protocol (v1), CTA submission, First SIV</t>
  </si>
  <si>
    <t>(or FPI), the DB locks, and Inspection. LPI and the two cut-off dates are markers only.</t>
  </si>
  <si>
    <t>Seq</t>
  </si>
  <si>
    <t>Period</t>
  </si>
  <si>
    <t>Starts</t>
  </si>
  <si>
    <t>Ends</t>
  </si>
  <si>
    <t>Before-Start-up</t>
  </si>
  <si>
    <t>project start_date</t>
  </si>
  <si>
    <t>'Protocol (v1)' where recorded, otherwise the day before Start-up begins</t>
  </si>
  <si>
    <t>Start-up</t>
  </si>
  <si>
    <t>day after 'Protocol (v1)' where recorded, otherwise one month before 'CTA submission'</t>
  </si>
  <si>
    <t>'First SIV' where recorded (or 'FPI'), otherwise start + 4 months - 1 day</t>
  </si>
  <si>
    <t>Conduct</t>
  </si>
  <si>
    <t>day after Start-up ends</t>
  </si>
  <si>
    <t>day before the next Close-out begins</t>
  </si>
  <si>
    <t>Q-22</t>
  </si>
  <si>
    <t>Close-out (interim)</t>
  </si>
  <si>
    <t>3 months before 'interim DB lock'</t>
  </si>
  <si>
    <t>'interim DB lock'</t>
  </si>
  <si>
    <t>Q-22, Q-23</t>
  </si>
  <si>
    <t>5</t>
  </si>
  <si>
    <t>Conduct   (second stretch)</t>
  </si>
  <si>
    <t>day after 'interim DB lock'</t>
  </si>
  <si>
    <t>day before Close-out (final) begins</t>
  </si>
  <si>
    <t>6</t>
  </si>
  <si>
    <t>Close-out (final)</t>
  </si>
  <si>
    <t>3 months before 'final DB lock'</t>
  </si>
  <si>
    <t>day before period 7 begins; where there is no period 7, 'final DB lock' or project end_date if later</t>
  </si>
  <si>
    <t>7</t>
  </si>
  <si>
    <t>After Close-out (final)</t>
  </si>
  <si>
    <t>earliest 'Inspection' date that falls after the final DB lock</t>
  </si>
  <si>
    <t>latest 'Inspection' date, or project end_date if later</t>
  </si>
  <si>
    <t>Rows 4 and 5 exist only where the project has an interim DB lock. Row 7 exists only where an 'Inspection' milestone falls after the final DB lock - 'Inspection' may be recorded several times, and the period spans from the first such event to the last.</t>
  </si>
  <si>
    <t>Note the interaction at rows 1 and 2: where 'Protocol (v1)' is recorded, Before-Start-up ends on it and Start-up begins the day after, so the two rules meet exactly and no gap can open between them.</t>
  </si>
  <si>
    <t>Degenerate timelines   [REQ-CAL-12]</t>
  </si>
  <si>
    <t>Real timelines do not always leave room for every period. Boundaries are applied in sequence order and a</t>
  </si>
  <si>
    <t>later one wins, so the periods stay contiguous; any period squeezed to zero or negative length is omitted</t>
  </si>
  <si>
    <t>and reported rather than written with a nonsensical range.</t>
  </si>
  <si>
    <t>Timeline</t>
  </si>
  <si>
    <t>What would go wrong</t>
  </si>
  <si>
    <t>What happens instead</t>
  </si>
  <si>
    <t>CTA submission is within a month of the project start</t>
  </si>
  <si>
    <t>Before-Start-up would be empty or negative.</t>
  </si>
  <si>
    <t>Before-Start-up omitted; Start-up begins at the project start date.</t>
  </si>
  <si>
    <t>Interim and final DB lock less than 3 months apart</t>
  </si>
  <si>
    <t>The second Conduct stretch would be negative, and Close-out (final) would start before the interim lock.</t>
  </si>
  <si>
    <t>Second Conduct omitted; Close-out (final) begins the day after the interim DB lock.</t>
  </si>
  <si>
    <t>No interim DB lock recorded</t>
  </si>
  <si>
    <t>Rows 4 and 5 have no anchor.</t>
  </si>
  <si>
    <t>Both omitted; one Conduct stretch runs into Close-out (final).</t>
  </si>
  <si>
    <t>Trial too short for a Conduct phase</t>
  </si>
  <si>
    <t>Start-up's fixed 4 months would overrun the Close-out start.</t>
  </si>
  <si>
    <t>Conduct omitted; Start-up is clipped where Close-out begins.</t>
  </si>
  <si>
    <t>No CTA submission, or no DB lock at all</t>
  </si>
  <si>
    <t>Nothing to derive from.</t>
  </si>
  <si>
    <t>Error, not a silent default - V-16. The project's periods must then be entered by hand.</t>
  </si>
  <si>
    <t>'Inspection' dated on or before the final DB lock</t>
  </si>
  <si>
    <t>Period 7 would start before period 6, overlapping Conduct.</t>
  </si>
  <si>
    <t>Those inspections are treated as markers inside the existing periods; only later inspection activity opens period 7. Reported by V-21. See R-03.</t>
  </si>
  <si>
    <t>'Protocol (v1)' earlier than the project start date</t>
  </si>
  <si>
    <t>'First SIV' earlier than Start-up begins</t>
  </si>
  <si>
    <t>Start-up would end before it starts.</t>
  </si>
  <si>
    <t>The offset fallback is used instead - start + 4 months - 1 day - and the inconsistency is reported.</t>
  </si>
  <si>
    <t>All eight cases were run through the derivation, together with a full timeline carrying protocol, SIV, interim lock and three inspections. Every one produces a contiguous set of periods with no gap and no overlap. The check is worth repeating as an automated test at Step 4.</t>
  </si>
  <si>
    <t>Worked example - the acceptance test for the calculation engine</t>
  </si>
  <si>
    <t>Element</t>
  </si>
  <si>
    <t>Value</t>
  </si>
  <si>
    <t>Note</t>
  </si>
  <si>
    <t>PSN-001 on PRJ-001 (Clinical Trial), role = Lead data manager</t>
  </si>
  <si>
    <t>0.40</t>
  </si>
  <si>
    <t>How much this person works on this project</t>
  </si>
  <si>
    <t>Assignment window</t>
  </si>
  <si>
    <t>2026-03-10 to 2026-12-31</t>
  </si>
  <si>
    <t>Joins part-way through March</t>
  </si>
  <si>
    <t>Project periods</t>
  </si>
  <si>
    <t>Start-up 2026-01-01..2026-06-30 weight 1.50; Conduct from 2026-07-01 weight 1.00</t>
  </si>
  <si>
    <t>Seeded from the project's CLINICAL PHASE (Q-26)</t>
  </si>
  <si>
    <t>1.20 for Lead data manager</t>
  </si>
  <si>
    <t>Illustrative. Real values are entered in the source workbook (Q-17), not fixed here</t>
  </si>
  <si>
    <t>Coverage, March 2026</t>
  </si>
  <si>
    <t>22 / 31 = 0.7097</t>
  </si>
  <si>
    <t>10 Mar to 31 Mar inclusive = 22 days</t>
  </si>
  <si>
    <t>Load, March 2026</t>
  </si>
  <si>
    <t>1.50 x 1.20 x 0.40 x 0.7097 = 0.511 FTE</t>
  </si>
  <si>
    <t>81.8 hours</t>
  </si>
  <si>
    <t>Load, April 2026</t>
  </si>
  <si>
    <t>1.50 x 1.20 x 0.40 x 1.0000 = 0.720 FTE</t>
  </si>
  <si>
    <t>115.2 hours. Full month inside Start-up</t>
  </si>
  <si>
    <t>Load, July 2026</t>
  </si>
  <si>
    <t>1.00 x 1.20 x 0.40 x 1.0000 = 0.480 FTE</t>
  </si>
  <si>
    <t>76.8 hours. Conduct weight applies</t>
  </si>
  <si>
    <t>Over-allocated?</t>
  </si>
  <si>
    <t>No - 0.720 is below the 1.50 threshold</t>
  </si>
  <si>
    <t>This person would need other assignments to breach it</t>
  </si>
  <si>
    <t>Under-allocated?</t>
  </si>
  <si>
    <t>Only if their total across ALL projects stays below 0.80 for 3 months running</t>
  </si>
  <si>
    <t>Judged on the person total, never on one assignment</t>
  </si>
  <si>
    <t>Please confirm these numbers at Step 2. The role_factor of 1.20 is a placeholder: the arithmetic is the thing being agreed, not that particular value.</t>
  </si>
  <si>
    <t>Design decisions inside the calculation</t>
  </si>
  <si>
    <t>Decision</t>
  </si>
  <si>
    <t>Rationale</t>
  </si>
  <si>
    <t>C-01</t>
  </si>
  <si>
    <t>Weights multiply rather than add.</t>
  </si>
  <si>
    <t>Confirmed at Q-01: project weight x role factor x person weight.</t>
  </si>
  <si>
    <t>CONFIRMED</t>
  </si>
  <si>
    <t>C-02</t>
  </si>
  <si>
    <t>Partial months are pro-rated by calendar days.</t>
  </si>
  <si>
    <t>Confirmed at Q-02: work is expected in proportion to calendar days from the joined date to the end date.</t>
  </si>
  <si>
    <t>C-03</t>
  </si>
  <si>
    <t>A missing PersonPeriodWeight row means person_weight applies unchanged.</t>
  </si>
  <si>
    <t>Follows from the override semantics. No row is the normal case, not an exception.</t>
  </si>
  <si>
    <t>C-04</t>
  </si>
  <si>
    <t>Capacity is FTE. 1.00 FTE = 160 h/month.</t>
  </si>
  <si>
    <t>Confirmed at Q-08. Note the flag is NOT at 1.00 - over-allocation begins above 1.50.</t>
  </si>
  <si>
    <t>C-05</t>
  </si>
  <si>
    <t>The unit shown on screen is FTE, with hours available.</t>
  </si>
  <si>
    <t>Q-08 was expressed in FTE and hours, so FTE is now the default rather than percent.</t>
  </si>
  <si>
    <t>C-06</t>
  </si>
  <si>
    <t>Over- and under-allocation are judged on the person's total across all projects.</t>
  </si>
  <si>
    <t>The question 'is this person over-committed' is only meaningful across their whole workload.</t>
  </si>
  <si>
    <t>Confirm</t>
  </si>
  <si>
    <t>C-07</t>
  </si>
  <si>
    <t>Period weights are seeded from the category standard, then editable per project.</t>
  </si>
  <si>
    <t>Q-01 ties weight to category; real projects still deviate. Seeding keeps them consistent without freezing them.</t>
  </si>
  <si>
    <t>C-08</t>
  </si>
  <si>
    <t>A month is attributed to the period containing its first day.</t>
  </si>
  <si>
    <t>Avoids splitting a month across two weights. Simpler to explain and to check by hand.</t>
  </si>
  <si>
    <t>C-09</t>
  </si>
  <si>
    <t>Editing an identifier cascades to every row referencing it; deleting a referenced row is refused.</t>
  </si>
  <si>
    <t>Q-20 asked for every field to be editable with rules preventing inconsistency. Cascading is what makes an editable ID safe - blocking the edit instead would make the field read-only in all but name.</t>
  </si>
  <si>
    <t>C-10</t>
  </si>
  <si>
    <t>Period boundaries are recomputed whenever a milestone date changes, unless the period dates were edited by hand.</t>
  </si>
  <si>
    <t>Keeps derived dates true to the timeline - the frequent-change problem this tool exists for - without silently discarding a deliberate manual override.</t>
  </si>
  <si>
    <t>C-11</t>
  </si>
  <si>
    <t>Derived boundaries are applied in sequence order, a later one overriding an earlier; a period squeezed to nothing is omitted.</t>
  </si>
  <si>
    <t>The only rule that keeps periods contiguous on every timeline, including the awkward ones. Verified against five cases on this sheet.</t>
  </si>
  <si>
    <t>Dashboard design</t>
  </si>
  <si>
    <t>Three tabs as specified. Detailed layout is fixed at the Step 3 UI review.</t>
  </si>
  <si>
    <t>Tab 1 - Overall</t>
  </si>
  <si>
    <t>Component</t>
  </si>
  <si>
    <t>Content</t>
  </si>
  <si>
    <t>Control bar</t>
  </si>
  <si>
    <t>Horizon (default 24 months, one click to expand to the latest project end date), project type, project, person, role, department. Plus 'Load workbook', 'Export', unit toggle FTE/hours, and the loaded-file name and time.</t>
  </si>
  <si>
    <t>REQ-DSH-05, REQ-DSH-07</t>
  </si>
  <si>
    <t>Table A - resource by project</t>
  </si>
  <si>
    <t>Rows = project, columns = months, cells = monthly FTE. Row and column totals. Expanding a project reveals its assigned people.</t>
  </si>
  <si>
    <t>Table B - resource by person</t>
  </si>
  <si>
    <t>Rows = person, columns = months, cells = FTE summed across projects. Over-allocated cells red, under-allocated runs amber. Expanding a person reveals their projects.</t>
  </si>
  <si>
    <t>REQ-DSH-01, REQ-DSH-08</t>
  </si>
  <si>
    <t>Graph 1 - stacked area or bar, by project</t>
  </si>
  <si>
    <t>Total monthly demand, one band per project. Shows how demand builds and where the peaks land.</t>
  </si>
  <si>
    <t>Graph 2 - grouped bar, by person</t>
  </si>
  <si>
    <t>Monthly FTE per person with reference lines at 1.50 and 0.80, so both thresholds are visible.</t>
  </si>
  <si>
    <t>REQ-DSH-02, REQ-DSH-08</t>
  </si>
  <si>
    <t>Graph 3 - project timeline (Gantt-style)</t>
  </si>
  <si>
    <t>One bar per project across the horizon, with milestone markers and period-weight shading.</t>
  </si>
  <si>
    <t>REQ-DSH-02, REQ-PRJ-05</t>
  </si>
  <si>
    <t>Summary tiles</t>
  </si>
  <si>
    <t>Active projects, people assigned, total FTE in the horizon, over-allocated person-months, under-allocated runs.</t>
  </si>
  <si>
    <t>Tab 2 - Source data (project)</t>
  </si>
  <si>
    <t>Project table</t>
  </si>
  <si>
    <t>Every Project column from sheet 04, sortable and filterable, with derived total period. Editable under REQ-IMP-07.</t>
  </si>
  <si>
    <t>Milestone sub-table</t>
  </si>
  <si>
    <t>Milestones of the selected project, in sequence.</t>
  </si>
  <si>
    <t>Period sub-table</t>
  </si>
  <si>
    <t>The selected project's four periods, their derived dates and their weights.</t>
  </si>
  <si>
    <t>Export</t>
  </si>
  <si>
    <t>Export the visible table to .xlsx.</t>
  </si>
  <si>
    <t>Tab 3 - Source data (person)</t>
  </si>
  <si>
    <t>Person table</t>
  </si>
  <si>
    <t>Every Person column from sheet 04, sortable and filterable. Editable under REQ-IMP-07.</t>
  </si>
  <si>
    <t>Assignment sub-table</t>
  </si>
  <si>
    <t>The selected person's assignments: project, role, start, end, person weight.</t>
  </si>
  <si>
    <t>REQ-PSN-02, REQ-PSN-03</t>
  </si>
  <si>
    <t>Person period weight sub-table</t>
  </si>
  <si>
    <t>Override periods for the selected assignment.</t>
  </si>
  <si>
    <t>Editing rules   [new at v0.2, from REQ-IMP-07]</t>
  </si>
  <si>
    <t>The v0.1 rule 'nothing on screen is editable' is withdrawn. Imported data can be edited in the application.</t>
  </si>
  <si>
    <t>An edited cell is marked as changed, and a running count of unsaved edits is always visible.</t>
  </si>
  <si>
    <t>Closing the page or loading another workbook while edits are unsaved raises a warning first.</t>
  </si>
  <si>
    <t>Every field is editable, identifiers included (Q-20). Consistency is protected by rule, not by locking fields.</t>
  </si>
  <si>
    <t>An edited value is validated exactly as an imported one would be; a rejected edit is refused at the point of entry, not at export.</t>
  </si>
  <si>
    <t>Changing an identifier updates every row that references it, after showing how many will change. Deleting a row that is still referenced is refused, naming what points at it.</t>
  </si>
  <si>
    <t>REQ-IMP-10, V-17</t>
  </si>
  <si>
    <t>Editing a milestone date re-computes that project's derived periods, unless its period dates were set by hand.</t>
  </si>
  <si>
    <t>Export writes the edited data in the template layout, so the exported file can be re-imported unchanged.</t>
  </si>
  <si>
    <t>REQ-IMP-04, REQ-IMP-07</t>
  </si>
  <si>
    <t>The application never writes to the workbook on disk by itself - export is always a deliberate act.</t>
  </si>
  <si>
    <t>Out of scope, sheet 02</t>
  </si>
  <si>
    <t>Cross-cutting UI rules</t>
  </si>
  <si>
    <t>A validation banner appears whenever the last import produced findings, and opens the full report on click.</t>
  </si>
  <si>
    <t>Empty state: with nothing loaded, every tab shows the same clear 'Load your source workbook' panel and a link to download the blank template.</t>
  </si>
  <si>
    <t>The application version and expected schema version are shown in the footer at all times (REQ-VC-02).</t>
  </si>
  <si>
    <t>Architecture and technical approach</t>
  </si>
  <si>
    <t>Decision D-01 - how the HTML file reads the Excel data  [CONFIRMED: option (a)]</t>
  </si>
  <si>
    <t>A page opened from local disk (file://) cannot read an .xlsx from a fixed path on its own - the browser's</t>
  </si>
  <si>
    <t>security model blocks it. Q-05 confirmed local .html files do open on the work PC, so the approach is viable.</t>
  </si>
  <si>
    <t>Option</t>
  </si>
  <si>
    <t>Description</t>
  </si>
  <si>
    <t>Advantages</t>
  </si>
  <si>
    <t>Disadvantages</t>
  </si>
  <si>
    <t>Outcome</t>
  </si>
  <si>
    <t>(a)</t>
  </si>
  <si>
    <t>User selects the workbook through a file picker or drag-and-drop; an embedded SheetJS-style parser reads it in memory.</t>
  </si>
  <si>
    <t>True .xlsx support; no install; no server; user controls which file is loaded.</t>
  </si>
  <si>
    <t>The file must be selected each session (mitigated by optional caching, REQ-IMP-06).</t>
  </si>
  <si>
    <t>CONFIRMED - adopted</t>
  </si>
  <si>
    <t>(b)</t>
  </si>
  <si>
    <t>Data kept as .csv next to the HTML, still opened through a picker.</t>
  </si>
  <si>
    <t>Simplest possible parsing.</t>
  </si>
  <si>
    <t>Loses formatting, multiple sheets and validation - and Q-09 asks for one multi-sheet workbook, which .csv cannot express.</t>
  </si>
  <si>
    <t>Rejected</t>
  </si>
  <si>
    <t>(c)</t>
  </si>
  <si>
    <t>Excel is only an export target; browser storage is the working record.</t>
  </si>
  <si>
    <t>No load step at all.</t>
  </si>
  <si>
    <t>Contradicts the workbook being the archive of record; clearing browser data would lose everything.</t>
  </si>
  <si>
    <t>Q-09 strengthens this decision: one workbook with ten sheets is exactly what .xlsx does well and .csv cannot do at all.</t>
  </si>
  <si>
    <t>Technology</t>
  </si>
  <si>
    <t>Concern</t>
  </si>
  <si>
    <t>Choice and reason</t>
  </si>
  <si>
    <t>Container</t>
  </si>
  <si>
    <t>One .html file, opened by double-click.</t>
  </si>
  <si>
    <t>Excel parsing/writing</t>
  </si>
  <si>
    <t>SheetJS (xlsx) community build, embedded inline - no CDN, so it works offline.</t>
  </si>
  <si>
    <t>REQ-OUT-02, REQ-NFR-04</t>
  </si>
  <si>
    <t>Charts</t>
  </si>
  <si>
    <t>Inline SVG drawn by the application's own code, or a small embedded chart library. No external requests either way.</t>
  </si>
  <si>
    <t>REQ-DSH-02, REQ-NFR-04</t>
  </si>
  <si>
    <t>Framework</t>
  </si>
  <si>
    <t>None. Plain modern JavaScript.</t>
  </si>
  <si>
    <t>Styling</t>
  </si>
  <si>
    <t>Embedded CSS. Readable on a laptop screen and when printed.</t>
  </si>
  <si>
    <t>Persistence</t>
  </si>
  <si>
    <t>Optional browser cache of the last load, marked as a convenience, never as the record.</t>
  </si>
  <si>
    <t>Internal structure - built for later change (REQ-NFR-01)</t>
  </si>
  <si>
    <t>Layer</t>
  </si>
  <si>
    <t>Responsibility</t>
  </si>
  <si>
    <t>Why the boundary is there</t>
  </si>
  <si>
    <t>1. IO layer</t>
  </si>
  <si>
    <t>Reads the chosen workbook into raw rows; writes .xlsx on export.</t>
  </si>
  <si>
    <t>Swapping the file-access method touches this layer only.</t>
  </si>
  <si>
    <t>2. Validation layer</t>
  </si>
  <si>
    <t>Applies rules V-01..V-21, produces one findings report.</t>
  </si>
  <si>
    <t>New rules are added here without touching parsing or maths.</t>
  </si>
  <si>
    <t>3. Model layer</t>
  </si>
  <si>
    <t>Typed in-memory objects: Project, Milestone, ProjectPeriod, RoleFactor, Person, Assignment, PersonPeriodWeight, Config, Lists.</t>
  </si>
  <si>
    <t>New fields are added here and flow outward.</t>
  </si>
  <si>
    <t>4. Edit buffer</t>
  </si>
  <si>
    <t>Holds on-screen changes, tracks which rows are dirty, re-runs validation per edit, and feeds export.</t>
  </si>
  <si>
    <t>Added for REQ-IMP-07. Keeping edits out of the model layer means the calculation never has to care whether a value came from the file or the screen.</t>
  </si>
  <si>
    <t>5. Calculation layer</t>
  </si>
  <si>
    <t>The monthly engine above. Pure functions - no DOM, no file access.</t>
  </si>
  <si>
    <t>Directly unit-testable, and the piece most likely to be refined once you see real output.</t>
  </si>
  <si>
    <t>6. Presentation layer</t>
  </si>
  <si>
    <t>Tabs, tables, graphs, filters, editing controls, export buttons.</t>
  </si>
  <si>
    <t>A new tab or graph is added here alone.</t>
  </si>
  <si>
    <t>The calculation layer never touches the screen and never touches files. That is what makes both future requirement changes and testing cheap.</t>
  </si>
  <si>
    <t>Deployment</t>
  </si>
  <si>
    <t>Point</t>
  </si>
  <si>
    <t>The user keeps one folder containing the .html file and ONE source workbook. Copying the folder moves the whole tool.</t>
  </si>
  <si>
    <t>Updating the application means replacing the .html file. Source data is untouched, because it lives outside it (REQ-OUT-03).</t>
  </si>
  <si>
    <t>The application checks the source schema version on load and warns on a mismatch (REQ-VC-03).</t>
  </si>
  <si>
    <t>Work breakdown - the five steps</t>
  </si>
  <si>
    <t>Each step ends at a review gate. Work on the next step starts only after that gate is passed.</t>
  </si>
  <si>
    <t>Task</t>
  </si>
  <si>
    <t>Activity</t>
  </si>
  <si>
    <t>Deliverable</t>
  </si>
  <si>
    <t>Draft the development plan.</t>
  </si>
  <si>
    <t>PRAP_Development_Plan_v0.1.xlsx</t>
  </si>
  <si>
    <t>Complete</t>
  </si>
  <si>
    <t>1.2</t>
  </si>
  <si>
    <t>Requester reviews; answers the open questions.</t>
  </si>
  <si>
    <t>v0.11_reviewed mark-up</t>
  </si>
  <si>
    <t>1.3</t>
  </si>
  <si>
    <t>Propagate the answers across all sheets and re-issue.</t>
  </si>
  <si>
    <t>PRAP_Development_Plan_v0.2.xlsx</t>
  </si>
  <si>
    <t>1.4</t>
  </si>
  <si>
    <t>Answer the follow-up questions Q-13..Q-20.</t>
  </si>
  <si>
    <t>v0.2_reviewed mark-up</t>
  </si>
  <si>
    <t>1.5</t>
  </si>
  <si>
    <t>Incorporate round 2; work the period mapping through for coverage gaps.</t>
  </si>
  <si>
    <t>PRAP_Development_Plan_v0.3.xlsx</t>
  </si>
  <si>
    <t>1.6</t>
  </si>
  <si>
    <t>Settle the period-boundary questions Q-21..Q-26.</t>
  </si>
  <si>
    <t>v0.3_reviewed mark-up</t>
  </si>
  <si>
    <t>1.7</t>
  </si>
  <si>
    <t>Incorporate round 3; verify the derivation against degenerate timelines.</t>
  </si>
  <si>
    <t>PRAP_Development_Plan_v0.4.xlsx</t>
  </si>
  <si>
    <t>Complete - issued for review</t>
  </si>
  <si>
    <t>1.8</t>
  </si>
  <si>
    <t>Answer Q-27 and Q-28.</t>
  </si>
  <si>
    <t>v0.4_reviewed mark-up</t>
  </si>
  <si>
    <t>1.9</t>
  </si>
  <si>
    <t>Final plan issue.</t>
  </si>
  <si>
    <t>PRAP_Development_Plan_v1.0.xlsx</t>
  </si>
  <si>
    <t>1.10</t>
  </si>
  <si>
    <t>Apply the post-approval change request (Inspection milestone, seventh period).</t>
  </si>
  <si>
    <t>PRAP_Development_Plan_v1.1.xlsx</t>
  </si>
  <si>
    <t>1.11</t>
  </si>
  <si>
    <t>Answer R-03 and approve plan v1.1 as a change against the v1.0 baseline.</t>
  </si>
  <si>
    <t>Approval on 12_Review_Log</t>
  </si>
  <si>
    <t>Pending you</t>
  </si>
  <si>
    <t>G1</t>
  </si>
  <si>
    <t>GATE 1 - development plan approved by Dan, 2026-08-01. Decisions C-06..C-11 confirmed.</t>
  </si>
  <si>
    <t>Approval recorded on 12_Review_Log</t>
  </si>
  <si>
    <t>2.0</t>
  </si>
  <si>
    <t>Generate the source workbook template and a dummy data file for review.</t>
  </si>
  <si>
    <t>PRAP_SourceData_Template + _Dummy v1.1</t>
  </si>
  <si>
    <t>2.1</t>
  </si>
  <si>
    <t>Fix the source workbook schema: exact sheet names, column headers, types, value lists.</t>
  </si>
  <si>
    <t>Specification sheet 'Data schema'</t>
  </si>
  <si>
    <t>In progress</t>
  </si>
  <si>
    <t>2.2</t>
  </si>
  <si>
    <t>Specify the calculation engine as pseudocode plus the worked example as an acceptance test.</t>
  </si>
  <si>
    <t>Specification sheet 'Calculation'</t>
  </si>
  <si>
    <t>Not started</t>
  </si>
  <si>
    <t>2.3</t>
  </si>
  <si>
    <t>Specify period derivation per project type, and the over/under-allocation detection.</t>
  </si>
  <si>
    <t>2.4</t>
  </si>
  <si>
    <t>Specify import validation rules V-01..V-21 and the findings report.</t>
  </si>
  <si>
    <t>Specification sheet 'Validation'</t>
  </si>
  <si>
    <t>2.5</t>
  </si>
  <si>
    <t>Specify each dashboard tab: every table, column, graph, filter and interaction.</t>
  </si>
  <si>
    <t>Specification sheet 'UI spec'</t>
  </si>
  <si>
    <t>2.6</t>
  </si>
  <si>
    <t>Specify on-screen editing, the dirty-state model and export round-tripping.</t>
  </si>
  <si>
    <t>Specification sheet 'Editing &amp; IO'</t>
  </si>
  <si>
    <t>2.7</t>
  </si>
  <si>
    <t>Specify the version/compatibility check.</t>
  </si>
  <si>
    <t>Specification sheet 'IO &amp; versioning'</t>
  </si>
  <si>
    <t>2.8</t>
  </si>
  <si>
    <t>Build the requirement-to-specification traceability matrix.</t>
  </si>
  <si>
    <t>Specification sheet 'Traceability'</t>
  </si>
  <si>
    <t>G2</t>
  </si>
  <si>
    <t>GATE 2 - programming specification approved.</t>
  </si>
  <si>
    <t>PRAP_Programming_Specification_v1.0.xlsx</t>
  </si>
  <si>
    <t>3.1</t>
  </si>
  <si>
    <t>High-level UI design: tab structure, page regions, navigation. No code behind it.</t>
  </si>
  <si>
    <t>Prototype HTML (UI only)</t>
  </si>
  <si>
    <t>3.2</t>
  </si>
  <si>
    <t>Requester reviews the high-level component design.</t>
  </si>
  <si>
    <t>Review comments</t>
  </si>
  <si>
    <t>3.3</t>
  </si>
  <si>
    <t>Final UI design with clear per-component requirements.</t>
  </si>
  <si>
    <t>Prototype HTML v1.0 + component list</t>
  </si>
  <si>
    <t>G3</t>
  </si>
  <si>
    <t>GATE 3 - final design and component list approved. Code generation starts only for approved components.</t>
  </si>
  <si>
    <t>Approved component list</t>
  </si>
  <si>
    <t>4.1</t>
  </si>
  <si>
    <t>IO layer: workbook load, sheet/column mapping, export.</t>
  </si>
  <si>
    <t>Application code</t>
  </si>
  <si>
    <t>4.2</t>
  </si>
  <si>
    <t>Validation layer: rules V-01..V-21 and the findings report.</t>
  </si>
  <si>
    <t>4.3</t>
  </si>
  <si>
    <t>Model layer, Lists and Config handling.</t>
  </si>
  <si>
    <t>4.4</t>
  </si>
  <si>
    <t>Edit buffer: on-screen editing, dirty state, per-edit validation.</t>
  </si>
  <si>
    <t>4.5</t>
  </si>
  <si>
    <t>Calculation engine, verified against the worked example.</t>
  </si>
  <si>
    <t>Application code + test evidence</t>
  </si>
  <si>
    <t>4.6</t>
  </si>
  <si>
    <t>Overall tab: tables, graphs, filters, over/under-allocation flagging.</t>
  </si>
  <si>
    <t>4.7</t>
  </si>
  <si>
    <t>Source data (project) and Source data (person) tabs.</t>
  </si>
  <si>
    <t>4.8</t>
  </si>
  <si>
    <t>Blank source workbook template with value lists and example rows.</t>
  </si>
  <si>
    <t>PRAP_SourceData template</t>
  </si>
  <si>
    <t>4.9</t>
  </si>
  <si>
    <t>Requester reviews output against real data; refinements folded in.</t>
  </si>
  <si>
    <t>Updated code</t>
  </si>
  <si>
    <t>G4</t>
  </si>
  <si>
    <t>GATE 4 - application functionally complete.</t>
  </si>
  <si>
    <t>PRAP_Application_v0.9.html</t>
  </si>
  <si>
    <t>5.1</t>
  </si>
  <si>
    <t>Full pass over the traceability matrix: every Must requirement demonstrated.</t>
  </si>
  <si>
    <t>Completed traceability matrix</t>
  </si>
  <si>
    <t>5.2</t>
  </si>
  <si>
    <t>Test on a clean Windows PC in Edge and Chrome, offline.</t>
  </si>
  <si>
    <t>Test evidence</t>
  </si>
  <si>
    <t>5.3</t>
  </si>
  <si>
    <t>Write the user guide: folder layout, how to load, how to maintain source data.</t>
  </si>
  <si>
    <t>User guide</t>
  </si>
  <si>
    <t>5.4</t>
  </si>
  <si>
    <t>Final version alignment across plan, specification and application.</t>
  </si>
  <si>
    <t>Version alignment table (sheet 09)</t>
  </si>
  <si>
    <t>G5</t>
  </si>
  <si>
    <t>GATE 5 - release.</t>
  </si>
  <si>
    <t>PRAP_Application_v1.0.html</t>
  </si>
  <si>
    <t>Progress</t>
  </si>
  <si>
    <t>Measure</t>
  </si>
  <si>
    <t>Tasks total</t>
  </si>
  <si>
    <t>Awaiting the requester</t>
  </si>
  <si>
    <t>No duration estimates: the pace is set by review turnaround at each gate, not by build effort.</t>
  </si>
  <si>
    <t>Version control across documents (REQ-VC-01)</t>
  </si>
  <si>
    <t>What is version-controlled</t>
  </si>
  <si>
    <t>Artifact</t>
  </si>
  <si>
    <t>Naming convention</t>
  </si>
  <si>
    <t>Folder</t>
  </si>
  <si>
    <t>Where its version is recorded</t>
  </si>
  <si>
    <t>Development plan</t>
  </si>
  <si>
    <t>PRAP_Development_Plan_v&lt;ver&gt;.xlsx</t>
  </si>
  <si>
    <t>docs/</t>
  </si>
  <si>
    <t>Sheet 01_Version_History</t>
  </si>
  <si>
    <t>Programming specification</t>
  </si>
  <si>
    <t>PRAP_Programming_Specification_v&lt;ver&gt;.xlsx</t>
  </si>
  <si>
    <t>Its own version-history sheet</t>
  </si>
  <si>
    <t>Application</t>
  </si>
  <si>
    <t>PRAP_Application_v&lt;ver&gt;.html</t>
  </si>
  <si>
    <t>app/</t>
  </si>
  <si>
    <t>Version constant shown in the footer</t>
  </si>
  <si>
    <t>Source data template</t>
  </si>
  <si>
    <t>PRAP_SourceData_v&lt;ver&gt;.xlsx  (one workbook, was two)</t>
  </si>
  <si>
    <t>templates/</t>
  </si>
  <si>
    <t>schema_version in the Config sheet</t>
  </si>
  <si>
    <t>Output / evidence files</t>
  </si>
  <si>
    <t>PRAP_&lt;content&gt;_v&lt;ver&gt;_&lt;yyyymmdd&gt;.xlsx</t>
  </si>
  <si>
    <t>output/</t>
  </si>
  <si>
    <t>Filename plus a header block</t>
  </si>
  <si>
    <t>Generator scripts</t>
  </si>
  <si>
    <t>tools/*.py</t>
  </si>
  <si>
    <t>tools/</t>
  </si>
  <si>
    <t>Git history</t>
  </si>
  <si>
    <t>Version numbering</t>
  </si>
  <si>
    <t>Pattern</t>
  </si>
  <si>
    <t>Example</t>
  </si>
  <si>
    <t>0.x</t>
  </si>
  <si>
    <t>Draft, under review. Content may change substantially.</t>
  </si>
  <si>
    <t>0.1 -&gt; 0.2 on each re-issue during review.</t>
  </si>
  <si>
    <t>x.0</t>
  </si>
  <si>
    <t>Approved baseline. Changing it requires a new approval.</t>
  </si>
  <si>
    <t>0.9 -&gt; 1.0 at the gate.</t>
  </si>
  <si>
    <t>x.y</t>
  </si>
  <si>
    <t>Approved change against a baseline: added requirement, bug fix, layout change.</t>
  </si>
  <si>
    <t>1.0 -&gt; 1.1</t>
  </si>
  <si>
    <t>Schema version</t>
  </si>
  <si>
    <t>Independent counter for the source workbook structure. Steps only when a sheet or column changes.</t>
  </si>
  <si>
    <t>schema 1 -&gt; 2</t>
  </si>
  <si>
    <t>A reviewer mark-up carries the reviewed version's number with a suffix (v0.11_reviewed against v0.1). The incorporating issue takes the next draft number - here v0.2.</t>
  </si>
  <si>
    <t>Version alignment - which versions belong together</t>
  </si>
  <si>
    <t>Plan version</t>
  </si>
  <si>
    <t>Specification version</t>
  </si>
  <si>
    <t>Application version</t>
  </si>
  <si>
    <t>Plan issued for review</t>
  </si>
  <si>
    <t>v0.2</t>
  </si>
  <si>
    <t>1 (draft)</t>
  </si>
  <si>
    <t>Reviewer answers incorporated; single-workbook schema defined</t>
  </si>
  <si>
    <t>v0.3</t>
  </si>
  <si>
    <t>Round 2 incorporated; type-specific period sets; milestone list replaced</t>
  </si>
  <si>
    <t>v0.4</t>
  </si>
  <si>
    <t>Round 3 incorporated; period model settled and verified</t>
  </si>
  <si>
    <t>v1.0</t>
  </si>
  <si>
    <t>Step 1 baseline. APPROVED 2026-08-01 by Dan (Gate 1).</t>
  </si>
  <si>
    <t>Change against baseline: Inspection milestone, seventh period. Awaiting approval.</t>
  </si>
  <si>
    <t>One row per release. Answers 'which specification produced this .html, and which source template does it expect?'.</t>
  </si>
  <si>
    <t>Repository rules</t>
  </si>
  <si>
    <t>All work is committed to branch claude/project-resource-assignment-app-1vjdzh.</t>
  </si>
  <si>
    <t>Documents are generated from scripts in tools/ so their content is reviewable as a text diff, not only as a binary.</t>
  </si>
  <si>
    <t>One commit per meaningful change, with a message naming the step and the affected REQ-IDs.</t>
  </si>
  <si>
    <t>A released version is tagged, so any release can be reproduced exactly.</t>
  </si>
  <si>
    <t>Reviewer mark-ups are committed as received, unedited, so the review trail is auditable.</t>
  </si>
  <si>
    <t>Risks and assumptions</t>
  </si>
  <si>
    <t>Risks</t>
  </si>
  <si>
    <t>Risk</t>
  </si>
  <si>
    <t>Likelihood</t>
  </si>
  <si>
    <t>Impact</t>
  </si>
  <si>
    <t>Mitigation</t>
  </si>
  <si>
    <t>The resource formula does not match how burden is actually judged, so output looks wrong.</t>
  </si>
  <si>
    <t>Medium</t>
  </si>
  <si>
    <t>High</t>
  </si>
  <si>
    <t>Reduced from High at Q-01, which fixed the three factors. A worked example (sheet 05) is agreed at Step 2 before code is written, and every factor stays in data.</t>
  </si>
  <si>
    <t>The source workbook is maintained inconsistently - typos, overlapping periods - and the simulation silently misleads.</t>
  </si>
  <si>
    <t>Fourteen validation rules on import, ID-based references instead of name matching, and a findings report the user cannot miss.</t>
  </si>
  <si>
    <t>R-03</t>
  </si>
  <si>
    <t>Corporate policy blocks local .html files or restricts the browser.</t>
  </si>
  <si>
    <t>CLOSED at Q-05: local .html files open on the work PC. Re-test on the target PC at Step 5.2 all the same.</t>
  </si>
  <si>
    <t>R-04</t>
  </si>
  <si>
    <t>Requirements grow after you see real output.</t>
  </si>
  <si>
    <t>Expected and planned for: six separated layers (sheet 07) plus extension columns already in the schema.</t>
  </si>
  <si>
    <t>R-05</t>
  </si>
  <si>
    <t>Data volume grows beyond what a browser handles comfortably.</t>
  </si>
  <si>
    <t>Low</t>
  </si>
  <si>
    <t>Downgraded at Q-06: under 20 projects and 30 people is comfortably inside browser limits, with the headroom target in REQ-NFR-03.</t>
  </si>
  <si>
    <t>R-06</t>
  </si>
  <si>
    <t>Excel date handling differs between Windows regional settings and misreads dates.</t>
  </si>
  <si>
    <t>Dates normalised to ISO on import; an unparseable date is a hard error, never a guess (REQ-NFR-05).</t>
  </si>
  <si>
    <t>R-07</t>
  </si>
  <si>
    <t>The file must be re-selected each session and this becomes irritating.</t>
  </si>
  <si>
    <t>Optional browser caching (REQ-IMP-06) plus a one-click reload of the last file.</t>
  </si>
  <si>
    <t>R-08</t>
  </si>
  <si>
    <t>On-screen edits are lost because the user closes the page without exporting.</t>
  </si>
  <si>
    <t>The direct cost of REQ-IMP-07. Mitigated by REQ-IMP-08: a visible unsaved-edit count and a warning before any action that discards them. The browser cache (REQ-IMP-06) becomes more valuable here as a second net.</t>
  </si>
  <si>
    <t>R-09</t>
  </si>
  <si>
    <t>Milestone-derived periods break for a project with missing or out-of-order milestones.</t>
  </si>
  <si>
    <t>Raised from Medium impact: at v0.3 the derivation depends on specific milestones, so a missing CTA submission or DB lock now stops it outright. V-14 and V-16 make those errors rather than warnings; V-12 catches any remaining gap and falls back to weight 1.00 with a report.</t>
  </si>
  <si>
    <t>R-10</t>
  </si>
  <si>
    <t>The weight and role-factor values are unknown to the plan, so output cannot be checked against reality until they are entered.</t>
  </si>
  <si>
    <t>Downgraded at Q-17: the values are data you enter in the source workbook, not a plan input, which is what REQ-CAL-06 always required. The engine is validated against the worked example on sheet 05; realism of the numbers is validated at WBS 4.9 against your real data.</t>
  </si>
  <si>
    <t>R-11</t>
  </si>
  <si>
    <t>The period mapping leaves parts of a project with no period, so months silently carry a default weight.</t>
  </si>
  <si>
    <t>Closed in substance at Q-21..Q-23: the mapping is now contiguous, verified against five timelines including four degenerate ones. REQ-CAL-10 and V-12 keep any residual gap visible rather than silent.</t>
  </si>
  <si>
    <t>R-12</t>
  </si>
  <si>
    <t>Fully editable identifiers let a user break the links between sheets.</t>
  </si>
  <si>
    <t>The direct cost of the Q-20 answer. Mitigated by V-17 and REQ-IMP-10: identifier edits cascade after confirmation, and a referenced row cannot be deleted. Without that, 'every field editable' and 'no inconsistency' could not both hold.</t>
  </si>
  <si>
    <t>Assumptions</t>
  </si>
  <si>
    <t>Assumption</t>
  </si>
  <si>
    <t>A-01</t>
  </si>
  <si>
    <t>Data volume is under 20 projects and 30 people.</t>
  </si>
  <si>
    <t>CONFIRMED Q-06</t>
  </si>
  <si>
    <t>A-02</t>
  </si>
  <si>
    <t>One person's capacity is 1.00 FTE = 160 hours per month; part-timers carry a lower capacity_fte.</t>
  </si>
  <si>
    <t>CONFIRMED Q-08</t>
  </si>
  <si>
    <t>A-03</t>
  </si>
  <si>
    <t>Monthly granularity is sufficient; weekly or daily simulation is not required in v1.0.</t>
  </si>
  <si>
    <t>Standing</t>
  </si>
  <si>
    <t>A-04</t>
  </si>
  <si>
    <t>The source workbook is maintained by hand, not generated by another system.</t>
  </si>
  <si>
    <t>A-05</t>
  </si>
  <si>
    <t>Windows 10 or 11 with Edge or Chrome, and local .html files open.</t>
  </si>
  <si>
    <t>CONFIRMED Q-05</t>
  </si>
  <si>
    <t>A-06</t>
  </si>
  <si>
    <t>Only one person maintains the workbook at a time - no concurrent editing to reconcile.</t>
  </si>
  <si>
    <t>A-07</t>
  </si>
  <si>
    <t>Milestone dates now DRIVE period boundaries (REQ-CAL-09); they are no longer merely informational.</t>
  </si>
  <si>
    <t>Changed by Q-01/Q-04</t>
  </si>
  <si>
    <t>A-08</t>
  </si>
  <si>
    <t>Period sets are type-specific: five names for Clinical Trial (Conduct occurring up to twice), three for 'Others'.</t>
  </si>
  <si>
    <t>CONFIRMED Q-18, Q-23</t>
  </si>
  <si>
    <t>A-09</t>
  </si>
  <si>
    <t>A clinical trial's period weights are selected by its clinical phase.</t>
  </si>
  <si>
    <t>CONFIRMED Q-26</t>
  </si>
  <si>
    <t>A-10</t>
  </si>
  <si>
    <t>'Others' projects have no milestone mapping, so their three periods are entered by hand.</t>
  </si>
  <si>
    <t>CONFIRMED Q-25</t>
  </si>
  <si>
    <t>A-11</t>
  </si>
  <si>
    <t>No example source file is coming; the structure in this plan is taken as matching the existing one.</t>
  </si>
  <si>
    <t>CONFIRMED Q-13</t>
  </si>
  <si>
    <t>Questions and answers</t>
  </si>
  <si>
    <t>All 28 questions raised across four review rounds, with their answers and how each was applied. Nothing is open.</t>
  </si>
  <si>
    <t>Answered at the v0.4 review  [round 4 - final]</t>
  </si>
  <si>
    <t>Topic</t>
  </si>
  <si>
    <t>Question (short)</t>
  </si>
  <si>
    <t>Your answer</t>
  </si>
  <si>
    <t>How it was applied in v1.0</t>
  </si>
  <si>
    <t>Q-27</t>
  </si>
  <si>
    <t>Naming</t>
  </si>
  <si>
    <t>What is a close-out called on a trial with no interim lock?</t>
  </si>
  <si>
    <t>With no interim DB lock, the final DB lock falls into 'Close-out (final)'.</t>
  </si>
  <si>
    <t>Confirms v0.4 as built - one name, no special case in the weight lookup.</t>
  </si>
  <si>
    <t>What selects period weights for 'Others' projects?</t>
  </si>
  <si>
    <t>No need to distinguish each 'Others' project. They are given manual input for the weight of periods.</t>
  </si>
  <si>
    <t>Applied - 'Others' weights are entered by hand, so PeriodWeightStandard becomes a clinical-trial table only. Together with Q-25 this makes 'Others' projects hand-entered throughout: dates and weights alike.</t>
  </si>
  <si>
    <t>Answered at the v0.3 review  [round 3]</t>
  </si>
  <si>
    <t>How it was applied in v0.4</t>
  </si>
  <si>
    <t>Q-21</t>
  </si>
  <si>
    <t>Is 'Before-Start-up' the stretch before Start-up?</t>
  </si>
  <si>
    <t>Yes - project start date to 1 month before CTA submission.</t>
  </si>
  <si>
    <t>Applied - confirms the v0.3 reading. Sequence 1 on sheet 05.</t>
  </si>
  <si>
    <t>Conduct ends 3 months prior, Close-out starts 2 - which?</t>
  </si>
  <si>
    <t>Close-out starts from 3 months prior, and runs until DB lock.</t>
  </si>
  <si>
    <t>Applied - Close-out is now 3 months long and Conduct ends the day before it. This is the opposite of the v0.3 default, which had shortened Close-out instead; corrected.</t>
  </si>
  <si>
    <t>Which DB lock does Close-out end at?</t>
  </si>
  <si>
    <t>With an interim lock, split into 'Close-out (interim)' and 'Close-out (final)'. The stretches before and after 'Close-out (interim)' are both Conduct.</t>
  </si>
  <si>
    <t>Applied, and the largest change in v0.4: 'Conduct' can now occur twice in one project. ProjectPeriod gains period_seq; REQ-CAL-11 added; the clinical-trial period set grows to five names.</t>
  </si>
  <si>
    <t>Q-24</t>
  </si>
  <si>
    <t>Data model</t>
  </si>
  <si>
    <t>Which is the eighth standard milestone?</t>
  </si>
  <si>
    <t>'Protocol (v1)'.</t>
  </si>
  <si>
    <t>Applied - milestone list now holds eight.</t>
  </si>
  <si>
    <t>Q-25</t>
  </si>
  <si>
    <t>How do 'Others' projects get their period dates?</t>
  </si>
  <si>
    <t>'Others' projects don't have milestone mapping.</t>
  </si>
  <si>
    <t>Applied - confirms the v0.3 assumption; their periods are entered by hand. Assumption A-10 confirmed.</t>
  </si>
  <si>
    <t>What selects a project's weight?</t>
  </si>
  <si>
    <t>Clinical phase, where project_type is 'Clinical Trial'.</t>
  </si>
  <si>
    <t>Applied - PeriodWeightStandard re-keyed from project_category to clinical_phase. clinical_phase now drives the simulation, so V-19 makes a missing phase an error.</t>
  </si>
  <si>
    <t>Answered at the v0.2 review  [round 2]</t>
  </si>
  <si>
    <t>How it was applied in v0.3</t>
  </si>
  <si>
    <t>Q-13</t>
  </si>
  <si>
    <t>Blocker</t>
  </si>
  <si>
    <t>The '13_Templete_example' sheet is missing.</t>
  </si>
  <si>
    <t>Structure already provided is similar to the existing one. No example file coming. Close this.</t>
  </si>
  <si>
    <t>CLOSED. WBS task 1.5 removed; assumption A-11 records that the schema in this plan is taken as matching yours.</t>
  </si>
  <si>
    <t>outsourcing_type listed a value twice.</t>
  </si>
  <si>
    <t>'Full outsourcing' / 'Partial outsourcing' / 'Full In-house'.</t>
  </si>
  <si>
    <t>Applied - three values, REQ-PRJ-04 and the Lists sheet.</t>
  </si>
  <si>
    <t>Q-15</t>
  </si>
  <si>
    <t>Which milestone set is standard?</t>
  </si>
  <si>
    <t>'CTA submission', 'First SIV', 'LPI', 'interim DB lock cut-off', 'interim DB lock', 'final DB lock cut-off', 'final DB lock'.</t>
  </si>
  <si>
    <t>Applied - list replaced; FPI dropped. The answer says eight but names seven, so the count is queried at Q-24.</t>
  </si>
  <si>
    <t>Q-16</t>
  </si>
  <si>
    <t>Confirm the milestone-to-period mapping.</t>
  </si>
  <si>
    <t>Start-up = 1 month before CTA submission, 4 months long. Conduct = after Start-up to 3 months before interim DB lock (final if no interim). Close-out = 2 months before that DB lock, to DB lock.</t>
  </si>
  <si>
    <t>Applied with three corrections - the mapping as written leaves gaps. See sheet 05 and Q-21, Q-22, Q-23.</t>
  </si>
  <si>
    <t>Q-17</t>
  </si>
  <si>
    <t>The weight and role-factor values.</t>
  </si>
  <si>
    <t>Actual numbers to be filled into the source file (excel).</t>
  </si>
  <si>
    <t>CLOSED. The plan fixes where the values live, not what they are - which is what REQ-CAL-06 always required. Risk R-10 downgraded. Part (c) of the question is handled by design and re-asked lightly at Q-26.</t>
  </si>
  <si>
    <t>Q-18</t>
  </si>
  <si>
    <t>Do 'Others' projects share the same periods?</t>
  </si>
  <si>
    <t>No - 'Others' uses 'Planning' / 'Develop' / 'Close'.</t>
  </si>
  <si>
    <t>Applied - REQ-PRJ-12, type-specific period sets, V-15. Raises Q-25: those periods have no milestones to derive from.</t>
  </si>
  <si>
    <t>Q-19</t>
  </si>
  <si>
    <t>Can system_prepared_by be dropped?</t>
  </si>
  <si>
    <t>Yes - replaced by the EDC_setup .. DM_conduct fields.</t>
  </si>
  <si>
    <t>Applied - column removed from the Project sheet.</t>
  </si>
  <si>
    <t>Editing</t>
  </si>
  <si>
    <t>Which fields should be editable?</t>
  </si>
  <si>
    <t>Every field. Validation rules prevent inconsistency between sheets instead.</t>
  </si>
  <si>
    <t>Applied - REQ-IMP-09 widened, REQ-IMP-10 and V-17 added, decision C-09, risk R-12.</t>
  </si>
  <si>
    <t>Answered at the v0.11 review  [round 1]</t>
  </si>
  <si>
    <t>How it was applied in v0.2</t>
  </si>
  <si>
    <t>Do weights multiply?</t>
  </si>
  <si>
    <t>Yes: project weight x role factor x person weight. Project weight comes from the project's category and is the same for everyone on that project in that milestone period. Role factor is the standard weight of the role. Person weight says how much the person works on the project.</t>
  </si>
  <si>
    <t>Applied - sheet 05. base_allocation removed; PersonPeriodWeight became an override.</t>
  </si>
  <si>
    <t>Pro-rate partial months by calendar days?</t>
  </si>
  <si>
    <t>Yes - expected work follows the calendar days worked between the joined date and the end date.</t>
  </si>
  <si>
    <t>Applied - C-02 confirmed; REQ-CAL-05 raised to Must.</t>
  </si>
  <si>
    <t>Roles</t>
  </si>
  <si>
    <t>Which roles, and do they differ in burden?</t>
  </si>
  <si>
    <t>Clinical Trial: Project oversight, Lead data manager, Clinical Data Associator, Clinical Database Programmer, Data Analyst. Others: Project lead, Main staff, Other staff.</t>
  </si>
  <si>
    <t>Applied - RoleFactor gains a project_type column; V-03 raised to an error.</t>
  </si>
  <si>
    <t>Q-04</t>
  </si>
  <si>
    <t>Standard period names and weights?</t>
  </si>
  <si>
    <t>Before-Start-up, Start-up, Conduct, Close-out.</t>
  </si>
  <si>
    <t>Applied - sheet 04 ProjectPeriod. Weight VALUES still needed - Q-17.</t>
  </si>
  <si>
    <t>Environment</t>
  </si>
  <si>
    <t>Can you open a local .html file?</t>
  </si>
  <si>
    <t>Yes.</t>
  </si>
  <si>
    <t>Applied - risk R-03 closed.</t>
  </si>
  <si>
    <t>Data volume</t>
  </si>
  <si>
    <t>How many projects and people?</t>
  </si>
  <si>
    <t>Under 20 projects and 30 people.</t>
  </si>
  <si>
    <t>Applied - REQ-NFR-03 target reduced; R-05 downgraded.</t>
  </si>
  <si>
    <t>Q-07</t>
  </si>
  <si>
    <t>Milestones</t>
  </si>
  <si>
    <t>Which milestones?</t>
  </si>
  <si>
    <t>CTA submission, FPI, LPI, DB lock cut-off, DB lock.</t>
  </si>
  <si>
    <t>Applied - Milestone list. Conflicts with the v0.11 mark-up in sheet 04 - see Q-15.</t>
  </si>
  <si>
    <t>Capacity</t>
  </si>
  <si>
    <t>Capacity and thresholds?</t>
  </si>
  <si>
    <t>1 FTE = 160 h/month (8 h/day, 5 days/week, 20 days/month). Over-allocation: total above 1.5 FTE in a month. Under-allocation: below 0.8 FTE for 3 months or longer.</t>
  </si>
  <si>
    <t>Applied - REQ-CAL-04, REQ-CAL-07, REQ-CAL-08; Config parameters; sheet 06 flagging.</t>
  </si>
  <si>
    <t>Source files</t>
  </si>
  <si>
    <t>One workbook or two?</t>
  </si>
  <si>
    <t>One single workbook with all sheets.</t>
  </si>
  <si>
    <t>Applied - sheet 04 restructured; REQ-OUT-03 reworded; architecture and deployment updated.</t>
  </si>
  <si>
    <t>Q-10</t>
  </si>
  <si>
    <t>Existing data</t>
  </si>
  <si>
    <t>Existing spreadsheet structure?</t>
  </si>
  <si>
    <t>Refer to '13_Templete_example'.</t>
  </si>
  <si>
    <t>NOT APPLIED - that sheet is not in the returned file. See Q-13.</t>
  </si>
  <si>
    <t>Horizon</t>
  </si>
  <si>
    <t>Planning horizon?</t>
  </si>
  <si>
    <t>24 months default, expandable to the latest project end date.</t>
  </si>
  <si>
    <t>Applied - REQ-CAL-01, REQ-DSH-07, Config default_horizon_months.</t>
  </si>
  <si>
    <t>Q-12</t>
  </si>
  <si>
    <t>Scope check</t>
  </si>
  <si>
    <t>Anything wrongly out of scope?</t>
  </si>
  <si>
    <t>Fine.</t>
  </si>
  <si>
    <t>Applied - exclusions confirmed on sheet 02.</t>
  </si>
  <si>
    <t>Change requests against the approved v1.0 baseline</t>
  </si>
  <si>
    <t>Raised after Gate 1, so these are handled as a numbered change rather than absorbed silently. v1.1 carries them and needs its own approval on sheet 12.</t>
  </si>
  <si>
    <t>Change requested</t>
  </si>
  <si>
    <t>How it was applied in v1.1</t>
  </si>
  <si>
    <t>Add 'Inspection' as a standard milestone.</t>
  </si>
  <si>
    <t>Applied. Milestone list grows to ten. Unlike the others, 'Inspection' MAY REPEAT within one project, so REQ-PRJ-13 and V-20 were added and V-14's uniqueness check now exempts it.</t>
  </si>
  <si>
    <t>Applied</t>
  </si>
  <si>
    <t>Sheet 05 derivation edits: Before-Start-up ends at 'Protocol (v1)'; Start-up begins the day after it and ends at 'First SIV' (or 'FPI'); a seventh period 'After Close-out (final)' spans the Inspection dates.</t>
  </si>
  <si>
    <t>Applied. Clinical period set grows to six names; REQ-PRJ-12 and REQ-CAL-09 reworded; REQ-CAL-13 added for the milestone-beats-offset rule; 'FPI' restored to the milestone list as the First SIV fallback.</t>
  </si>
  <si>
    <t>R-03 is the only point needing an answer. It affects one rule in one table; the engine reads that table as data, so correcting it later is cheap.</t>
  </si>
  <si>
    <t>Six engineering decisions - C-06 to C-11 on sheet 05 - were proposed during the review rounds and never explicitly answered. Gate 1 approval of v1.0 confirmed them.</t>
  </si>
  <si>
    <t>Review log and approval</t>
  </si>
  <si>
    <t>Every change made in v0.2, and why. Reviewer input was given as direct mark-up in PRAP_Development_Plan_v0.11_reviewed.xlsx rather than as cell comments.</t>
  </si>
  <si>
    <t>No.</t>
  </si>
  <si>
    <t>Sheet / source</t>
  </si>
  <si>
    <t>Reviewer input</t>
  </si>
  <si>
    <t>Response</t>
  </si>
  <si>
    <t>Action taken in v0.2</t>
  </si>
  <si>
    <t>All 12 questions answered.</t>
  </si>
  <si>
    <t>Accepted in full.</t>
  </si>
  <si>
    <t>Propagated into sheets 02-10; see rows below.</t>
  </si>
  <si>
    <t>Closed</t>
  </si>
  <si>
    <t>03_Requirements!A43</t>
  </si>
  <si>
    <t>New requirement added: 'After importing the source excel file, HTML to provide updating data and the updated data to be absorbed in the exported file when it extracts from the HTML.'</t>
  </si>
  <si>
    <t>Accepted. Numbered REQ-IMP-07.</t>
  </si>
  <si>
    <t>Added REQ-IMP-07, plus REQ-IMP-08 (unsaved-edit warning) and REQ-IMP-09 (re-validate edits), which it implies. Withdrew the v0.1 rule that nothing is editable (sheet 06). Added edit-buffer layer (sheet 07) and risk R-08.</t>
  </si>
  <si>
    <t>04_Data_Model - Project</t>
  </si>
  <si>
    <t>Added clinical_phase; EDC_setup, DataReviewSystem_setup, RBQM_setup, DM_conduct; EDC_system, DataReviewSystem, RBQM_system. Made outsourcing_type required.</t>
  </si>
  <si>
    <t>Accepted.</t>
  </si>
  <si>
    <t>All carried into the Project sheet with REQ-IDs REQ-PRJ-09/10/11. Value lists moved to the new Lists sheet. V-10 and V-11 added.</t>
  </si>
  <si>
    <t>outsourcing_type list reads 'Full outsourcing' / 'Partial outsourcing' / 'Full In-house' / 'Partial outsourcing'.</t>
  </si>
  <si>
    <t>Query - 'Partial outsourcing' appears twice.</t>
  </si>
  <si>
    <t>Flagged as Q-14. Resolved at round 2 - three values, see item 17.</t>
  </si>
  <si>
    <t>04_Data_Model - Milestone</t>
  </si>
  <si>
    <t>Milestone examples changed to FPI, LPI, LPO, LPLV, interim DB Lock, final DB Lock, CSR.</t>
  </si>
  <si>
    <t>Query - conflicts with the Q-07 answer, which names five different milestones.</t>
  </si>
  <si>
    <t>Q-07's list adopted as standard; raised as Q-15. Superseded at round 2 by a replacement list - see item 18.</t>
  </si>
  <si>
    <t>Added project_name to Milestone and person_name to Assignment.</t>
  </si>
  <si>
    <t>Accepted with a safeguard.</t>
  </si>
  <si>
    <t>Kept as display conveniences, explicitly non-authoritative. V-13 checks them against the master row and refreshes rather than trusting them, so a stale copy cannot break a link.</t>
  </si>
  <si>
    <t>Q-09 answer</t>
  </si>
  <si>
    <t>One single workbook instead of two.</t>
  </si>
  <si>
    <t>Sheet 04 restructured into one workbook of ten sheets; REQ-OUT-03, REQ-IMP-01/03 reworded; architecture option (b) rejection strengthened; deployment updated.</t>
  </si>
  <si>
    <t>8</t>
  </si>
  <si>
    <t>Q-01 answer</t>
  </si>
  <si>
    <t>Three factors: project weight x role factor x person weight.</t>
  </si>
  <si>
    <t>Accepted, with one consequence.</t>
  </si>
  <si>
    <t>base_allocation removed - it was a fourth factor the answer did not name. Renamed to person_weight. PersonPeriodWeight changed from a multiplier to an override so no hidden fourth factor returns. Sheet 05 rewritten.</t>
  </si>
  <si>
    <t>9</t>
  </si>
  <si>
    <t>Q-08 answer</t>
  </si>
  <si>
    <t>1 FTE = 160 h/month; over-allocation above 1.5 FTE; under-allocation below 0.8 FTE for 3+ months.</t>
  </si>
  <si>
    <t>REQ-CAL-04 rewritten, REQ-CAL-07 and REQ-CAL-08 added. Under-allocation needs a rolling 3-month window, so it is specified as a run with a start and length, not a per-month flag. Config parameters added; sheet 06 flags both.</t>
  </si>
  <si>
    <t>10</t>
  </si>
  <si>
    <t>Q-04 + Q-07 answers</t>
  </si>
  <si>
    <t>Standard periods and milestones named.</t>
  </si>
  <si>
    <t>Accepted, with a derivation.</t>
  </si>
  <si>
    <t>Periods are now derived from milestone dates (REQ-CAL-09) so a timeline change re-shapes them automatically. Mapping raised as Q-16 and answered at round 2 with a different mapping - see item 19. Assumption A-07 changed: milestones now drive weights.</t>
  </si>
  <si>
    <t>11</t>
  </si>
  <si>
    <t>Q-06 answer</t>
  </si>
  <si>
    <t>REQ-NFR-03 target cut from 100 projects / 200 people / 1,000 assignments to a realistic figure with headroom; R-05 downgraded to Low/Low.</t>
  </si>
  <si>
    <t>12</t>
  </si>
  <si>
    <t>Q-10 answer</t>
  </si>
  <si>
    <t>'Refer to 13_Templete_example'.</t>
  </si>
  <si>
    <t>Cannot action - the sheet is absent from the returned workbook.</t>
  </si>
  <si>
    <t>Verified against the file itself: it holds 13 sheets, 00 to 12, none hidden. Raised as Q-13; closed at round 2 - see item 16.</t>
  </si>
  <si>
    <t>13</t>
  </si>
  <si>
    <t>02_Scope!A1</t>
  </si>
  <si>
    <t>Sheet title cell was blank in the returned file.</t>
  </si>
  <si>
    <t>Treated as accidental.</t>
  </si>
  <si>
    <t>Title 'Scope and objectives' restored.</t>
  </si>
  <si>
    <t>14</t>
  </si>
  <si>
    <t>Q-03 answer</t>
  </si>
  <si>
    <t>Role lists differ between project types.</t>
  </si>
  <si>
    <t>RoleFactor gains a project_type column; roles are matched on (project type, role name). V-03 raised from warning to error, since a role from the wrong type is now a real mistake rather than a typo.</t>
  </si>
  <si>
    <t>15</t>
  </si>
  <si>
    <t>Role factors and period weight values.</t>
  </si>
  <si>
    <t>Not supplied at round 1.</t>
  </si>
  <si>
    <t>Resolved at round 2 - see item 20.</t>
  </si>
  <si>
    <t>16</t>
  </si>
  <si>
    <t>Q-13 answer (round 2)</t>
  </si>
  <si>
    <t>'No example file provided from me. Close this.'</t>
  </si>
  <si>
    <t>Blocker cleared. WBS task 1.5 removed; assumption A-11 records that the schema here is taken as matching the existing one.</t>
  </si>
  <si>
    <t>17</t>
  </si>
  <si>
    <t>Q-14 answer</t>
  </si>
  <si>
    <t>outsourcing_type has three values.</t>
  </si>
  <si>
    <t>REQ-PRJ-04 and the Project sheet corrected.</t>
  </si>
  <si>
    <t>18</t>
  </si>
  <si>
    <t>Q-15 answer</t>
  </si>
  <si>
    <t>Milestone list replaced - First SIV in, FPI out, DB lock cut-off and DB lock split interim/final.</t>
  </si>
  <si>
    <t>Accepted, with one query.</t>
  </si>
  <si>
    <t>Milestone list replaced throughout. The count query was answered at Q-24 - 'Protocol (v1)' is the eighth. See item 27.</t>
  </si>
  <si>
    <t>19</t>
  </si>
  <si>
    <t>Q-16 answer</t>
  </si>
  <si>
    <t>Milestone-to-period mapping given for Start-up, Conduct and Close-out.</t>
  </si>
  <si>
    <t>Accepted in substance; three gaps found.</t>
  </si>
  <si>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</si>
  <si>
    <t>20</t>
  </si>
  <si>
    <t>Q-17 answer</t>
  </si>
  <si>
    <t>'Actual numbers to be filled into the source file (excel).'</t>
  </si>
  <si>
    <t>Accepted - this closes the question rather than deferring it.</t>
  </si>
  <si>
    <t>The plan fixes where the values live, not what they are, which is what REQ-CAL-06 required all along. R-10 downgraded from High/High to Medium/Medium. Engine correctness is proven against the worked example; realism against your data at WBS 4.9.</t>
  </si>
  <si>
    <t>21</t>
  </si>
  <si>
    <t>Q-18 answer</t>
  </si>
  <si>
    <t>'Others' projects use Planning / Develop / Close.</t>
  </si>
  <si>
    <t>REQ-PRJ-12 added; ProjectPeriod and PeriodWeightStandard keyed by project_type; V-15 rejects a period from the wrong set. Q-25 confirmed at round 3 that 'Others' periods are entered by hand.</t>
  </si>
  <si>
    <t>22</t>
  </si>
  <si>
    <t>Q-19 answer</t>
  </si>
  <si>
    <t>system_prepared_by can be dropped.</t>
  </si>
  <si>
    <t>Column removed from the Project sheet.</t>
  </si>
  <si>
    <t>23</t>
  </si>
  <si>
    <t>Q-20 answer</t>
  </si>
  <si>
    <t>Every field editable; validation rules prevent inconsistency.</t>
  </si>
  <si>
    <t>Accepted, with the mechanism made explicit.</t>
  </si>
  <si>
    <t>REQ-IMP-09 widened to all fields; REQ-IMP-10 and V-17 added for cascading identifier edits and refused deletes; decision C-09; risk R-12. Cascading is what makes an editable identifier safe - blocking the edit would have made it read-only in all but name.</t>
  </si>
  <si>
    <t>Q-21 answer (round 3)</t>
  </si>
  <si>
    <t>Before-Start-up runs from project start to one month before CTA submission.</t>
  </si>
  <si>
    <t>Accepted - confirms the v0.3 reading.</t>
  </si>
  <si>
    <t>Sequence 1 of the derivation on sheet 05, unchanged.</t>
  </si>
  <si>
    <t>25</t>
  </si>
  <si>
    <t>Q-22 answer</t>
  </si>
  <si>
    <t>Close-out starts 3 months prior to DB lock and runs until DB lock.</t>
  </si>
  <si>
    <t>Accepted - and it reverses the v0.3 default.</t>
  </si>
  <si>
    <t>v0.3 had closed the one-month gap by shortening Close-out to two months. Your answer closes it the other way: Close-out is three months and Conduct ends the day before it. Corrected on sheet 05.</t>
  </si>
  <si>
    <t>26</t>
  </si>
  <si>
    <t>Q-23 answer</t>
  </si>
  <si>
    <t>With an interim DB lock, split into Close-out (interim) and Close-out (final); the stretches either side of Close-out (interim) are both Conduct.</t>
  </si>
  <si>
    <t>Accepted. The structural change of v0.4.</t>
  </si>
  <si>
    <t>A period name is no longer unique within a project - Conduct now occurs twice. ProjectPeriod gains period_seq; REQ-CAL-11 added; V-18 enforces sequence uniqueness; the clinical-trial period set grows from four names to five. Derivation re-verified contiguous.</t>
  </si>
  <si>
    <t>27</t>
  </si>
  <si>
    <t>Q-24 answer</t>
  </si>
  <si>
    <t>The eighth standard milestone is 'Protocol (v1)'.</t>
  </si>
  <si>
    <t>Milestone list now holds eight. Only CTA submission and the DB locks are boundaries; the other six are markers.</t>
  </si>
  <si>
    <t>28</t>
  </si>
  <si>
    <t>Q-25 answer</t>
  </si>
  <si>
    <t>'Others' projects have no milestone mapping.</t>
  </si>
  <si>
    <t>Confirms the v0.3 assumption. A-10 moves from 'to confirm' to confirmed; their three periods are entered by hand.</t>
  </si>
  <si>
    <t>29</t>
  </si>
  <si>
    <t>Q-26 answer</t>
  </si>
  <si>
    <t>A clinical trial's weight relies on clinical_phase.</t>
  </si>
  <si>
    <t>Accepted, with one consequence worth noting.</t>
  </si>
  <si>
    <t>PeriodWeightStandard re-keyed from project_category to clinical_phase. clinical_phase stops being descriptive and starts driving the simulation, so V-19 makes a missing phase an error rather than the warning it was under V-10. Raises Q-28: 'Others' projects have no phase.</t>
  </si>
  <si>
    <t>30</t>
  </si>
  <si>
    <t>Sheet 05 - derivation</t>
  </si>
  <si>
    <t>Not reviewer input - a check made while applying the answers.</t>
  </si>
  <si>
    <t>Five timelines tested.</t>
  </si>
  <si>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</si>
  <si>
    <t>31</t>
  </si>
  <si>
    <t>Naming and 'Others' weighting.</t>
  </si>
  <si>
    <t>Two small points raised.</t>
  </si>
  <si>
    <t>Raised as Q-27 and Q-28; both answered at round 4 - see items 32 and 33.</t>
  </si>
  <si>
    <t>32</t>
  </si>
  <si>
    <t>Q-27 answer (round 4)</t>
  </si>
  <si>
    <t>Accepted - confirms v0.4 as built.</t>
  </si>
  <si>
    <t>No change needed. One period name covers both cases, so the weight lookup needs no special branch.</t>
  </si>
  <si>
    <t>33</t>
  </si>
  <si>
    <t>Q-28 answer</t>
  </si>
  <si>
    <t>'Others' projects are not distinguished, and take manual input for period weights.</t>
  </si>
  <si>
    <t>Accepted, and it simplifies the model.</t>
  </si>
  <si>
    <t>PeriodWeightStandard becomes a clinical-trial reference table only; its '*' rows are gone. Combined with Q-25, 'Others' projects are now hand-entered throughout - both period dates and period weights. V-19 scoped to clinical trials. REQ-PRJ-06 reworded.</t>
  </si>
  <si>
    <t>34</t>
  </si>
  <si>
    <t>Sheet 05 - decisions C-06..C-11</t>
  </si>
  <si>
    <t>Not reviewer input - six decisions proposed during the review rounds and never explicitly answered.</t>
  </si>
  <si>
    <t>Resolved at approval rather than by a fifth round.</t>
  </si>
  <si>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</si>
  <si>
    <t>35</t>
  </si>
  <si>
    <t>Gate 1</t>
  </si>
  <si>
    <t>Plan v1.0 approved by Dan, 2026-08-01, with direction to proceed to Step 2 starting from the workbook template and a dummy data file.</t>
  </si>
  <si>
    <t>Recorded.</t>
  </si>
  <si>
    <t>v1.0 is the approved baseline. Step 2 opened; template and dummy workbook issued for review as WBS task 2.0.</t>
  </si>
  <si>
    <t>36</t>
  </si>
  <si>
    <t>11_Open_Questions (post-approval)</t>
  </si>
  <si>
    <t>Accepted as change R-01.</t>
  </si>
  <si>
    <t>Milestone list grows to ten. 'Inspection' may repeat within a project, which no other milestone does - REQ-PRJ-13 and V-20 added, V-14 relaxed accordingly. Uniqueness is now on (project, name, date) rather than on name.</t>
  </si>
  <si>
    <t>37</t>
  </si>
  <si>
    <t>05_Resource_Logic (post-approval)</t>
  </si>
  <si>
    <t>Derivation edits: Before-Start-up ends at 'Protocol (v1)'; Start-up starts the day after it and ends at 'First SIV' or 'FPI'; new seventh period 'After Close-out (final)' spanning the Inspection dates.</t>
  </si>
  <si>
    <t>Accepted as change R-02.</t>
  </si>
  <si>
    <t>Derivation table rewritten. Clinical period set 5 -&gt; 6 names. REQ-CAL-13 added: where a boundary has both a milestone and an offset definition, the recorded milestone wins. 'FPI' restored to the milestone list - it had been dropped at Q-15, so this reverses that.</t>
  </si>
  <si>
    <t>38</t>
  </si>
  <si>
    <t>Not reviewer input - found while applying R-02.</t>
  </si>
  <si>
    <t>One case in the mark-up does not resolve.</t>
  </si>
  <si>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for confirmation.</t>
  </si>
  <si>
    <t>Open</t>
  </si>
  <si>
    <t>39</t>
  </si>
  <si>
    <t>v1.0 is an approved baseline.</t>
  </si>
  <si>
    <t>Changes cannot be absorbed silently.</t>
  </si>
  <si>
    <t>Per the rules on sheet 09, a change against a baseline takes the next point release and needs its own approval. This issue is v1.1 and the approval block on sheet 12 now holds both v1.0 and v1.1.</t>
  </si>
  <si>
    <t>Disposition summary</t>
  </si>
  <si>
    <t>Closed in v0.2</t>
  </si>
  <si>
    <t>Open - awaiting your answer</t>
  </si>
  <si>
    <t>Total items</t>
  </si>
  <si>
    <t>Approval - Gate 1</t>
  </si>
  <si>
    <t>Document</t>
  </si>
  <si>
    <t>Approver</t>
  </si>
  <si>
    <t>PRAP Development Plan v1.0</t>
  </si>
  <si>
    <t>Dan</t>
  </si>
  <si>
    <t>2026-08-01</t>
  </si>
  <si>
    <t>APPROVED. Finalise plan v1.0 and proceed to Step 2, beginning with generation of the workbook template and a dummy data file for review.</t>
  </si>
  <si>
    <t>PRAP Development Plan v1.1</t>
  </si>
  <si>
    <t>Pending. Change against the v1.0 baseline: R-01 and R-02 applied, R-03 needs an answer (sheet 11).</t>
  </si>
  <si>
    <t>GATE 1 PASSED at v1.0: the requirements on sheet 03 are baselined as the contract for Steps 2-5 and decisions C-06 to C-11 are confirmed. v1.1 is a change against that baseline and needs the second approval above before it supersedes v1.0. Step 2 continues in the meantime - the change affects the period derivation and the milestone list, both of which are data the application reads.</t>
  </si>
  <si>
    <t>Not requested - found while applying R-02.</t>
    <phoneticPr fontId="10" type="noConversion"/>
  </si>
  <si>
    <t>The mark-up defines period 7 as running from the earliest to the latest 'Inspection' date. Where an inspection is dated on or before the final DB lock, that makes period 7 start before period 6 and overlap Conduct. v1.1 counts only inspections AFTER the final DB lock as opening period 7, treating earlier ones as markers. Reported by V-21. Please confirm.</t>
    <phoneticPr fontId="10" type="noConversion"/>
  </si>
  <si>
    <t>Confirm</t>
    <phoneticPr fontId="10" type="noConversion"/>
  </si>
  <si>
    <t>Reviewer's comment</t>
    <phoneticPr fontId="10" type="noConversion"/>
  </si>
  <si>
    <t>Confirmed.</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</si>
</sst>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scheme val="minor"/>
    </font>
    <font>
      <b/>
      <sz val="20"/>
      <color rgb="FF1F3864"/>
      <name val="Arial"/>
    </font>
    <font>
      <sz val="14"/>
      <color rgb="FF1F3864"/>
      <name val="Arial"/>
    </font>
    <font>
      <b/>
      <sz val="10"/>
      <name val="Arial"/>
    </font>
    <font>
      <sz val="10"/>
      <name val="Arial"/>
    </font>
    <font>
      <b/>
      <sz val="12"/>
      <color rgb="FF1F3864"/>
      <name val="Arial"/>
    </font>
    <font>
      <b/>
      <sz val="10"/>
      <color rgb="FFFFFFFF"/>
      <name val="Arial"/>
    </font>
    <font>
      <b/>
      <sz val="16"/>
      <color rgb="FF1F3864"/>
      <name val="Arial"/>
    </font>
    <font>
      <i/>
      <sz val="9"/>
      <color rgb="FF808080"/>
      <name val="Arial"/>
    </font>
    <font>
      <sz val="10"/>
      <name val="Consolas"/>
    </font>
    <font>
      <sz val="8"/>
      <name val="맑은 고딕"/>
      <family val="3"/>
      <charset val="129"/>
      <scheme val="minor"/>
    </font>
    <font>
      <sz val="10"/>
      <name val="Arial"/>
      <family val="2"/>
    </font>
    <font>
      <b/>
      <sz val="10"/>
      <color rgb="FFFFFFFF"/>
      <name val="Arial"/>
      <family val="2"/>
    </font>
  </fonts>
  <fills count="7">
    <fill>
      <patternFill patternType="none"/>
    </fill>
    <fill>
      <patternFill patternType="gray125"/>
    </fill>
    <fill>
      <patternFill patternType="solid">
        <fgColor rgb="FF2F5597"/>
      </patternFill>
    </fill>
    <fill>
      <patternFill patternType="solid">
        <fgColor rgb="FFF2F5FB"/>
      </patternFill>
    </fill>
    <fill>
      <patternFill patternType="solid">
        <fgColor rgb="FFC6E0B4"/>
      </patternFill>
    </fill>
    <fill>
      <patternFill patternType="solid">
        <fgColor rgb="FFFCE4D6"/>
      </patternFill>
    </fill>
    <fill>
      <patternFill patternType="solid">
        <fgColor rgb="FFFFFF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6" fillId="2" borderId="1" xfId="0" applyFont="1" applyFill="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4" borderId="0" xfId="0" applyFont="1" applyFill="1"/>
    <xf numFmtId="0" fontId="4" fillId="5" borderId="0" xfId="0" applyFont="1" applyFill="1"/>
    <xf numFmtId="0" fontId="4" fillId="6" borderId="0" xfId="0" applyFont="1" applyFill="1"/>
    <xf numFmtId="0" fontId="7" fillId="0" borderId="0" xfId="0" applyFont="1"/>
    <xf numFmtId="0" fontId="8" fillId="0" borderId="0" xfId="0" applyFont="1"/>
    <xf numFmtId="0" fontId="4" fillId="5" borderId="1" xfId="0" applyFont="1" applyFill="1" applyBorder="1" applyAlignment="1">
      <alignment vertical="top" wrapText="1"/>
    </xf>
    <xf numFmtId="0" fontId="4" fillId="5" borderId="1" xfId="0" applyFont="1" applyFill="1" applyBorder="1" applyAlignment="1">
      <alignment vertical="top"/>
    </xf>
    <xf numFmtId="0" fontId="4" fillId="4" borderId="1" xfId="0" applyFont="1" applyFill="1" applyBorder="1" applyAlignment="1">
      <alignment vertical="top" wrapText="1"/>
    </xf>
    <xf numFmtId="0" fontId="4" fillId="4" borderId="1" xfId="0" applyFont="1" applyFill="1" applyBorder="1" applyAlignment="1">
      <alignment vertical="top"/>
    </xf>
    <xf numFmtId="0" fontId="9" fillId="0" borderId="0" xfId="0" applyFont="1"/>
    <xf numFmtId="0" fontId="4" fillId="6" borderId="1" xfId="0" applyFont="1" applyFill="1" applyBorder="1" applyAlignment="1">
      <alignment vertical="top"/>
    </xf>
    <xf numFmtId="0" fontId="11" fillId="0" borderId="1" xfId="0" applyFont="1" applyBorder="1" applyAlignment="1">
      <alignment vertical="top" wrapText="1"/>
    </xf>
    <xf numFmtId="0" fontId="11" fillId="6" borderId="1" xfId="0" applyFont="1" applyFill="1" applyBorder="1" applyAlignment="1">
      <alignment vertical="top"/>
    </xf>
    <xf numFmtId="0" fontId="12" fillId="2" borderId="2" xfId="0" applyFont="1" applyFill="1" applyBorder="1" applyAlignment="1">
      <alignment horizontal="center"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5"/>
  <sheetViews>
    <sheetView showGridLines="0" workbookViewId="0"/>
  </sheetViews>
  <sheetFormatPr defaultRowHeight="16.899999999999999" x14ac:dyDescent="0.6"/>
  <cols>
    <col min="1" max="1" width="26" customWidth="1"/>
    <col min="2" max="2" width="84" customWidth="1"/>
  </cols>
  <sheetData>
    <row r="1" spans="1:2" ht="25.15" x14ac:dyDescent="0.7">
      <c r="A1" s="1" t="s">
        <v>0</v>
      </c>
    </row>
    <row r="2" spans="1:2" ht="18.399999999999999" x14ac:dyDescent="0.6">
      <c r="A2" s="2" t="s">
        <v>1</v>
      </c>
    </row>
    <row r="4" spans="1:2" x14ac:dyDescent="0.6">
      <c r="A4" s="3" t="s">
        <v>2</v>
      </c>
      <c r="B4" s="4" t="s">
        <v>3</v>
      </c>
    </row>
    <row r="5" spans="1:2" x14ac:dyDescent="0.6">
      <c r="A5" s="3" t="s">
        <v>4</v>
      </c>
      <c r="B5" s="4" t="s">
        <v>5</v>
      </c>
    </row>
    <row r="6" spans="1:2" x14ac:dyDescent="0.6">
      <c r="A6" s="3" t="s">
        <v>6</v>
      </c>
      <c r="B6" s="4" t="s">
        <v>7</v>
      </c>
    </row>
    <row r="7" spans="1:2" x14ac:dyDescent="0.6">
      <c r="A7" s="3" t="s">
        <v>8</v>
      </c>
      <c r="B7" s="4" t="s">
        <v>9</v>
      </c>
    </row>
    <row r="8" spans="1:2" x14ac:dyDescent="0.6">
      <c r="A8" s="3" t="s">
        <v>10</v>
      </c>
      <c r="B8" s="4" t="s">
        <v>11</v>
      </c>
    </row>
    <row r="9" spans="1:2" x14ac:dyDescent="0.6">
      <c r="A9" s="3" t="s">
        <v>12</v>
      </c>
      <c r="B9" s="4" t="s">
        <v>13</v>
      </c>
    </row>
    <row r="10" spans="1:2" x14ac:dyDescent="0.6">
      <c r="A10" s="3" t="s">
        <v>14</v>
      </c>
      <c r="B10" s="4" t="s">
        <v>15</v>
      </c>
    </row>
    <row r="11" spans="1:2" x14ac:dyDescent="0.6">
      <c r="A11" s="3" t="s">
        <v>16</v>
      </c>
      <c r="B11" s="4" t="s">
        <v>17</v>
      </c>
    </row>
    <row r="12" spans="1:2" x14ac:dyDescent="0.6">
      <c r="A12" s="3" t="s">
        <v>18</v>
      </c>
      <c r="B12" s="4" t="s">
        <v>19</v>
      </c>
    </row>
    <row r="13" spans="1:2" x14ac:dyDescent="0.6">
      <c r="A13" s="3" t="s">
        <v>20</v>
      </c>
      <c r="B13" s="4" t="s">
        <v>21</v>
      </c>
    </row>
    <row r="14" spans="1:2" x14ac:dyDescent="0.6">
      <c r="A14" s="3" t="s">
        <v>22</v>
      </c>
      <c r="B14" s="4" t="s">
        <v>23</v>
      </c>
    </row>
    <row r="16" spans="1:2" x14ac:dyDescent="0.6">
      <c r="A16" s="5" t="s">
        <v>24</v>
      </c>
    </row>
    <row r="17" spans="1:1" x14ac:dyDescent="0.6">
      <c r="A17" s="6" t="s">
        <v>25</v>
      </c>
    </row>
    <row r="18" spans="1:1" x14ac:dyDescent="0.6">
      <c r="A18" s="6"/>
    </row>
    <row r="19" spans="1:1" x14ac:dyDescent="0.6">
      <c r="A19" s="6" t="s">
        <v>26</v>
      </c>
    </row>
    <row r="20" spans="1:1" x14ac:dyDescent="0.6">
      <c r="A20" s="6" t="s">
        <v>27</v>
      </c>
    </row>
    <row r="21" spans="1:1" x14ac:dyDescent="0.6">
      <c r="A21" s="6" t="s">
        <v>28</v>
      </c>
    </row>
    <row r="22" spans="1:1" x14ac:dyDescent="0.6">
      <c r="A22" s="6" t="s">
        <v>29</v>
      </c>
    </row>
    <row r="23" spans="1:1" x14ac:dyDescent="0.6">
      <c r="A23" s="6"/>
    </row>
    <row r="24" spans="1:1" x14ac:dyDescent="0.6">
      <c r="A24" s="6" t="s">
        <v>30</v>
      </c>
    </row>
    <row r="25" spans="1:1" x14ac:dyDescent="0.6">
      <c r="A25" s="6" t="s">
        <v>31</v>
      </c>
    </row>
    <row r="26" spans="1:1" x14ac:dyDescent="0.6">
      <c r="A26" s="6" t="s">
        <v>32</v>
      </c>
    </row>
    <row r="27" spans="1:1" x14ac:dyDescent="0.6">
      <c r="A27" s="6" t="s">
        <v>33</v>
      </c>
    </row>
    <row r="28" spans="1:1" x14ac:dyDescent="0.6">
      <c r="A28" s="6" t="s">
        <v>34</v>
      </c>
    </row>
    <row r="29" spans="1:1" x14ac:dyDescent="0.6">
      <c r="A29" s="6" t="s">
        <v>35</v>
      </c>
    </row>
    <row r="30" spans="1:1" x14ac:dyDescent="0.6">
      <c r="A30" s="6" t="s">
        <v>36</v>
      </c>
    </row>
    <row r="31" spans="1:1" x14ac:dyDescent="0.6">
      <c r="A31" s="6" t="s">
        <v>37</v>
      </c>
    </row>
    <row r="32" spans="1:1" x14ac:dyDescent="0.6">
      <c r="A32" s="6" t="s">
        <v>38</v>
      </c>
    </row>
    <row r="33" spans="1:1" x14ac:dyDescent="0.6">
      <c r="A33" s="6"/>
    </row>
    <row r="34" spans="1:1" x14ac:dyDescent="0.6">
      <c r="A34" s="6" t="s">
        <v>39</v>
      </c>
    </row>
    <row r="35" spans="1:1" x14ac:dyDescent="0.6">
      <c r="A35" s="6" t="s">
        <v>40</v>
      </c>
    </row>
    <row r="36" spans="1:1" x14ac:dyDescent="0.6">
      <c r="A36" s="6" t="s">
        <v>41</v>
      </c>
    </row>
    <row r="37" spans="1:1" x14ac:dyDescent="0.6">
      <c r="A37" s="6" t="s">
        <v>42</v>
      </c>
    </row>
    <row r="38" spans="1:1" x14ac:dyDescent="0.6">
      <c r="A38" s="6" t="s">
        <v>43</v>
      </c>
    </row>
    <row r="40" spans="1:1" x14ac:dyDescent="0.6">
      <c r="A40" s="5" t="s">
        <v>44</v>
      </c>
    </row>
    <row r="41" spans="1:1" x14ac:dyDescent="0.6">
      <c r="A41" s="6" t="s">
        <v>45</v>
      </c>
    </row>
    <row r="42" spans="1:1" x14ac:dyDescent="0.6">
      <c r="A42" s="6" t="s">
        <v>46</v>
      </c>
    </row>
    <row r="43" spans="1:1" x14ac:dyDescent="0.6">
      <c r="A43" s="6"/>
    </row>
    <row r="44" spans="1:1" x14ac:dyDescent="0.6">
      <c r="A44" s="6" t="s">
        <v>47</v>
      </c>
    </row>
    <row r="45" spans="1:1" x14ac:dyDescent="0.6">
      <c r="A45" s="6" t="s">
        <v>48</v>
      </c>
    </row>
    <row r="46" spans="1:1" x14ac:dyDescent="0.6">
      <c r="A46" s="6" t="s">
        <v>49</v>
      </c>
    </row>
    <row r="47" spans="1:1" x14ac:dyDescent="0.6">
      <c r="A47" s="6" t="s">
        <v>50</v>
      </c>
    </row>
    <row r="48" spans="1:1" x14ac:dyDescent="0.6">
      <c r="A48" s="6"/>
    </row>
    <row r="49" spans="1:1" x14ac:dyDescent="0.6">
      <c r="A49" s="6" t="s">
        <v>51</v>
      </c>
    </row>
    <row r="50" spans="1:1" x14ac:dyDescent="0.6">
      <c r="A50" s="6" t="s">
        <v>52</v>
      </c>
    </row>
    <row r="51" spans="1:1" x14ac:dyDescent="0.6">
      <c r="A51" s="6" t="s">
        <v>53</v>
      </c>
    </row>
    <row r="52" spans="1:1" x14ac:dyDescent="0.6">
      <c r="A52" s="6" t="s">
        <v>54</v>
      </c>
    </row>
    <row r="53" spans="1:1" x14ac:dyDescent="0.6">
      <c r="A53" s="6"/>
    </row>
    <row r="54" spans="1:1" x14ac:dyDescent="0.6">
      <c r="A54" s="6" t="s">
        <v>55</v>
      </c>
    </row>
    <row r="55" spans="1:1" x14ac:dyDescent="0.6">
      <c r="A55" s="6" t="s">
        <v>56</v>
      </c>
    </row>
    <row r="56" spans="1:1" x14ac:dyDescent="0.6">
      <c r="A56" s="6" t="s">
        <v>57</v>
      </c>
    </row>
    <row r="57" spans="1:1" x14ac:dyDescent="0.6">
      <c r="A57" s="6"/>
    </row>
    <row r="58" spans="1:1" x14ac:dyDescent="0.6">
      <c r="A58" s="6" t="s">
        <v>58</v>
      </c>
    </row>
    <row r="60" spans="1:1" x14ac:dyDescent="0.6">
      <c r="A60" s="5" t="s">
        <v>59</v>
      </c>
    </row>
    <row r="61" spans="1:1" x14ac:dyDescent="0.6">
      <c r="A61" s="6" t="s">
        <v>60</v>
      </c>
    </row>
    <row r="62" spans="1:1" x14ac:dyDescent="0.6">
      <c r="A62" s="6" t="s">
        <v>61</v>
      </c>
    </row>
    <row r="63" spans="1:1" x14ac:dyDescent="0.6">
      <c r="A63" s="6" t="s">
        <v>62</v>
      </c>
    </row>
    <row r="64" spans="1:1" x14ac:dyDescent="0.6">
      <c r="A64" s="6" t="s">
        <v>63</v>
      </c>
    </row>
    <row r="66" spans="1:2" x14ac:dyDescent="0.6">
      <c r="A66" s="5" t="s">
        <v>64</v>
      </c>
    </row>
    <row r="67" spans="1:2" ht="28.05" customHeight="1" x14ac:dyDescent="0.6">
      <c r="A67" s="7" t="s">
        <v>65</v>
      </c>
      <c r="B67" s="7" t="s">
        <v>66</v>
      </c>
    </row>
    <row r="68" spans="1:2" x14ac:dyDescent="0.6">
      <c r="A68" s="8" t="s">
        <v>67</v>
      </c>
      <c r="B68" s="9" t="s">
        <v>68</v>
      </c>
    </row>
    <row r="69" spans="1:2" x14ac:dyDescent="0.6">
      <c r="A69" s="10" t="s">
        <v>69</v>
      </c>
      <c r="B69" s="11" t="s">
        <v>70</v>
      </c>
    </row>
    <row r="70" spans="1:2" x14ac:dyDescent="0.6">
      <c r="A70" s="8" t="s">
        <v>71</v>
      </c>
      <c r="B70" s="9" t="s">
        <v>72</v>
      </c>
    </row>
    <row r="71" spans="1:2" x14ac:dyDescent="0.6">
      <c r="A71" s="10" t="s">
        <v>73</v>
      </c>
      <c r="B71" s="11" t="s">
        <v>74</v>
      </c>
    </row>
    <row r="72" spans="1:2" x14ac:dyDescent="0.6">
      <c r="A72" s="8" t="s">
        <v>75</v>
      </c>
      <c r="B72" s="9" t="s">
        <v>76</v>
      </c>
    </row>
    <row r="73" spans="1:2" x14ac:dyDescent="0.6">
      <c r="A73" s="10" t="s">
        <v>77</v>
      </c>
      <c r="B73" s="11" t="s">
        <v>78</v>
      </c>
    </row>
    <row r="74" spans="1:2" x14ac:dyDescent="0.6">
      <c r="A74" s="8" t="s">
        <v>79</v>
      </c>
      <c r="B74" s="9" t="s">
        <v>80</v>
      </c>
    </row>
    <row r="75" spans="1:2" x14ac:dyDescent="0.6">
      <c r="A75" s="10" t="s">
        <v>81</v>
      </c>
      <c r="B75" s="11" t="s">
        <v>82</v>
      </c>
    </row>
    <row r="76" spans="1:2" x14ac:dyDescent="0.6">
      <c r="A76" s="8" t="s">
        <v>83</v>
      </c>
      <c r="B76" s="9" t="s">
        <v>84</v>
      </c>
    </row>
    <row r="77" spans="1:2" x14ac:dyDescent="0.6">
      <c r="A77" s="10" t="s">
        <v>85</v>
      </c>
      <c r="B77" s="11" t="s">
        <v>86</v>
      </c>
    </row>
    <row r="78" spans="1:2" x14ac:dyDescent="0.6">
      <c r="A78" s="8" t="s">
        <v>87</v>
      </c>
      <c r="B78" s="9" t="s">
        <v>88</v>
      </c>
    </row>
    <row r="79" spans="1:2" x14ac:dyDescent="0.6">
      <c r="A79" s="10" t="s">
        <v>89</v>
      </c>
      <c r="B79" s="11" t="s">
        <v>90</v>
      </c>
    </row>
    <row r="80" spans="1:2" x14ac:dyDescent="0.6">
      <c r="A80" s="8" t="s">
        <v>91</v>
      </c>
      <c r="B80" s="9" t="s">
        <v>92</v>
      </c>
    </row>
    <row r="82" spans="1:1" x14ac:dyDescent="0.6">
      <c r="A82" s="3" t="s">
        <v>93</v>
      </c>
    </row>
    <row r="83" spans="1:1" x14ac:dyDescent="0.6">
      <c r="A83" s="12" t="s">
        <v>94</v>
      </c>
    </row>
    <row r="84" spans="1:1" x14ac:dyDescent="0.6">
      <c r="A84" s="13" t="s">
        <v>95</v>
      </c>
    </row>
    <row r="85" spans="1:1" x14ac:dyDescent="0.6">
      <c r="A85" s="14" t="s">
        <v>96</v>
      </c>
    </row>
  </sheetData>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showGridLines="0" workbookViewId="0">
      <pane ySplit="4" topLeftCell="A5" activePane="bottomLeft" state="frozen"/>
      <selection pane="bottomLeft"/>
    </sheetView>
  </sheetViews>
  <sheetFormatPr defaultRowHeight="16.899999999999999" x14ac:dyDescent="0.6"/>
  <cols>
    <col min="1" max="1" width="10" customWidth="1"/>
    <col min="2" max="2" width="12" customWidth="1"/>
    <col min="3" max="3" width="15" customWidth="1"/>
    <col min="4" max="4" width="14" customWidth="1"/>
    <col min="5" max="5" width="92" customWidth="1"/>
    <col min="6" max="6" width="16" customWidth="1"/>
  </cols>
  <sheetData>
    <row r="1" spans="1:6" ht="20.65" x14ac:dyDescent="0.6">
      <c r="A1" s="15" t="s">
        <v>97</v>
      </c>
    </row>
    <row r="2" spans="1:6" x14ac:dyDescent="0.6">
      <c r="A2" s="16" t="s">
        <v>98</v>
      </c>
    </row>
    <row r="4" spans="1:6" ht="28.05" customHeight="1" x14ac:dyDescent="0.6">
      <c r="A4" s="7" t="s">
        <v>6</v>
      </c>
      <c r="B4" s="7" t="s">
        <v>99</v>
      </c>
      <c r="C4" s="7" t="s">
        <v>12</v>
      </c>
      <c r="D4" s="7" t="s">
        <v>14</v>
      </c>
      <c r="E4" s="7" t="s">
        <v>100</v>
      </c>
      <c r="F4" s="7" t="s">
        <v>8</v>
      </c>
    </row>
    <row r="5" spans="1:6" ht="25.5" x14ac:dyDescent="0.6">
      <c r="A5" s="8" t="s">
        <v>101</v>
      </c>
      <c r="B5" s="8" t="s">
        <v>102</v>
      </c>
      <c r="C5" s="8" t="s">
        <v>13</v>
      </c>
      <c r="D5" s="8" t="s">
        <v>103</v>
      </c>
      <c r="E5" s="9" t="s">
        <v>104</v>
      </c>
      <c r="F5" s="8" t="s">
        <v>105</v>
      </c>
    </row>
    <row r="6" spans="1:6" ht="38.25" x14ac:dyDescent="0.6">
      <c r="A6" s="10" t="s">
        <v>106</v>
      </c>
      <c r="B6" s="10" t="s">
        <v>11</v>
      </c>
      <c r="C6" s="10" t="s">
        <v>107</v>
      </c>
      <c r="D6" s="10" t="s">
        <v>107</v>
      </c>
      <c r="E6" s="11" t="s">
        <v>108</v>
      </c>
      <c r="F6" s="10" t="s">
        <v>109</v>
      </c>
    </row>
    <row r="7" spans="1:6" ht="51" x14ac:dyDescent="0.6">
      <c r="A7" s="8" t="s">
        <v>110</v>
      </c>
      <c r="B7" s="8" t="s">
        <v>11</v>
      </c>
      <c r="C7" s="8" t="s">
        <v>13</v>
      </c>
      <c r="D7" s="8" t="s">
        <v>107</v>
      </c>
      <c r="E7" s="9" t="s">
        <v>111</v>
      </c>
      <c r="F7" s="8" t="s">
        <v>105</v>
      </c>
    </row>
    <row r="8" spans="1:6" x14ac:dyDescent="0.6">
      <c r="A8" s="10" t="s">
        <v>112</v>
      </c>
      <c r="B8" s="10" t="s">
        <v>11</v>
      </c>
      <c r="C8" s="10" t="s">
        <v>107</v>
      </c>
      <c r="D8" s="10" t="s">
        <v>107</v>
      </c>
      <c r="E8" s="11" t="s">
        <v>113</v>
      </c>
      <c r="F8" s="10" t="s">
        <v>109</v>
      </c>
    </row>
    <row r="9" spans="1:6" ht="63.75" x14ac:dyDescent="0.6">
      <c r="A9" s="8" t="s">
        <v>114</v>
      </c>
      <c r="B9" s="8" t="s">
        <v>11</v>
      </c>
      <c r="C9" s="8" t="s">
        <v>13</v>
      </c>
      <c r="D9" s="8" t="s">
        <v>107</v>
      </c>
      <c r="E9" s="9" t="s">
        <v>115</v>
      </c>
      <c r="F9" s="8" t="s">
        <v>105</v>
      </c>
    </row>
    <row r="10" spans="1:6" x14ac:dyDescent="0.6">
      <c r="A10" s="10" t="s">
        <v>116</v>
      </c>
      <c r="B10" s="10" t="s">
        <v>11</v>
      </c>
      <c r="C10" s="10" t="s">
        <v>107</v>
      </c>
      <c r="D10" s="10" t="s">
        <v>107</v>
      </c>
      <c r="E10" s="11" t="s">
        <v>117</v>
      </c>
      <c r="F10" s="10" t="s">
        <v>109</v>
      </c>
    </row>
    <row r="11" spans="1:6" ht="51" x14ac:dyDescent="0.6">
      <c r="A11" s="8" t="s">
        <v>118</v>
      </c>
      <c r="B11" s="8" t="s">
        <v>11</v>
      </c>
      <c r="C11" s="8" t="s">
        <v>13</v>
      </c>
      <c r="D11" s="8" t="s">
        <v>107</v>
      </c>
      <c r="E11" s="9" t="s">
        <v>119</v>
      </c>
      <c r="F11" s="8" t="s">
        <v>105</v>
      </c>
    </row>
    <row r="12" spans="1:6" x14ac:dyDescent="0.6">
      <c r="A12" s="10" t="s">
        <v>120</v>
      </c>
      <c r="B12" s="10" t="s">
        <v>11</v>
      </c>
      <c r="C12" s="10" t="s">
        <v>107</v>
      </c>
      <c r="D12" s="10" t="s">
        <v>107</v>
      </c>
      <c r="E12" s="11" t="s">
        <v>121</v>
      </c>
      <c r="F12" s="10" t="s">
        <v>109</v>
      </c>
    </row>
    <row r="13" spans="1:6" ht="51" x14ac:dyDescent="0.6">
      <c r="A13" s="8" t="s">
        <v>122</v>
      </c>
      <c r="B13" s="8" t="s">
        <v>11</v>
      </c>
      <c r="C13" s="8" t="s">
        <v>13</v>
      </c>
      <c r="D13" s="8" t="s">
        <v>123</v>
      </c>
      <c r="E13" s="9" t="s">
        <v>124</v>
      </c>
      <c r="F13" s="8" t="s">
        <v>125</v>
      </c>
    </row>
    <row r="14" spans="1:6" ht="38.25" x14ac:dyDescent="0.6">
      <c r="A14" s="10" t="s">
        <v>126</v>
      </c>
      <c r="B14" s="10" t="s">
        <v>11</v>
      </c>
      <c r="C14" s="10" t="s">
        <v>107</v>
      </c>
      <c r="D14" s="10" t="s">
        <v>107</v>
      </c>
      <c r="E14" s="11" t="s">
        <v>127</v>
      </c>
      <c r="F14" s="10" t="s">
        <v>128</v>
      </c>
    </row>
    <row r="15" spans="1:6" ht="51" x14ac:dyDescent="0.6">
      <c r="A15" s="8" t="s">
        <v>129</v>
      </c>
      <c r="B15" s="8" t="s">
        <v>11</v>
      </c>
      <c r="C15" s="8" t="s">
        <v>13</v>
      </c>
      <c r="D15" s="8" t="s">
        <v>123</v>
      </c>
      <c r="E15" s="9" t="s">
        <v>130</v>
      </c>
      <c r="F15" s="8" t="s">
        <v>131</v>
      </c>
    </row>
    <row r="17" spans="1:1" x14ac:dyDescent="0.6">
      <c r="A17" s="16" t="s">
        <v>132</v>
      </c>
    </row>
  </sheetData>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showGridLines="0" workbookViewId="0">
      <pane ySplit="3" topLeftCell="A4" activePane="bottomLeft" state="frozen"/>
      <selection pane="bottomLeft"/>
    </sheetView>
  </sheetViews>
  <sheetFormatPr defaultRowHeight="16.899999999999999" x14ac:dyDescent="0.6"/>
  <cols>
    <col min="1" max="1" width="28" customWidth="1"/>
    <col min="2" max="2" width="12" customWidth="1"/>
    <col min="3" max="3" width="96" customWidth="1"/>
    <col min="4" max="4" width="10" customWidth="1"/>
  </cols>
  <sheetData>
    <row r="1" spans="1:4" ht="20.65" x14ac:dyDescent="0.6">
      <c r="A1" s="15" t="s">
        <v>133</v>
      </c>
    </row>
    <row r="3" spans="1:4" x14ac:dyDescent="0.6">
      <c r="A3" s="5" t="s">
        <v>134</v>
      </c>
    </row>
    <row r="4" spans="1:4" x14ac:dyDescent="0.6">
      <c r="A4" s="6" t="s">
        <v>135</v>
      </c>
    </row>
    <row r="5" spans="1:4" x14ac:dyDescent="0.6">
      <c r="A5" s="6" t="s">
        <v>136</v>
      </c>
    </row>
    <row r="6" spans="1:4" x14ac:dyDescent="0.6">
      <c r="A6" s="6" t="s">
        <v>137</v>
      </c>
    </row>
    <row r="7" spans="1:4" x14ac:dyDescent="0.6">
      <c r="A7" s="6"/>
    </row>
    <row r="8" spans="1:4" x14ac:dyDescent="0.6">
      <c r="A8" s="6" t="s">
        <v>138</v>
      </c>
    </row>
    <row r="9" spans="1:4" x14ac:dyDescent="0.6">
      <c r="A9" s="6" t="s">
        <v>139</v>
      </c>
    </row>
    <row r="11" spans="1:4" x14ac:dyDescent="0.6">
      <c r="A11" s="5" t="s">
        <v>140</v>
      </c>
    </row>
    <row r="12" spans="1:4" ht="28.05" customHeight="1" x14ac:dyDescent="0.6">
      <c r="A12" s="7" t="s">
        <v>141</v>
      </c>
      <c r="B12" s="7" t="s">
        <v>142</v>
      </c>
      <c r="C12" s="7" t="s">
        <v>143</v>
      </c>
      <c r="D12" s="7" t="s">
        <v>144</v>
      </c>
    </row>
    <row r="13" spans="1:4" ht="114.75" x14ac:dyDescent="0.6">
      <c r="A13" s="8" t="s">
        <v>145</v>
      </c>
      <c r="B13" s="9" t="s">
        <v>146</v>
      </c>
      <c r="C13" s="9" t="s">
        <v>147</v>
      </c>
      <c r="D13" s="8" t="s">
        <v>148</v>
      </c>
    </row>
    <row r="14" spans="1:4" ht="127.5" x14ac:dyDescent="0.6">
      <c r="A14" s="10" t="s">
        <v>149</v>
      </c>
      <c r="B14" s="11" t="s">
        <v>150</v>
      </c>
      <c r="C14" s="11" t="s">
        <v>151</v>
      </c>
      <c r="D14" s="10" t="s">
        <v>152</v>
      </c>
    </row>
    <row r="15" spans="1:4" ht="76.5" x14ac:dyDescent="0.6">
      <c r="A15" s="8" t="s">
        <v>153</v>
      </c>
      <c r="B15" s="9" t="s">
        <v>154</v>
      </c>
      <c r="C15" s="9" t="s">
        <v>155</v>
      </c>
      <c r="D15" s="8" t="s">
        <v>156</v>
      </c>
    </row>
    <row r="16" spans="1:4" ht="76.5" x14ac:dyDescent="0.6">
      <c r="A16" s="10" t="s">
        <v>157</v>
      </c>
      <c r="B16" s="11" t="s">
        <v>158</v>
      </c>
      <c r="C16" s="11" t="s">
        <v>159</v>
      </c>
      <c r="D16" s="10" t="s">
        <v>152</v>
      </c>
    </row>
    <row r="17" spans="1:4" ht="76.5" x14ac:dyDescent="0.6">
      <c r="A17" s="8" t="s">
        <v>160</v>
      </c>
      <c r="B17" s="9" t="s">
        <v>161</v>
      </c>
      <c r="C17" s="9" t="s">
        <v>162</v>
      </c>
      <c r="D17" s="8" t="s">
        <v>163</v>
      </c>
    </row>
    <row r="19" spans="1:4" x14ac:dyDescent="0.6">
      <c r="A19" s="5" t="s">
        <v>164</v>
      </c>
    </row>
    <row r="20" spans="1:4" ht="28.05" customHeight="1" x14ac:dyDescent="0.6">
      <c r="A20" s="7" t="s">
        <v>165</v>
      </c>
      <c r="B20" s="7" t="s">
        <v>144</v>
      </c>
    </row>
    <row r="21" spans="1:4" ht="38.25" x14ac:dyDescent="0.6">
      <c r="A21" s="9" t="s">
        <v>166</v>
      </c>
      <c r="B21" s="8" t="s">
        <v>167</v>
      </c>
    </row>
    <row r="22" spans="1:4" ht="38.25" x14ac:dyDescent="0.6">
      <c r="A22" s="17" t="s">
        <v>168</v>
      </c>
      <c r="B22" s="18" t="s">
        <v>148</v>
      </c>
    </row>
    <row r="23" spans="1:4" ht="38.25" x14ac:dyDescent="0.6">
      <c r="A23" s="19" t="s">
        <v>169</v>
      </c>
      <c r="B23" s="20" t="s">
        <v>170</v>
      </c>
    </row>
    <row r="24" spans="1:4" ht="38.25" x14ac:dyDescent="0.6">
      <c r="A24" s="11" t="s">
        <v>171</v>
      </c>
      <c r="B24" s="10" t="s">
        <v>167</v>
      </c>
    </row>
    <row r="25" spans="1:4" ht="51" x14ac:dyDescent="0.6">
      <c r="A25" s="17" t="s">
        <v>172</v>
      </c>
      <c r="B25" s="18" t="s">
        <v>173</v>
      </c>
    </row>
    <row r="26" spans="1:4" ht="38.25" x14ac:dyDescent="0.6">
      <c r="A26" s="11" t="s">
        <v>174</v>
      </c>
      <c r="B26" s="10" t="s">
        <v>167</v>
      </c>
    </row>
    <row r="27" spans="1:4" ht="25.5" x14ac:dyDescent="0.6">
      <c r="A27" s="9" t="s">
        <v>175</v>
      </c>
      <c r="B27" s="8" t="s">
        <v>167</v>
      </c>
    </row>
    <row r="28" spans="1:4" ht="38.25" x14ac:dyDescent="0.6">
      <c r="A28" s="19" t="s">
        <v>176</v>
      </c>
      <c r="B28" s="20" t="s">
        <v>156</v>
      </c>
    </row>
    <row r="29" spans="1:4" ht="38.25" x14ac:dyDescent="0.6">
      <c r="A29" s="9" t="s">
        <v>177</v>
      </c>
      <c r="B29" s="8" t="s">
        <v>167</v>
      </c>
    </row>
    <row r="31" spans="1:4" x14ac:dyDescent="0.6">
      <c r="A31" s="5" t="s">
        <v>178</v>
      </c>
    </row>
    <row r="32" spans="1:4" ht="28.05" customHeight="1" x14ac:dyDescent="0.6">
      <c r="A32" s="7" t="s">
        <v>179</v>
      </c>
      <c r="B32" s="7" t="s">
        <v>180</v>
      </c>
      <c r="C32" s="7" t="s">
        <v>8</v>
      </c>
    </row>
    <row r="33" spans="1:3" ht="38.25" x14ac:dyDescent="0.6">
      <c r="A33" s="9" t="s">
        <v>181</v>
      </c>
      <c r="B33" s="9" t="s">
        <v>182</v>
      </c>
      <c r="C33" s="8" t="s">
        <v>183</v>
      </c>
    </row>
    <row r="34" spans="1:3" ht="89.25" x14ac:dyDescent="0.6">
      <c r="A34" s="11" t="s">
        <v>184</v>
      </c>
      <c r="B34" s="11" t="s">
        <v>185</v>
      </c>
      <c r="C34" s="10" t="s">
        <v>183</v>
      </c>
    </row>
    <row r="35" spans="1:3" ht="102" x14ac:dyDescent="0.6">
      <c r="A35" s="9" t="s">
        <v>186</v>
      </c>
      <c r="B35" s="9" t="s">
        <v>187</v>
      </c>
      <c r="C35" s="8" t="s">
        <v>183</v>
      </c>
    </row>
    <row r="36" spans="1:3" ht="51" x14ac:dyDescent="0.6">
      <c r="A36" s="11" t="s">
        <v>188</v>
      </c>
      <c r="B36" s="11" t="s">
        <v>189</v>
      </c>
      <c r="C36" s="10" t="s">
        <v>183</v>
      </c>
    </row>
    <row r="37" spans="1:3" ht="25.5" x14ac:dyDescent="0.6">
      <c r="A37" s="9" t="s">
        <v>190</v>
      </c>
      <c r="B37" s="9" t="s">
        <v>191</v>
      </c>
      <c r="C37" s="8" t="s">
        <v>183</v>
      </c>
    </row>
    <row r="38" spans="1:3" ht="51" x14ac:dyDescent="0.6">
      <c r="A38" s="11" t="s">
        <v>192</v>
      </c>
      <c r="B38" s="11" t="s">
        <v>193</v>
      </c>
      <c r="C38" s="10" t="s">
        <v>183</v>
      </c>
    </row>
    <row r="39" spans="1:3" ht="89.25" x14ac:dyDescent="0.6">
      <c r="A39" s="9" t="s">
        <v>194</v>
      </c>
      <c r="B39" s="9" t="s">
        <v>195</v>
      </c>
      <c r="C39" s="8" t="s">
        <v>196</v>
      </c>
    </row>
    <row r="41" spans="1:3" x14ac:dyDescent="0.6">
      <c r="A41" s="16" t="s">
        <v>197</v>
      </c>
    </row>
    <row r="42" spans="1:3" x14ac:dyDescent="0.6">
      <c r="A42" s="5" t="s">
        <v>198</v>
      </c>
    </row>
    <row r="43" spans="1:3" ht="28.05" customHeight="1" x14ac:dyDescent="0.6">
      <c r="A43" s="7" t="s">
        <v>199</v>
      </c>
      <c r="B43" s="7" t="s">
        <v>200</v>
      </c>
      <c r="C43" s="7" t="s">
        <v>201</v>
      </c>
    </row>
    <row r="44" spans="1:3" x14ac:dyDescent="0.6">
      <c r="A44" s="8" t="s">
        <v>202</v>
      </c>
      <c r="B44" s="8" t="s">
        <v>203</v>
      </c>
      <c r="C44" s="9" t="s">
        <v>204</v>
      </c>
    </row>
    <row r="45" spans="1:3" x14ac:dyDescent="0.6">
      <c r="A45" s="10" t="s">
        <v>205</v>
      </c>
      <c r="B45" s="10" t="s">
        <v>206</v>
      </c>
      <c r="C45" s="11" t="s">
        <v>207</v>
      </c>
    </row>
    <row r="46" spans="1:3" x14ac:dyDescent="0.6">
      <c r="A46" s="8" t="s">
        <v>208</v>
      </c>
      <c r="B46" s="8" t="s">
        <v>206</v>
      </c>
      <c r="C46" s="9" t="s">
        <v>209</v>
      </c>
    </row>
  </sheetData>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3"/>
  <sheetViews>
    <sheetView showGridLines="0" workbookViewId="0">
      <pane ySplit="4" topLeftCell="A65" activePane="bottomLeft" state="frozen"/>
      <selection pane="bottomLeft"/>
    </sheetView>
  </sheetViews>
  <sheetFormatPr defaultRowHeight="16.899999999999999" x14ac:dyDescent="0.6"/>
  <cols>
    <col min="1" max="1" width="15" customWidth="1"/>
    <col min="2" max="2" width="12" customWidth="1"/>
    <col min="3" max="3" width="92" customWidth="1"/>
    <col min="4" max="4" width="10" customWidth="1"/>
    <col min="5" max="5" width="18" customWidth="1"/>
    <col min="6" max="6" width="8" customWidth="1"/>
  </cols>
  <sheetData>
    <row r="1" spans="1:6" ht="20.65" x14ac:dyDescent="0.6">
      <c r="A1" s="15" t="s">
        <v>210</v>
      </c>
    </row>
    <row r="2" spans="1:6" x14ac:dyDescent="0.6">
      <c r="A2" s="16" t="s">
        <v>211</v>
      </c>
    </row>
    <row r="4" spans="1:6" ht="28.05" customHeight="1" x14ac:dyDescent="0.6">
      <c r="A4" s="7" t="s">
        <v>212</v>
      </c>
      <c r="B4" s="7" t="s">
        <v>213</v>
      </c>
      <c r="C4" s="7" t="s">
        <v>214</v>
      </c>
      <c r="D4" s="7" t="s">
        <v>215</v>
      </c>
      <c r="E4" s="7" t="s">
        <v>216</v>
      </c>
      <c r="F4" s="7" t="s">
        <v>217</v>
      </c>
    </row>
    <row r="5" spans="1:6" ht="25.5" x14ac:dyDescent="0.6">
      <c r="A5" s="8" t="s">
        <v>218</v>
      </c>
      <c r="B5" s="8" t="s">
        <v>219</v>
      </c>
      <c r="C5" s="9" t="s">
        <v>220</v>
      </c>
      <c r="D5" s="8" t="s">
        <v>221</v>
      </c>
      <c r="E5" s="8" t="s">
        <v>107</v>
      </c>
      <c r="F5" s="8" t="s">
        <v>222</v>
      </c>
    </row>
    <row r="6" spans="1:6" ht="25.5" x14ac:dyDescent="0.6">
      <c r="A6" s="10" t="s">
        <v>223</v>
      </c>
      <c r="B6" s="10" t="s">
        <v>219</v>
      </c>
      <c r="C6" s="11" t="s">
        <v>224</v>
      </c>
      <c r="D6" s="10" t="s">
        <v>221</v>
      </c>
      <c r="E6" s="10" t="s">
        <v>107</v>
      </c>
      <c r="F6" s="10" t="s">
        <v>222</v>
      </c>
    </row>
    <row r="7" spans="1:6" x14ac:dyDescent="0.6">
      <c r="A7" s="18" t="s">
        <v>225</v>
      </c>
      <c r="B7" s="18" t="s">
        <v>219</v>
      </c>
      <c r="C7" s="17" t="s">
        <v>226</v>
      </c>
      <c r="D7" s="18" t="s">
        <v>221</v>
      </c>
      <c r="E7" s="18" t="s">
        <v>148</v>
      </c>
      <c r="F7" s="18" t="s">
        <v>222</v>
      </c>
    </row>
    <row r="8" spans="1:6" x14ac:dyDescent="0.6">
      <c r="A8" s="10" t="s">
        <v>227</v>
      </c>
      <c r="B8" s="10" t="s">
        <v>219</v>
      </c>
      <c r="C8" s="11" t="s">
        <v>228</v>
      </c>
      <c r="D8" s="10" t="s">
        <v>221</v>
      </c>
      <c r="E8" s="10" t="s">
        <v>107</v>
      </c>
      <c r="F8" s="10" t="s">
        <v>222</v>
      </c>
    </row>
    <row r="9" spans="1:6" x14ac:dyDescent="0.6">
      <c r="A9" s="8" t="s">
        <v>229</v>
      </c>
      <c r="B9" s="8" t="s">
        <v>219</v>
      </c>
      <c r="C9" s="9" t="s">
        <v>230</v>
      </c>
      <c r="D9" s="8" t="s">
        <v>221</v>
      </c>
      <c r="E9" s="8" t="s">
        <v>107</v>
      </c>
      <c r="F9" s="8" t="s">
        <v>231</v>
      </c>
    </row>
    <row r="10" spans="1:6" x14ac:dyDescent="0.6">
      <c r="A10" s="10" t="s">
        <v>232</v>
      </c>
      <c r="B10" s="10" t="s">
        <v>233</v>
      </c>
      <c r="C10" s="11" t="s">
        <v>234</v>
      </c>
      <c r="D10" s="10" t="s">
        <v>221</v>
      </c>
      <c r="E10" s="10" t="s">
        <v>107</v>
      </c>
      <c r="F10" s="10" t="s">
        <v>235</v>
      </c>
    </row>
    <row r="11" spans="1:6" ht="25.5" x14ac:dyDescent="0.6">
      <c r="A11" s="8" t="s">
        <v>236</v>
      </c>
      <c r="B11" s="8" t="s">
        <v>233</v>
      </c>
      <c r="C11" s="9" t="s">
        <v>237</v>
      </c>
      <c r="D11" s="8" t="s">
        <v>221</v>
      </c>
      <c r="E11" s="8" t="s">
        <v>107</v>
      </c>
      <c r="F11" s="8" t="s">
        <v>235</v>
      </c>
    </row>
    <row r="12" spans="1:6" x14ac:dyDescent="0.6">
      <c r="A12" s="10" t="s">
        <v>238</v>
      </c>
      <c r="B12" s="10" t="s">
        <v>233</v>
      </c>
      <c r="C12" s="11" t="s">
        <v>239</v>
      </c>
      <c r="D12" s="10" t="s">
        <v>221</v>
      </c>
      <c r="E12" s="10" t="s">
        <v>107</v>
      </c>
      <c r="F12" s="10" t="s">
        <v>235</v>
      </c>
    </row>
    <row r="13" spans="1:6" ht="25.5" x14ac:dyDescent="0.6">
      <c r="A13" s="18" t="s">
        <v>240</v>
      </c>
      <c r="B13" s="18" t="s">
        <v>233</v>
      </c>
      <c r="C13" s="17" t="s">
        <v>241</v>
      </c>
      <c r="D13" s="18" t="s">
        <v>221</v>
      </c>
      <c r="E13" s="18" t="s">
        <v>242</v>
      </c>
      <c r="F13" s="18" t="s">
        <v>235</v>
      </c>
    </row>
    <row r="14" spans="1:6" ht="25.5" x14ac:dyDescent="0.6">
      <c r="A14" s="18" t="s">
        <v>243</v>
      </c>
      <c r="B14" s="18" t="s">
        <v>233</v>
      </c>
      <c r="C14" s="17" t="s">
        <v>244</v>
      </c>
      <c r="D14" s="18" t="s">
        <v>221</v>
      </c>
      <c r="E14" s="18" t="s">
        <v>245</v>
      </c>
      <c r="F14" s="18" t="s">
        <v>235</v>
      </c>
    </row>
    <row r="15" spans="1:6" x14ac:dyDescent="0.6">
      <c r="A15" s="8" t="s">
        <v>246</v>
      </c>
      <c r="B15" s="8" t="s">
        <v>233</v>
      </c>
      <c r="C15" s="9" t="s">
        <v>247</v>
      </c>
      <c r="D15" s="8" t="s">
        <v>221</v>
      </c>
      <c r="E15" s="8" t="s">
        <v>107</v>
      </c>
      <c r="F15" s="8" t="s">
        <v>235</v>
      </c>
    </row>
    <row r="16" spans="1:6" x14ac:dyDescent="0.6">
      <c r="A16" s="10" t="s">
        <v>248</v>
      </c>
      <c r="B16" s="10" t="s">
        <v>233</v>
      </c>
      <c r="C16" s="11" t="s">
        <v>249</v>
      </c>
      <c r="D16" s="10" t="s">
        <v>250</v>
      </c>
      <c r="E16" s="10" t="s">
        <v>107</v>
      </c>
      <c r="F16" s="10" t="s">
        <v>235</v>
      </c>
    </row>
    <row r="17" spans="1:6" x14ac:dyDescent="0.6">
      <c r="A17" s="8" t="s">
        <v>251</v>
      </c>
      <c r="B17" s="8" t="s">
        <v>233</v>
      </c>
      <c r="C17" s="9" t="s">
        <v>252</v>
      </c>
      <c r="D17" s="8" t="s">
        <v>250</v>
      </c>
      <c r="E17" s="8" t="s">
        <v>253</v>
      </c>
      <c r="F17" s="8" t="s">
        <v>235</v>
      </c>
    </row>
    <row r="18" spans="1:6" ht="25.5" x14ac:dyDescent="0.6">
      <c r="A18" s="18" t="s">
        <v>254</v>
      </c>
      <c r="B18" s="18" t="s">
        <v>233</v>
      </c>
      <c r="C18" s="17" t="s">
        <v>255</v>
      </c>
      <c r="D18" s="18" t="s">
        <v>221</v>
      </c>
      <c r="E18" s="18" t="s">
        <v>256</v>
      </c>
      <c r="F18" s="18" t="s">
        <v>235</v>
      </c>
    </row>
    <row r="19" spans="1:6" ht="25.5" x14ac:dyDescent="0.6">
      <c r="A19" s="20" t="s">
        <v>257</v>
      </c>
      <c r="B19" s="20" t="s">
        <v>233</v>
      </c>
      <c r="C19" s="19" t="s">
        <v>258</v>
      </c>
      <c r="D19" s="20" t="s">
        <v>221</v>
      </c>
      <c r="E19" s="20" t="s">
        <v>259</v>
      </c>
      <c r="F19" s="20" t="s">
        <v>235</v>
      </c>
    </row>
    <row r="20" spans="1:6" ht="25.5" x14ac:dyDescent="0.6">
      <c r="A20" s="18" t="s">
        <v>260</v>
      </c>
      <c r="B20" s="18" t="s">
        <v>233</v>
      </c>
      <c r="C20" s="17" t="s">
        <v>261</v>
      </c>
      <c r="D20" s="18" t="s">
        <v>221</v>
      </c>
      <c r="E20" s="18" t="s">
        <v>262</v>
      </c>
      <c r="F20" s="18" t="s">
        <v>235</v>
      </c>
    </row>
    <row r="21" spans="1:6" ht="25.5" x14ac:dyDescent="0.6">
      <c r="A21" s="20" t="s">
        <v>263</v>
      </c>
      <c r="B21" s="20" t="s">
        <v>233</v>
      </c>
      <c r="C21" s="19" t="s">
        <v>264</v>
      </c>
      <c r="D21" s="20" t="s">
        <v>221</v>
      </c>
      <c r="E21" s="20" t="s">
        <v>265</v>
      </c>
      <c r="F21" s="20" t="s">
        <v>235</v>
      </c>
    </row>
    <row r="22" spans="1:6" ht="25.5" x14ac:dyDescent="0.6">
      <c r="A22" s="20" t="s">
        <v>266</v>
      </c>
      <c r="B22" s="20" t="s">
        <v>233</v>
      </c>
      <c r="C22" s="19" t="s">
        <v>267</v>
      </c>
      <c r="D22" s="20" t="s">
        <v>221</v>
      </c>
      <c r="E22" s="20" t="s">
        <v>265</v>
      </c>
      <c r="F22" s="20" t="s">
        <v>235</v>
      </c>
    </row>
    <row r="23" spans="1:6" x14ac:dyDescent="0.6">
      <c r="A23" s="8" t="s">
        <v>268</v>
      </c>
      <c r="B23" s="8" t="s">
        <v>269</v>
      </c>
      <c r="C23" s="9" t="s">
        <v>270</v>
      </c>
      <c r="D23" s="8" t="s">
        <v>221</v>
      </c>
      <c r="E23" s="8" t="s">
        <v>107</v>
      </c>
      <c r="F23" s="8" t="s">
        <v>235</v>
      </c>
    </row>
    <row r="24" spans="1:6" x14ac:dyDescent="0.6">
      <c r="A24" s="10" t="s">
        <v>271</v>
      </c>
      <c r="B24" s="10" t="s">
        <v>269</v>
      </c>
      <c r="C24" s="11" t="s">
        <v>272</v>
      </c>
      <c r="D24" s="10" t="s">
        <v>221</v>
      </c>
      <c r="E24" s="10" t="s">
        <v>107</v>
      </c>
      <c r="F24" s="10" t="s">
        <v>235</v>
      </c>
    </row>
    <row r="25" spans="1:6" x14ac:dyDescent="0.6">
      <c r="A25" s="18" t="s">
        <v>273</v>
      </c>
      <c r="B25" s="18" t="s">
        <v>269</v>
      </c>
      <c r="C25" s="17" t="s">
        <v>274</v>
      </c>
      <c r="D25" s="18" t="s">
        <v>221</v>
      </c>
      <c r="E25" s="18" t="s">
        <v>275</v>
      </c>
      <c r="F25" s="18" t="s">
        <v>235</v>
      </c>
    </row>
    <row r="26" spans="1:6" x14ac:dyDescent="0.6">
      <c r="A26" s="10" t="s">
        <v>276</v>
      </c>
      <c r="B26" s="10" t="s">
        <v>269</v>
      </c>
      <c r="C26" s="11" t="s">
        <v>277</v>
      </c>
      <c r="D26" s="10" t="s">
        <v>221</v>
      </c>
      <c r="E26" s="10" t="s">
        <v>107</v>
      </c>
      <c r="F26" s="10" t="s">
        <v>235</v>
      </c>
    </row>
    <row r="27" spans="1:6" ht="25.5" x14ac:dyDescent="0.6">
      <c r="A27" s="18" t="s">
        <v>278</v>
      </c>
      <c r="B27" s="18" t="s">
        <v>269</v>
      </c>
      <c r="C27" s="17" t="s">
        <v>279</v>
      </c>
      <c r="D27" s="18" t="s">
        <v>221</v>
      </c>
      <c r="E27" s="18" t="s">
        <v>152</v>
      </c>
      <c r="F27" s="18" t="s">
        <v>235</v>
      </c>
    </row>
    <row r="28" spans="1:6" x14ac:dyDescent="0.6">
      <c r="A28" s="10" t="s">
        <v>280</v>
      </c>
      <c r="B28" s="10" t="s">
        <v>269</v>
      </c>
      <c r="C28" s="11" t="s">
        <v>281</v>
      </c>
      <c r="D28" s="10" t="s">
        <v>250</v>
      </c>
      <c r="E28" s="10" t="s">
        <v>107</v>
      </c>
      <c r="F28" s="10" t="s">
        <v>235</v>
      </c>
    </row>
    <row r="29" spans="1:6" ht="25.5" x14ac:dyDescent="0.6">
      <c r="A29" s="8" t="s">
        <v>282</v>
      </c>
      <c r="B29" s="8" t="s">
        <v>269</v>
      </c>
      <c r="C29" s="9" t="s">
        <v>283</v>
      </c>
      <c r="D29" s="8" t="s">
        <v>221</v>
      </c>
      <c r="E29" s="8" t="s">
        <v>253</v>
      </c>
      <c r="F29" s="8" t="s">
        <v>235</v>
      </c>
    </row>
    <row r="30" spans="1:6" x14ac:dyDescent="0.6">
      <c r="A30" s="18" t="s">
        <v>284</v>
      </c>
      <c r="B30" s="18" t="s">
        <v>285</v>
      </c>
      <c r="C30" s="17" t="s">
        <v>286</v>
      </c>
      <c r="D30" s="18" t="s">
        <v>221</v>
      </c>
      <c r="E30" s="18" t="s">
        <v>287</v>
      </c>
      <c r="F30" s="18" t="s">
        <v>222</v>
      </c>
    </row>
    <row r="31" spans="1:6" ht="25.5" x14ac:dyDescent="0.6">
      <c r="A31" s="18" t="s">
        <v>288</v>
      </c>
      <c r="B31" s="18" t="s">
        <v>285</v>
      </c>
      <c r="C31" s="17" t="s">
        <v>289</v>
      </c>
      <c r="D31" s="18" t="s">
        <v>221</v>
      </c>
      <c r="E31" s="18" t="s">
        <v>152</v>
      </c>
      <c r="F31" s="18" t="s">
        <v>290</v>
      </c>
    </row>
    <row r="32" spans="1:6" x14ac:dyDescent="0.6">
      <c r="A32" s="10" t="s">
        <v>291</v>
      </c>
      <c r="B32" s="10" t="s">
        <v>285</v>
      </c>
      <c r="C32" s="11" t="s">
        <v>292</v>
      </c>
      <c r="D32" s="10" t="s">
        <v>221</v>
      </c>
      <c r="E32" s="10" t="s">
        <v>107</v>
      </c>
      <c r="F32" s="10" t="s">
        <v>222</v>
      </c>
    </row>
    <row r="33" spans="1:6" x14ac:dyDescent="0.6">
      <c r="A33" s="18" t="s">
        <v>293</v>
      </c>
      <c r="B33" s="18" t="s">
        <v>285</v>
      </c>
      <c r="C33" s="17" t="s">
        <v>294</v>
      </c>
      <c r="D33" s="18" t="s">
        <v>221</v>
      </c>
      <c r="E33" s="18" t="s">
        <v>156</v>
      </c>
      <c r="F33" s="18" t="s">
        <v>222</v>
      </c>
    </row>
    <row r="34" spans="1:6" x14ac:dyDescent="0.6">
      <c r="A34" s="18" t="s">
        <v>295</v>
      </c>
      <c r="B34" s="18" t="s">
        <v>285</v>
      </c>
      <c r="C34" s="17" t="s">
        <v>296</v>
      </c>
      <c r="D34" s="18" t="s">
        <v>221</v>
      </c>
      <c r="E34" s="18" t="s">
        <v>297</v>
      </c>
      <c r="F34" s="18" t="s">
        <v>222</v>
      </c>
    </row>
    <row r="35" spans="1:6" x14ac:dyDescent="0.6">
      <c r="A35" s="8" t="s">
        <v>298</v>
      </c>
      <c r="B35" s="8" t="s">
        <v>285</v>
      </c>
      <c r="C35" s="9" t="s">
        <v>299</v>
      </c>
      <c r="D35" s="8" t="s">
        <v>221</v>
      </c>
      <c r="E35" s="8" t="s">
        <v>253</v>
      </c>
      <c r="F35" s="8" t="s">
        <v>222</v>
      </c>
    </row>
    <row r="36" spans="1:6" ht="25.5" x14ac:dyDescent="0.6">
      <c r="A36" s="20" t="s">
        <v>300</v>
      </c>
      <c r="B36" s="20" t="s">
        <v>285</v>
      </c>
      <c r="C36" s="19" t="s">
        <v>301</v>
      </c>
      <c r="D36" s="20" t="s">
        <v>221</v>
      </c>
      <c r="E36" s="20" t="s">
        <v>156</v>
      </c>
      <c r="F36" s="20" t="s">
        <v>222</v>
      </c>
    </row>
    <row r="37" spans="1:6" ht="25.5" x14ac:dyDescent="0.6">
      <c r="A37" s="20" t="s">
        <v>302</v>
      </c>
      <c r="B37" s="20" t="s">
        <v>285</v>
      </c>
      <c r="C37" s="19" t="s">
        <v>303</v>
      </c>
      <c r="D37" s="20" t="s">
        <v>221</v>
      </c>
      <c r="E37" s="20" t="s">
        <v>156</v>
      </c>
      <c r="F37" s="20" t="s">
        <v>222</v>
      </c>
    </row>
    <row r="38" spans="1:6" ht="38.25" x14ac:dyDescent="0.6">
      <c r="A38" s="18" t="s">
        <v>304</v>
      </c>
      <c r="B38" s="18" t="s">
        <v>285</v>
      </c>
      <c r="C38" s="17" t="s">
        <v>305</v>
      </c>
      <c r="D38" s="18" t="s">
        <v>221</v>
      </c>
      <c r="E38" s="18" t="s">
        <v>306</v>
      </c>
      <c r="F38" s="18" t="s">
        <v>290</v>
      </c>
    </row>
    <row r="39" spans="1:6" ht="25.5" x14ac:dyDescent="0.6">
      <c r="A39" s="20" t="s">
        <v>307</v>
      </c>
      <c r="B39" s="20" t="s">
        <v>285</v>
      </c>
      <c r="C39" s="19" t="s">
        <v>308</v>
      </c>
      <c r="D39" s="20" t="s">
        <v>221</v>
      </c>
      <c r="E39" s="20" t="s">
        <v>309</v>
      </c>
      <c r="F39" s="20" t="s">
        <v>290</v>
      </c>
    </row>
    <row r="40" spans="1:6" ht="25.5" x14ac:dyDescent="0.6">
      <c r="A40" s="20" t="s">
        <v>310</v>
      </c>
      <c r="B40" s="20" t="s">
        <v>285</v>
      </c>
      <c r="C40" s="19" t="s">
        <v>311</v>
      </c>
      <c r="D40" s="20" t="s">
        <v>221</v>
      </c>
      <c r="E40" s="20" t="s">
        <v>312</v>
      </c>
      <c r="F40" s="20" t="s">
        <v>290</v>
      </c>
    </row>
    <row r="41" spans="1:6" ht="25.5" x14ac:dyDescent="0.6">
      <c r="A41" s="20" t="s">
        <v>313</v>
      </c>
      <c r="B41" s="20" t="s">
        <v>285</v>
      </c>
      <c r="C41" s="19" t="s">
        <v>314</v>
      </c>
      <c r="D41" s="20" t="s">
        <v>221</v>
      </c>
      <c r="E41" s="20" t="s">
        <v>315</v>
      </c>
      <c r="F41" s="20" t="s">
        <v>290</v>
      </c>
    </row>
    <row r="42" spans="1:6" ht="25.5" x14ac:dyDescent="0.6">
      <c r="A42" s="20" t="s">
        <v>316</v>
      </c>
      <c r="B42" s="20" t="s">
        <v>285</v>
      </c>
      <c r="C42" s="19" t="s">
        <v>317</v>
      </c>
      <c r="D42" s="20" t="s">
        <v>221</v>
      </c>
      <c r="E42" s="20" t="s">
        <v>318</v>
      </c>
      <c r="F42" s="20" t="s">
        <v>290</v>
      </c>
    </row>
    <row r="43" spans="1:6" x14ac:dyDescent="0.6">
      <c r="A43" s="8" t="s">
        <v>319</v>
      </c>
      <c r="B43" s="8" t="s">
        <v>320</v>
      </c>
      <c r="C43" s="9" t="s">
        <v>321</v>
      </c>
      <c r="D43" s="8" t="s">
        <v>221</v>
      </c>
      <c r="E43" s="8" t="s">
        <v>107</v>
      </c>
      <c r="F43" s="8" t="s">
        <v>322</v>
      </c>
    </row>
    <row r="44" spans="1:6" x14ac:dyDescent="0.6">
      <c r="A44" s="10" t="s">
        <v>323</v>
      </c>
      <c r="B44" s="10" t="s">
        <v>320</v>
      </c>
      <c r="C44" s="11" t="s">
        <v>324</v>
      </c>
      <c r="D44" s="10" t="s">
        <v>221</v>
      </c>
      <c r="E44" s="10" t="s">
        <v>107</v>
      </c>
      <c r="F44" s="10" t="s">
        <v>322</v>
      </c>
    </row>
    <row r="45" spans="1:6" x14ac:dyDescent="0.6">
      <c r="A45" s="8" t="s">
        <v>325</v>
      </c>
      <c r="B45" s="8" t="s">
        <v>320</v>
      </c>
      <c r="C45" s="9" t="s">
        <v>326</v>
      </c>
      <c r="D45" s="8" t="s">
        <v>221</v>
      </c>
      <c r="E45" s="8" t="s">
        <v>107</v>
      </c>
      <c r="F45" s="8" t="s">
        <v>322</v>
      </c>
    </row>
    <row r="46" spans="1:6" x14ac:dyDescent="0.6">
      <c r="A46" s="10" t="s">
        <v>327</v>
      </c>
      <c r="B46" s="10" t="s">
        <v>320</v>
      </c>
      <c r="C46" s="11" t="s">
        <v>328</v>
      </c>
      <c r="D46" s="10" t="s">
        <v>221</v>
      </c>
      <c r="E46" s="10" t="s">
        <v>107</v>
      </c>
      <c r="F46" s="10" t="s">
        <v>322</v>
      </c>
    </row>
    <row r="47" spans="1:6" x14ac:dyDescent="0.6">
      <c r="A47" s="8" t="s">
        <v>329</v>
      </c>
      <c r="B47" s="8" t="s">
        <v>320</v>
      </c>
      <c r="C47" s="9" t="s">
        <v>330</v>
      </c>
      <c r="D47" s="8" t="s">
        <v>250</v>
      </c>
      <c r="E47" s="8" t="s">
        <v>253</v>
      </c>
      <c r="F47" s="8" t="s">
        <v>322</v>
      </c>
    </row>
    <row r="48" spans="1:6" x14ac:dyDescent="0.6">
      <c r="A48" s="10" t="s">
        <v>331</v>
      </c>
      <c r="B48" s="10" t="s">
        <v>320</v>
      </c>
      <c r="C48" s="11" t="s">
        <v>332</v>
      </c>
      <c r="D48" s="10" t="s">
        <v>250</v>
      </c>
      <c r="E48" s="10" t="s">
        <v>253</v>
      </c>
      <c r="F48" s="10" t="s">
        <v>222</v>
      </c>
    </row>
    <row r="49" spans="1:6" ht="25.5" x14ac:dyDescent="0.6">
      <c r="A49" s="20" t="s">
        <v>333</v>
      </c>
      <c r="B49" s="20" t="s">
        <v>320</v>
      </c>
      <c r="C49" s="19" t="s">
        <v>334</v>
      </c>
      <c r="D49" s="20" t="s">
        <v>221</v>
      </c>
      <c r="E49" s="20" t="s">
        <v>287</v>
      </c>
      <c r="F49" s="20" t="s">
        <v>322</v>
      </c>
    </row>
    <row r="50" spans="1:6" ht="25.5" x14ac:dyDescent="0.6">
      <c r="A50" s="20" t="s">
        <v>335</v>
      </c>
      <c r="B50" s="20" t="s">
        <v>320</v>
      </c>
      <c r="C50" s="19" t="s">
        <v>336</v>
      </c>
      <c r="D50" s="20" t="s">
        <v>221</v>
      </c>
      <c r="E50" s="20" t="s">
        <v>156</v>
      </c>
      <c r="F50" s="20" t="s">
        <v>322</v>
      </c>
    </row>
    <row r="51" spans="1:6" ht="25.5" x14ac:dyDescent="0.6">
      <c r="A51" s="18" t="s">
        <v>337</v>
      </c>
      <c r="B51" s="18" t="s">
        <v>338</v>
      </c>
      <c r="C51" s="17" t="s">
        <v>339</v>
      </c>
      <c r="D51" s="18" t="s">
        <v>221</v>
      </c>
      <c r="E51" s="18" t="s">
        <v>340</v>
      </c>
      <c r="F51" s="18" t="s">
        <v>222</v>
      </c>
    </row>
    <row r="52" spans="1:6" ht="25.5" x14ac:dyDescent="0.6">
      <c r="A52" s="10" t="s">
        <v>341</v>
      </c>
      <c r="B52" s="10" t="s">
        <v>338</v>
      </c>
      <c r="C52" s="11" t="s">
        <v>342</v>
      </c>
      <c r="D52" s="10" t="s">
        <v>221</v>
      </c>
      <c r="E52" s="10" t="s">
        <v>253</v>
      </c>
      <c r="F52" s="10" t="s">
        <v>222</v>
      </c>
    </row>
    <row r="53" spans="1:6" ht="25.5" x14ac:dyDescent="0.6">
      <c r="A53" s="18" t="s">
        <v>343</v>
      </c>
      <c r="B53" s="18" t="s">
        <v>338</v>
      </c>
      <c r="C53" s="17" t="s">
        <v>344</v>
      </c>
      <c r="D53" s="18" t="s">
        <v>221</v>
      </c>
      <c r="E53" s="18" t="s">
        <v>253</v>
      </c>
      <c r="F53" s="18" t="s">
        <v>222</v>
      </c>
    </row>
    <row r="54" spans="1:6" x14ac:dyDescent="0.6">
      <c r="A54" s="10" t="s">
        <v>345</v>
      </c>
      <c r="B54" s="10" t="s">
        <v>338</v>
      </c>
      <c r="C54" s="11" t="s">
        <v>346</v>
      </c>
      <c r="D54" s="10" t="s">
        <v>221</v>
      </c>
      <c r="E54" s="10" t="s">
        <v>253</v>
      </c>
      <c r="F54" s="10" t="s">
        <v>222</v>
      </c>
    </row>
    <row r="55" spans="1:6" x14ac:dyDescent="0.6">
      <c r="A55" s="8" t="s">
        <v>347</v>
      </c>
      <c r="B55" s="8" t="s">
        <v>338</v>
      </c>
      <c r="C55" s="9" t="s">
        <v>348</v>
      </c>
      <c r="D55" s="8" t="s">
        <v>250</v>
      </c>
      <c r="E55" s="8" t="s">
        <v>253</v>
      </c>
      <c r="F55" s="8" t="s">
        <v>222</v>
      </c>
    </row>
    <row r="56" spans="1:6" ht="25.5" x14ac:dyDescent="0.6">
      <c r="A56" s="10" t="s">
        <v>349</v>
      </c>
      <c r="B56" s="10" t="s">
        <v>338</v>
      </c>
      <c r="C56" s="11" t="s">
        <v>350</v>
      </c>
      <c r="D56" s="10" t="s">
        <v>351</v>
      </c>
      <c r="E56" s="10" t="s">
        <v>253</v>
      </c>
      <c r="F56" s="10" t="s">
        <v>222</v>
      </c>
    </row>
    <row r="57" spans="1:6" ht="25.5" x14ac:dyDescent="0.6">
      <c r="A57" s="20" t="s">
        <v>170</v>
      </c>
      <c r="B57" s="20" t="s">
        <v>338</v>
      </c>
      <c r="C57" s="19" t="s">
        <v>352</v>
      </c>
      <c r="D57" s="20" t="s">
        <v>221</v>
      </c>
      <c r="E57" s="20" t="s">
        <v>265</v>
      </c>
      <c r="F57" s="20" t="s">
        <v>222</v>
      </c>
    </row>
    <row r="58" spans="1:6" ht="25.5" x14ac:dyDescent="0.6">
      <c r="A58" s="20" t="s">
        <v>353</v>
      </c>
      <c r="B58" s="20" t="s">
        <v>338</v>
      </c>
      <c r="C58" s="19" t="s">
        <v>354</v>
      </c>
      <c r="D58" s="20" t="s">
        <v>221</v>
      </c>
      <c r="E58" s="20" t="s">
        <v>355</v>
      </c>
      <c r="F58" s="20" t="s">
        <v>222</v>
      </c>
    </row>
    <row r="59" spans="1:6" ht="25.5" x14ac:dyDescent="0.6">
      <c r="A59" s="18" t="s">
        <v>356</v>
      </c>
      <c r="B59" s="18" t="s">
        <v>338</v>
      </c>
      <c r="C59" s="17" t="s">
        <v>357</v>
      </c>
      <c r="D59" s="18" t="s">
        <v>221</v>
      </c>
      <c r="E59" s="18" t="s">
        <v>358</v>
      </c>
      <c r="F59" s="18" t="s">
        <v>222</v>
      </c>
    </row>
    <row r="60" spans="1:6" ht="25.5" x14ac:dyDescent="0.6">
      <c r="A60" s="20" t="s">
        <v>359</v>
      </c>
      <c r="B60" s="20" t="s">
        <v>338</v>
      </c>
      <c r="C60" s="19" t="s">
        <v>360</v>
      </c>
      <c r="D60" s="20" t="s">
        <v>221</v>
      </c>
      <c r="E60" s="20" t="s">
        <v>358</v>
      </c>
      <c r="F60" s="20" t="s">
        <v>222</v>
      </c>
    </row>
    <row r="61" spans="1:6" ht="25.5" x14ac:dyDescent="0.6">
      <c r="A61" s="8" t="s">
        <v>361</v>
      </c>
      <c r="B61" s="8" t="s">
        <v>362</v>
      </c>
      <c r="C61" s="9" t="s">
        <v>363</v>
      </c>
      <c r="D61" s="8" t="s">
        <v>221</v>
      </c>
      <c r="E61" s="8" t="s">
        <v>107</v>
      </c>
      <c r="F61" s="8" t="s">
        <v>364</v>
      </c>
    </row>
    <row r="62" spans="1:6" x14ac:dyDescent="0.6">
      <c r="A62" s="10" t="s">
        <v>365</v>
      </c>
      <c r="B62" s="10" t="s">
        <v>362</v>
      </c>
      <c r="C62" s="11" t="s">
        <v>366</v>
      </c>
      <c r="D62" s="10" t="s">
        <v>221</v>
      </c>
      <c r="E62" s="10" t="s">
        <v>107</v>
      </c>
      <c r="F62" s="10" t="s">
        <v>222</v>
      </c>
    </row>
    <row r="63" spans="1:6" x14ac:dyDescent="0.6">
      <c r="A63" s="8" t="s">
        <v>367</v>
      </c>
      <c r="B63" s="8" t="s">
        <v>362</v>
      </c>
      <c r="C63" s="9" t="s">
        <v>368</v>
      </c>
      <c r="D63" s="8" t="s">
        <v>250</v>
      </c>
      <c r="E63" s="8" t="s">
        <v>253</v>
      </c>
      <c r="F63" s="8" t="s">
        <v>222</v>
      </c>
    </row>
    <row r="64" spans="1:6" x14ac:dyDescent="0.6">
      <c r="A64" s="10" t="s">
        <v>369</v>
      </c>
      <c r="B64" s="10" t="s">
        <v>362</v>
      </c>
      <c r="C64" s="11" t="s">
        <v>370</v>
      </c>
      <c r="D64" s="10" t="s">
        <v>221</v>
      </c>
      <c r="E64" s="10" t="s">
        <v>107</v>
      </c>
      <c r="F64" s="10" t="s">
        <v>364</v>
      </c>
    </row>
    <row r="65" spans="1:6" ht="25.5" x14ac:dyDescent="0.6">
      <c r="A65" s="8" t="s">
        <v>371</v>
      </c>
      <c r="B65" s="8" t="s">
        <v>372</v>
      </c>
      <c r="C65" s="9" t="s">
        <v>373</v>
      </c>
      <c r="D65" s="8" t="s">
        <v>221</v>
      </c>
      <c r="E65" s="8" t="s">
        <v>107</v>
      </c>
      <c r="F65" s="8" t="s">
        <v>222</v>
      </c>
    </row>
    <row r="66" spans="1:6" x14ac:dyDescent="0.6">
      <c r="A66" s="10" t="s">
        <v>374</v>
      </c>
      <c r="B66" s="10" t="s">
        <v>372</v>
      </c>
      <c r="C66" s="11" t="s">
        <v>375</v>
      </c>
      <c r="D66" s="10" t="s">
        <v>221</v>
      </c>
      <c r="E66" s="10" t="s">
        <v>163</v>
      </c>
      <c r="F66" s="10" t="s">
        <v>222</v>
      </c>
    </row>
    <row r="67" spans="1:6" ht="25.5" x14ac:dyDescent="0.6">
      <c r="A67" s="18" t="s">
        <v>376</v>
      </c>
      <c r="B67" s="18" t="s">
        <v>372</v>
      </c>
      <c r="C67" s="17" t="s">
        <v>377</v>
      </c>
      <c r="D67" s="18" t="s">
        <v>250</v>
      </c>
      <c r="E67" s="18" t="s">
        <v>378</v>
      </c>
      <c r="F67" s="18" t="s">
        <v>222</v>
      </c>
    </row>
    <row r="68" spans="1:6" x14ac:dyDescent="0.6">
      <c r="A68" s="10" t="s">
        <v>379</v>
      </c>
      <c r="B68" s="10" t="s">
        <v>372</v>
      </c>
      <c r="C68" s="11" t="s">
        <v>380</v>
      </c>
      <c r="D68" s="10" t="s">
        <v>221</v>
      </c>
      <c r="E68" s="10" t="s">
        <v>253</v>
      </c>
      <c r="F68" s="10" t="s">
        <v>222</v>
      </c>
    </row>
    <row r="69" spans="1:6" x14ac:dyDescent="0.6">
      <c r="A69" s="8" t="s">
        <v>381</v>
      </c>
      <c r="B69" s="8" t="s">
        <v>372</v>
      </c>
      <c r="C69" s="9" t="s">
        <v>382</v>
      </c>
      <c r="D69" s="8" t="s">
        <v>221</v>
      </c>
      <c r="E69" s="8" t="s">
        <v>253</v>
      </c>
      <c r="F69" s="8" t="s">
        <v>222</v>
      </c>
    </row>
    <row r="71" spans="1:6" x14ac:dyDescent="0.6">
      <c r="A71" s="5" t="s">
        <v>383</v>
      </c>
    </row>
    <row r="72" spans="1:6" ht="28.05" customHeight="1" x14ac:dyDescent="0.6">
      <c r="A72" s="7" t="s">
        <v>215</v>
      </c>
      <c r="B72" s="7" t="s">
        <v>384</v>
      </c>
    </row>
    <row r="73" spans="1:6" x14ac:dyDescent="0.6">
      <c r="A73" s="8" t="s">
        <v>221</v>
      </c>
      <c r="B73" s="8">
        <f>COUNTIF(D5:D69,"Must")</f>
        <v>56</v>
      </c>
    </row>
    <row r="74" spans="1:6" x14ac:dyDescent="0.6">
      <c r="A74" s="10" t="s">
        <v>250</v>
      </c>
      <c r="B74" s="10">
        <f>COUNTIF(D5:D69,"Should")</f>
        <v>8</v>
      </c>
    </row>
    <row r="75" spans="1:6" x14ac:dyDescent="0.6">
      <c r="A75" s="8" t="s">
        <v>351</v>
      </c>
      <c r="B75" s="8">
        <f>COUNTIF(D5:D69,"Could")</f>
        <v>1</v>
      </c>
    </row>
    <row r="76" spans="1:6" x14ac:dyDescent="0.6">
      <c r="A76" s="10" t="s">
        <v>385</v>
      </c>
      <c r="B76" s="10">
        <f>COUNTA(A5:A69)</f>
        <v>65</v>
      </c>
    </row>
    <row r="78" spans="1:6" x14ac:dyDescent="0.6">
      <c r="A78" s="16" t="s">
        <v>386</v>
      </c>
    </row>
    <row r="79" spans="1:6" x14ac:dyDescent="0.6">
      <c r="A79" s="16" t="s">
        <v>387</v>
      </c>
    </row>
    <row r="80" spans="1:6" x14ac:dyDescent="0.6">
      <c r="A80" s="3" t="s">
        <v>93</v>
      </c>
    </row>
    <row r="81" spans="1:1" x14ac:dyDescent="0.6">
      <c r="A81" s="12" t="s">
        <v>94</v>
      </c>
    </row>
    <row r="82" spans="1:1" x14ac:dyDescent="0.6">
      <c r="A82" s="13" t="s">
        <v>95</v>
      </c>
    </row>
    <row r="83" spans="1:1" x14ac:dyDescent="0.6">
      <c r="A83" s="14" t="s">
        <v>96</v>
      </c>
    </row>
  </sheetData>
  <phoneticPr fontId="10" type="noConversion"/>
  <dataValidations count="1">
    <dataValidation type="list" allowBlank="1" sqref="D5:D69" xr:uid="{00000000-0002-0000-0300-000000000000}">
      <formula1>"Must,Should,Could,Won't"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2"/>
  <sheetViews>
    <sheetView showGridLines="0" workbookViewId="0">
      <pane ySplit="4" topLeftCell="A34" activePane="bottomLeft" state="frozen"/>
      <selection pane="bottomLeft" activeCell="B60" sqref="B60"/>
    </sheetView>
  </sheetViews>
  <sheetFormatPr defaultRowHeight="16.899999999999999" x14ac:dyDescent="0.6"/>
  <cols>
    <col min="1" max="1" width="9" customWidth="1"/>
    <col min="2" max="2" width="22.6875" customWidth="1"/>
    <col min="3" max="3" width="14.875" customWidth="1"/>
    <col min="4" max="4" width="81.8125" customWidth="1"/>
    <col min="5" max="5" width="14" customWidth="1"/>
  </cols>
  <sheetData>
    <row r="1" spans="1:3" ht="20.65" x14ac:dyDescent="0.6">
      <c r="A1" s="15" t="s">
        <v>388</v>
      </c>
    </row>
    <row r="2" spans="1:3" x14ac:dyDescent="0.6">
      <c r="A2" s="16" t="s">
        <v>389</v>
      </c>
    </row>
    <row r="4" spans="1:3" x14ac:dyDescent="0.6">
      <c r="A4" s="5" t="s">
        <v>390</v>
      </c>
    </row>
    <row r="5" spans="1:3" ht="28.05" customHeight="1" x14ac:dyDescent="0.6">
      <c r="A5" s="7" t="s">
        <v>65</v>
      </c>
      <c r="B5" s="7" t="s">
        <v>391</v>
      </c>
      <c r="C5" s="7" t="s">
        <v>392</v>
      </c>
    </row>
    <row r="6" spans="1:3" x14ac:dyDescent="0.6">
      <c r="A6" s="8" t="s">
        <v>393</v>
      </c>
      <c r="B6" s="9" t="s">
        <v>394</v>
      </c>
      <c r="C6" s="8" t="s">
        <v>395</v>
      </c>
    </row>
    <row r="7" spans="1:3" x14ac:dyDescent="0.6">
      <c r="A7" s="10" t="s">
        <v>396</v>
      </c>
      <c r="B7" s="11" t="s">
        <v>397</v>
      </c>
      <c r="C7" s="10" t="s">
        <v>398</v>
      </c>
    </row>
    <row r="8" spans="1:3" x14ac:dyDescent="0.6">
      <c r="A8" s="20" t="s">
        <v>399</v>
      </c>
      <c r="B8" s="19" t="s">
        <v>400</v>
      </c>
      <c r="C8" s="20" t="s">
        <v>398</v>
      </c>
    </row>
    <row r="9" spans="1:3" x14ac:dyDescent="0.6">
      <c r="A9" s="20" t="s">
        <v>401</v>
      </c>
      <c r="B9" s="19" t="s">
        <v>402</v>
      </c>
      <c r="C9" s="20" t="s">
        <v>403</v>
      </c>
    </row>
    <row r="10" spans="1:3" x14ac:dyDescent="0.6">
      <c r="A10" s="8" t="s">
        <v>404</v>
      </c>
      <c r="B10" s="9" t="s">
        <v>405</v>
      </c>
      <c r="C10" s="8" t="s">
        <v>403</v>
      </c>
    </row>
    <row r="11" spans="1:3" x14ac:dyDescent="0.6">
      <c r="A11" s="10" t="s">
        <v>406</v>
      </c>
      <c r="B11" s="11" t="s">
        <v>407</v>
      </c>
      <c r="C11" s="10" t="s">
        <v>395</v>
      </c>
    </row>
    <row r="12" spans="1:3" x14ac:dyDescent="0.6">
      <c r="A12" s="8" t="s">
        <v>408</v>
      </c>
      <c r="B12" s="9" t="s">
        <v>409</v>
      </c>
      <c r="C12" s="8" t="s">
        <v>410</v>
      </c>
    </row>
    <row r="13" spans="1:3" x14ac:dyDescent="0.6">
      <c r="A13" s="10" t="s">
        <v>411</v>
      </c>
      <c r="B13" s="11" t="s">
        <v>412</v>
      </c>
      <c r="C13" s="10" t="s">
        <v>413</v>
      </c>
    </row>
    <row r="14" spans="1:3" x14ac:dyDescent="0.6">
      <c r="A14" s="20" t="s">
        <v>414</v>
      </c>
      <c r="B14" s="19" t="s">
        <v>415</v>
      </c>
      <c r="C14" s="20" t="s">
        <v>403</v>
      </c>
    </row>
    <row r="15" spans="1:3" x14ac:dyDescent="0.6">
      <c r="A15" s="10" t="s">
        <v>416</v>
      </c>
      <c r="B15" s="11" t="s">
        <v>417</v>
      </c>
      <c r="C15" s="10" t="s">
        <v>403</v>
      </c>
    </row>
    <row r="17" spans="1:5" x14ac:dyDescent="0.6">
      <c r="A17" s="5" t="s">
        <v>418</v>
      </c>
    </row>
    <row r="18" spans="1:5" ht="28.05" customHeight="1" x14ac:dyDescent="0.6">
      <c r="A18" s="7" t="s">
        <v>419</v>
      </c>
      <c r="B18" s="7" t="s">
        <v>200</v>
      </c>
      <c r="C18" s="7" t="s">
        <v>420</v>
      </c>
      <c r="D18" s="7" t="s">
        <v>421</v>
      </c>
      <c r="E18" s="7" t="s">
        <v>212</v>
      </c>
    </row>
    <row r="19" spans="1:5" ht="63.75" x14ac:dyDescent="0.6">
      <c r="A19" s="8" t="s">
        <v>422</v>
      </c>
      <c r="B19" s="8" t="s">
        <v>423</v>
      </c>
      <c r="C19" s="8" t="s">
        <v>424</v>
      </c>
      <c r="D19" s="9" t="s">
        <v>425</v>
      </c>
      <c r="E19" s="8" t="s">
        <v>238</v>
      </c>
    </row>
    <row r="20" spans="1:5" ht="25.5" x14ac:dyDescent="0.6">
      <c r="A20" s="10" t="s">
        <v>426</v>
      </c>
      <c r="B20" s="10" t="s">
        <v>423</v>
      </c>
      <c r="C20" s="10" t="s">
        <v>424</v>
      </c>
      <c r="D20" s="11" t="s">
        <v>427</v>
      </c>
      <c r="E20" s="10" t="s">
        <v>238</v>
      </c>
    </row>
    <row r="21" spans="1:5" ht="25.5" x14ac:dyDescent="0.6">
      <c r="A21" s="8" t="s">
        <v>428</v>
      </c>
      <c r="B21" s="8" t="s">
        <v>429</v>
      </c>
      <c r="C21" s="8" t="s">
        <v>424</v>
      </c>
      <c r="D21" s="9" t="s">
        <v>430</v>
      </c>
      <c r="E21" s="8" t="s">
        <v>232</v>
      </c>
    </row>
    <row r="22" spans="1:5" ht="51" x14ac:dyDescent="0.6">
      <c r="A22" s="10" t="s">
        <v>431</v>
      </c>
      <c r="B22" s="10" t="s">
        <v>423</v>
      </c>
      <c r="C22" s="10" t="s">
        <v>432</v>
      </c>
      <c r="D22" s="11" t="s">
        <v>433</v>
      </c>
      <c r="E22" s="10" t="s">
        <v>236</v>
      </c>
    </row>
    <row r="23" spans="1:5" ht="76.5" x14ac:dyDescent="0.6">
      <c r="A23" s="20" t="s">
        <v>434</v>
      </c>
      <c r="B23" s="20" t="s">
        <v>429</v>
      </c>
      <c r="C23" s="20" t="s">
        <v>432</v>
      </c>
      <c r="D23" s="19" t="s">
        <v>435</v>
      </c>
      <c r="E23" s="20" t="s">
        <v>260</v>
      </c>
    </row>
    <row r="24" spans="1:5" ht="76.5" x14ac:dyDescent="0.6">
      <c r="A24" s="18" t="s">
        <v>436</v>
      </c>
      <c r="B24" s="18" t="s">
        <v>429</v>
      </c>
      <c r="C24" s="18" t="s">
        <v>424</v>
      </c>
      <c r="D24" s="17" t="s">
        <v>437</v>
      </c>
      <c r="E24" s="18" t="s">
        <v>240</v>
      </c>
    </row>
    <row r="25" spans="1:5" ht="76.5" x14ac:dyDescent="0.6">
      <c r="A25" s="20" t="s">
        <v>438</v>
      </c>
      <c r="B25" s="20" t="s">
        <v>429</v>
      </c>
      <c r="C25" s="20" t="s">
        <v>432</v>
      </c>
      <c r="D25" s="19" t="s">
        <v>439</v>
      </c>
      <c r="E25" s="20" t="s">
        <v>263</v>
      </c>
    </row>
    <row r="26" spans="1:5" ht="51" x14ac:dyDescent="0.6">
      <c r="A26" s="20" t="s">
        <v>440</v>
      </c>
      <c r="B26" s="20" t="s">
        <v>429</v>
      </c>
      <c r="C26" s="20" t="s">
        <v>432</v>
      </c>
      <c r="D26" s="19" t="s">
        <v>441</v>
      </c>
      <c r="E26" s="20" t="s">
        <v>263</v>
      </c>
    </row>
    <row r="27" spans="1:5" ht="51" x14ac:dyDescent="0.6">
      <c r="A27" s="20" t="s">
        <v>442</v>
      </c>
      <c r="B27" s="20" t="s">
        <v>429</v>
      </c>
      <c r="C27" s="20" t="s">
        <v>432</v>
      </c>
      <c r="D27" s="19" t="s">
        <v>443</v>
      </c>
      <c r="E27" s="20" t="s">
        <v>263</v>
      </c>
    </row>
    <row r="28" spans="1:5" ht="51" x14ac:dyDescent="0.6">
      <c r="A28" s="20" t="s">
        <v>444</v>
      </c>
      <c r="B28" s="20" t="s">
        <v>429</v>
      </c>
      <c r="C28" s="20" t="s">
        <v>432</v>
      </c>
      <c r="D28" s="19" t="s">
        <v>445</v>
      </c>
      <c r="E28" s="20" t="s">
        <v>263</v>
      </c>
    </row>
    <row r="29" spans="1:5" ht="76.5" x14ac:dyDescent="0.6">
      <c r="A29" s="20" t="s">
        <v>446</v>
      </c>
      <c r="B29" s="20" t="s">
        <v>429</v>
      </c>
      <c r="C29" s="20" t="s">
        <v>432</v>
      </c>
      <c r="D29" s="19" t="s">
        <v>447</v>
      </c>
      <c r="E29" s="20" t="s">
        <v>266</v>
      </c>
    </row>
    <row r="30" spans="1:5" ht="63.75" x14ac:dyDescent="0.6">
      <c r="A30" s="20" t="s">
        <v>448</v>
      </c>
      <c r="B30" s="20" t="s">
        <v>429</v>
      </c>
      <c r="C30" s="20" t="s">
        <v>432</v>
      </c>
      <c r="D30" s="19" t="s">
        <v>449</v>
      </c>
      <c r="E30" s="20" t="s">
        <v>266</v>
      </c>
    </row>
    <row r="31" spans="1:5" ht="63.75" x14ac:dyDescent="0.6">
      <c r="A31" s="20" t="s">
        <v>450</v>
      </c>
      <c r="B31" s="20" t="s">
        <v>429</v>
      </c>
      <c r="C31" s="20" t="s">
        <v>432</v>
      </c>
      <c r="D31" s="19" t="s">
        <v>451</v>
      </c>
      <c r="E31" s="20" t="s">
        <v>266</v>
      </c>
    </row>
    <row r="32" spans="1:5" ht="76.5" x14ac:dyDescent="0.6">
      <c r="A32" s="10" t="s">
        <v>452</v>
      </c>
      <c r="B32" s="10" t="s">
        <v>453</v>
      </c>
      <c r="C32" s="10" t="s">
        <v>454</v>
      </c>
      <c r="D32" s="11" t="s">
        <v>455</v>
      </c>
      <c r="E32" s="10" t="s">
        <v>240</v>
      </c>
    </row>
    <row r="33" spans="1:5" x14ac:dyDescent="0.6">
      <c r="A33" s="8" t="s">
        <v>456</v>
      </c>
      <c r="B33" s="8" t="s">
        <v>99</v>
      </c>
      <c r="C33" s="8" t="s">
        <v>424</v>
      </c>
      <c r="D33" s="9" t="s">
        <v>457</v>
      </c>
      <c r="E33" s="8" t="s">
        <v>246</v>
      </c>
    </row>
    <row r="34" spans="1:5" ht="25.5" x14ac:dyDescent="0.6">
      <c r="A34" s="10" t="s">
        <v>458</v>
      </c>
      <c r="B34" s="10" t="s">
        <v>99</v>
      </c>
      <c r="C34" s="10" t="s">
        <v>424</v>
      </c>
      <c r="D34" s="11" t="s">
        <v>459</v>
      </c>
      <c r="E34" s="10" t="s">
        <v>246</v>
      </c>
    </row>
    <row r="35" spans="1:5" ht="51" x14ac:dyDescent="0.6">
      <c r="A35" s="8" t="s">
        <v>460</v>
      </c>
      <c r="B35" s="8" t="s">
        <v>253</v>
      </c>
      <c r="C35" s="8" t="s">
        <v>103</v>
      </c>
      <c r="D35" s="9" t="s">
        <v>461</v>
      </c>
      <c r="E35" s="8" t="s">
        <v>251</v>
      </c>
    </row>
    <row r="36" spans="1:5" ht="76.5" x14ac:dyDescent="0.6">
      <c r="A36" s="10" t="s">
        <v>462</v>
      </c>
      <c r="B36" s="10" t="s">
        <v>429</v>
      </c>
      <c r="C36" s="10" t="s">
        <v>454</v>
      </c>
      <c r="D36" s="11" t="s">
        <v>463</v>
      </c>
      <c r="E36" s="10" t="s">
        <v>248</v>
      </c>
    </row>
    <row r="37" spans="1:5" ht="25.5" x14ac:dyDescent="0.6">
      <c r="A37" s="8" t="s">
        <v>464</v>
      </c>
      <c r="B37" s="8" t="s">
        <v>423</v>
      </c>
      <c r="C37" s="8" t="s">
        <v>454</v>
      </c>
      <c r="D37" s="9" t="s">
        <v>465</v>
      </c>
      <c r="E37" s="8" t="s">
        <v>248</v>
      </c>
    </row>
    <row r="39" spans="1:5" x14ac:dyDescent="0.6">
      <c r="A39" s="16" t="s">
        <v>466</v>
      </c>
    </row>
    <row r="40" spans="1:5" x14ac:dyDescent="0.6">
      <c r="A40" s="5" t="s">
        <v>467</v>
      </c>
    </row>
    <row r="41" spans="1:5" ht="28.05" customHeight="1" x14ac:dyDescent="0.6">
      <c r="A41" s="7" t="s">
        <v>419</v>
      </c>
      <c r="B41" s="7" t="s">
        <v>200</v>
      </c>
      <c r="C41" s="7" t="s">
        <v>420</v>
      </c>
      <c r="D41" s="7" t="s">
        <v>421</v>
      </c>
      <c r="E41" s="7" t="s">
        <v>212</v>
      </c>
    </row>
    <row r="42" spans="1:5" ht="25.5" x14ac:dyDescent="0.6">
      <c r="A42" s="8" t="s">
        <v>422</v>
      </c>
      <c r="B42" s="8" t="s">
        <v>423</v>
      </c>
      <c r="C42" s="8" t="s">
        <v>424</v>
      </c>
      <c r="D42" s="9" t="s">
        <v>468</v>
      </c>
      <c r="E42" s="8" t="s">
        <v>246</v>
      </c>
    </row>
    <row r="43" spans="1:5" ht="127.5" x14ac:dyDescent="0.6">
      <c r="A43" s="20" t="s">
        <v>426</v>
      </c>
      <c r="B43" s="20" t="s">
        <v>423</v>
      </c>
      <c r="C43" s="20" t="s">
        <v>454</v>
      </c>
      <c r="D43" s="19" t="s">
        <v>469</v>
      </c>
      <c r="E43" s="20" t="s">
        <v>246</v>
      </c>
    </row>
    <row r="44" spans="1:5" ht="255" x14ac:dyDescent="0.6">
      <c r="A44" s="18" t="s">
        <v>470</v>
      </c>
      <c r="B44" s="18" t="s">
        <v>429</v>
      </c>
      <c r="C44" s="18" t="s">
        <v>424</v>
      </c>
      <c r="D44" s="17" t="s">
        <v>471</v>
      </c>
      <c r="E44" s="18" t="s">
        <v>472</v>
      </c>
    </row>
    <row r="45" spans="1:5" x14ac:dyDescent="0.6">
      <c r="A45" s="10" t="s">
        <v>473</v>
      </c>
      <c r="B45" s="10" t="s">
        <v>99</v>
      </c>
      <c r="C45" s="10" t="s">
        <v>424</v>
      </c>
      <c r="D45" s="11" t="s">
        <v>474</v>
      </c>
      <c r="E45" s="10" t="s">
        <v>246</v>
      </c>
    </row>
    <row r="46" spans="1:5" ht="25.5" x14ac:dyDescent="0.6">
      <c r="A46" s="8" t="s">
        <v>475</v>
      </c>
      <c r="B46" s="8" t="s">
        <v>453</v>
      </c>
      <c r="C46" s="8" t="s">
        <v>454</v>
      </c>
      <c r="D46" s="9" t="s">
        <v>476</v>
      </c>
      <c r="E46" s="8" t="s">
        <v>246</v>
      </c>
    </row>
    <row r="48" spans="1:5" x14ac:dyDescent="0.6">
      <c r="A48" s="16" t="s">
        <v>477</v>
      </c>
    </row>
    <row r="49" spans="1:5" x14ac:dyDescent="0.6">
      <c r="A49" s="5" t="s">
        <v>478</v>
      </c>
    </row>
    <row r="50" spans="1:5" ht="28.05" customHeight="1" x14ac:dyDescent="0.6">
      <c r="A50" s="7" t="s">
        <v>419</v>
      </c>
      <c r="B50" s="7" t="s">
        <v>200</v>
      </c>
      <c r="C50" s="7" t="s">
        <v>420</v>
      </c>
      <c r="D50" s="7" t="s">
        <v>421</v>
      </c>
      <c r="E50" s="7" t="s">
        <v>212</v>
      </c>
    </row>
    <row r="51" spans="1:5" ht="25.5" x14ac:dyDescent="0.6">
      <c r="A51" s="8" t="s">
        <v>422</v>
      </c>
      <c r="B51" s="8" t="s">
        <v>423</v>
      </c>
      <c r="C51" s="8" t="s">
        <v>424</v>
      </c>
      <c r="D51" s="9" t="s">
        <v>468</v>
      </c>
      <c r="E51" s="8" t="s">
        <v>243</v>
      </c>
    </row>
    <row r="52" spans="1:5" ht="165.75" x14ac:dyDescent="0.6">
      <c r="A52" s="18" t="s">
        <v>479</v>
      </c>
      <c r="B52" s="18" t="s">
        <v>429</v>
      </c>
      <c r="C52" s="18" t="s">
        <v>424</v>
      </c>
      <c r="D52" s="17" t="s">
        <v>480</v>
      </c>
      <c r="E52" s="18" t="s">
        <v>481</v>
      </c>
    </row>
    <row r="53" spans="1:5" ht="89.25" x14ac:dyDescent="0.6">
      <c r="A53" s="20" t="s">
        <v>482</v>
      </c>
      <c r="B53" s="20" t="s">
        <v>453</v>
      </c>
      <c r="C53" s="20" t="s">
        <v>424</v>
      </c>
      <c r="D53" s="19" t="s">
        <v>483</v>
      </c>
      <c r="E53" s="20" t="s">
        <v>310</v>
      </c>
    </row>
    <row r="54" spans="1:5" ht="102" x14ac:dyDescent="0.6">
      <c r="A54" s="18" t="s">
        <v>484</v>
      </c>
      <c r="B54" s="18" t="s">
        <v>99</v>
      </c>
      <c r="C54" s="18" t="s">
        <v>424</v>
      </c>
      <c r="D54" s="17" t="s">
        <v>485</v>
      </c>
      <c r="E54" s="18" t="s">
        <v>304</v>
      </c>
    </row>
    <row r="55" spans="1:5" ht="76.5" x14ac:dyDescent="0.6">
      <c r="A55" s="18" t="s">
        <v>486</v>
      </c>
      <c r="B55" s="18" t="s">
        <v>99</v>
      </c>
      <c r="C55" s="18" t="s">
        <v>424</v>
      </c>
      <c r="D55" s="17" t="s">
        <v>487</v>
      </c>
      <c r="E55" s="18" t="s">
        <v>304</v>
      </c>
    </row>
    <row r="56" spans="1:5" ht="165.75" x14ac:dyDescent="0.6">
      <c r="A56" s="18" t="s">
        <v>488</v>
      </c>
      <c r="B56" s="18" t="s">
        <v>489</v>
      </c>
      <c r="C56" s="18" t="s">
        <v>424</v>
      </c>
      <c r="D56" s="17" t="s">
        <v>490</v>
      </c>
      <c r="E56" s="18" t="s">
        <v>243</v>
      </c>
    </row>
    <row r="58" spans="1:5" x14ac:dyDescent="0.6">
      <c r="A58" s="16" t="s">
        <v>491</v>
      </c>
    </row>
    <row r="59" spans="1:5" ht="28.05" customHeight="1" x14ac:dyDescent="0.6">
      <c r="A59" s="7" t="s">
        <v>428</v>
      </c>
      <c r="B59" s="7" t="s">
        <v>492</v>
      </c>
      <c r="C59" s="7" t="s">
        <v>493</v>
      </c>
    </row>
    <row r="60" spans="1:5" ht="38.25" x14ac:dyDescent="0.6">
      <c r="A60" s="8" t="s">
        <v>494</v>
      </c>
      <c r="B60" s="9" t="s">
        <v>495</v>
      </c>
      <c r="C60" s="9" t="s">
        <v>496</v>
      </c>
    </row>
    <row r="61" spans="1:5" ht="25.5" x14ac:dyDescent="0.6">
      <c r="A61" s="10" t="s">
        <v>497</v>
      </c>
      <c r="B61" s="11" t="s">
        <v>498</v>
      </c>
      <c r="C61" s="11" t="s">
        <v>499</v>
      </c>
    </row>
    <row r="63" spans="1:5" x14ac:dyDescent="0.6">
      <c r="A63" s="5" t="s">
        <v>500</v>
      </c>
    </row>
    <row r="64" spans="1:5" ht="28.05" customHeight="1" x14ac:dyDescent="0.6">
      <c r="A64" s="7" t="s">
        <v>419</v>
      </c>
      <c r="B64" s="7" t="s">
        <v>200</v>
      </c>
      <c r="C64" s="7" t="s">
        <v>420</v>
      </c>
      <c r="D64" s="7" t="s">
        <v>421</v>
      </c>
      <c r="E64" s="7" t="s">
        <v>144</v>
      </c>
    </row>
    <row r="65" spans="1:5" ht="153" x14ac:dyDescent="0.6">
      <c r="A65" s="18" t="s">
        <v>428</v>
      </c>
      <c r="B65" s="18" t="s">
        <v>429</v>
      </c>
      <c r="C65" s="18" t="s">
        <v>424</v>
      </c>
      <c r="D65" s="17" t="s">
        <v>501</v>
      </c>
      <c r="E65" s="18" t="s">
        <v>502</v>
      </c>
    </row>
    <row r="66" spans="1:5" ht="76.5" x14ac:dyDescent="0.6">
      <c r="A66" s="18" t="s">
        <v>434</v>
      </c>
      <c r="B66" s="18" t="s">
        <v>429</v>
      </c>
      <c r="C66" s="18" t="s">
        <v>424</v>
      </c>
      <c r="D66" s="17" t="s">
        <v>503</v>
      </c>
      <c r="E66" s="18" t="s">
        <v>262</v>
      </c>
    </row>
    <row r="67" spans="1:5" ht="25.5" x14ac:dyDescent="0.6">
      <c r="A67" s="8" t="s">
        <v>479</v>
      </c>
      <c r="B67" s="8" t="s">
        <v>429</v>
      </c>
      <c r="C67" s="8" t="s">
        <v>424</v>
      </c>
      <c r="D67" s="9" t="s">
        <v>504</v>
      </c>
      <c r="E67" s="8" t="s">
        <v>505</v>
      </c>
    </row>
    <row r="68" spans="1:5" ht="89.25" x14ac:dyDescent="0.6">
      <c r="A68" s="18" t="s">
        <v>488</v>
      </c>
      <c r="B68" s="18" t="s">
        <v>489</v>
      </c>
      <c r="C68" s="18" t="s">
        <v>424</v>
      </c>
      <c r="D68" s="17" t="s">
        <v>506</v>
      </c>
      <c r="E68" s="18" t="s">
        <v>152</v>
      </c>
    </row>
    <row r="70" spans="1:5" x14ac:dyDescent="0.6">
      <c r="A70" s="16" t="s">
        <v>507</v>
      </c>
    </row>
    <row r="71" spans="1:5" x14ac:dyDescent="0.6">
      <c r="A71" s="5" t="s">
        <v>508</v>
      </c>
    </row>
    <row r="72" spans="1:5" ht="28.05" customHeight="1" x14ac:dyDescent="0.6">
      <c r="A72" s="7" t="s">
        <v>419</v>
      </c>
      <c r="B72" s="7" t="s">
        <v>200</v>
      </c>
      <c r="C72" s="7" t="s">
        <v>420</v>
      </c>
      <c r="D72" s="7" t="s">
        <v>421</v>
      </c>
      <c r="E72" s="7" t="s">
        <v>144</v>
      </c>
    </row>
    <row r="73" spans="1:5" ht="76.5" x14ac:dyDescent="0.6">
      <c r="A73" s="20" t="s">
        <v>428</v>
      </c>
      <c r="B73" s="20" t="s">
        <v>429</v>
      </c>
      <c r="C73" s="20" t="s">
        <v>424</v>
      </c>
      <c r="D73" s="19" t="s">
        <v>509</v>
      </c>
      <c r="E73" s="20" t="s">
        <v>275</v>
      </c>
    </row>
    <row r="74" spans="1:5" ht="165.75" x14ac:dyDescent="0.6">
      <c r="A74" s="18" t="s">
        <v>510</v>
      </c>
      <c r="B74" s="18" t="s">
        <v>423</v>
      </c>
      <c r="C74" s="18" t="s">
        <v>424</v>
      </c>
      <c r="D74" s="17" t="s">
        <v>511</v>
      </c>
      <c r="E74" s="18" t="s">
        <v>275</v>
      </c>
    </row>
    <row r="75" spans="1:5" ht="89.25" x14ac:dyDescent="0.6">
      <c r="A75" s="18" t="s">
        <v>512</v>
      </c>
      <c r="B75" s="18" t="s">
        <v>489</v>
      </c>
      <c r="C75" s="18" t="s">
        <v>424</v>
      </c>
      <c r="D75" s="17" t="s">
        <v>513</v>
      </c>
      <c r="E75" s="18" t="s">
        <v>152</v>
      </c>
    </row>
    <row r="76" spans="1:5" ht="25.5" x14ac:dyDescent="0.6">
      <c r="A76" s="10" t="s">
        <v>514</v>
      </c>
      <c r="B76" s="10" t="s">
        <v>423</v>
      </c>
      <c r="C76" s="10" t="s">
        <v>454</v>
      </c>
      <c r="D76" s="11" t="s">
        <v>515</v>
      </c>
      <c r="E76" s="10" t="s">
        <v>298</v>
      </c>
    </row>
    <row r="78" spans="1:5" x14ac:dyDescent="0.6">
      <c r="A78" s="5" t="s">
        <v>516</v>
      </c>
    </row>
    <row r="79" spans="1:5" ht="28.05" customHeight="1" x14ac:dyDescent="0.6">
      <c r="A79" s="7" t="s">
        <v>419</v>
      </c>
      <c r="B79" s="7" t="s">
        <v>200</v>
      </c>
      <c r="C79" s="7" t="s">
        <v>420</v>
      </c>
      <c r="D79" s="7" t="s">
        <v>421</v>
      </c>
      <c r="E79" s="7" t="s">
        <v>212</v>
      </c>
    </row>
    <row r="80" spans="1:5" ht="25.5" x14ac:dyDescent="0.6">
      <c r="A80" s="8" t="s">
        <v>517</v>
      </c>
      <c r="B80" s="8" t="s">
        <v>423</v>
      </c>
      <c r="C80" s="8" t="s">
        <v>424</v>
      </c>
      <c r="D80" s="9" t="s">
        <v>518</v>
      </c>
      <c r="E80" s="8" t="s">
        <v>268</v>
      </c>
    </row>
    <row r="81" spans="1:5" x14ac:dyDescent="0.6">
      <c r="A81" s="10" t="s">
        <v>519</v>
      </c>
      <c r="B81" s="10" t="s">
        <v>423</v>
      </c>
      <c r="C81" s="10" t="s">
        <v>424</v>
      </c>
      <c r="D81" s="11" t="s">
        <v>520</v>
      </c>
      <c r="E81" s="10" t="s">
        <v>268</v>
      </c>
    </row>
    <row r="82" spans="1:5" ht="25.5" x14ac:dyDescent="0.6">
      <c r="A82" s="8" t="s">
        <v>521</v>
      </c>
      <c r="B82" s="8" t="s">
        <v>423</v>
      </c>
      <c r="C82" s="8" t="s">
        <v>454</v>
      </c>
      <c r="D82" s="9" t="s">
        <v>522</v>
      </c>
      <c r="E82" s="8" t="s">
        <v>280</v>
      </c>
    </row>
    <row r="83" spans="1:5" ht="38.25" x14ac:dyDescent="0.6">
      <c r="A83" s="10" t="s">
        <v>523</v>
      </c>
      <c r="B83" s="10" t="s">
        <v>423</v>
      </c>
      <c r="C83" s="10" t="s">
        <v>454</v>
      </c>
      <c r="D83" s="11" t="s">
        <v>524</v>
      </c>
      <c r="E83" s="10" t="s">
        <v>273</v>
      </c>
    </row>
    <row r="84" spans="1:5" ht="76.5" x14ac:dyDescent="0.6">
      <c r="A84" s="18" t="s">
        <v>525</v>
      </c>
      <c r="B84" s="18" t="s">
        <v>489</v>
      </c>
      <c r="C84" s="18" t="s">
        <v>454</v>
      </c>
      <c r="D84" s="17" t="s">
        <v>526</v>
      </c>
      <c r="E84" s="18" t="s">
        <v>302</v>
      </c>
    </row>
    <row r="85" spans="1:5" ht="38.25" x14ac:dyDescent="0.6">
      <c r="A85" s="10" t="s">
        <v>527</v>
      </c>
      <c r="B85" s="10" t="s">
        <v>99</v>
      </c>
      <c r="C85" s="10" t="s">
        <v>454</v>
      </c>
      <c r="D85" s="11" t="s">
        <v>528</v>
      </c>
      <c r="E85" s="10" t="s">
        <v>276</v>
      </c>
    </row>
    <row r="86" spans="1:5" ht="25.5" x14ac:dyDescent="0.6">
      <c r="A86" s="8" t="s">
        <v>464</v>
      </c>
      <c r="B86" s="8" t="s">
        <v>423</v>
      </c>
      <c r="C86" s="8" t="s">
        <v>454</v>
      </c>
      <c r="D86" s="9" t="s">
        <v>465</v>
      </c>
      <c r="E86" s="8" t="s">
        <v>280</v>
      </c>
    </row>
    <row r="88" spans="1:5" x14ac:dyDescent="0.6">
      <c r="A88" s="5" t="s">
        <v>529</v>
      </c>
    </row>
    <row r="89" spans="1:5" ht="28.05" customHeight="1" x14ac:dyDescent="0.6">
      <c r="A89" s="7" t="s">
        <v>419</v>
      </c>
      <c r="B89" s="7" t="s">
        <v>200</v>
      </c>
      <c r="C89" s="7" t="s">
        <v>420</v>
      </c>
      <c r="D89" s="7" t="s">
        <v>421</v>
      </c>
      <c r="E89" s="7" t="s">
        <v>212</v>
      </c>
    </row>
    <row r="90" spans="1:5" ht="38.25" x14ac:dyDescent="0.6">
      <c r="A90" s="8" t="s">
        <v>530</v>
      </c>
      <c r="B90" s="8" t="s">
        <v>423</v>
      </c>
      <c r="C90" s="8" t="s">
        <v>424</v>
      </c>
      <c r="D90" s="9" t="s">
        <v>531</v>
      </c>
      <c r="E90" s="8" t="s">
        <v>282</v>
      </c>
    </row>
    <row r="91" spans="1:5" ht="25.5" x14ac:dyDescent="0.6">
      <c r="A91" s="10" t="s">
        <v>517</v>
      </c>
      <c r="B91" s="10" t="s">
        <v>423</v>
      </c>
      <c r="C91" s="10" t="s">
        <v>424</v>
      </c>
      <c r="D91" s="11" t="s">
        <v>532</v>
      </c>
      <c r="E91" s="10" t="s">
        <v>268</v>
      </c>
    </row>
    <row r="92" spans="1:5" ht="102" x14ac:dyDescent="0.6">
      <c r="A92" s="20" t="s">
        <v>519</v>
      </c>
      <c r="B92" s="20" t="s">
        <v>423</v>
      </c>
      <c r="C92" s="20" t="s">
        <v>454</v>
      </c>
      <c r="D92" s="19" t="s">
        <v>533</v>
      </c>
      <c r="E92" s="20" t="s">
        <v>268</v>
      </c>
    </row>
    <row r="93" spans="1:5" ht="25.5" x14ac:dyDescent="0.6">
      <c r="A93" s="10" t="s">
        <v>422</v>
      </c>
      <c r="B93" s="10" t="s">
        <v>423</v>
      </c>
      <c r="C93" s="10" t="s">
        <v>424</v>
      </c>
      <c r="D93" s="11" t="s">
        <v>468</v>
      </c>
      <c r="E93" s="10" t="s">
        <v>271</v>
      </c>
    </row>
    <row r="94" spans="1:5" ht="102" x14ac:dyDescent="0.6">
      <c r="A94" s="18" t="s">
        <v>510</v>
      </c>
      <c r="B94" s="18" t="s">
        <v>423</v>
      </c>
      <c r="C94" s="18" t="s">
        <v>424</v>
      </c>
      <c r="D94" s="17" t="s">
        <v>534</v>
      </c>
      <c r="E94" s="18" t="s">
        <v>273</v>
      </c>
    </row>
    <row r="95" spans="1:5" ht="25.5" x14ac:dyDescent="0.6">
      <c r="A95" s="10" t="s">
        <v>535</v>
      </c>
      <c r="B95" s="10" t="s">
        <v>99</v>
      </c>
      <c r="C95" s="10" t="s">
        <v>424</v>
      </c>
      <c r="D95" s="11" t="s">
        <v>536</v>
      </c>
      <c r="E95" s="10" t="s">
        <v>276</v>
      </c>
    </row>
    <row r="96" spans="1:5" ht="51" x14ac:dyDescent="0.6">
      <c r="A96" s="8" t="s">
        <v>537</v>
      </c>
      <c r="B96" s="8" t="s">
        <v>99</v>
      </c>
      <c r="C96" s="8" t="s">
        <v>424</v>
      </c>
      <c r="D96" s="9" t="s">
        <v>538</v>
      </c>
      <c r="E96" s="8" t="s">
        <v>276</v>
      </c>
    </row>
    <row r="97" spans="1:5" ht="114.75" x14ac:dyDescent="0.6">
      <c r="A97" s="18" t="s">
        <v>539</v>
      </c>
      <c r="B97" s="18" t="s">
        <v>489</v>
      </c>
      <c r="C97" s="18" t="s">
        <v>424</v>
      </c>
      <c r="D97" s="17" t="s">
        <v>540</v>
      </c>
      <c r="E97" s="18" t="s">
        <v>288</v>
      </c>
    </row>
    <row r="98" spans="1:5" ht="25.5" x14ac:dyDescent="0.6">
      <c r="A98" s="8" t="s">
        <v>541</v>
      </c>
      <c r="B98" s="8" t="s">
        <v>423</v>
      </c>
      <c r="C98" s="8" t="s">
        <v>454</v>
      </c>
      <c r="D98" s="9" t="s">
        <v>465</v>
      </c>
      <c r="E98" s="8" t="s">
        <v>280</v>
      </c>
    </row>
    <row r="100" spans="1:5" x14ac:dyDescent="0.6">
      <c r="A100" s="5" t="s">
        <v>542</v>
      </c>
    </row>
    <row r="101" spans="1:5" ht="28.05" customHeight="1" x14ac:dyDescent="0.6">
      <c r="A101" s="7" t="s">
        <v>419</v>
      </c>
      <c r="B101" s="7" t="s">
        <v>200</v>
      </c>
      <c r="C101" s="7" t="s">
        <v>420</v>
      </c>
      <c r="D101" s="7" t="s">
        <v>421</v>
      </c>
      <c r="E101" s="7" t="s">
        <v>212</v>
      </c>
    </row>
    <row r="102" spans="1:5" ht="25.5" x14ac:dyDescent="0.6">
      <c r="A102" s="8" t="s">
        <v>530</v>
      </c>
      <c r="B102" s="8" t="s">
        <v>423</v>
      </c>
      <c r="C102" s="8" t="s">
        <v>424</v>
      </c>
      <c r="D102" s="9" t="s">
        <v>543</v>
      </c>
      <c r="E102" s="8" t="s">
        <v>278</v>
      </c>
    </row>
    <row r="103" spans="1:5" x14ac:dyDescent="0.6">
      <c r="A103" s="10" t="s">
        <v>484</v>
      </c>
      <c r="B103" s="10" t="s">
        <v>99</v>
      </c>
      <c r="C103" s="10" t="s">
        <v>424</v>
      </c>
      <c r="D103" s="11" t="s">
        <v>544</v>
      </c>
      <c r="E103" s="10" t="s">
        <v>278</v>
      </c>
    </row>
    <row r="104" spans="1:5" ht="51" x14ac:dyDescent="0.6">
      <c r="A104" s="8" t="s">
        <v>486</v>
      </c>
      <c r="B104" s="8" t="s">
        <v>99</v>
      </c>
      <c r="C104" s="8" t="s">
        <v>424</v>
      </c>
      <c r="D104" s="9" t="s">
        <v>545</v>
      </c>
      <c r="E104" s="8" t="s">
        <v>278</v>
      </c>
    </row>
    <row r="105" spans="1:5" ht="140.25" x14ac:dyDescent="0.6">
      <c r="A105" s="18" t="s">
        <v>546</v>
      </c>
      <c r="B105" s="18" t="s">
        <v>489</v>
      </c>
      <c r="C105" s="18" t="s">
        <v>424</v>
      </c>
      <c r="D105" s="17" t="s">
        <v>547</v>
      </c>
      <c r="E105" s="18" t="s">
        <v>278</v>
      </c>
    </row>
    <row r="106" spans="1:5" ht="51" x14ac:dyDescent="0.6">
      <c r="A106" s="8" t="s">
        <v>548</v>
      </c>
      <c r="B106" s="8" t="s">
        <v>423</v>
      </c>
      <c r="C106" s="8" t="s">
        <v>454</v>
      </c>
      <c r="D106" s="9" t="s">
        <v>549</v>
      </c>
      <c r="E106" s="8" t="s">
        <v>278</v>
      </c>
    </row>
    <row r="108" spans="1:5" x14ac:dyDescent="0.6">
      <c r="A108" s="16" t="s">
        <v>550</v>
      </c>
    </row>
    <row r="109" spans="1:5" x14ac:dyDescent="0.6">
      <c r="A109" s="5" t="s">
        <v>551</v>
      </c>
    </row>
    <row r="110" spans="1:5" ht="28.05" customHeight="1" x14ac:dyDescent="0.6">
      <c r="A110" s="7" t="s">
        <v>552</v>
      </c>
      <c r="B110" s="7" t="s">
        <v>553</v>
      </c>
      <c r="C110" s="7" t="s">
        <v>554</v>
      </c>
      <c r="D110" s="7" t="s">
        <v>212</v>
      </c>
    </row>
    <row r="111" spans="1:5" x14ac:dyDescent="0.6">
      <c r="A111" s="8" t="s">
        <v>555</v>
      </c>
      <c r="B111" s="9" t="s">
        <v>556</v>
      </c>
      <c r="C111" s="8" t="s">
        <v>557</v>
      </c>
      <c r="D111" s="8" t="s">
        <v>365</v>
      </c>
    </row>
    <row r="112" spans="1:5" x14ac:dyDescent="0.6">
      <c r="A112" s="20" t="s">
        <v>558</v>
      </c>
      <c r="B112" s="19" t="s">
        <v>559</v>
      </c>
      <c r="C112" s="20" t="s">
        <v>560</v>
      </c>
      <c r="D112" s="20" t="s">
        <v>302</v>
      </c>
    </row>
    <row r="113" spans="1:4" x14ac:dyDescent="0.6">
      <c r="A113" s="20" t="s">
        <v>561</v>
      </c>
      <c r="B113" s="19" t="s">
        <v>562</v>
      </c>
      <c r="C113" s="20" t="s">
        <v>563</v>
      </c>
      <c r="D113" s="20" t="s">
        <v>293</v>
      </c>
    </row>
    <row r="114" spans="1:4" x14ac:dyDescent="0.6">
      <c r="A114" s="20" t="s">
        <v>564</v>
      </c>
      <c r="B114" s="19" t="s">
        <v>565</v>
      </c>
      <c r="C114" s="20" t="s">
        <v>566</v>
      </c>
      <c r="D114" s="20" t="s">
        <v>300</v>
      </c>
    </row>
    <row r="115" spans="1:4" x14ac:dyDescent="0.6">
      <c r="A115" s="20" t="s">
        <v>567</v>
      </c>
      <c r="B115" s="19" t="s">
        <v>568</v>
      </c>
      <c r="C115" s="20" t="s">
        <v>569</v>
      </c>
      <c r="D115" s="20" t="s">
        <v>300</v>
      </c>
    </row>
    <row r="116" spans="1:4" x14ac:dyDescent="0.6">
      <c r="A116" s="18" t="s">
        <v>570</v>
      </c>
      <c r="B116" s="17" t="s">
        <v>571</v>
      </c>
      <c r="C116" s="18" t="s">
        <v>572</v>
      </c>
      <c r="D116" s="18" t="s">
        <v>284</v>
      </c>
    </row>
    <row r="117" spans="1:4" x14ac:dyDescent="0.6">
      <c r="A117" s="18" t="s">
        <v>573</v>
      </c>
      <c r="B117" s="17" t="s">
        <v>574</v>
      </c>
      <c r="C117" s="18" t="s">
        <v>575</v>
      </c>
      <c r="D117" s="18" t="s">
        <v>302</v>
      </c>
    </row>
    <row r="119" spans="1:4" x14ac:dyDescent="0.6">
      <c r="A119" s="5" t="s">
        <v>576</v>
      </c>
    </row>
    <row r="120" spans="1:4" x14ac:dyDescent="0.6">
      <c r="A120" s="6" t="s">
        <v>577</v>
      </c>
    </row>
    <row r="121" spans="1:4" x14ac:dyDescent="0.6">
      <c r="A121" s="6" t="s">
        <v>578</v>
      </c>
    </row>
    <row r="122" spans="1:4" x14ac:dyDescent="0.6">
      <c r="A122" s="6" t="s">
        <v>579</v>
      </c>
    </row>
    <row r="124" spans="1:4" x14ac:dyDescent="0.6">
      <c r="A124" s="5" t="s">
        <v>580</v>
      </c>
    </row>
    <row r="125" spans="1:4" ht="28.05" customHeight="1" x14ac:dyDescent="0.6">
      <c r="A125" s="7" t="s">
        <v>141</v>
      </c>
      <c r="B125" s="7" t="s">
        <v>581</v>
      </c>
      <c r="C125" s="7" t="s">
        <v>582</v>
      </c>
    </row>
    <row r="126" spans="1:4" x14ac:dyDescent="0.6">
      <c r="A126" s="8" t="s">
        <v>583</v>
      </c>
      <c r="B126" s="9" t="s">
        <v>584</v>
      </c>
      <c r="C126" s="9" t="s">
        <v>585</v>
      </c>
    </row>
    <row r="127" spans="1:4" x14ac:dyDescent="0.6">
      <c r="A127" s="10" t="s">
        <v>586</v>
      </c>
      <c r="B127" s="11" t="s">
        <v>587</v>
      </c>
      <c r="C127" s="11" t="s">
        <v>588</v>
      </c>
    </row>
    <row r="128" spans="1:4" ht="25.5" x14ac:dyDescent="0.6">
      <c r="A128" s="18" t="s">
        <v>589</v>
      </c>
      <c r="B128" s="17" t="s">
        <v>590</v>
      </c>
      <c r="C128" s="17" t="s">
        <v>591</v>
      </c>
    </row>
    <row r="129" spans="1:3" x14ac:dyDescent="0.6">
      <c r="A129" s="10" t="s">
        <v>592</v>
      </c>
      <c r="B129" s="11" t="s">
        <v>593</v>
      </c>
      <c r="C129" s="11" t="s">
        <v>594</v>
      </c>
    </row>
    <row r="130" spans="1:3" x14ac:dyDescent="0.6">
      <c r="A130" s="8" t="s">
        <v>595</v>
      </c>
      <c r="B130" s="9" t="s">
        <v>596</v>
      </c>
      <c r="C130" s="9" t="s">
        <v>588</v>
      </c>
    </row>
    <row r="131" spans="1:3" x14ac:dyDescent="0.6">
      <c r="A131" s="10" t="s">
        <v>597</v>
      </c>
      <c r="B131" s="11" t="s">
        <v>598</v>
      </c>
      <c r="C131" s="11" t="s">
        <v>599</v>
      </c>
    </row>
    <row r="132" spans="1:3" x14ac:dyDescent="0.6">
      <c r="A132" s="8" t="s">
        <v>600</v>
      </c>
      <c r="B132" s="9" t="s">
        <v>601</v>
      </c>
      <c r="C132" s="9" t="s">
        <v>602</v>
      </c>
    </row>
    <row r="133" spans="1:3" x14ac:dyDescent="0.6">
      <c r="A133" s="10" t="s">
        <v>603</v>
      </c>
      <c r="B133" s="11" t="s">
        <v>604</v>
      </c>
      <c r="C133" s="11" t="s">
        <v>605</v>
      </c>
    </row>
    <row r="134" spans="1:3" x14ac:dyDescent="0.6">
      <c r="A134" s="8" t="s">
        <v>606</v>
      </c>
      <c r="B134" s="9" t="s">
        <v>607</v>
      </c>
      <c r="C134" s="9" t="s">
        <v>608</v>
      </c>
    </row>
    <row r="135" spans="1:3" x14ac:dyDescent="0.6">
      <c r="A135" s="20" t="s">
        <v>609</v>
      </c>
      <c r="B135" s="19" t="s">
        <v>610</v>
      </c>
      <c r="C135" s="19" t="s">
        <v>611</v>
      </c>
    </row>
    <row r="136" spans="1:3" x14ac:dyDescent="0.6">
      <c r="A136" s="20" t="s">
        <v>612</v>
      </c>
      <c r="B136" s="19" t="s">
        <v>613</v>
      </c>
      <c r="C136" s="19" t="s">
        <v>614</v>
      </c>
    </row>
    <row r="137" spans="1:3" ht="25.5" x14ac:dyDescent="0.6">
      <c r="A137" s="18" t="s">
        <v>615</v>
      </c>
      <c r="B137" s="17" t="s">
        <v>616</v>
      </c>
      <c r="C137" s="17" t="s">
        <v>617</v>
      </c>
    </row>
    <row r="138" spans="1:3" x14ac:dyDescent="0.6">
      <c r="A138" s="20" t="s">
        <v>618</v>
      </c>
      <c r="B138" s="19" t="s">
        <v>619</v>
      </c>
      <c r="C138" s="19" t="s">
        <v>620</v>
      </c>
    </row>
    <row r="139" spans="1:3" ht="25.5" x14ac:dyDescent="0.6">
      <c r="A139" s="18" t="s">
        <v>621</v>
      </c>
      <c r="B139" s="17" t="s">
        <v>622</v>
      </c>
      <c r="C139" s="17" t="s">
        <v>623</v>
      </c>
    </row>
    <row r="140" spans="1:3" x14ac:dyDescent="0.6">
      <c r="A140" s="20" t="s">
        <v>624</v>
      </c>
      <c r="B140" s="19" t="s">
        <v>625</v>
      </c>
      <c r="C140" s="19" t="s">
        <v>626</v>
      </c>
    </row>
    <row r="141" spans="1:3" x14ac:dyDescent="0.6">
      <c r="A141" s="20" t="s">
        <v>627</v>
      </c>
      <c r="B141" s="19" t="s">
        <v>628</v>
      </c>
      <c r="C141" s="19" t="s">
        <v>629</v>
      </c>
    </row>
    <row r="142" spans="1:3" x14ac:dyDescent="0.6">
      <c r="A142" s="20" t="s">
        <v>630</v>
      </c>
      <c r="B142" s="19" t="s">
        <v>631</v>
      </c>
      <c r="C142" s="19" t="s">
        <v>632</v>
      </c>
    </row>
    <row r="143" spans="1:3" ht="25.5" x14ac:dyDescent="0.6">
      <c r="A143" s="18" t="s">
        <v>633</v>
      </c>
      <c r="B143" s="17" t="s">
        <v>634</v>
      </c>
      <c r="C143" s="17" t="s">
        <v>635</v>
      </c>
    </row>
    <row r="144" spans="1:3" x14ac:dyDescent="0.6">
      <c r="A144" s="20" t="s">
        <v>636</v>
      </c>
      <c r="B144" s="19" t="s">
        <v>637</v>
      </c>
      <c r="C144" s="19" t="s">
        <v>638</v>
      </c>
    </row>
    <row r="145" spans="1:3" ht="25.5" x14ac:dyDescent="0.6">
      <c r="A145" s="20" t="s">
        <v>639</v>
      </c>
      <c r="B145" s="19" t="s">
        <v>640</v>
      </c>
      <c r="C145" s="19" t="s">
        <v>641</v>
      </c>
    </row>
    <row r="146" spans="1:3" x14ac:dyDescent="0.6">
      <c r="A146" s="20" t="s">
        <v>642</v>
      </c>
      <c r="B146" s="19" t="s">
        <v>643</v>
      </c>
      <c r="C146" s="19" t="s">
        <v>644</v>
      </c>
    </row>
    <row r="148" spans="1:3" x14ac:dyDescent="0.6">
      <c r="A148" s="16" t="s">
        <v>645</v>
      </c>
    </row>
    <row r="149" spans="1:3" x14ac:dyDescent="0.6">
      <c r="A149" s="3" t="s">
        <v>93</v>
      </c>
    </row>
    <row r="150" spans="1:3" x14ac:dyDescent="0.6">
      <c r="A150" s="12" t="s">
        <v>94</v>
      </c>
    </row>
    <row r="151" spans="1:3" x14ac:dyDescent="0.6">
      <c r="A151" s="13" t="s">
        <v>95</v>
      </c>
    </row>
    <row r="152" spans="1:3" x14ac:dyDescent="0.6">
      <c r="A152" s="14" t="s">
        <v>96</v>
      </c>
    </row>
  </sheetData>
  <phoneticPr fontId="1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4"/>
  <sheetViews>
    <sheetView showGridLines="0" workbookViewId="0">
      <pane ySplit="4" topLeftCell="A25" activePane="bottomLeft" state="frozen"/>
      <selection pane="bottomLeft" activeCell="C65" sqref="C65"/>
    </sheetView>
  </sheetViews>
  <sheetFormatPr defaultRowHeight="16.899999999999999" x14ac:dyDescent="0.6"/>
  <cols>
    <col min="1" max="1" width="9" customWidth="1"/>
    <col min="2" max="2" width="46" customWidth="1"/>
    <col min="3" max="3" width="76" customWidth="1"/>
    <col min="4" max="4" width="14" customWidth="1"/>
    <col min="5" max="5" width="10" customWidth="1"/>
  </cols>
  <sheetData>
    <row r="1" spans="1:1" ht="20.65" x14ac:dyDescent="0.6">
      <c r="A1" s="15" t="s">
        <v>646</v>
      </c>
    </row>
    <row r="2" spans="1:1" x14ac:dyDescent="0.6">
      <c r="A2" s="16" t="s">
        <v>647</v>
      </c>
    </row>
    <row r="4" spans="1:1" x14ac:dyDescent="0.6">
      <c r="A4" s="5" t="s">
        <v>648</v>
      </c>
    </row>
    <row r="5" spans="1:1" x14ac:dyDescent="0.6">
      <c r="A5" s="21" t="s">
        <v>649</v>
      </c>
    </row>
    <row r="6" spans="1:1" x14ac:dyDescent="0.6">
      <c r="A6" s="21" t="s">
        <v>650</v>
      </c>
    </row>
    <row r="7" spans="1:1" x14ac:dyDescent="0.6">
      <c r="A7" s="21" t="s">
        <v>651</v>
      </c>
    </row>
    <row r="8" spans="1:1" x14ac:dyDescent="0.6">
      <c r="A8" s="21" t="s">
        <v>652</v>
      </c>
    </row>
    <row r="9" spans="1:1" x14ac:dyDescent="0.6">
      <c r="A9" s="6"/>
    </row>
    <row r="10" spans="1:1" x14ac:dyDescent="0.6">
      <c r="A10" s="6" t="s">
        <v>653</v>
      </c>
    </row>
    <row r="11" spans="1:1" x14ac:dyDescent="0.6">
      <c r="A11" s="6"/>
    </row>
    <row r="12" spans="1:1" x14ac:dyDescent="0.6">
      <c r="A12" s="6" t="s">
        <v>654</v>
      </c>
    </row>
    <row r="13" spans="1:1" x14ac:dyDescent="0.6">
      <c r="A13" s="21" t="s">
        <v>655</v>
      </c>
    </row>
    <row r="14" spans="1:1" x14ac:dyDescent="0.6">
      <c r="A14" s="6" t="s">
        <v>656</v>
      </c>
    </row>
    <row r="15" spans="1:1" x14ac:dyDescent="0.6">
      <c r="A15" s="21" t="s">
        <v>657</v>
      </c>
    </row>
    <row r="16" spans="1:1" x14ac:dyDescent="0.6">
      <c r="A16" s="6" t="s">
        <v>658</v>
      </c>
    </row>
    <row r="17" spans="1:4" x14ac:dyDescent="0.6">
      <c r="A17" s="21" t="s">
        <v>659</v>
      </c>
    </row>
    <row r="18" spans="1:4" x14ac:dyDescent="0.6">
      <c r="A18" s="6" t="s">
        <v>660</v>
      </c>
    </row>
    <row r="19" spans="1:4" x14ac:dyDescent="0.6">
      <c r="A19" s="21" t="s">
        <v>661</v>
      </c>
    </row>
    <row r="21" spans="1:4" x14ac:dyDescent="0.6">
      <c r="A21" s="16" t="s">
        <v>662</v>
      </c>
    </row>
    <row r="23" spans="1:4" x14ac:dyDescent="0.6">
      <c r="A23" s="5" t="s">
        <v>663</v>
      </c>
    </row>
    <row r="24" spans="1:4" ht="28.05" customHeight="1" x14ac:dyDescent="0.6">
      <c r="A24" s="7" t="s">
        <v>219</v>
      </c>
      <c r="B24" s="7" t="s">
        <v>664</v>
      </c>
      <c r="C24" s="7" t="s">
        <v>665</v>
      </c>
      <c r="D24" s="7" t="s">
        <v>212</v>
      </c>
    </row>
    <row r="25" spans="1:4" x14ac:dyDescent="0.6">
      <c r="A25" s="8" t="s">
        <v>666</v>
      </c>
      <c r="B25" s="9" t="s">
        <v>667</v>
      </c>
      <c r="C25" s="9" t="s">
        <v>668</v>
      </c>
      <c r="D25" s="8" t="s">
        <v>291</v>
      </c>
    </row>
    <row r="26" spans="1:4" ht="25.5" x14ac:dyDescent="0.6">
      <c r="A26" s="10" t="s">
        <v>669</v>
      </c>
      <c r="B26" s="11" t="s">
        <v>670</v>
      </c>
      <c r="C26" s="11" t="s">
        <v>671</v>
      </c>
      <c r="D26" s="10" t="s">
        <v>291</v>
      </c>
    </row>
    <row r="27" spans="1:4" x14ac:dyDescent="0.6">
      <c r="A27" s="8" t="s">
        <v>672</v>
      </c>
      <c r="B27" s="9" t="s">
        <v>673</v>
      </c>
      <c r="C27" s="9" t="s">
        <v>674</v>
      </c>
      <c r="D27" s="8" t="s">
        <v>291</v>
      </c>
    </row>
    <row r="28" spans="1:4" x14ac:dyDescent="0.6">
      <c r="A28" s="18" t="s">
        <v>675</v>
      </c>
      <c r="B28" s="17" t="s">
        <v>676</v>
      </c>
      <c r="C28" s="17" t="s">
        <v>677</v>
      </c>
      <c r="D28" s="18" t="s">
        <v>293</v>
      </c>
    </row>
    <row r="29" spans="1:4" ht="38.25" x14ac:dyDescent="0.6">
      <c r="A29" s="20" t="s">
        <v>678</v>
      </c>
      <c r="B29" s="19" t="s">
        <v>679</v>
      </c>
      <c r="C29" s="19" t="s">
        <v>680</v>
      </c>
      <c r="D29" s="20" t="s">
        <v>300</v>
      </c>
    </row>
    <row r="30" spans="1:4" x14ac:dyDescent="0.6">
      <c r="A30" s="20" t="s">
        <v>681</v>
      </c>
      <c r="B30" s="19" t="s">
        <v>682</v>
      </c>
      <c r="C30" s="19" t="s">
        <v>683</v>
      </c>
      <c r="D30" s="20" t="s">
        <v>302</v>
      </c>
    </row>
    <row r="31" spans="1:4" x14ac:dyDescent="0.6">
      <c r="A31" s="8" t="s">
        <v>684</v>
      </c>
      <c r="B31" s="9" t="s">
        <v>685</v>
      </c>
      <c r="C31" s="9" t="s">
        <v>686</v>
      </c>
      <c r="D31" s="8" t="s">
        <v>240</v>
      </c>
    </row>
    <row r="33" spans="1:5" x14ac:dyDescent="0.6">
      <c r="A33" s="16" t="s">
        <v>687</v>
      </c>
    </row>
    <row r="35" spans="1:5" x14ac:dyDescent="0.6">
      <c r="A35" s="5" t="s">
        <v>688</v>
      </c>
    </row>
    <row r="36" spans="1:5" x14ac:dyDescent="0.6">
      <c r="A36" s="6" t="s">
        <v>689</v>
      </c>
    </row>
    <row r="37" spans="1:5" x14ac:dyDescent="0.6">
      <c r="A37" s="6" t="s">
        <v>690</v>
      </c>
    </row>
    <row r="38" spans="1:5" x14ac:dyDescent="0.6">
      <c r="A38" s="6" t="s">
        <v>691</v>
      </c>
    </row>
    <row r="39" spans="1:5" x14ac:dyDescent="0.6">
      <c r="A39" s="6" t="s">
        <v>692</v>
      </c>
    </row>
    <row r="41" spans="1:5" ht="28.05" customHeight="1" x14ac:dyDescent="0.6">
      <c r="A41" s="7" t="s">
        <v>693</v>
      </c>
      <c r="B41" s="7" t="s">
        <v>694</v>
      </c>
      <c r="C41" s="7" t="s">
        <v>695</v>
      </c>
      <c r="D41" s="7" t="s">
        <v>696</v>
      </c>
      <c r="E41" s="7" t="s">
        <v>144</v>
      </c>
    </row>
    <row r="42" spans="1:5" ht="63.75" x14ac:dyDescent="0.6">
      <c r="A42" s="18" t="s">
        <v>557</v>
      </c>
      <c r="B42" s="18" t="s">
        <v>697</v>
      </c>
      <c r="C42" s="17" t="s">
        <v>698</v>
      </c>
      <c r="D42" s="17" t="s">
        <v>699</v>
      </c>
      <c r="E42" s="18" t="s">
        <v>315</v>
      </c>
    </row>
    <row r="43" spans="1:5" ht="63.75" x14ac:dyDescent="0.6">
      <c r="A43" s="18" t="s">
        <v>235</v>
      </c>
      <c r="B43" s="18" t="s">
        <v>700</v>
      </c>
      <c r="C43" s="17" t="s">
        <v>701</v>
      </c>
      <c r="D43" s="17" t="s">
        <v>702</v>
      </c>
      <c r="E43" s="18" t="s">
        <v>315</v>
      </c>
    </row>
    <row r="44" spans="1:5" ht="38.25" x14ac:dyDescent="0.6">
      <c r="A44" s="8" t="s">
        <v>569</v>
      </c>
      <c r="B44" s="8" t="s">
        <v>703</v>
      </c>
      <c r="C44" s="9" t="s">
        <v>704</v>
      </c>
      <c r="D44" s="9" t="s">
        <v>705</v>
      </c>
      <c r="E44" s="8" t="s">
        <v>706</v>
      </c>
    </row>
    <row r="45" spans="1:5" x14ac:dyDescent="0.6">
      <c r="A45" s="10" t="s">
        <v>222</v>
      </c>
      <c r="B45" s="10" t="s">
        <v>707</v>
      </c>
      <c r="C45" s="11" t="s">
        <v>708</v>
      </c>
      <c r="D45" s="11" t="s">
        <v>709</v>
      </c>
      <c r="E45" s="10" t="s">
        <v>710</v>
      </c>
    </row>
    <row r="46" spans="1:5" ht="25.5" x14ac:dyDescent="0.6">
      <c r="A46" s="8" t="s">
        <v>711</v>
      </c>
      <c r="B46" s="8" t="s">
        <v>712</v>
      </c>
      <c r="C46" s="9" t="s">
        <v>713</v>
      </c>
      <c r="D46" s="9" t="s">
        <v>714</v>
      </c>
      <c r="E46" s="8" t="s">
        <v>312</v>
      </c>
    </row>
    <row r="47" spans="1:5" ht="76.5" x14ac:dyDescent="0.6">
      <c r="A47" s="18" t="s">
        <v>715</v>
      </c>
      <c r="B47" s="18" t="s">
        <v>716</v>
      </c>
      <c r="C47" s="17" t="s">
        <v>717</v>
      </c>
      <c r="D47" s="17" t="s">
        <v>718</v>
      </c>
      <c r="E47" s="18" t="s">
        <v>315</v>
      </c>
    </row>
    <row r="48" spans="1:5" ht="38.25" x14ac:dyDescent="0.6">
      <c r="A48" s="20" t="s">
        <v>719</v>
      </c>
      <c r="B48" s="20" t="s">
        <v>720</v>
      </c>
      <c r="C48" s="19" t="s">
        <v>721</v>
      </c>
      <c r="D48" s="19" t="s">
        <v>722</v>
      </c>
      <c r="E48" s="20" t="s">
        <v>315</v>
      </c>
    </row>
    <row r="50" spans="1:3" x14ac:dyDescent="0.6">
      <c r="A50" s="16" t="s">
        <v>723</v>
      </c>
    </row>
    <row r="52" spans="1:3" x14ac:dyDescent="0.6">
      <c r="A52" s="16" t="s">
        <v>724</v>
      </c>
    </row>
    <row r="54" spans="1:3" x14ac:dyDescent="0.6">
      <c r="A54" s="5" t="s">
        <v>725</v>
      </c>
    </row>
    <row r="55" spans="1:3" x14ac:dyDescent="0.6">
      <c r="A55" s="6" t="s">
        <v>726</v>
      </c>
    </row>
    <row r="56" spans="1:3" x14ac:dyDescent="0.6">
      <c r="A56" s="6" t="s">
        <v>727</v>
      </c>
    </row>
    <row r="57" spans="1:3" x14ac:dyDescent="0.6">
      <c r="A57" s="6" t="s">
        <v>728</v>
      </c>
    </row>
    <row r="59" spans="1:3" ht="28.05" customHeight="1" x14ac:dyDescent="0.6">
      <c r="A59" s="7" t="s">
        <v>729</v>
      </c>
      <c r="B59" s="7" t="s">
        <v>730</v>
      </c>
      <c r="C59" s="7" t="s">
        <v>731</v>
      </c>
    </row>
    <row r="60" spans="1:3" ht="76.5" x14ac:dyDescent="0.6">
      <c r="A60" s="9" t="s">
        <v>732</v>
      </c>
      <c r="B60" s="9" t="s">
        <v>733</v>
      </c>
      <c r="C60" s="9" t="s">
        <v>734</v>
      </c>
    </row>
    <row r="61" spans="1:3" ht="76.5" x14ac:dyDescent="0.6">
      <c r="A61" s="11" t="s">
        <v>735</v>
      </c>
      <c r="B61" s="11" t="s">
        <v>736</v>
      </c>
      <c r="C61" s="11" t="s">
        <v>737</v>
      </c>
    </row>
    <row r="62" spans="1:3" ht="38.25" x14ac:dyDescent="0.6">
      <c r="A62" s="9" t="s">
        <v>738</v>
      </c>
      <c r="B62" s="9" t="s">
        <v>739</v>
      </c>
      <c r="C62" s="9" t="s">
        <v>740</v>
      </c>
    </row>
    <row r="63" spans="1:3" ht="51" x14ac:dyDescent="0.6">
      <c r="A63" s="11" t="s">
        <v>741</v>
      </c>
      <c r="B63" s="11" t="s">
        <v>742</v>
      </c>
      <c r="C63" s="11" t="s">
        <v>743</v>
      </c>
    </row>
    <row r="64" spans="1:3" ht="63.75" x14ac:dyDescent="0.6">
      <c r="A64" s="9" t="s">
        <v>744</v>
      </c>
      <c r="B64" s="9" t="s">
        <v>745</v>
      </c>
      <c r="C64" s="9" t="s">
        <v>746</v>
      </c>
    </row>
    <row r="65" spans="1:3" ht="63.75" x14ac:dyDescent="0.6">
      <c r="A65" s="11" t="s">
        <v>747</v>
      </c>
      <c r="B65" s="11" t="s">
        <v>748</v>
      </c>
      <c r="C65" s="11" t="s">
        <v>749</v>
      </c>
    </row>
    <row r="66" spans="1:3" ht="63.75" x14ac:dyDescent="0.6">
      <c r="A66" s="9" t="s">
        <v>750</v>
      </c>
      <c r="B66" s="9" t="s">
        <v>733</v>
      </c>
      <c r="C66" s="9" t="s">
        <v>734</v>
      </c>
    </row>
    <row r="67" spans="1:3" ht="51" x14ac:dyDescent="0.6">
      <c r="A67" s="11" t="s">
        <v>751</v>
      </c>
      <c r="B67" s="11" t="s">
        <v>752</v>
      </c>
      <c r="C67" s="11" t="s">
        <v>753</v>
      </c>
    </row>
    <row r="69" spans="1:3" x14ac:dyDescent="0.6">
      <c r="A69" s="16" t="s">
        <v>754</v>
      </c>
    </row>
    <row r="71" spans="1:3" x14ac:dyDescent="0.6">
      <c r="A71" s="5" t="s">
        <v>755</v>
      </c>
    </row>
    <row r="72" spans="1:3" ht="28.05" customHeight="1" x14ac:dyDescent="0.6">
      <c r="A72" s="7" t="s">
        <v>756</v>
      </c>
      <c r="B72" s="7" t="s">
        <v>757</v>
      </c>
      <c r="C72" s="7" t="s">
        <v>758</v>
      </c>
    </row>
    <row r="73" spans="1:3" ht="25.5" x14ac:dyDescent="0.6">
      <c r="A73" s="8" t="s">
        <v>408</v>
      </c>
      <c r="B73" s="9" t="s">
        <v>759</v>
      </c>
      <c r="C73" s="9"/>
    </row>
    <row r="74" spans="1:3" x14ac:dyDescent="0.6">
      <c r="A74" s="10" t="s">
        <v>539</v>
      </c>
      <c r="B74" s="11" t="s">
        <v>760</v>
      </c>
      <c r="C74" s="11" t="s">
        <v>761</v>
      </c>
    </row>
    <row r="75" spans="1:3" x14ac:dyDescent="0.6">
      <c r="A75" s="8" t="s">
        <v>762</v>
      </c>
      <c r="B75" s="9" t="s">
        <v>763</v>
      </c>
      <c r="C75" s="9" t="s">
        <v>764</v>
      </c>
    </row>
    <row r="76" spans="1:3" ht="25.5" x14ac:dyDescent="0.6">
      <c r="A76" s="10" t="s">
        <v>765</v>
      </c>
      <c r="B76" s="11" t="s">
        <v>766</v>
      </c>
      <c r="C76" s="11" t="s">
        <v>767</v>
      </c>
    </row>
    <row r="77" spans="1:3" x14ac:dyDescent="0.6">
      <c r="A77" s="8" t="s">
        <v>512</v>
      </c>
      <c r="B77" s="9" t="s">
        <v>768</v>
      </c>
      <c r="C77" s="9" t="s">
        <v>769</v>
      </c>
    </row>
    <row r="78" spans="1:3" x14ac:dyDescent="0.6">
      <c r="A78" s="10" t="s">
        <v>770</v>
      </c>
      <c r="B78" s="11" t="s">
        <v>771</v>
      </c>
      <c r="C78" s="11" t="s">
        <v>772</v>
      </c>
    </row>
    <row r="79" spans="1:3" x14ac:dyDescent="0.6">
      <c r="A79" s="8" t="s">
        <v>773</v>
      </c>
      <c r="B79" s="9" t="s">
        <v>774</v>
      </c>
      <c r="C79" s="9" t="s">
        <v>775</v>
      </c>
    </row>
    <row r="80" spans="1:3" x14ac:dyDescent="0.6">
      <c r="A80" s="10" t="s">
        <v>776</v>
      </c>
      <c r="B80" s="11" t="s">
        <v>777</v>
      </c>
      <c r="C80" s="11" t="s">
        <v>778</v>
      </c>
    </row>
    <row r="81" spans="1:4" x14ac:dyDescent="0.6">
      <c r="A81" s="8" t="s">
        <v>779</v>
      </c>
      <c r="B81" s="9" t="s">
        <v>780</v>
      </c>
      <c r="C81" s="9" t="s">
        <v>781</v>
      </c>
    </row>
    <row r="82" spans="1:4" x14ac:dyDescent="0.6">
      <c r="A82" s="10" t="s">
        <v>782</v>
      </c>
      <c r="B82" s="11" t="s">
        <v>783</v>
      </c>
      <c r="C82" s="11" t="s">
        <v>784</v>
      </c>
    </row>
    <row r="83" spans="1:4" ht="25.5" x14ac:dyDescent="0.6">
      <c r="A83" s="8" t="s">
        <v>785</v>
      </c>
      <c r="B83" s="9" t="s">
        <v>786</v>
      </c>
      <c r="C83" s="9" t="s">
        <v>787</v>
      </c>
    </row>
    <row r="85" spans="1:4" x14ac:dyDescent="0.6">
      <c r="A85" s="16" t="s">
        <v>788</v>
      </c>
    </row>
    <row r="87" spans="1:4" x14ac:dyDescent="0.6">
      <c r="A87" s="5" t="s">
        <v>789</v>
      </c>
    </row>
    <row r="88" spans="1:4" ht="28.05" customHeight="1" x14ac:dyDescent="0.6">
      <c r="A88" s="7" t="s">
        <v>141</v>
      </c>
      <c r="B88" s="7" t="s">
        <v>790</v>
      </c>
      <c r="C88" s="7" t="s">
        <v>791</v>
      </c>
      <c r="D88" s="7" t="s">
        <v>8</v>
      </c>
    </row>
    <row r="89" spans="1:4" x14ac:dyDescent="0.6">
      <c r="A89" s="8" t="s">
        <v>792</v>
      </c>
      <c r="B89" s="9" t="s">
        <v>793</v>
      </c>
      <c r="C89" s="9" t="s">
        <v>794</v>
      </c>
      <c r="D89" s="8" t="s">
        <v>795</v>
      </c>
    </row>
    <row r="90" spans="1:4" ht="25.5" x14ac:dyDescent="0.6">
      <c r="A90" s="10" t="s">
        <v>796</v>
      </c>
      <c r="B90" s="11" t="s">
        <v>797</v>
      </c>
      <c r="C90" s="11" t="s">
        <v>798</v>
      </c>
      <c r="D90" s="10" t="s">
        <v>795</v>
      </c>
    </row>
    <row r="91" spans="1:4" ht="25.5" x14ac:dyDescent="0.6">
      <c r="A91" s="18" t="s">
        <v>799</v>
      </c>
      <c r="B91" s="17" t="s">
        <v>800</v>
      </c>
      <c r="C91" s="17" t="s">
        <v>801</v>
      </c>
      <c r="D91" s="18" t="s">
        <v>795</v>
      </c>
    </row>
    <row r="92" spans="1:4" x14ac:dyDescent="0.6">
      <c r="A92" s="18" t="s">
        <v>802</v>
      </c>
      <c r="B92" s="17" t="s">
        <v>803</v>
      </c>
      <c r="C92" s="17" t="s">
        <v>804</v>
      </c>
      <c r="D92" s="18" t="s">
        <v>795</v>
      </c>
    </row>
    <row r="93" spans="1:4" x14ac:dyDescent="0.6">
      <c r="A93" s="18" t="s">
        <v>805</v>
      </c>
      <c r="B93" s="17" t="s">
        <v>806</v>
      </c>
      <c r="C93" s="17" t="s">
        <v>807</v>
      </c>
      <c r="D93" s="18" t="s">
        <v>795</v>
      </c>
    </row>
    <row r="94" spans="1:4" ht="25.5" x14ac:dyDescent="0.6">
      <c r="A94" s="20" t="s">
        <v>808</v>
      </c>
      <c r="B94" s="19" t="s">
        <v>809</v>
      </c>
      <c r="C94" s="19" t="s">
        <v>810</v>
      </c>
      <c r="D94" s="20" t="s">
        <v>811</v>
      </c>
    </row>
    <row r="95" spans="1:4" ht="25.5" x14ac:dyDescent="0.6">
      <c r="A95" s="20" t="s">
        <v>812</v>
      </c>
      <c r="B95" s="19" t="s">
        <v>813</v>
      </c>
      <c r="C95" s="19" t="s">
        <v>814</v>
      </c>
      <c r="D95" s="20" t="s">
        <v>811</v>
      </c>
    </row>
    <row r="96" spans="1:4" x14ac:dyDescent="0.6">
      <c r="A96" s="20" t="s">
        <v>815</v>
      </c>
      <c r="B96" s="19" t="s">
        <v>816</v>
      </c>
      <c r="C96" s="19" t="s">
        <v>817</v>
      </c>
      <c r="D96" s="20" t="s">
        <v>811</v>
      </c>
    </row>
    <row r="97" spans="1:4" ht="25.5" x14ac:dyDescent="0.6">
      <c r="A97" s="20" t="s">
        <v>818</v>
      </c>
      <c r="B97" s="19" t="s">
        <v>819</v>
      </c>
      <c r="C97" s="19" t="s">
        <v>820</v>
      </c>
      <c r="D97" s="20" t="s">
        <v>811</v>
      </c>
    </row>
    <row r="98" spans="1:4" ht="25.5" x14ac:dyDescent="0.6">
      <c r="A98" s="20" t="s">
        <v>821</v>
      </c>
      <c r="B98" s="19" t="s">
        <v>822</v>
      </c>
      <c r="C98" s="19" t="s">
        <v>823</v>
      </c>
      <c r="D98" s="20" t="s">
        <v>811</v>
      </c>
    </row>
    <row r="99" spans="1:4" ht="38.25" x14ac:dyDescent="0.6">
      <c r="A99" s="20" t="s">
        <v>824</v>
      </c>
      <c r="B99" s="19" t="s">
        <v>825</v>
      </c>
      <c r="C99" s="19" t="s">
        <v>826</v>
      </c>
      <c r="D99" s="20" t="s">
        <v>811</v>
      </c>
    </row>
    <row r="101" spans="1:4" x14ac:dyDescent="0.6">
      <c r="A101" s="3" t="s">
        <v>93</v>
      </c>
    </row>
    <row r="102" spans="1:4" x14ac:dyDescent="0.6">
      <c r="A102" s="12" t="s">
        <v>94</v>
      </c>
    </row>
    <row r="103" spans="1:4" x14ac:dyDescent="0.6">
      <c r="A103" s="13" t="s">
        <v>95</v>
      </c>
    </row>
    <row r="104" spans="1:4" x14ac:dyDescent="0.6">
      <c r="A104" s="14" t="s">
        <v>96</v>
      </c>
    </row>
  </sheetData>
  <phoneticPr fontId="10"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9"/>
  <sheetViews>
    <sheetView showGridLines="0" workbookViewId="0">
      <pane ySplit="4" topLeftCell="A17" activePane="bottomLeft" state="frozen"/>
      <selection pane="bottomLeft"/>
    </sheetView>
  </sheetViews>
  <sheetFormatPr defaultRowHeight="16.899999999999999" x14ac:dyDescent="0.6"/>
  <cols>
    <col min="1" max="1" width="146" customWidth="1"/>
    <col min="2" max="3" width="22" customWidth="1"/>
  </cols>
  <sheetData>
    <row r="1" spans="1:3" ht="20.65" x14ac:dyDescent="0.6">
      <c r="A1" s="15" t="s">
        <v>827</v>
      </c>
    </row>
    <row r="2" spans="1:3" x14ac:dyDescent="0.6">
      <c r="A2" s="16" t="s">
        <v>828</v>
      </c>
    </row>
    <row r="4" spans="1:3" x14ac:dyDescent="0.6">
      <c r="A4" s="5" t="s">
        <v>829</v>
      </c>
    </row>
    <row r="5" spans="1:3" ht="28.05" customHeight="1" x14ac:dyDescent="0.6">
      <c r="A5" s="7" t="s">
        <v>830</v>
      </c>
      <c r="B5" s="7" t="s">
        <v>831</v>
      </c>
      <c r="C5" s="7" t="s">
        <v>212</v>
      </c>
    </row>
    <row r="6" spans="1:3" ht="114.75" x14ac:dyDescent="0.6">
      <c r="A6" s="18" t="s">
        <v>832</v>
      </c>
      <c r="B6" s="17" t="s">
        <v>833</v>
      </c>
      <c r="C6" s="18" t="s">
        <v>834</v>
      </c>
    </row>
    <row r="7" spans="1:3" ht="63.75" x14ac:dyDescent="0.6">
      <c r="A7" s="10" t="s">
        <v>835</v>
      </c>
      <c r="B7" s="11" t="s">
        <v>836</v>
      </c>
      <c r="C7" s="10" t="s">
        <v>319</v>
      </c>
    </row>
    <row r="8" spans="1:3" ht="89.25" x14ac:dyDescent="0.6">
      <c r="A8" s="18" t="s">
        <v>837</v>
      </c>
      <c r="B8" s="17" t="s">
        <v>838</v>
      </c>
      <c r="C8" s="18" t="s">
        <v>839</v>
      </c>
    </row>
    <row r="9" spans="1:3" ht="51" x14ac:dyDescent="0.6">
      <c r="A9" s="10" t="s">
        <v>840</v>
      </c>
      <c r="B9" s="11" t="s">
        <v>841</v>
      </c>
      <c r="C9" s="10" t="s">
        <v>323</v>
      </c>
    </row>
    <row r="10" spans="1:3" ht="51" x14ac:dyDescent="0.6">
      <c r="A10" s="18" t="s">
        <v>842</v>
      </c>
      <c r="B10" s="17" t="s">
        <v>843</v>
      </c>
      <c r="C10" s="18" t="s">
        <v>844</v>
      </c>
    </row>
    <row r="11" spans="1:3" ht="51" x14ac:dyDescent="0.6">
      <c r="A11" s="10" t="s">
        <v>845</v>
      </c>
      <c r="B11" s="11" t="s">
        <v>846</v>
      </c>
      <c r="C11" s="10" t="s">
        <v>847</v>
      </c>
    </row>
    <row r="12" spans="1:3" ht="63.75" x14ac:dyDescent="0.6">
      <c r="A12" s="18" t="s">
        <v>848</v>
      </c>
      <c r="B12" s="17" t="s">
        <v>849</v>
      </c>
      <c r="C12" s="18" t="s">
        <v>335</v>
      </c>
    </row>
    <row r="14" spans="1:3" x14ac:dyDescent="0.6">
      <c r="A14" s="5" t="s">
        <v>850</v>
      </c>
    </row>
    <row r="15" spans="1:3" ht="28.05" customHeight="1" x14ac:dyDescent="0.6">
      <c r="A15" s="7" t="s">
        <v>830</v>
      </c>
      <c r="B15" s="7" t="s">
        <v>831</v>
      </c>
      <c r="C15" s="7" t="s">
        <v>212</v>
      </c>
    </row>
    <row r="16" spans="1:3" ht="63.75" x14ac:dyDescent="0.6">
      <c r="A16" s="18" t="s">
        <v>851</v>
      </c>
      <c r="B16" s="17" t="s">
        <v>852</v>
      </c>
      <c r="C16" s="18" t="s">
        <v>325</v>
      </c>
    </row>
    <row r="17" spans="1:3" ht="25.5" x14ac:dyDescent="0.6">
      <c r="A17" s="10" t="s">
        <v>853</v>
      </c>
      <c r="B17" s="11" t="s">
        <v>854</v>
      </c>
      <c r="C17" s="10" t="s">
        <v>246</v>
      </c>
    </row>
    <row r="18" spans="1:3" ht="38.25" x14ac:dyDescent="0.6">
      <c r="A18" s="18" t="s">
        <v>855</v>
      </c>
      <c r="B18" s="17" t="s">
        <v>856</v>
      </c>
      <c r="C18" s="18" t="s">
        <v>243</v>
      </c>
    </row>
    <row r="19" spans="1:3" ht="25.5" x14ac:dyDescent="0.6">
      <c r="A19" s="10" t="s">
        <v>857</v>
      </c>
      <c r="B19" s="11" t="s">
        <v>858</v>
      </c>
      <c r="C19" s="10" t="s">
        <v>331</v>
      </c>
    </row>
    <row r="21" spans="1:3" x14ac:dyDescent="0.6">
      <c r="A21" s="5" t="s">
        <v>859</v>
      </c>
    </row>
    <row r="22" spans="1:3" ht="28.05" customHeight="1" x14ac:dyDescent="0.6">
      <c r="A22" s="7" t="s">
        <v>830</v>
      </c>
      <c r="B22" s="7" t="s">
        <v>831</v>
      </c>
      <c r="C22" s="7" t="s">
        <v>212</v>
      </c>
    </row>
    <row r="23" spans="1:3" ht="51" x14ac:dyDescent="0.6">
      <c r="A23" s="18" t="s">
        <v>860</v>
      </c>
      <c r="B23" s="17" t="s">
        <v>861</v>
      </c>
      <c r="C23" s="18" t="s">
        <v>327</v>
      </c>
    </row>
    <row r="24" spans="1:3" ht="38.25" x14ac:dyDescent="0.6">
      <c r="A24" s="18" t="s">
        <v>862</v>
      </c>
      <c r="B24" s="17" t="s">
        <v>863</v>
      </c>
      <c r="C24" s="18" t="s">
        <v>864</v>
      </c>
    </row>
    <row r="25" spans="1:3" ht="25.5" x14ac:dyDescent="0.6">
      <c r="A25" s="8" t="s">
        <v>865</v>
      </c>
      <c r="B25" s="9" t="s">
        <v>866</v>
      </c>
      <c r="C25" s="8" t="s">
        <v>278</v>
      </c>
    </row>
    <row r="26" spans="1:3" ht="25.5" x14ac:dyDescent="0.6">
      <c r="A26" s="10" t="s">
        <v>857</v>
      </c>
      <c r="B26" s="11" t="s">
        <v>858</v>
      </c>
      <c r="C26" s="10" t="s">
        <v>331</v>
      </c>
    </row>
    <row r="28" spans="1:3" x14ac:dyDescent="0.6">
      <c r="A28" s="5" t="s">
        <v>867</v>
      </c>
    </row>
    <row r="29" spans="1:3" ht="28.05" customHeight="1" x14ac:dyDescent="0.6">
      <c r="A29" s="7" t="s">
        <v>581</v>
      </c>
      <c r="B29" s="7" t="s">
        <v>212</v>
      </c>
    </row>
    <row r="30" spans="1:3" x14ac:dyDescent="0.6">
      <c r="A30" s="17" t="s">
        <v>868</v>
      </c>
      <c r="B30" s="18" t="s">
        <v>170</v>
      </c>
    </row>
    <row r="31" spans="1:3" x14ac:dyDescent="0.6">
      <c r="A31" s="11" t="s">
        <v>869</v>
      </c>
      <c r="B31" s="10" t="s">
        <v>353</v>
      </c>
    </row>
    <row r="32" spans="1:3" x14ac:dyDescent="0.6">
      <c r="A32" s="9" t="s">
        <v>870</v>
      </c>
      <c r="B32" s="8" t="s">
        <v>353</v>
      </c>
    </row>
    <row r="33" spans="1:2" x14ac:dyDescent="0.6">
      <c r="A33" s="17" t="s">
        <v>871</v>
      </c>
      <c r="B33" s="18" t="s">
        <v>356</v>
      </c>
    </row>
    <row r="34" spans="1:2" x14ac:dyDescent="0.6">
      <c r="A34" s="9" t="s">
        <v>872</v>
      </c>
      <c r="B34" s="8" t="s">
        <v>356</v>
      </c>
    </row>
    <row r="35" spans="1:2" x14ac:dyDescent="0.6">
      <c r="A35" s="19" t="s">
        <v>873</v>
      </c>
      <c r="B35" s="20" t="s">
        <v>874</v>
      </c>
    </row>
    <row r="36" spans="1:2" x14ac:dyDescent="0.6">
      <c r="A36" s="19" t="s">
        <v>875</v>
      </c>
      <c r="B36" s="20" t="s">
        <v>821</v>
      </c>
    </row>
    <row r="37" spans="1:2" x14ac:dyDescent="0.6">
      <c r="A37" s="11" t="s">
        <v>876</v>
      </c>
      <c r="B37" s="10" t="s">
        <v>877</v>
      </c>
    </row>
    <row r="38" spans="1:2" x14ac:dyDescent="0.6">
      <c r="A38" s="9" t="s">
        <v>878</v>
      </c>
      <c r="B38" s="8" t="s">
        <v>879</v>
      </c>
    </row>
    <row r="40" spans="1:2" x14ac:dyDescent="0.6">
      <c r="A40" s="5" t="s">
        <v>880</v>
      </c>
    </row>
    <row r="41" spans="1:2" ht="28.05" customHeight="1" x14ac:dyDescent="0.6">
      <c r="A41" s="7" t="s">
        <v>581</v>
      </c>
    </row>
    <row r="42" spans="1:2" x14ac:dyDescent="0.6">
      <c r="A42" s="9" t="s">
        <v>881</v>
      </c>
    </row>
    <row r="43" spans="1:2" x14ac:dyDescent="0.6">
      <c r="A43" s="11" t="s">
        <v>882</v>
      </c>
    </row>
    <row r="44" spans="1:2" x14ac:dyDescent="0.6">
      <c r="A44" s="9" t="s">
        <v>883</v>
      </c>
    </row>
    <row r="46" spans="1:2" x14ac:dyDescent="0.6">
      <c r="A46" s="3" t="s">
        <v>93</v>
      </c>
    </row>
    <row r="47" spans="1:2" x14ac:dyDescent="0.6">
      <c r="A47" s="12" t="s">
        <v>94</v>
      </c>
    </row>
    <row r="48" spans="1:2" x14ac:dyDescent="0.6">
      <c r="A48" s="13" t="s">
        <v>95</v>
      </c>
    </row>
    <row r="49" spans="1:1" x14ac:dyDescent="0.6">
      <c r="A49" s="14" t="s">
        <v>96</v>
      </c>
    </row>
  </sheetData>
  <phoneticPr fontId="10"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1"/>
  <sheetViews>
    <sheetView showGridLines="0" workbookViewId="0">
      <pane ySplit="3" topLeftCell="A36" activePane="bottomLeft" state="frozen"/>
      <selection pane="bottomLeft"/>
    </sheetView>
  </sheetViews>
  <sheetFormatPr defaultRowHeight="16.899999999999999" x14ac:dyDescent="0.6"/>
  <cols>
    <col min="1" max="1" width="146" customWidth="1"/>
    <col min="2" max="2" width="66" customWidth="1"/>
    <col min="3" max="3" width="64" customWidth="1"/>
    <col min="4" max="4" width="48" customWidth="1"/>
    <col min="5" max="5" width="18" customWidth="1"/>
  </cols>
  <sheetData>
    <row r="1" spans="1:5" ht="20.65" x14ac:dyDescent="0.6">
      <c r="A1" s="15" t="s">
        <v>884</v>
      </c>
    </row>
    <row r="3" spans="1:5" x14ac:dyDescent="0.6">
      <c r="A3" s="5" t="s">
        <v>885</v>
      </c>
    </row>
    <row r="4" spans="1:5" x14ac:dyDescent="0.6">
      <c r="A4" s="6" t="s">
        <v>886</v>
      </c>
    </row>
    <row r="5" spans="1:5" x14ac:dyDescent="0.6">
      <c r="A5" s="6" t="s">
        <v>887</v>
      </c>
    </row>
    <row r="7" spans="1:5" ht="28.05" customHeight="1" x14ac:dyDescent="0.6">
      <c r="A7" s="7" t="s">
        <v>888</v>
      </c>
      <c r="B7" s="7" t="s">
        <v>889</v>
      </c>
      <c r="C7" s="7" t="s">
        <v>890</v>
      </c>
      <c r="D7" s="7" t="s">
        <v>891</v>
      </c>
      <c r="E7" s="7" t="s">
        <v>892</v>
      </c>
    </row>
    <row r="8" spans="1:5" ht="25.5" x14ac:dyDescent="0.6">
      <c r="A8" s="8" t="s">
        <v>893</v>
      </c>
      <c r="B8" s="9" t="s">
        <v>894</v>
      </c>
      <c r="C8" s="9" t="s">
        <v>895</v>
      </c>
      <c r="D8" s="9" t="s">
        <v>896</v>
      </c>
      <c r="E8" s="8" t="s">
        <v>897</v>
      </c>
    </row>
    <row r="9" spans="1:5" ht="25.5" x14ac:dyDescent="0.6">
      <c r="A9" s="10" t="s">
        <v>898</v>
      </c>
      <c r="B9" s="11" t="s">
        <v>899</v>
      </c>
      <c r="C9" s="11" t="s">
        <v>900</v>
      </c>
      <c r="D9" s="11" t="s">
        <v>901</v>
      </c>
      <c r="E9" s="10" t="s">
        <v>902</v>
      </c>
    </row>
    <row r="10" spans="1:5" ht="25.5" x14ac:dyDescent="0.6">
      <c r="A10" s="8" t="s">
        <v>903</v>
      </c>
      <c r="B10" s="9" t="s">
        <v>904</v>
      </c>
      <c r="C10" s="9" t="s">
        <v>905</v>
      </c>
      <c r="D10" s="9" t="s">
        <v>906</v>
      </c>
      <c r="E10" s="8" t="s">
        <v>902</v>
      </c>
    </row>
    <row r="12" spans="1:5" x14ac:dyDescent="0.6">
      <c r="A12" s="16" t="s">
        <v>907</v>
      </c>
    </row>
    <row r="13" spans="1:5" x14ac:dyDescent="0.6">
      <c r="A13" s="5" t="s">
        <v>908</v>
      </c>
    </row>
    <row r="14" spans="1:5" ht="28.05" customHeight="1" x14ac:dyDescent="0.6">
      <c r="A14" s="7" t="s">
        <v>909</v>
      </c>
      <c r="B14" s="7" t="s">
        <v>910</v>
      </c>
      <c r="C14" s="7" t="s">
        <v>212</v>
      </c>
    </row>
    <row r="15" spans="1:5" x14ac:dyDescent="0.6">
      <c r="A15" s="8" t="s">
        <v>911</v>
      </c>
      <c r="B15" s="9" t="s">
        <v>912</v>
      </c>
      <c r="C15" s="8" t="s">
        <v>218</v>
      </c>
    </row>
    <row r="16" spans="1:5" x14ac:dyDescent="0.6">
      <c r="A16" s="10" t="s">
        <v>913</v>
      </c>
      <c r="B16" s="11" t="s">
        <v>914</v>
      </c>
      <c r="C16" s="10" t="s">
        <v>915</v>
      </c>
    </row>
    <row r="17" spans="1:3" ht="25.5" x14ac:dyDescent="0.6">
      <c r="A17" s="8" t="s">
        <v>916</v>
      </c>
      <c r="B17" s="9" t="s">
        <v>917</v>
      </c>
      <c r="C17" s="8" t="s">
        <v>918</v>
      </c>
    </row>
    <row r="18" spans="1:3" x14ac:dyDescent="0.6">
      <c r="A18" s="10" t="s">
        <v>919</v>
      </c>
      <c r="B18" s="11" t="s">
        <v>920</v>
      </c>
      <c r="C18" s="10" t="s">
        <v>223</v>
      </c>
    </row>
    <row r="19" spans="1:3" x14ac:dyDescent="0.6">
      <c r="A19" s="8" t="s">
        <v>921</v>
      </c>
      <c r="B19" s="9" t="s">
        <v>922</v>
      </c>
      <c r="C19" s="8" t="s">
        <v>218</v>
      </c>
    </row>
    <row r="20" spans="1:3" ht="25.5" x14ac:dyDescent="0.6">
      <c r="A20" s="10" t="s">
        <v>923</v>
      </c>
      <c r="B20" s="11" t="s">
        <v>924</v>
      </c>
      <c r="C20" s="10" t="s">
        <v>349</v>
      </c>
    </row>
    <row r="22" spans="1:3" x14ac:dyDescent="0.6">
      <c r="A22" s="5" t="s">
        <v>925</v>
      </c>
    </row>
    <row r="23" spans="1:3" ht="28.05" customHeight="1" x14ac:dyDescent="0.6">
      <c r="A23" s="7" t="s">
        <v>926</v>
      </c>
      <c r="B23" s="7" t="s">
        <v>927</v>
      </c>
      <c r="C23" s="7" t="s">
        <v>928</v>
      </c>
    </row>
    <row r="24" spans="1:3" x14ac:dyDescent="0.6">
      <c r="A24" s="8" t="s">
        <v>929</v>
      </c>
      <c r="B24" s="9" t="s">
        <v>930</v>
      </c>
      <c r="C24" s="9" t="s">
        <v>931</v>
      </c>
    </row>
    <row r="25" spans="1:3" x14ac:dyDescent="0.6">
      <c r="A25" s="10" t="s">
        <v>932</v>
      </c>
      <c r="B25" s="11" t="s">
        <v>933</v>
      </c>
      <c r="C25" s="11" t="s">
        <v>934</v>
      </c>
    </row>
    <row r="26" spans="1:3" ht="25.5" x14ac:dyDescent="0.6">
      <c r="A26" s="8" t="s">
        <v>935</v>
      </c>
      <c r="B26" s="9" t="s">
        <v>936</v>
      </c>
      <c r="C26" s="9" t="s">
        <v>937</v>
      </c>
    </row>
    <row r="27" spans="1:3" ht="25.5" x14ac:dyDescent="0.6">
      <c r="A27" s="20" t="s">
        <v>938</v>
      </c>
      <c r="B27" s="19" t="s">
        <v>939</v>
      </c>
      <c r="C27" s="19" t="s">
        <v>940</v>
      </c>
    </row>
    <row r="28" spans="1:3" ht="25.5" x14ac:dyDescent="0.6">
      <c r="A28" s="18" t="s">
        <v>941</v>
      </c>
      <c r="B28" s="17" t="s">
        <v>942</v>
      </c>
      <c r="C28" s="17" t="s">
        <v>943</v>
      </c>
    </row>
    <row r="29" spans="1:3" x14ac:dyDescent="0.6">
      <c r="A29" s="18" t="s">
        <v>944</v>
      </c>
      <c r="B29" s="17" t="s">
        <v>945</v>
      </c>
      <c r="C29" s="17" t="s">
        <v>946</v>
      </c>
    </row>
    <row r="31" spans="1:3" x14ac:dyDescent="0.6">
      <c r="A31" s="16" t="s">
        <v>947</v>
      </c>
    </row>
    <row r="32" spans="1:3" x14ac:dyDescent="0.6">
      <c r="A32" s="5" t="s">
        <v>948</v>
      </c>
    </row>
    <row r="33" spans="1:1" ht="28.05" customHeight="1" x14ac:dyDescent="0.6">
      <c r="A33" s="7" t="s">
        <v>949</v>
      </c>
    </row>
    <row r="34" spans="1:1" x14ac:dyDescent="0.6">
      <c r="A34" s="17" t="s">
        <v>950</v>
      </c>
    </row>
    <row r="35" spans="1:1" x14ac:dyDescent="0.6">
      <c r="A35" s="11" t="s">
        <v>951</v>
      </c>
    </row>
    <row r="36" spans="1:1" x14ac:dyDescent="0.6">
      <c r="A36" s="9" t="s">
        <v>952</v>
      </c>
    </row>
    <row r="38" spans="1:1" x14ac:dyDescent="0.6">
      <c r="A38" s="3" t="s">
        <v>93</v>
      </c>
    </row>
    <row r="39" spans="1:1" x14ac:dyDescent="0.6">
      <c r="A39" s="12" t="s">
        <v>94</v>
      </c>
    </row>
    <row r="40" spans="1:1" x14ac:dyDescent="0.6">
      <c r="A40" s="13" t="s">
        <v>95</v>
      </c>
    </row>
    <row r="41" spans="1:1" x14ac:dyDescent="0.6">
      <c r="A41" s="14" t="s">
        <v>96</v>
      </c>
    </row>
  </sheetData>
  <phoneticPr fontId="10"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4"/>
  <sheetViews>
    <sheetView showGridLines="0" workbookViewId="0">
      <pane ySplit="4" topLeftCell="A49" activePane="bottomLeft" state="frozen"/>
      <selection pane="bottomLeft"/>
    </sheetView>
  </sheetViews>
  <sheetFormatPr defaultRowHeight="16.899999999999999" x14ac:dyDescent="0.6"/>
  <cols>
    <col min="1" max="1" width="26" customWidth="1"/>
    <col min="2" max="2" width="12" customWidth="1"/>
    <col min="3" max="3" width="86" customWidth="1"/>
    <col min="4" max="4" width="42" customWidth="1"/>
    <col min="5" max="5" width="24" customWidth="1"/>
  </cols>
  <sheetData>
    <row r="1" spans="1:5" ht="20.65" x14ac:dyDescent="0.6">
      <c r="A1" s="15" t="s">
        <v>953</v>
      </c>
    </row>
    <row r="2" spans="1:5" x14ac:dyDescent="0.6">
      <c r="A2" s="16" t="s">
        <v>954</v>
      </c>
    </row>
    <row r="4" spans="1:5" ht="28.05" customHeight="1" x14ac:dyDescent="0.6">
      <c r="A4" s="7" t="s">
        <v>217</v>
      </c>
      <c r="B4" s="7" t="s">
        <v>955</v>
      </c>
      <c r="C4" s="7" t="s">
        <v>956</v>
      </c>
      <c r="D4" s="7" t="s">
        <v>957</v>
      </c>
      <c r="E4" s="7" t="s">
        <v>8</v>
      </c>
    </row>
    <row r="5" spans="1:5" x14ac:dyDescent="0.6">
      <c r="A5" s="8" t="s">
        <v>557</v>
      </c>
      <c r="B5" s="8" t="s">
        <v>129</v>
      </c>
      <c r="C5" s="9" t="s">
        <v>958</v>
      </c>
      <c r="D5" s="9" t="s">
        <v>959</v>
      </c>
      <c r="E5" s="8" t="s">
        <v>960</v>
      </c>
    </row>
    <row r="6" spans="1:5" x14ac:dyDescent="0.6">
      <c r="A6" s="10" t="s">
        <v>557</v>
      </c>
      <c r="B6" s="10" t="s">
        <v>961</v>
      </c>
      <c r="C6" s="11" t="s">
        <v>962</v>
      </c>
      <c r="D6" s="11" t="s">
        <v>963</v>
      </c>
      <c r="E6" s="10" t="s">
        <v>960</v>
      </c>
    </row>
    <row r="7" spans="1:5" x14ac:dyDescent="0.6">
      <c r="A7" s="8" t="s">
        <v>557</v>
      </c>
      <c r="B7" s="8" t="s">
        <v>964</v>
      </c>
      <c r="C7" s="9" t="s">
        <v>965</v>
      </c>
      <c r="D7" s="9" t="s">
        <v>966</v>
      </c>
      <c r="E7" s="8" t="s">
        <v>960</v>
      </c>
    </row>
    <row r="8" spans="1:5" x14ac:dyDescent="0.6">
      <c r="A8" s="10" t="s">
        <v>557</v>
      </c>
      <c r="B8" s="10" t="s">
        <v>967</v>
      </c>
      <c r="C8" s="11" t="s">
        <v>968</v>
      </c>
      <c r="D8" s="11" t="s">
        <v>969</v>
      </c>
      <c r="E8" s="10" t="s">
        <v>960</v>
      </c>
    </row>
    <row r="9" spans="1:5" x14ac:dyDescent="0.6">
      <c r="A9" s="8" t="s">
        <v>557</v>
      </c>
      <c r="B9" s="8" t="s">
        <v>970</v>
      </c>
      <c r="C9" s="9" t="s">
        <v>971</v>
      </c>
      <c r="D9" s="9" t="s">
        <v>972</v>
      </c>
      <c r="E9" s="8" t="s">
        <v>960</v>
      </c>
    </row>
    <row r="10" spans="1:5" x14ac:dyDescent="0.6">
      <c r="A10" s="10" t="s">
        <v>557</v>
      </c>
      <c r="B10" s="10" t="s">
        <v>973</v>
      </c>
      <c r="C10" s="11" t="s">
        <v>974</v>
      </c>
      <c r="D10" s="11" t="s">
        <v>975</v>
      </c>
      <c r="E10" s="10" t="s">
        <v>960</v>
      </c>
    </row>
    <row r="11" spans="1:5" x14ac:dyDescent="0.6">
      <c r="A11" s="8" t="s">
        <v>557</v>
      </c>
      <c r="B11" s="8" t="s">
        <v>976</v>
      </c>
      <c r="C11" s="9" t="s">
        <v>977</v>
      </c>
      <c r="D11" s="9" t="s">
        <v>978</v>
      </c>
      <c r="E11" s="8" t="s">
        <v>979</v>
      </c>
    </row>
    <row r="12" spans="1:5" x14ac:dyDescent="0.6">
      <c r="A12" s="10" t="s">
        <v>557</v>
      </c>
      <c r="B12" s="10" t="s">
        <v>980</v>
      </c>
      <c r="C12" s="11" t="s">
        <v>981</v>
      </c>
      <c r="D12" s="11" t="s">
        <v>982</v>
      </c>
      <c r="E12" s="10" t="s">
        <v>960</v>
      </c>
    </row>
    <row r="13" spans="1:5" x14ac:dyDescent="0.6">
      <c r="A13" s="8" t="s">
        <v>557</v>
      </c>
      <c r="B13" s="8" t="s">
        <v>983</v>
      </c>
      <c r="C13" s="9" t="s">
        <v>984</v>
      </c>
      <c r="D13" s="9" t="s">
        <v>985</v>
      </c>
      <c r="E13" s="8" t="s">
        <v>960</v>
      </c>
    </row>
    <row r="14" spans="1:5" x14ac:dyDescent="0.6">
      <c r="A14" s="10" t="s">
        <v>557</v>
      </c>
      <c r="B14" s="10" t="s">
        <v>986</v>
      </c>
      <c r="C14" s="11" t="s">
        <v>987</v>
      </c>
      <c r="D14" s="11" t="s">
        <v>988</v>
      </c>
      <c r="E14" s="10" t="s">
        <v>979</v>
      </c>
    </row>
    <row r="15" spans="1:5" x14ac:dyDescent="0.6">
      <c r="A15" s="8" t="s">
        <v>557</v>
      </c>
      <c r="B15" s="8" t="s">
        <v>989</v>
      </c>
      <c r="C15" s="9" t="s">
        <v>990</v>
      </c>
      <c r="D15" s="9" t="s">
        <v>991</v>
      </c>
      <c r="E15" s="8" t="s">
        <v>992</v>
      </c>
    </row>
    <row r="16" spans="1:5" x14ac:dyDescent="0.6">
      <c r="A16" s="10" t="s">
        <v>557</v>
      </c>
      <c r="B16" s="10" t="s">
        <v>993</v>
      </c>
      <c r="C16" s="11" t="s">
        <v>994</v>
      </c>
      <c r="D16" s="11" t="s">
        <v>995</v>
      </c>
      <c r="E16" s="10" t="s">
        <v>960</v>
      </c>
    </row>
    <row r="17" spans="1:5" x14ac:dyDescent="0.6">
      <c r="A17" s="8" t="s">
        <v>235</v>
      </c>
      <c r="B17" s="8" t="s">
        <v>996</v>
      </c>
      <c r="C17" s="9" t="s">
        <v>997</v>
      </c>
      <c r="D17" s="9" t="s">
        <v>998</v>
      </c>
      <c r="E17" s="8" t="s">
        <v>979</v>
      </c>
    </row>
    <row r="18" spans="1:5" x14ac:dyDescent="0.6">
      <c r="A18" s="10" t="s">
        <v>235</v>
      </c>
      <c r="B18" s="10" t="s">
        <v>999</v>
      </c>
      <c r="C18" s="11" t="s">
        <v>1000</v>
      </c>
      <c r="D18" s="11" t="s">
        <v>1001</v>
      </c>
      <c r="E18" s="10" t="s">
        <v>1002</v>
      </c>
    </row>
    <row r="19" spans="1:5" x14ac:dyDescent="0.6">
      <c r="A19" s="8" t="s">
        <v>235</v>
      </c>
      <c r="B19" s="8" t="s">
        <v>1003</v>
      </c>
      <c r="C19" s="9" t="s">
        <v>1004</v>
      </c>
      <c r="D19" s="9" t="s">
        <v>1005</v>
      </c>
      <c r="E19" s="8" t="s">
        <v>1006</v>
      </c>
    </row>
    <row r="20" spans="1:5" x14ac:dyDescent="0.6">
      <c r="A20" s="10" t="s">
        <v>235</v>
      </c>
      <c r="B20" s="10" t="s">
        <v>1007</v>
      </c>
      <c r="C20" s="11" t="s">
        <v>1008</v>
      </c>
      <c r="D20" s="11" t="s">
        <v>1005</v>
      </c>
      <c r="E20" s="10" t="s">
        <v>1006</v>
      </c>
    </row>
    <row r="21" spans="1:5" x14ac:dyDescent="0.6">
      <c r="A21" s="8" t="s">
        <v>235</v>
      </c>
      <c r="B21" s="8" t="s">
        <v>1009</v>
      </c>
      <c r="C21" s="9" t="s">
        <v>1010</v>
      </c>
      <c r="D21" s="9" t="s">
        <v>1011</v>
      </c>
      <c r="E21" s="8" t="s">
        <v>1006</v>
      </c>
    </row>
    <row r="22" spans="1:5" x14ac:dyDescent="0.6">
      <c r="A22" s="10" t="s">
        <v>235</v>
      </c>
      <c r="B22" s="10" t="s">
        <v>1012</v>
      </c>
      <c r="C22" s="11" t="s">
        <v>1013</v>
      </c>
      <c r="D22" s="11" t="s">
        <v>1014</v>
      </c>
      <c r="E22" s="10" t="s">
        <v>1006</v>
      </c>
    </row>
    <row r="23" spans="1:5" x14ac:dyDescent="0.6">
      <c r="A23" s="8" t="s">
        <v>235</v>
      </c>
      <c r="B23" s="8" t="s">
        <v>1015</v>
      </c>
      <c r="C23" s="9" t="s">
        <v>1016</v>
      </c>
      <c r="D23" s="9" t="s">
        <v>1017</v>
      </c>
      <c r="E23" s="8" t="s">
        <v>1006</v>
      </c>
    </row>
    <row r="24" spans="1:5" x14ac:dyDescent="0.6">
      <c r="A24" s="10" t="s">
        <v>235</v>
      </c>
      <c r="B24" s="10" t="s">
        <v>1018</v>
      </c>
      <c r="C24" s="11" t="s">
        <v>1019</v>
      </c>
      <c r="D24" s="11" t="s">
        <v>1020</v>
      </c>
      <c r="E24" s="10" t="s">
        <v>1006</v>
      </c>
    </row>
    <row r="25" spans="1:5" x14ac:dyDescent="0.6">
      <c r="A25" s="8" t="s">
        <v>235</v>
      </c>
      <c r="B25" s="8" t="s">
        <v>1021</v>
      </c>
      <c r="C25" s="9" t="s">
        <v>1022</v>
      </c>
      <c r="D25" s="9" t="s">
        <v>1023</v>
      </c>
      <c r="E25" s="8" t="s">
        <v>1006</v>
      </c>
    </row>
    <row r="26" spans="1:5" x14ac:dyDescent="0.6">
      <c r="A26" s="10" t="s">
        <v>235</v>
      </c>
      <c r="B26" s="10" t="s">
        <v>1024</v>
      </c>
      <c r="C26" s="11" t="s">
        <v>1025</v>
      </c>
      <c r="D26" s="11" t="s">
        <v>1026</v>
      </c>
      <c r="E26" s="10" t="s">
        <v>1006</v>
      </c>
    </row>
    <row r="27" spans="1:5" x14ac:dyDescent="0.6">
      <c r="A27" s="8" t="s">
        <v>569</v>
      </c>
      <c r="B27" s="8" t="s">
        <v>1027</v>
      </c>
      <c r="C27" s="9" t="s">
        <v>1028</v>
      </c>
      <c r="D27" s="9" t="s">
        <v>1029</v>
      </c>
      <c r="E27" s="8" t="s">
        <v>1006</v>
      </c>
    </row>
    <row r="28" spans="1:5" x14ac:dyDescent="0.6">
      <c r="A28" s="10" t="s">
        <v>569</v>
      </c>
      <c r="B28" s="10" t="s">
        <v>1030</v>
      </c>
      <c r="C28" s="11" t="s">
        <v>1031</v>
      </c>
      <c r="D28" s="11" t="s">
        <v>1032</v>
      </c>
      <c r="E28" s="10" t="s">
        <v>1006</v>
      </c>
    </row>
    <row r="29" spans="1:5" x14ac:dyDescent="0.6">
      <c r="A29" s="8" t="s">
        <v>569</v>
      </c>
      <c r="B29" s="8" t="s">
        <v>1033</v>
      </c>
      <c r="C29" s="9" t="s">
        <v>1034</v>
      </c>
      <c r="D29" s="9" t="s">
        <v>1035</v>
      </c>
      <c r="E29" s="8" t="s">
        <v>1006</v>
      </c>
    </row>
    <row r="30" spans="1:5" x14ac:dyDescent="0.6">
      <c r="A30" s="10" t="s">
        <v>569</v>
      </c>
      <c r="B30" s="10" t="s">
        <v>1036</v>
      </c>
      <c r="C30" s="11" t="s">
        <v>1037</v>
      </c>
      <c r="D30" s="11" t="s">
        <v>1038</v>
      </c>
      <c r="E30" s="10" t="s">
        <v>1006</v>
      </c>
    </row>
    <row r="31" spans="1:5" x14ac:dyDescent="0.6">
      <c r="A31" s="8" t="s">
        <v>222</v>
      </c>
      <c r="B31" s="8" t="s">
        <v>1039</v>
      </c>
      <c r="C31" s="9" t="s">
        <v>1040</v>
      </c>
      <c r="D31" s="9" t="s">
        <v>1041</v>
      </c>
      <c r="E31" s="8" t="s">
        <v>1006</v>
      </c>
    </row>
    <row r="32" spans="1:5" x14ac:dyDescent="0.6">
      <c r="A32" s="10" t="s">
        <v>222</v>
      </c>
      <c r="B32" s="10" t="s">
        <v>1042</v>
      </c>
      <c r="C32" s="11" t="s">
        <v>1043</v>
      </c>
      <c r="D32" s="11" t="s">
        <v>1041</v>
      </c>
      <c r="E32" s="10" t="s">
        <v>1006</v>
      </c>
    </row>
    <row r="33" spans="1:5" x14ac:dyDescent="0.6">
      <c r="A33" s="8" t="s">
        <v>222</v>
      </c>
      <c r="B33" s="8" t="s">
        <v>1044</v>
      </c>
      <c r="C33" s="9" t="s">
        <v>1045</v>
      </c>
      <c r="D33" s="9" t="s">
        <v>1041</v>
      </c>
      <c r="E33" s="8" t="s">
        <v>1006</v>
      </c>
    </row>
    <row r="34" spans="1:5" x14ac:dyDescent="0.6">
      <c r="A34" s="10" t="s">
        <v>222</v>
      </c>
      <c r="B34" s="10" t="s">
        <v>1046</v>
      </c>
      <c r="C34" s="11" t="s">
        <v>1047</v>
      </c>
      <c r="D34" s="11" t="s">
        <v>1041</v>
      </c>
      <c r="E34" s="10" t="s">
        <v>1006</v>
      </c>
    </row>
    <row r="35" spans="1:5" x14ac:dyDescent="0.6">
      <c r="A35" s="8" t="s">
        <v>222</v>
      </c>
      <c r="B35" s="8" t="s">
        <v>1048</v>
      </c>
      <c r="C35" s="9" t="s">
        <v>1049</v>
      </c>
      <c r="D35" s="9" t="s">
        <v>1050</v>
      </c>
      <c r="E35" s="8" t="s">
        <v>1006</v>
      </c>
    </row>
    <row r="36" spans="1:5" x14ac:dyDescent="0.6">
      <c r="A36" s="10" t="s">
        <v>222</v>
      </c>
      <c r="B36" s="10" t="s">
        <v>1051</v>
      </c>
      <c r="C36" s="11" t="s">
        <v>1052</v>
      </c>
      <c r="D36" s="11" t="s">
        <v>1041</v>
      </c>
      <c r="E36" s="10" t="s">
        <v>1006</v>
      </c>
    </row>
    <row r="37" spans="1:5" x14ac:dyDescent="0.6">
      <c r="A37" s="8" t="s">
        <v>222</v>
      </c>
      <c r="B37" s="8" t="s">
        <v>1053</v>
      </c>
      <c r="C37" s="9" t="s">
        <v>1054</v>
      </c>
      <c r="D37" s="9" t="s">
        <v>1041</v>
      </c>
      <c r="E37" s="8" t="s">
        <v>1006</v>
      </c>
    </row>
    <row r="38" spans="1:5" x14ac:dyDescent="0.6">
      <c r="A38" s="10" t="s">
        <v>222</v>
      </c>
      <c r="B38" s="10" t="s">
        <v>1055</v>
      </c>
      <c r="C38" s="11" t="s">
        <v>1056</v>
      </c>
      <c r="D38" s="11" t="s">
        <v>1057</v>
      </c>
      <c r="E38" s="10" t="s">
        <v>1006</v>
      </c>
    </row>
    <row r="39" spans="1:5" x14ac:dyDescent="0.6">
      <c r="A39" s="8" t="s">
        <v>222</v>
      </c>
      <c r="B39" s="8" t="s">
        <v>1058</v>
      </c>
      <c r="C39" s="9" t="s">
        <v>1059</v>
      </c>
      <c r="D39" s="9" t="s">
        <v>1060</v>
      </c>
      <c r="E39" s="8" t="s">
        <v>1006</v>
      </c>
    </row>
    <row r="40" spans="1:5" x14ac:dyDescent="0.6">
      <c r="A40" s="10" t="s">
        <v>222</v>
      </c>
      <c r="B40" s="10" t="s">
        <v>1061</v>
      </c>
      <c r="C40" s="11" t="s">
        <v>1062</v>
      </c>
      <c r="D40" s="11" t="s">
        <v>1063</v>
      </c>
      <c r="E40" s="10" t="s">
        <v>1006</v>
      </c>
    </row>
    <row r="41" spans="1:5" x14ac:dyDescent="0.6">
      <c r="A41" s="8" t="s">
        <v>711</v>
      </c>
      <c r="B41" s="8" t="s">
        <v>1064</v>
      </c>
      <c r="C41" s="9" t="s">
        <v>1065</v>
      </c>
      <c r="D41" s="9" t="s">
        <v>1066</v>
      </c>
      <c r="E41" s="8" t="s">
        <v>1006</v>
      </c>
    </row>
    <row r="42" spans="1:5" x14ac:dyDescent="0.6">
      <c r="A42" s="10" t="s">
        <v>711</v>
      </c>
      <c r="B42" s="10" t="s">
        <v>1067</v>
      </c>
      <c r="C42" s="11" t="s">
        <v>1068</v>
      </c>
      <c r="D42" s="11" t="s">
        <v>1069</v>
      </c>
      <c r="E42" s="10" t="s">
        <v>1006</v>
      </c>
    </row>
    <row r="43" spans="1:5" x14ac:dyDescent="0.6">
      <c r="A43" s="8" t="s">
        <v>711</v>
      </c>
      <c r="B43" s="8" t="s">
        <v>1070</v>
      </c>
      <c r="C43" s="9" t="s">
        <v>1071</v>
      </c>
      <c r="D43" s="9" t="s">
        <v>1072</v>
      </c>
      <c r="E43" s="8" t="s">
        <v>1006</v>
      </c>
    </row>
    <row r="44" spans="1:5" x14ac:dyDescent="0.6">
      <c r="A44" s="10" t="s">
        <v>711</v>
      </c>
      <c r="B44" s="10" t="s">
        <v>1073</v>
      </c>
      <c r="C44" s="11" t="s">
        <v>1074</v>
      </c>
      <c r="D44" s="11" t="s">
        <v>1075</v>
      </c>
      <c r="E44" s="10" t="s">
        <v>1006</v>
      </c>
    </row>
    <row r="45" spans="1:5" x14ac:dyDescent="0.6">
      <c r="A45" s="8" t="s">
        <v>711</v>
      </c>
      <c r="B45" s="8" t="s">
        <v>1076</v>
      </c>
      <c r="C45" s="9" t="s">
        <v>1077</v>
      </c>
      <c r="D45" s="9" t="s">
        <v>1078</v>
      </c>
      <c r="E45" s="8" t="s">
        <v>1006</v>
      </c>
    </row>
    <row r="47" spans="1:5" x14ac:dyDescent="0.6">
      <c r="A47" s="5" t="s">
        <v>1079</v>
      </c>
    </row>
    <row r="48" spans="1:5" ht="28.05" customHeight="1" x14ac:dyDescent="0.6">
      <c r="A48" s="7" t="s">
        <v>1080</v>
      </c>
      <c r="B48" s="7" t="s">
        <v>384</v>
      </c>
    </row>
    <row r="49" spans="1:2" x14ac:dyDescent="0.6">
      <c r="A49" s="8" t="s">
        <v>1081</v>
      </c>
      <c r="B49" s="8">
        <f>COUNTA(B5:B45)</f>
        <v>41</v>
      </c>
    </row>
    <row r="50" spans="1:2" x14ac:dyDescent="0.6">
      <c r="A50" s="10" t="s">
        <v>960</v>
      </c>
      <c r="B50" s="10">
        <f>COUNTIF(E5:E45,"Complete")+COUNTIF(E5:E45,"Complete - issued for review")</f>
        <v>12</v>
      </c>
    </row>
    <row r="51" spans="1:2" x14ac:dyDescent="0.6">
      <c r="A51" s="8" t="s">
        <v>1082</v>
      </c>
      <c r="B51" s="8">
        <f>COUNTIF(E5:E45,"Pending you")</f>
        <v>1</v>
      </c>
    </row>
    <row r="52" spans="1:2" x14ac:dyDescent="0.6">
      <c r="A52" s="10" t="s">
        <v>1006</v>
      </c>
      <c r="B52" s="10">
        <f>COUNTIF(E5:E45,"Not started")</f>
        <v>27</v>
      </c>
    </row>
    <row r="54" spans="1:2" x14ac:dyDescent="0.6">
      <c r="A54" s="16" t="s">
        <v>1083</v>
      </c>
    </row>
  </sheetData>
  <phoneticPr fontId="10" type="noConversion"/>
  <dataValidations count="1">
    <dataValidation type="list" allowBlank="1" sqref="E5:E45" xr:uid="{00000000-0002-0000-0800-000000000000}">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7"/>
  <sheetViews>
    <sheetView showGridLines="0" workbookViewId="0">
      <pane ySplit="3" topLeftCell="A4" activePane="bottomLeft" state="frozen"/>
      <selection pane="bottomLeft"/>
    </sheetView>
  </sheetViews>
  <sheetFormatPr defaultRowHeight="16.899999999999999" x14ac:dyDescent="0.6"/>
  <cols>
    <col min="1" max="1" width="146" customWidth="1"/>
    <col min="2" max="2" width="22" customWidth="1"/>
    <col min="3" max="3" width="20" customWidth="1"/>
    <col min="4" max="4" width="16" customWidth="1"/>
    <col min="5" max="5" width="14" customWidth="1"/>
    <col min="6" max="6" width="52" customWidth="1"/>
  </cols>
  <sheetData>
    <row r="1" spans="1:4" ht="20.65" x14ac:dyDescent="0.6">
      <c r="A1" s="15" t="s">
        <v>1084</v>
      </c>
    </row>
    <row r="3" spans="1:4" x14ac:dyDescent="0.6">
      <c r="A3" s="5" t="s">
        <v>1085</v>
      </c>
    </row>
    <row r="4" spans="1:4" ht="28.05" customHeight="1" x14ac:dyDescent="0.6">
      <c r="A4" s="7" t="s">
        <v>1086</v>
      </c>
      <c r="B4" s="7" t="s">
        <v>1087</v>
      </c>
      <c r="C4" s="7" t="s">
        <v>1088</v>
      </c>
      <c r="D4" s="7" t="s">
        <v>1089</v>
      </c>
    </row>
    <row r="5" spans="1:4" ht="25.5" x14ac:dyDescent="0.6">
      <c r="A5" s="8" t="s">
        <v>1090</v>
      </c>
      <c r="B5" s="9" t="s">
        <v>1091</v>
      </c>
      <c r="C5" s="8" t="s">
        <v>1092</v>
      </c>
      <c r="D5" s="9" t="s">
        <v>1093</v>
      </c>
    </row>
    <row r="6" spans="1:4" ht="25.5" x14ac:dyDescent="0.6">
      <c r="A6" s="10" t="s">
        <v>1094</v>
      </c>
      <c r="B6" s="11" t="s">
        <v>1095</v>
      </c>
      <c r="C6" s="10" t="s">
        <v>1092</v>
      </c>
      <c r="D6" s="11" t="s">
        <v>1096</v>
      </c>
    </row>
    <row r="7" spans="1:4" ht="25.5" x14ac:dyDescent="0.6">
      <c r="A7" s="8" t="s">
        <v>1097</v>
      </c>
      <c r="B7" s="9" t="s">
        <v>1098</v>
      </c>
      <c r="C7" s="8" t="s">
        <v>1099</v>
      </c>
      <c r="D7" s="9" t="s">
        <v>1100</v>
      </c>
    </row>
    <row r="8" spans="1:4" ht="38.25" x14ac:dyDescent="0.6">
      <c r="A8" s="18" t="s">
        <v>1101</v>
      </c>
      <c r="B8" s="17" t="s">
        <v>1102</v>
      </c>
      <c r="C8" s="18" t="s">
        <v>1103</v>
      </c>
      <c r="D8" s="17" t="s">
        <v>1104</v>
      </c>
    </row>
    <row r="9" spans="1:4" ht="25.5" x14ac:dyDescent="0.6">
      <c r="A9" s="8" t="s">
        <v>1105</v>
      </c>
      <c r="B9" s="9" t="s">
        <v>1106</v>
      </c>
      <c r="C9" s="8" t="s">
        <v>1107</v>
      </c>
      <c r="D9" s="9" t="s">
        <v>1108</v>
      </c>
    </row>
    <row r="10" spans="1:4" x14ac:dyDescent="0.6">
      <c r="A10" s="10" t="s">
        <v>1109</v>
      </c>
      <c r="B10" s="11" t="s">
        <v>1110</v>
      </c>
      <c r="C10" s="10" t="s">
        <v>1111</v>
      </c>
      <c r="D10" s="11" t="s">
        <v>1112</v>
      </c>
    </row>
    <row r="12" spans="1:4" x14ac:dyDescent="0.6">
      <c r="A12" s="5" t="s">
        <v>1113</v>
      </c>
    </row>
    <row r="13" spans="1:4" ht="28.05" customHeight="1" x14ac:dyDescent="0.6">
      <c r="A13" s="7" t="s">
        <v>1114</v>
      </c>
      <c r="B13" s="7" t="s">
        <v>553</v>
      </c>
      <c r="C13" s="7" t="s">
        <v>1115</v>
      </c>
    </row>
    <row r="14" spans="1:4" ht="25.5" x14ac:dyDescent="0.6">
      <c r="A14" s="8" t="s">
        <v>1116</v>
      </c>
      <c r="B14" s="9" t="s">
        <v>1117</v>
      </c>
      <c r="C14" s="8" t="s">
        <v>1118</v>
      </c>
    </row>
    <row r="15" spans="1:4" ht="38.25" x14ac:dyDescent="0.6">
      <c r="A15" s="10" t="s">
        <v>1119</v>
      </c>
      <c r="B15" s="11" t="s">
        <v>1120</v>
      </c>
      <c r="C15" s="10" t="s">
        <v>1121</v>
      </c>
    </row>
    <row r="16" spans="1:4" ht="51" x14ac:dyDescent="0.6">
      <c r="A16" s="8" t="s">
        <v>1122</v>
      </c>
      <c r="B16" s="9" t="s">
        <v>1123</v>
      </c>
      <c r="C16" s="8" t="s">
        <v>1124</v>
      </c>
    </row>
    <row r="17" spans="1:6" ht="51" x14ac:dyDescent="0.6">
      <c r="A17" s="10" t="s">
        <v>1125</v>
      </c>
      <c r="B17" s="11" t="s">
        <v>1126</v>
      </c>
      <c r="C17" s="10" t="s">
        <v>1127</v>
      </c>
    </row>
    <row r="19" spans="1:6" x14ac:dyDescent="0.6">
      <c r="A19" s="16" t="s">
        <v>1128</v>
      </c>
    </row>
    <row r="20" spans="1:6" x14ac:dyDescent="0.6">
      <c r="A20" s="5" t="s">
        <v>1129</v>
      </c>
    </row>
    <row r="21" spans="1:6" ht="28.05" customHeight="1" x14ac:dyDescent="0.6">
      <c r="A21" s="7" t="s">
        <v>1130</v>
      </c>
      <c r="B21" s="7" t="s">
        <v>1131</v>
      </c>
      <c r="C21" s="7" t="s">
        <v>1132</v>
      </c>
      <c r="D21" s="7" t="s">
        <v>1125</v>
      </c>
      <c r="E21" s="7" t="s">
        <v>99</v>
      </c>
      <c r="F21" s="7" t="s">
        <v>758</v>
      </c>
    </row>
    <row r="22" spans="1:6" x14ac:dyDescent="0.6">
      <c r="A22" s="8" t="s">
        <v>167</v>
      </c>
      <c r="B22" s="8" t="s">
        <v>103</v>
      </c>
      <c r="C22" s="8" t="s">
        <v>103</v>
      </c>
      <c r="D22" s="8" t="s">
        <v>103</v>
      </c>
      <c r="E22" s="8" t="s">
        <v>102</v>
      </c>
      <c r="F22" s="9" t="s">
        <v>1133</v>
      </c>
    </row>
    <row r="23" spans="1:6" x14ac:dyDescent="0.6">
      <c r="A23" s="10" t="s">
        <v>1134</v>
      </c>
      <c r="B23" s="10" t="s">
        <v>103</v>
      </c>
      <c r="C23" s="10" t="s">
        <v>103</v>
      </c>
      <c r="D23" s="10" t="s">
        <v>1135</v>
      </c>
      <c r="E23" s="10" t="s">
        <v>11</v>
      </c>
      <c r="F23" s="11" t="s">
        <v>1136</v>
      </c>
    </row>
    <row r="24" spans="1:6" ht="25.5" x14ac:dyDescent="0.6">
      <c r="A24" s="8" t="s">
        <v>1137</v>
      </c>
      <c r="B24" s="8" t="s">
        <v>103</v>
      </c>
      <c r="C24" s="8" t="s">
        <v>103</v>
      </c>
      <c r="D24" s="8" t="s">
        <v>1135</v>
      </c>
      <c r="E24" s="8" t="s">
        <v>11</v>
      </c>
      <c r="F24" s="9" t="s">
        <v>1138</v>
      </c>
    </row>
    <row r="25" spans="1:6" x14ac:dyDescent="0.6">
      <c r="A25" s="10" t="s">
        <v>1139</v>
      </c>
      <c r="B25" s="10" t="s">
        <v>103</v>
      </c>
      <c r="C25" s="10" t="s">
        <v>103</v>
      </c>
      <c r="D25" s="10" t="s">
        <v>1135</v>
      </c>
      <c r="E25" s="10" t="s">
        <v>11</v>
      </c>
      <c r="F25" s="11" t="s">
        <v>1140</v>
      </c>
    </row>
    <row r="26" spans="1:6" x14ac:dyDescent="0.6">
      <c r="A26" s="8" t="s">
        <v>1141</v>
      </c>
      <c r="B26" s="8" t="s">
        <v>103</v>
      </c>
      <c r="C26" s="8" t="s">
        <v>103</v>
      </c>
      <c r="D26" s="8" t="s">
        <v>557</v>
      </c>
      <c r="E26" s="8" t="s">
        <v>11</v>
      </c>
      <c r="F26" s="9" t="s">
        <v>1142</v>
      </c>
    </row>
    <row r="27" spans="1:6" ht="25.5" x14ac:dyDescent="0.6">
      <c r="A27" s="10" t="s">
        <v>7</v>
      </c>
      <c r="B27" s="10" t="s">
        <v>103</v>
      </c>
      <c r="C27" s="10" t="s">
        <v>103</v>
      </c>
      <c r="D27" s="10" t="s">
        <v>557</v>
      </c>
      <c r="E27" s="10" t="s">
        <v>11</v>
      </c>
      <c r="F27" s="11" t="s">
        <v>1143</v>
      </c>
    </row>
    <row r="28" spans="1:6" x14ac:dyDescent="0.6">
      <c r="A28" s="8"/>
      <c r="B28" s="8"/>
      <c r="C28" s="8"/>
      <c r="D28" s="8"/>
      <c r="E28" s="8"/>
      <c r="F28" s="9"/>
    </row>
    <row r="30" spans="1:6" x14ac:dyDescent="0.6">
      <c r="A30" s="16" t="s">
        <v>1144</v>
      </c>
    </row>
    <row r="31" spans="1:6" x14ac:dyDescent="0.6">
      <c r="A31" s="5" t="s">
        <v>1145</v>
      </c>
    </row>
    <row r="32" spans="1:6" ht="28.05" customHeight="1" x14ac:dyDescent="0.6">
      <c r="A32" s="7" t="s">
        <v>581</v>
      </c>
    </row>
    <row r="33" spans="1:1" x14ac:dyDescent="0.6">
      <c r="A33" s="9" t="s">
        <v>1146</v>
      </c>
    </row>
    <row r="34" spans="1:1" x14ac:dyDescent="0.6">
      <c r="A34" s="11" t="s">
        <v>1147</v>
      </c>
    </row>
    <row r="35" spans="1:1" x14ac:dyDescent="0.6">
      <c r="A35" s="9" t="s">
        <v>1148</v>
      </c>
    </row>
    <row r="36" spans="1:1" x14ac:dyDescent="0.6">
      <c r="A36" s="11" t="s">
        <v>1149</v>
      </c>
    </row>
    <row r="37" spans="1:1" x14ac:dyDescent="0.6">
      <c r="A37" s="19" t="s">
        <v>1150</v>
      </c>
    </row>
  </sheetData>
  <phoneticPr fontId="10"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5"/>
  <sheetViews>
    <sheetView showGridLines="0" workbookViewId="0">
      <pane ySplit="3" topLeftCell="A4" activePane="bottomLeft" state="frozen"/>
      <selection pane="bottomLeft"/>
    </sheetView>
  </sheetViews>
  <sheetFormatPr defaultRowHeight="16.899999999999999" x14ac:dyDescent="0.6"/>
  <cols>
    <col min="1" max="1" width="9" customWidth="1"/>
    <col min="2" max="2" width="110" customWidth="1"/>
    <col min="3" max="3" width="24" customWidth="1"/>
    <col min="4" max="4" width="10" customWidth="1"/>
    <col min="5" max="5" width="64" customWidth="1"/>
  </cols>
  <sheetData>
    <row r="1" spans="1:5" ht="20.65" x14ac:dyDescent="0.6">
      <c r="A1" s="15" t="s">
        <v>1151</v>
      </c>
    </row>
    <row r="3" spans="1:5" x14ac:dyDescent="0.6">
      <c r="A3" s="5" t="s">
        <v>1152</v>
      </c>
    </row>
    <row r="4" spans="1:5" ht="28.05" customHeight="1" x14ac:dyDescent="0.6">
      <c r="A4" s="7" t="s">
        <v>141</v>
      </c>
      <c r="B4" s="7" t="s">
        <v>1153</v>
      </c>
      <c r="C4" s="7" t="s">
        <v>1154</v>
      </c>
      <c r="D4" s="7" t="s">
        <v>1155</v>
      </c>
      <c r="E4" s="7" t="s">
        <v>1156</v>
      </c>
    </row>
    <row r="5" spans="1:5" ht="25.5" x14ac:dyDescent="0.6">
      <c r="A5" s="18" t="s">
        <v>259</v>
      </c>
      <c r="B5" s="17" t="s">
        <v>1157</v>
      </c>
      <c r="C5" s="18" t="s">
        <v>1158</v>
      </c>
      <c r="D5" s="18" t="s">
        <v>1159</v>
      </c>
      <c r="E5" s="17" t="s">
        <v>1160</v>
      </c>
    </row>
    <row r="6" spans="1:5" ht="25.5" x14ac:dyDescent="0.6">
      <c r="A6" s="10" t="s">
        <v>315</v>
      </c>
      <c r="B6" s="11" t="s">
        <v>1161</v>
      </c>
      <c r="C6" s="10" t="s">
        <v>1159</v>
      </c>
      <c r="D6" s="10" t="s">
        <v>1158</v>
      </c>
      <c r="E6" s="11" t="s">
        <v>1162</v>
      </c>
    </row>
    <row r="7" spans="1:5" ht="25.5" x14ac:dyDescent="0.6">
      <c r="A7" s="18" t="s">
        <v>1163</v>
      </c>
      <c r="B7" s="17" t="s">
        <v>1164</v>
      </c>
      <c r="C7" s="18" t="s">
        <v>103</v>
      </c>
      <c r="D7" s="18" t="s">
        <v>103</v>
      </c>
      <c r="E7" s="17" t="s">
        <v>1165</v>
      </c>
    </row>
    <row r="8" spans="1:5" ht="25.5" x14ac:dyDescent="0.6">
      <c r="A8" s="10" t="s">
        <v>1166</v>
      </c>
      <c r="B8" s="11" t="s">
        <v>1167</v>
      </c>
      <c r="C8" s="10" t="s">
        <v>1159</v>
      </c>
      <c r="D8" s="10" t="s">
        <v>1158</v>
      </c>
      <c r="E8" s="11" t="s">
        <v>1168</v>
      </c>
    </row>
    <row r="9" spans="1:5" ht="25.5" x14ac:dyDescent="0.6">
      <c r="A9" s="18" t="s">
        <v>1169</v>
      </c>
      <c r="B9" s="17" t="s">
        <v>1170</v>
      </c>
      <c r="C9" s="18" t="s">
        <v>1171</v>
      </c>
      <c r="D9" s="18" t="s">
        <v>1171</v>
      </c>
      <c r="E9" s="17" t="s">
        <v>1172</v>
      </c>
    </row>
    <row r="10" spans="1:5" ht="25.5" x14ac:dyDescent="0.6">
      <c r="A10" s="10" t="s">
        <v>1173</v>
      </c>
      <c r="B10" s="11" t="s">
        <v>1174</v>
      </c>
      <c r="C10" s="10" t="s">
        <v>1158</v>
      </c>
      <c r="D10" s="10" t="s">
        <v>1159</v>
      </c>
      <c r="E10" s="11" t="s">
        <v>1175</v>
      </c>
    </row>
    <row r="11" spans="1:5" x14ac:dyDescent="0.6">
      <c r="A11" s="8" t="s">
        <v>1176</v>
      </c>
      <c r="B11" s="9" t="s">
        <v>1177</v>
      </c>
      <c r="C11" s="8" t="s">
        <v>1158</v>
      </c>
      <c r="D11" s="8" t="s">
        <v>1171</v>
      </c>
      <c r="E11" s="9" t="s">
        <v>1178</v>
      </c>
    </row>
    <row r="12" spans="1:5" ht="38.25" x14ac:dyDescent="0.6">
      <c r="A12" s="20" t="s">
        <v>1179</v>
      </c>
      <c r="B12" s="19" t="s">
        <v>1180</v>
      </c>
      <c r="C12" s="20" t="s">
        <v>1159</v>
      </c>
      <c r="D12" s="20" t="s">
        <v>1159</v>
      </c>
      <c r="E12" s="19" t="s">
        <v>1181</v>
      </c>
    </row>
    <row r="13" spans="1:5" ht="51" x14ac:dyDescent="0.6">
      <c r="A13" s="18" t="s">
        <v>1182</v>
      </c>
      <c r="B13" s="17" t="s">
        <v>1183</v>
      </c>
      <c r="C13" s="18" t="s">
        <v>1158</v>
      </c>
      <c r="D13" s="18" t="s">
        <v>1159</v>
      </c>
      <c r="E13" s="17" t="s">
        <v>1184</v>
      </c>
    </row>
    <row r="14" spans="1:5" ht="51" x14ac:dyDescent="0.6">
      <c r="A14" s="18" t="s">
        <v>1185</v>
      </c>
      <c r="B14" s="17" t="s">
        <v>1186</v>
      </c>
      <c r="C14" s="18" t="s">
        <v>1158</v>
      </c>
      <c r="D14" s="18" t="s">
        <v>1158</v>
      </c>
      <c r="E14" s="17" t="s">
        <v>1187</v>
      </c>
    </row>
    <row r="15" spans="1:5" ht="38.25" x14ac:dyDescent="0.6">
      <c r="A15" s="18" t="s">
        <v>1188</v>
      </c>
      <c r="B15" s="17" t="s">
        <v>1189</v>
      </c>
      <c r="C15" s="18" t="s">
        <v>1171</v>
      </c>
      <c r="D15" s="18" t="s">
        <v>1158</v>
      </c>
      <c r="E15" s="17" t="s">
        <v>1190</v>
      </c>
    </row>
    <row r="16" spans="1:5" ht="38.25" x14ac:dyDescent="0.6">
      <c r="A16" s="20" t="s">
        <v>1191</v>
      </c>
      <c r="B16" s="19" t="s">
        <v>1192</v>
      </c>
      <c r="C16" s="20" t="s">
        <v>1158</v>
      </c>
      <c r="D16" s="20" t="s">
        <v>1159</v>
      </c>
      <c r="E16" s="19" t="s">
        <v>1193</v>
      </c>
    </row>
    <row r="18" spans="1:3" x14ac:dyDescent="0.6">
      <c r="A18" s="5" t="s">
        <v>1194</v>
      </c>
    </row>
    <row r="19" spans="1:3" ht="28.05" customHeight="1" x14ac:dyDescent="0.6">
      <c r="A19" s="7" t="s">
        <v>141</v>
      </c>
      <c r="B19" s="7" t="s">
        <v>1195</v>
      </c>
      <c r="C19" s="7" t="s">
        <v>8</v>
      </c>
    </row>
    <row r="20" spans="1:3" x14ac:dyDescent="0.6">
      <c r="A20" s="18" t="s">
        <v>1196</v>
      </c>
      <c r="B20" s="17" t="s">
        <v>1197</v>
      </c>
      <c r="C20" s="18" t="s">
        <v>1198</v>
      </c>
    </row>
    <row r="21" spans="1:3" x14ac:dyDescent="0.6">
      <c r="A21" s="18" t="s">
        <v>1199</v>
      </c>
      <c r="B21" s="17" t="s">
        <v>1200</v>
      </c>
      <c r="C21" s="18" t="s">
        <v>1201</v>
      </c>
    </row>
    <row r="22" spans="1:3" x14ac:dyDescent="0.6">
      <c r="A22" s="8" t="s">
        <v>1202</v>
      </c>
      <c r="B22" s="9" t="s">
        <v>1203</v>
      </c>
      <c r="C22" s="8" t="s">
        <v>1204</v>
      </c>
    </row>
    <row r="23" spans="1:3" x14ac:dyDescent="0.6">
      <c r="A23" s="10" t="s">
        <v>1205</v>
      </c>
      <c r="B23" s="11" t="s">
        <v>1206</v>
      </c>
      <c r="C23" s="10" t="s">
        <v>1204</v>
      </c>
    </row>
    <row r="24" spans="1:3" x14ac:dyDescent="0.6">
      <c r="A24" s="18" t="s">
        <v>1207</v>
      </c>
      <c r="B24" s="17" t="s">
        <v>1208</v>
      </c>
      <c r="C24" s="18" t="s">
        <v>1209</v>
      </c>
    </row>
    <row r="25" spans="1:3" x14ac:dyDescent="0.6">
      <c r="A25" s="10" t="s">
        <v>1210</v>
      </c>
      <c r="B25" s="11" t="s">
        <v>1211</v>
      </c>
      <c r="C25" s="10" t="s">
        <v>1204</v>
      </c>
    </row>
    <row r="26" spans="1:3" x14ac:dyDescent="0.6">
      <c r="A26" s="18" t="s">
        <v>1212</v>
      </c>
      <c r="B26" s="17" t="s">
        <v>1213</v>
      </c>
      <c r="C26" s="18" t="s">
        <v>1214</v>
      </c>
    </row>
    <row r="27" spans="1:3" x14ac:dyDescent="0.6">
      <c r="A27" s="18" t="s">
        <v>1215</v>
      </c>
      <c r="B27" s="17" t="s">
        <v>1216</v>
      </c>
      <c r="C27" s="18" t="s">
        <v>1217</v>
      </c>
    </row>
    <row r="28" spans="1:3" x14ac:dyDescent="0.6">
      <c r="A28" s="18" t="s">
        <v>1218</v>
      </c>
      <c r="B28" s="17" t="s">
        <v>1219</v>
      </c>
      <c r="C28" s="18" t="s">
        <v>1220</v>
      </c>
    </row>
    <row r="29" spans="1:3" x14ac:dyDescent="0.6">
      <c r="A29" s="18" t="s">
        <v>1221</v>
      </c>
      <c r="B29" s="17" t="s">
        <v>1222</v>
      </c>
      <c r="C29" s="18" t="s">
        <v>1223</v>
      </c>
    </row>
    <row r="30" spans="1:3" x14ac:dyDescent="0.6">
      <c r="A30" s="20" t="s">
        <v>1224</v>
      </c>
      <c r="B30" s="19" t="s">
        <v>1225</v>
      </c>
      <c r="C30" s="20" t="s">
        <v>1226</v>
      </c>
    </row>
    <row r="32" spans="1:3" x14ac:dyDescent="0.6">
      <c r="A32" s="3" t="s">
        <v>93</v>
      </c>
    </row>
    <row r="33" spans="1:1" x14ac:dyDescent="0.6">
      <c r="A33" s="12" t="s">
        <v>94</v>
      </c>
    </row>
    <row r="34" spans="1:1" x14ac:dyDescent="0.6">
      <c r="A34" s="13" t="s">
        <v>95</v>
      </c>
    </row>
    <row r="35" spans="1:1" x14ac:dyDescent="0.6">
      <c r="A35" s="14" t="s">
        <v>96</v>
      </c>
    </row>
  </sheetData>
  <phoneticPr fontId="10"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3"/>
  <sheetViews>
    <sheetView showGridLines="0" tabSelected="1" topLeftCell="C1" workbookViewId="0">
      <pane ySplit="4" topLeftCell="A41" activePane="bottomLeft" state="frozen"/>
      <selection pane="bottomLeft" activeCell="F49" sqref="F49"/>
    </sheetView>
  </sheetViews>
  <sheetFormatPr defaultRowHeight="16.899999999999999" x14ac:dyDescent="0.6"/>
  <cols>
    <col min="1" max="1" width="8" customWidth="1"/>
    <col min="2" max="2" width="14" customWidth="1"/>
    <col min="3" max="3" width="62" customWidth="1"/>
    <col min="4" max="4" width="66" customWidth="1"/>
    <col min="5" max="5" width="12" customWidth="1"/>
    <col min="6" max="6" width="34" customWidth="1"/>
  </cols>
  <sheetData>
    <row r="1" spans="1:5" ht="20.65" x14ac:dyDescent="0.6">
      <c r="A1" s="15" t="s">
        <v>1227</v>
      </c>
    </row>
    <row r="2" spans="1:5" x14ac:dyDescent="0.6">
      <c r="A2" s="16" t="s">
        <v>1228</v>
      </c>
    </row>
    <row r="4" spans="1:5" x14ac:dyDescent="0.6">
      <c r="A4" s="5" t="s">
        <v>1229</v>
      </c>
    </row>
    <row r="5" spans="1:5" ht="28.05" customHeight="1" x14ac:dyDescent="0.6">
      <c r="A5" s="7" t="s">
        <v>141</v>
      </c>
      <c r="B5" s="7" t="s">
        <v>1230</v>
      </c>
      <c r="C5" s="7" t="s">
        <v>1231</v>
      </c>
      <c r="D5" s="7" t="s">
        <v>1232</v>
      </c>
      <c r="E5" s="7" t="s">
        <v>1233</v>
      </c>
    </row>
    <row r="6" spans="1:5" ht="76.5" x14ac:dyDescent="0.6">
      <c r="A6" s="8" t="s">
        <v>1234</v>
      </c>
      <c r="B6" s="8" t="s">
        <v>1235</v>
      </c>
      <c r="C6" s="9" t="s">
        <v>1236</v>
      </c>
      <c r="D6" s="9" t="s">
        <v>1237</v>
      </c>
      <c r="E6" s="9" t="s">
        <v>1238</v>
      </c>
    </row>
    <row r="7" spans="1:5" ht="229.5" x14ac:dyDescent="0.6">
      <c r="A7" s="10" t="s">
        <v>502</v>
      </c>
      <c r="B7" s="10" t="s">
        <v>285</v>
      </c>
      <c r="C7" s="11" t="s">
        <v>1239</v>
      </c>
      <c r="D7" s="11" t="s">
        <v>1240</v>
      </c>
      <c r="E7" s="11" t="s">
        <v>1241</v>
      </c>
    </row>
    <row r="9" spans="1:5" x14ac:dyDescent="0.6">
      <c r="A9" s="5" t="s">
        <v>1242</v>
      </c>
    </row>
    <row r="10" spans="1:5" ht="28.05" customHeight="1" x14ac:dyDescent="0.6">
      <c r="A10" s="7" t="s">
        <v>141</v>
      </c>
      <c r="B10" s="7" t="s">
        <v>1230</v>
      </c>
      <c r="C10" s="7" t="s">
        <v>1231</v>
      </c>
      <c r="D10" s="7" t="s">
        <v>1232</v>
      </c>
      <c r="E10" s="7" t="s">
        <v>1243</v>
      </c>
    </row>
    <row r="11" spans="1:5" ht="63.75" x14ac:dyDescent="0.6">
      <c r="A11" s="8" t="s">
        <v>1244</v>
      </c>
      <c r="B11" s="8" t="s">
        <v>285</v>
      </c>
      <c r="C11" s="9" t="s">
        <v>1245</v>
      </c>
      <c r="D11" s="9" t="s">
        <v>1246</v>
      </c>
      <c r="E11" s="9" t="s">
        <v>1247</v>
      </c>
    </row>
    <row r="12" spans="1:5" ht="178.5" x14ac:dyDescent="0.6">
      <c r="A12" s="10" t="s">
        <v>706</v>
      </c>
      <c r="B12" s="10" t="s">
        <v>285</v>
      </c>
      <c r="C12" s="11" t="s">
        <v>1248</v>
      </c>
      <c r="D12" s="11" t="s">
        <v>1249</v>
      </c>
      <c r="E12" s="11" t="s">
        <v>1250</v>
      </c>
    </row>
    <row r="13" spans="1:5" ht="204" x14ac:dyDescent="0.6">
      <c r="A13" s="8" t="s">
        <v>312</v>
      </c>
      <c r="B13" s="8" t="s">
        <v>285</v>
      </c>
      <c r="C13" s="9" t="s">
        <v>1251</v>
      </c>
      <c r="D13" s="9" t="s">
        <v>1252</v>
      </c>
      <c r="E13" s="9" t="s">
        <v>1253</v>
      </c>
    </row>
    <row r="14" spans="1:5" ht="51" x14ac:dyDescent="0.6">
      <c r="A14" s="10" t="s">
        <v>1254</v>
      </c>
      <c r="B14" s="10" t="s">
        <v>1255</v>
      </c>
      <c r="C14" s="11" t="s">
        <v>1256</v>
      </c>
      <c r="D14" s="11" t="s">
        <v>1257</v>
      </c>
      <c r="E14" s="11" t="s">
        <v>1258</v>
      </c>
    </row>
    <row r="15" spans="1:5" ht="114.75" x14ac:dyDescent="0.6">
      <c r="A15" s="8" t="s">
        <v>1259</v>
      </c>
      <c r="B15" s="8" t="s">
        <v>1255</v>
      </c>
      <c r="C15" s="9" t="s">
        <v>1260</v>
      </c>
      <c r="D15" s="9" t="s">
        <v>1261</v>
      </c>
      <c r="E15" s="9" t="s">
        <v>1262</v>
      </c>
    </row>
    <row r="16" spans="1:5" ht="165.75" x14ac:dyDescent="0.6">
      <c r="A16" s="10" t="s">
        <v>262</v>
      </c>
      <c r="B16" s="10" t="s">
        <v>285</v>
      </c>
      <c r="C16" s="11" t="s">
        <v>1263</v>
      </c>
      <c r="D16" s="11" t="s">
        <v>1264</v>
      </c>
      <c r="E16" s="11" t="s">
        <v>1265</v>
      </c>
    </row>
    <row r="18" spans="1:5" x14ac:dyDescent="0.6">
      <c r="A18" s="5" t="s">
        <v>1266</v>
      </c>
    </row>
    <row r="19" spans="1:5" ht="28.05" customHeight="1" x14ac:dyDescent="0.6">
      <c r="A19" s="7" t="s">
        <v>141</v>
      </c>
      <c r="B19" s="7" t="s">
        <v>1230</v>
      </c>
      <c r="C19" s="7" t="s">
        <v>1231</v>
      </c>
      <c r="D19" s="7" t="s">
        <v>1232</v>
      </c>
      <c r="E19" s="7" t="s">
        <v>1267</v>
      </c>
    </row>
    <row r="20" spans="1:5" ht="127.5" x14ac:dyDescent="0.6">
      <c r="A20" s="8" t="s">
        <v>1268</v>
      </c>
      <c r="B20" s="8" t="s">
        <v>1269</v>
      </c>
      <c r="C20" s="9" t="s">
        <v>1270</v>
      </c>
      <c r="D20" s="9" t="s">
        <v>1271</v>
      </c>
      <c r="E20" s="9" t="s">
        <v>1272</v>
      </c>
    </row>
    <row r="21" spans="1:5" ht="63.75" x14ac:dyDescent="0.6">
      <c r="A21" s="10" t="s">
        <v>242</v>
      </c>
      <c r="B21" s="10" t="s">
        <v>1255</v>
      </c>
      <c r="C21" s="11" t="s">
        <v>1273</v>
      </c>
      <c r="D21" s="11" t="s">
        <v>1274</v>
      </c>
      <c r="E21" s="11" t="s">
        <v>1275</v>
      </c>
    </row>
    <row r="22" spans="1:5" ht="114.75" x14ac:dyDescent="0.6">
      <c r="A22" s="8" t="s">
        <v>1276</v>
      </c>
      <c r="B22" s="8" t="s">
        <v>1255</v>
      </c>
      <c r="C22" s="9" t="s">
        <v>1277</v>
      </c>
      <c r="D22" s="9" t="s">
        <v>1278</v>
      </c>
      <c r="E22" s="9" t="s">
        <v>1279</v>
      </c>
    </row>
    <row r="23" spans="1:5" ht="114.75" x14ac:dyDescent="0.6">
      <c r="A23" s="10" t="s">
        <v>1280</v>
      </c>
      <c r="B23" s="10" t="s">
        <v>285</v>
      </c>
      <c r="C23" s="11" t="s">
        <v>1281</v>
      </c>
      <c r="D23" s="11" t="s">
        <v>1282</v>
      </c>
      <c r="E23" s="11" t="s">
        <v>1283</v>
      </c>
    </row>
    <row r="24" spans="1:5" ht="216.75" x14ac:dyDescent="0.6">
      <c r="A24" s="8" t="s">
        <v>1284</v>
      </c>
      <c r="B24" s="8" t="s">
        <v>285</v>
      </c>
      <c r="C24" s="9" t="s">
        <v>1285</v>
      </c>
      <c r="D24" s="9" t="s">
        <v>1286</v>
      </c>
      <c r="E24" s="9" t="s">
        <v>1287</v>
      </c>
    </row>
    <row r="25" spans="1:5" ht="114.75" x14ac:dyDescent="0.6">
      <c r="A25" s="10" t="s">
        <v>1288</v>
      </c>
      <c r="B25" s="10" t="s">
        <v>285</v>
      </c>
      <c r="C25" s="11" t="s">
        <v>1289</v>
      </c>
      <c r="D25" s="11" t="s">
        <v>1290</v>
      </c>
      <c r="E25" s="11" t="s">
        <v>1291</v>
      </c>
    </row>
    <row r="26" spans="1:5" ht="63.75" x14ac:dyDescent="0.6">
      <c r="A26" s="8" t="s">
        <v>1292</v>
      </c>
      <c r="B26" s="8" t="s">
        <v>1255</v>
      </c>
      <c r="C26" s="9" t="s">
        <v>1293</v>
      </c>
      <c r="D26" s="9" t="s">
        <v>1294</v>
      </c>
      <c r="E26" s="9" t="s">
        <v>1295</v>
      </c>
    </row>
    <row r="27" spans="1:5" ht="102" x14ac:dyDescent="0.6">
      <c r="A27" s="10" t="s">
        <v>358</v>
      </c>
      <c r="B27" s="10" t="s">
        <v>1296</v>
      </c>
      <c r="C27" s="11" t="s">
        <v>1297</v>
      </c>
      <c r="D27" s="11" t="s">
        <v>1298</v>
      </c>
      <c r="E27" s="11" t="s">
        <v>1299</v>
      </c>
    </row>
    <row r="29" spans="1:5" x14ac:dyDescent="0.6">
      <c r="A29" s="5" t="s">
        <v>1300</v>
      </c>
    </row>
    <row r="30" spans="1:5" ht="28.05" customHeight="1" x14ac:dyDescent="0.6">
      <c r="A30" s="7" t="s">
        <v>141</v>
      </c>
      <c r="B30" s="7" t="s">
        <v>1230</v>
      </c>
      <c r="C30" s="7" t="s">
        <v>1231</v>
      </c>
      <c r="D30" s="7" t="s">
        <v>1232</v>
      </c>
      <c r="E30" s="7" t="s">
        <v>1301</v>
      </c>
    </row>
    <row r="31" spans="1:5" ht="102" x14ac:dyDescent="0.6">
      <c r="A31" s="8" t="s">
        <v>152</v>
      </c>
      <c r="B31" s="8" t="s">
        <v>285</v>
      </c>
      <c r="C31" s="9" t="s">
        <v>1302</v>
      </c>
      <c r="D31" s="9" t="s">
        <v>1303</v>
      </c>
      <c r="E31" s="9" t="s">
        <v>1304</v>
      </c>
    </row>
    <row r="32" spans="1:5" ht="51" x14ac:dyDescent="0.6">
      <c r="A32" s="10" t="s">
        <v>297</v>
      </c>
      <c r="B32" s="10" t="s">
        <v>285</v>
      </c>
      <c r="C32" s="11" t="s">
        <v>1305</v>
      </c>
      <c r="D32" s="11" t="s">
        <v>1306</v>
      </c>
      <c r="E32" s="11" t="s">
        <v>1307</v>
      </c>
    </row>
    <row r="33" spans="1:6" ht="89.25" x14ac:dyDescent="0.6">
      <c r="A33" s="8" t="s">
        <v>275</v>
      </c>
      <c r="B33" s="8" t="s">
        <v>1308</v>
      </c>
      <c r="C33" s="9" t="s">
        <v>1309</v>
      </c>
      <c r="D33" s="9" t="s">
        <v>1310</v>
      </c>
      <c r="E33" s="9" t="s">
        <v>1311</v>
      </c>
    </row>
    <row r="34" spans="1:6" ht="76.5" x14ac:dyDescent="0.6">
      <c r="A34" s="10" t="s">
        <v>1312</v>
      </c>
      <c r="B34" s="10" t="s">
        <v>765</v>
      </c>
      <c r="C34" s="11" t="s">
        <v>1313</v>
      </c>
      <c r="D34" s="11" t="s">
        <v>1314</v>
      </c>
      <c r="E34" s="11" t="s">
        <v>1315</v>
      </c>
    </row>
    <row r="35" spans="1:6" ht="25.5" x14ac:dyDescent="0.6">
      <c r="A35" s="8" t="s">
        <v>163</v>
      </c>
      <c r="B35" s="8" t="s">
        <v>1316</v>
      </c>
      <c r="C35" s="9" t="s">
        <v>1317</v>
      </c>
      <c r="D35" s="9" t="s">
        <v>1318</v>
      </c>
      <c r="E35" s="9" t="s">
        <v>1319</v>
      </c>
    </row>
    <row r="36" spans="1:6" ht="51" x14ac:dyDescent="0.6">
      <c r="A36" s="10" t="s">
        <v>378</v>
      </c>
      <c r="B36" s="10" t="s">
        <v>1320</v>
      </c>
      <c r="C36" s="11" t="s">
        <v>1321</v>
      </c>
      <c r="D36" s="11" t="s">
        <v>1322</v>
      </c>
      <c r="E36" s="11" t="s">
        <v>1323</v>
      </c>
    </row>
    <row r="37" spans="1:6" ht="89.25" x14ac:dyDescent="0.6">
      <c r="A37" s="8" t="s">
        <v>1324</v>
      </c>
      <c r="B37" s="8" t="s">
        <v>1325</v>
      </c>
      <c r="C37" s="9" t="s">
        <v>1326</v>
      </c>
      <c r="D37" s="9" t="s">
        <v>1327</v>
      </c>
      <c r="E37" s="9" t="s">
        <v>1328</v>
      </c>
    </row>
    <row r="38" spans="1:6" ht="102" x14ac:dyDescent="0.6">
      <c r="A38" s="10" t="s">
        <v>156</v>
      </c>
      <c r="B38" s="10" t="s">
        <v>1329</v>
      </c>
      <c r="C38" s="11" t="s">
        <v>1330</v>
      </c>
      <c r="D38" s="11" t="s">
        <v>1331</v>
      </c>
      <c r="E38" s="11" t="s">
        <v>1332</v>
      </c>
    </row>
    <row r="39" spans="1:6" ht="114.75" x14ac:dyDescent="0.6">
      <c r="A39" s="8" t="s">
        <v>148</v>
      </c>
      <c r="B39" s="8" t="s">
        <v>1333</v>
      </c>
      <c r="C39" s="9" t="s">
        <v>1334</v>
      </c>
      <c r="D39" s="9" t="s">
        <v>1335</v>
      </c>
      <c r="E39" s="9" t="s">
        <v>1336</v>
      </c>
    </row>
    <row r="40" spans="1:6" ht="63.75" x14ac:dyDescent="0.6">
      <c r="A40" s="10" t="s">
        <v>1337</v>
      </c>
      <c r="B40" s="10" t="s">
        <v>1338</v>
      </c>
      <c r="C40" s="11" t="s">
        <v>1339</v>
      </c>
      <c r="D40" s="11" t="s">
        <v>1340</v>
      </c>
      <c r="E40" s="11" t="s">
        <v>1341</v>
      </c>
    </row>
    <row r="41" spans="1:6" ht="76.5" x14ac:dyDescent="0.6">
      <c r="A41" s="8" t="s">
        <v>287</v>
      </c>
      <c r="B41" s="8" t="s">
        <v>1342</v>
      </c>
      <c r="C41" s="9" t="s">
        <v>1343</v>
      </c>
      <c r="D41" s="9" t="s">
        <v>1344</v>
      </c>
      <c r="E41" s="9" t="s">
        <v>1345</v>
      </c>
    </row>
    <row r="42" spans="1:6" ht="51" x14ac:dyDescent="0.6">
      <c r="A42" s="10" t="s">
        <v>1346</v>
      </c>
      <c r="B42" s="10" t="s">
        <v>1347</v>
      </c>
      <c r="C42" s="11" t="s">
        <v>1348</v>
      </c>
      <c r="D42" s="11" t="s">
        <v>1349</v>
      </c>
      <c r="E42" s="11" t="s">
        <v>1350</v>
      </c>
    </row>
    <row r="44" spans="1:6" x14ac:dyDescent="0.6">
      <c r="A44" s="5" t="s">
        <v>1351</v>
      </c>
    </row>
    <row r="45" spans="1:6" x14ac:dyDescent="0.6">
      <c r="A45" s="16" t="s">
        <v>1352</v>
      </c>
    </row>
    <row r="46" spans="1:6" ht="28.05" customHeight="1" x14ac:dyDescent="0.6">
      <c r="A46" s="7" t="s">
        <v>141</v>
      </c>
      <c r="B46" s="7" t="s">
        <v>1230</v>
      </c>
      <c r="C46" s="7" t="s">
        <v>1353</v>
      </c>
      <c r="D46" s="7" t="s">
        <v>1354</v>
      </c>
      <c r="E46" s="7" t="s">
        <v>8</v>
      </c>
      <c r="F46" s="25" t="s">
        <v>1555</v>
      </c>
    </row>
    <row r="47" spans="1:6" ht="38.25" x14ac:dyDescent="0.6">
      <c r="A47" s="8" t="s">
        <v>259</v>
      </c>
      <c r="B47" s="8" t="s">
        <v>1255</v>
      </c>
      <c r="C47" s="9" t="s">
        <v>1355</v>
      </c>
      <c r="D47" s="9" t="s">
        <v>1356</v>
      </c>
      <c r="E47" s="8" t="s">
        <v>1357</v>
      </c>
    </row>
    <row r="48" spans="1:6" ht="38.25" x14ac:dyDescent="0.6">
      <c r="A48" s="10" t="s">
        <v>315</v>
      </c>
      <c r="B48" s="10" t="s">
        <v>285</v>
      </c>
      <c r="C48" s="11" t="s">
        <v>1358</v>
      </c>
      <c r="D48" s="11" t="s">
        <v>1359</v>
      </c>
      <c r="E48" s="10" t="s">
        <v>1357</v>
      </c>
    </row>
    <row r="49" spans="1:6" ht="63.75" x14ac:dyDescent="0.6">
      <c r="A49" s="8" t="s">
        <v>1163</v>
      </c>
      <c r="B49" s="8" t="s">
        <v>285</v>
      </c>
      <c r="C49" s="23" t="s">
        <v>1552</v>
      </c>
      <c r="D49" s="23" t="s">
        <v>1553</v>
      </c>
      <c r="E49" s="24" t="s">
        <v>1554</v>
      </c>
      <c r="F49" t="s">
        <v>1556</v>
      </c>
    </row>
    <row r="51" spans="1:6" x14ac:dyDescent="0.6">
      <c r="A51" s="16" t="s">
        <v>1360</v>
      </c>
    </row>
    <row r="53" spans="1:6" x14ac:dyDescent="0.6">
      <c r="A53" s="16" t="s">
        <v>1361</v>
      </c>
    </row>
  </sheetData>
  <phoneticPr fontId="10"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6"/>
  <sheetViews>
    <sheetView showGridLines="0" workbookViewId="0">
      <pane ySplit="4" topLeftCell="A5" activePane="bottomLeft" state="frozen"/>
      <selection pane="bottomLeft"/>
    </sheetView>
  </sheetViews>
  <sheetFormatPr defaultRowHeight="16.899999999999999" x14ac:dyDescent="0.6"/>
  <cols>
    <col min="1" max="1" width="30" customWidth="1"/>
    <col min="2" max="2" width="16" customWidth="1"/>
    <col min="3" max="3" width="14" customWidth="1"/>
    <col min="4" max="4" width="88" customWidth="1"/>
    <col min="5" max="5" width="76" customWidth="1"/>
    <col min="6" max="6" width="12" customWidth="1"/>
  </cols>
  <sheetData>
    <row r="1" spans="1:6" ht="20.65" x14ac:dyDescent="0.6">
      <c r="A1" s="15" t="s">
        <v>1362</v>
      </c>
    </row>
    <row r="2" spans="1:6" x14ac:dyDescent="0.6">
      <c r="A2" s="16" t="s">
        <v>1363</v>
      </c>
    </row>
    <row r="4" spans="1:6" ht="28.05" customHeight="1" x14ac:dyDescent="0.6">
      <c r="A4" s="7" t="s">
        <v>1364</v>
      </c>
      <c r="B4" s="7" t="s">
        <v>1365</v>
      </c>
      <c r="C4" s="7" t="s">
        <v>1366</v>
      </c>
      <c r="D4" s="7" t="s">
        <v>1367</v>
      </c>
      <c r="E4" s="7" t="s">
        <v>1368</v>
      </c>
      <c r="F4" s="7" t="s">
        <v>8</v>
      </c>
    </row>
    <row r="5" spans="1:6" ht="25.5" x14ac:dyDescent="0.6">
      <c r="A5" s="8" t="s">
        <v>557</v>
      </c>
      <c r="B5" s="8" t="s">
        <v>89</v>
      </c>
      <c r="C5" s="9" t="s">
        <v>1369</v>
      </c>
      <c r="D5" s="9" t="s">
        <v>1370</v>
      </c>
      <c r="E5" s="9" t="s">
        <v>1371</v>
      </c>
      <c r="F5" s="8" t="s">
        <v>1372</v>
      </c>
    </row>
    <row r="6" spans="1:6" ht="153" x14ac:dyDescent="0.6">
      <c r="A6" s="10" t="s">
        <v>235</v>
      </c>
      <c r="B6" s="10" t="s">
        <v>1373</v>
      </c>
      <c r="C6" s="11" t="s">
        <v>1374</v>
      </c>
      <c r="D6" s="11" t="s">
        <v>1375</v>
      </c>
      <c r="E6" s="11" t="s">
        <v>1376</v>
      </c>
      <c r="F6" s="10" t="s">
        <v>1372</v>
      </c>
    </row>
    <row r="7" spans="1:6" ht="178.5" x14ac:dyDescent="0.6">
      <c r="A7" s="8" t="s">
        <v>569</v>
      </c>
      <c r="B7" s="8" t="s">
        <v>1377</v>
      </c>
      <c r="C7" s="9" t="s">
        <v>1378</v>
      </c>
      <c r="D7" s="9" t="s">
        <v>1379</v>
      </c>
      <c r="E7" s="9" t="s">
        <v>1380</v>
      </c>
      <c r="F7" s="8" t="s">
        <v>1372</v>
      </c>
    </row>
    <row r="8" spans="1:6" ht="102" x14ac:dyDescent="0.6">
      <c r="A8" s="10" t="s">
        <v>222</v>
      </c>
      <c r="B8" s="10" t="s">
        <v>1377</v>
      </c>
      <c r="C8" s="11" t="s">
        <v>1381</v>
      </c>
      <c r="D8" s="11" t="s">
        <v>1382</v>
      </c>
      <c r="E8" s="11" t="s">
        <v>1383</v>
      </c>
      <c r="F8" s="10" t="s">
        <v>1372</v>
      </c>
    </row>
    <row r="9" spans="1:6" ht="89.25" x14ac:dyDescent="0.6">
      <c r="A9" s="8" t="s">
        <v>711</v>
      </c>
      <c r="B9" s="8" t="s">
        <v>1384</v>
      </c>
      <c r="C9" s="9" t="s">
        <v>1385</v>
      </c>
      <c r="D9" s="9" t="s">
        <v>1386</v>
      </c>
      <c r="E9" s="9" t="s">
        <v>1387</v>
      </c>
      <c r="F9" s="8" t="s">
        <v>1372</v>
      </c>
    </row>
    <row r="10" spans="1:6" ht="63.75" x14ac:dyDescent="0.6">
      <c r="A10" s="10" t="s">
        <v>715</v>
      </c>
      <c r="B10" s="10" t="s">
        <v>75</v>
      </c>
      <c r="C10" s="11" t="s">
        <v>1388</v>
      </c>
      <c r="D10" s="11" t="s">
        <v>1389</v>
      </c>
      <c r="E10" s="11" t="s">
        <v>1390</v>
      </c>
      <c r="F10" s="10" t="s">
        <v>1372</v>
      </c>
    </row>
    <row r="11" spans="1:6" ht="38.25" x14ac:dyDescent="0.6">
      <c r="A11" s="8" t="s">
        <v>719</v>
      </c>
      <c r="B11" s="8" t="s">
        <v>1391</v>
      </c>
      <c r="C11" s="9" t="s">
        <v>1392</v>
      </c>
      <c r="D11" s="9" t="s">
        <v>1379</v>
      </c>
      <c r="E11" s="9" t="s">
        <v>1393</v>
      </c>
      <c r="F11" s="8" t="s">
        <v>1372</v>
      </c>
    </row>
    <row r="12" spans="1:6" ht="51" x14ac:dyDescent="0.6">
      <c r="A12" s="10" t="s">
        <v>1394</v>
      </c>
      <c r="B12" s="10" t="s">
        <v>1395</v>
      </c>
      <c r="C12" s="11" t="s">
        <v>1396</v>
      </c>
      <c r="D12" s="11" t="s">
        <v>1397</v>
      </c>
      <c r="E12" s="11" t="s">
        <v>1398</v>
      </c>
      <c r="F12" s="10" t="s">
        <v>1372</v>
      </c>
    </row>
    <row r="13" spans="1:6" ht="89.25" x14ac:dyDescent="0.6">
      <c r="A13" s="8" t="s">
        <v>1399</v>
      </c>
      <c r="B13" s="8" t="s">
        <v>1400</v>
      </c>
      <c r="C13" s="9" t="s">
        <v>1401</v>
      </c>
      <c r="D13" s="9" t="s">
        <v>1379</v>
      </c>
      <c r="E13" s="9" t="s">
        <v>1402</v>
      </c>
      <c r="F13" s="8" t="s">
        <v>1372</v>
      </c>
    </row>
    <row r="14" spans="1:6" ht="38.25" x14ac:dyDescent="0.6">
      <c r="A14" s="10" t="s">
        <v>1403</v>
      </c>
      <c r="B14" s="10" t="s">
        <v>1404</v>
      </c>
      <c r="C14" s="11" t="s">
        <v>1405</v>
      </c>
      <c r="D14" s="11" t="s">
        <v>1406</v>
      </c>
      <c r="E14" s="11" t="s">
        <v>1407</v>
      </c>
      <c r="F14" s="10" t="s">
        <v>1372</v>
      </c>
    </row>
    <row r="15" spans="1:6" ht="25.5" x14ac:dyDescent="0.6">
      <c r="A15" s="8" t="s">
        <v>1408</v>
      </c>
      <c r="B15" s="8" t="s">
        <v>1409</v>
      </c>
      <c r="C15" s="9" t="s">
        <v>1322</v>
      </c>
      <c r="D15" s="9" t="s">
        <v>1379</v>
      </c>
      <c r="E15" s="9" t="s">
        <v>1410</v>
      </c>
      <c r="F15" s="8" t="s">
        <v>1372</v>
      </c>
    </row>
    <row r="16" spans="1:6" ht="38.25" x14ac:dyDescent="0.6">
      <c r="A16" s="10" t="s">
        <v>1411</v>
      </c>
      <c r="B16" s="10" t="s">
        <v>1412</v>
      </c>
      <c r="C16" s="11" t="s">
        <v>1413</v>
      </c>
      <c r="D16" s="11" t="s">
        <v>1414</v>
      </c>
      <c r="E16" s="11" t="s">
        <v>1415</v>
      </c>
      <c r="F16" s="10" t="s">
        <v>1372</v>
      </c>
    </row>
    <row r="17" spans="1:6" ht="38.25" x14ac:dyDescent="0.6">
      <c r="A17" s="8" t="s">
        <v>1416</v>
      </c>
      <c r="B17" s="8" t="s">
        <v>1417</v>
      </c>
      <c r="C17" s="9" t="s">
        <v>1418</v>
      </c>
      <c r="D17" s="9" t="s">
        <v>1419</v>
      </c>
      <c r="E17" s="9" t="s">
        <v>1420</v>
      </c>
      <c r="F17" s="8" t="s">
        <v>1372</v>
      </c>
    </row>
    <row r="18" spans="1:6" ht="38.25" x14ac:dyDescent="0.6">
      <c r="A18" s="10" t="s">
        <v>1421</v>
      </c>
      <c r="B18" s="10" t="s">
        <v>1422</v>
      </c>
      <c r="C18" s="11" t="s">
        <v>1423</v>
      </c>
      <c r="D18" s="11" t="s">
        <v>1379</v>
      </c>
      <c r="E18" s="11" t="s">
        <v>1424</v>
      </c>
      <c r="F18" s="10" t="s">
        <v>1372</v>
      </c>
    </row>
    <row r="19" spans="1:6" ht="38.25" x14ac:dyDescent="0.6">
      <c r="A19" s="8" t="s">
        <v>1425</v>
      </c>
      <c r="B19" s="8" t="s">
        <v>103</v>
      </c>
      <c r="C19" s="9" t="s">
        <v>1426</v>
      </c>
      <c r="D19" s="9" t="s">
        <v>1427</v>
      </c>
      <c r="E19" s="9" t="s">
        <v>1428</v>
      </c>
      <c r="F19" s="8" t="s">
        <v>1372</v>
      </c>
    </row>
    <row r="20" spans="1:6" ht="38.25" x14ac:dyDescent="0.6">
      <c r="A20" s="10" t="s">
        <v>1429</v>
      </c>
      <c r="B20" s="10" t="s">
        <v>1430</v>
      </c>
      <c r="C20" s="11" t="s">
        <v>1431</v>
      </c>
      <c r="D20" s="11" t="s">
        <v>1379</v>
      </c>
      <c r="E20" s="11" t="s">
        <v>1432</v>
      </c>
      <c r="F20" s="10" t="s">
        <v>1372</v>
      </c>
    </row>
    <row r="21" spans="1:6" ht="25.5" x14ac:dyDescent="0.6">
      <c r="A21" s="8" t="s">
        <v>1433</v>
      </c>
      <c r="B21" s="8" t="s">
        <v>1434</v>
      </c>
      <c r="C21" s="9" t="s">
        <v>1435</v>
      </c>
      <c r="D21" s="9" t="s">
        <v>1379</v>
      </c>
      <c r="E21" s="9" t="s">
        <v>1436</v>
      </c>
      <c r="F21" s="8" t="s">
        <v>1372</v>
      </c>
    </row>
    <row r="22" spans="1:6" ht="76.5" x14ac:dyDescent="0.6">
      <c r="A22" s="10" t="s">
        <v>1437</v>
      </c>
      <c r="B22" s="10" t="s">
        <v>1438</v>
      </c>
      <c r="C22" s="11" t="s">
        <v>1439</v>
      </c>
      <c r="D22" s="11" t="s">
        <v>1440</v>
      </c>
      <c r="E22" s="11" t="s">
        <v>1441</v>
      </c>
      <c r="F22" s="10" t="s">
        <v>1372</v>
      </c>
    </row>
    <row r="23" spans="1:6" ht="63.75" x14ac:dyDescent="0.6">
      <c r="A23" s="8" t="s">
        <v>1442</v>
      </c>
      <c r="B23" s="8" t="s">
        <v>1443</v>
      </c>
      <c r="C23" s="9" t="s">
        <v>1444</v>
      </c>
      <c r="D23" s="9" t="s">
        <v>1445</v>
      </c>
      <c r="E23" s="9" t="s">
        <v>1446</v>
      </c>
      <c r="F23" s="8" t="s">
        <v>1372</v>
      </c>
    </row>
    <row r="24" spans="1:6" ht="51" x14ac:dyDescent="0.6">
      <c r="A24" s="10" t="s">
        <v>1447</v>
      </c>
      <c r="B24" s="10" t="s">
        <v>1448</v>
      </c>
      <c r="C24" s="11" t="s">
        <v>1449</v>
      </c>
      <c r="D24" s="11" t="s">
        <v>1450</v>
      </c>
      <c r="E24" s="11" t="s">
        <v>1451</v>
      </c>
      <c r="F24" s="10" t="s">
        <v>1372</v>
      </c>
    </row>
    <row r="25" spans="1:6" ht="38.25" x14ac:dyDescent="0.6">
      <c r="A25" s="8" t="s">
        <v>1452</v>
      </c>
      <c r="B25" s="8" t="s">
        <v>1453</v>
      </c>
      <c r="C25" s="9" t="s">
        <v>1454</v>
      </c>
      <c r="D25" s="9" t="s">
        <v>1379</v>
      </c>
      <c r="E25" s="9" t="s">
        <v>1455</v>
      </c>
      <c r="F25" s="8" t="s">
        <v>1372</v>
      </c>
    </row>
    <row r="26" spans="1:6" ht="38.25" x14ac:dyDescent="0.6">
      <c r="A26" s="10" t="s">
        <v>1456</v>
      </c>
      <c r="B26" s="10" t="s">
        <v>1457</v>
      </c>
      <c r="C26" s="11" t="s">
        <v>1458</v>
      </c>
      <c r="D26" s="11" t="s">
        <v>1379</v>
      </c>
      <c r="E26" s="11" t="s">
        <v>1459</v>
      </c>
      <c r="F26" s="10" t="s">
        <v>1372</v>
      </c>
    </row>
    <row r="27" spans="1:6" ht="63.75" x14ac:dyDescent="0.6">
      <c r="A27" s="8" t="s">
        <v>1460</v>
      </c>
      <c r="B27" s="8" t="s">
        <v>1461</v>
      </c>
      <c r="C27" s="9" t="s">
        <v>1462</v>
      </c>
      <c r="D27" s="9" t="s">
        <v>1463</v>
      </c>
      <c r="E27" s="9" t="s">
        <v>1464</v>
      </c>
      <c r="F27" s="8" t="s">
        <v>1372</v>
      </c>
    </row>
    <row r="28" spans="1:6" ht="63.75" x14ac:dyDescent="0.6">
      <c r="A28" s="10" t="s">
        <v>572</v>
      </c>
      <c r="B28" s="10" t="s">
        <v>1465</v>
      </c>
      <c r="C28" s="11" t="s">
        <v>1466</v>
      </c>
      <c r="D28" s="11" t="s">
        <v>1467</v>
      </c>
      <c r="E28" s="11" t="s">
        <v>1468</v>
      </c>
      <c r="F28" s="10" t="s">
        <v>1372</v>
      </c>
    </row>
    <row r="29" spans="1:6" ht="51" x14ac:dyDescent="0.6">
      <c r="A29" s="8" t="s">
        <v>1469</v>
      </c>
      <c r="B29" s="8" t="s">
        <v>1470</v>
      </c>
      <c r="C29" s="9" t="s">
        <v>1471</v>
      </c>
      <c r="D29" s="9" t="s">
        <v>1472</v>
      </c>
      <c r="E29" s="9" t="s">
        <v>1473</v>
      </c>
      <c r="F29" s="8" t="s">
        <v>1372</v>
      </c>
    </row>
    <row r="30" spans="1:6" ht="127.5" x14ac:dyDescent="0.6">
      <c r="A30" s="10" t="s">
        <v>1474</v>
      </c>
      <c r="B30" s="10" t="s">
        <v>1475</v>
      </c>
      <c r="C30" s="11" t="s">
        <v>1476</v>
      </c>
      <c r="D30" s="11" t="s">
        <v>1477</v>
      </c>
      <c r="E30" s="11" t="s">
        <v>1478</v>
      </c>
      <c r="F30" s="10" t="s">
        <v>1372</v>
      </c>
    </row>
    <row r="31" spans="1:6" ht="51" x14ac:dyDescent="0.6">
      <c r="A31" s="8" t="s">
        <v>1479</v>
      </c>
      <c r="B31" s="8" t="s">
        <v>1480</v>
      </c>
      <c r="C31" s="9" t="s">
        <v>1481</v>
      </c>
      <c r="D31" s="9" t="s">
        <v>1379</v>
      </c>
      <c r="E31" s="9" t="s">
        <v>1482</v>
      </c>
      <c r="F31" s="8" t="s">
        <v>1372</v>
      </c>
    </row>
    <row r="32" spans="1:6" ht="51" x14ac:dyDescent="0.6">
      <c r="A32" s="10" t="s">
        <v>1483</v>
      </c>
      <c r="B32" s="10" t="s">
        <v>1484</v>
      </c>
      <c r="C32" s="11" t="s">
        <v>1485</v>
      </c>
      <c r="D32" s="11" t="s">
        <v>1379</v>
      </c>
      <c r="E32" s="11" t="s">
        <v>1486</v>
      </c>
      <c r="F32" s="10" t="s">
        <v>1372</v>
      </c>
    </row>
    <row r="33" spans="1:6" ht="38.25" x14ac:dyDescent="0.6">
      <c r="A33" s="8" t="s">
        <v>1487</v>
      </c>
      <c r="B33" s="8" t="s">
        <v>1488</v>
      </c>
      <c r="C33" s="9" t="s">
        <v>1489</v>
      </c>
      <c r="D33" s="9" t="s">
        <v>1490</v>
      </c>
      <c r="E33" s="9" t="s">
        <v>1491</v>
      </c>
      <c r="F33" s="8" t="s">
        <v>1372</v>
      </c>
    </row>
    <row r="34" spans="1:6" ht="63.75" x14ac:dyDescent="0.6">
      <c r="A34" s="10" t="s">
        <v>1492</v>
      </c>
      <c r="B34" s="10" t="s">
        <v>1493</v>
      </c>
      <c r="C34" s="11" t="s">
        <v>1494</v>
      </c>
      <c r="D34" s="11" t="s">
        <v>1495</v>
      </c>
      <c r="E34" s="11" t="s">
        <v>1496</v>
      </c>
      <c r="F34" s="10" t="s">
        <v>1372</v>
      </c>
    </row>
    <row r="35" spans="1:6" ht="38.25" x14ac:dyDescent="0.6">
      <c r="A35" s="8" t="s">
        <v>1497</v>
      </c>
      <c r="B35" s="8" t="s">
        <v>103</v>
      </c>
      <c r="C35" s="9" t="s">
        <v>1498</v>
      </c>
      <c r="D35" s="9" t="s">
        <v>1499</v>
      </c>
      <c r="E35" s="9" t="s">
        <v>1500</v>
      </c>
      <c r="F35" s="8" t="s">
        <v>1372</v>
      </c>
    </row>
    <row r="36" spans="1:6" ht="51" x14ac:dyDescent="0.6">
      <c r="A36" s="10" t="s">
        <v>1501</v>
      </c>
      <c r="B36" s="10" t="s">
        <v>1502</v>
      </c>
      <c r="C36" s="11" t="s">
        <v>1237</v>
      </c>
      <c r="D36" s="11" t="s">
        <v>1503</v>
      </c>
      <c r="E36" s="11" t="s">
        <v>1504</v>
      </c>
      <c r="F36" s="10" t="s">
        <v>1372</v>
      </c>
    </row>
    <row r="37" spans="1:6" ht="76.5" x14ac:dyDescent="0.6">
      <c r="A37" s="8" t="s">
        <v>1505</v>
      </c>
      <c r="B37" s="8" t="s">
        <v>1506</v>
      </c>
      <c r="C37" s="9" t="s">
        <v>1507</v>
      </c>
      <c r="D37" s="9" t="s">
        <v>1508</v>
      </c>
      <c r="E37" s="9" t="s">
        <v>1509</v>
      </c>
      <c r="F37" s="8" t="s">
        <v>1372</v>
      </c>
    </row>
    <row r="38" spans="1:6" ht="102" x14ac:dyDescent="0.6">
      <c r="A38" s="10" t="s">
        <v>1510</v>
      </c>
      <c r="B38" s="10" t="s">
        <v>1511</v>
      </c>
      <c r="C38" s="11" t="s">
        <v>1512</v>
      </c>
      <c r="D38" s="11" t="s">
        <v>1513</v>
      </c>
      <c r="E38" s="11" t="s">
        <v>1514</v>
      </c>
      <c r="F38" s="10" t="s">
        <v>1372</v>
      </c>
    </row>
    <row r="39" spans="1:6" ht="114.75" x14ac:dyDescent="0.6">
      <c r="A39" s="8" t="s">
        <v>1515</v>
      </c>
      <c r="B39" s="8" t="s">
        <v>1516</v>
      </c>
      <c r="C39" s="9" t="s">
        <v>1517</v>
      </c>
      <c r="D39" s="9" t="s">
        <v>1518</v>
      </c>
      <c r="E39" s="9" t="s">
        <v>1519</v>
      </c>
      <c r="F39" s="8" t="s">
        <v>1372</v>
      </c>
    </row>
    <row r="40" spans="1:6" ht="38.25" x14ac:dyDescent="0.6">
      <c r="A40" s="10" t="s">
        <v>1520</v>
      </c>
      <c r="B40" s="10" t="s">
        <v>1521</v>
      </c>
      <c r="C40" s="11" t="s">
        <v>1355</v>
      </c>
      <c r="D40" s="11" t="s">
        <v>1522</v>
      </c>
      <c r="E40" s="11" t="s">
        <v>1523</v>
      </c>
      <c r="F40" s="10" t="s">
        <v>1372</v>
      </c>
    </row>
    <row r="41" spans="1:6" ht="165.75" x14ac:dyDescent="0.6">
      <c r="A41" s="8" t="s">
        <v>1524</v>
      </c>
      <c r="B41" s="8" t="s">
        <v>1525</v>
      </c>
      <c r="C41" s="9" t="s">
        <v>1526</v>
      </c>
      <c r="D41" s="9" t="s">
        <v>1527</v>
      </c>
      <c r="E41" s="9" t="s">
        <v>1528</v>
      </c>
      <c r="F41" s="8" t="s">
        <v>1372</v>
      </c>
    </row>
    <row r="42" spans="1:6" ht="51" x14ac:dyDescent="0.6">
      <c r="A42" s="10" t="s">
        <v>1529</v>
      </c>
      <c r="B42" s="10" t="s">
        <v>77</v>
      </c>
      <c r="C42" s="11" t="s">
        <v>1530</v>
      </c>
      <c r="D42" s="11" t="s">
        <v>1531</v>
      </c>
      <c r="E42" s="11" t="s">
        <v>1532</v>
      </c>
      <c r="F42" s="10" t="s">
        <v>1533</v>
      </c>
    </row>
    <row r="43" spans="1:6" ht="38.25" x14ac:dyDescent="0.6">
      <c r="A43" s="8" t="s">
        <v>1534</v>
      </c>
      <c r="B43" s="8" t="s">
        <v>362</v>
      </c>
      <c r="C43" s="9" t="s">
        <v>1535</v>
      </c>
      <c r="D43" s="9" t="s">
        <v>1536</v>
      </c>
      <c r="E43" s="9" t="s">
        <v>1537</v>
      </c>
      <c r="F43" s="8" t="s">
        <v>1372</v>
      </c>
    </row>
    <row r="45" spans="1:6" x14ac:dyDescent="0.6">
      <c r="A45" s="5" t="s">
        <v>1538</v>
      </c>
    </row>
    <row r="46" spans="1:6" ht="28.05" customHeight="1" x14ac:dyDescent="0.6">
      <c r="A46" s="7" t="s">
        <v>1080</v>
      </c>
      <c r="B46" s="7" t="s">
        <v>384</v>
      </c>
    </row>
    <row r="47" spans="1:6" x14ac:dyDescent="0.6">
      <c r="A47" s="8" t="s">
        <v>1539</v>
      </c>
      <c r="B47" s="8">
        <f>COUNTIF(F5:F43,"Closed")</f>
        <v>38</v>
      </c>
    </row>
    <row r="48" spans="1:6" x14ac:dyDescent="0.6">
      <c r="A48" s="10" t="s">
        <v>1540</v>
      </c>
      <c r="B48" s="10">
        <f>COUNTIF(F5:F43,"Open")</f>
        <v>1</v>
      </c>
    </row>
    <row r="49" spans="1:4" x14ac:dyDescent="0.6">
      <c r="A49" s="8" t="s">
        <v>1541</v>
      </c>
      <c r="B49" s="8">
        <f>COUNTA(A5:A43)</f>
        <v>39</v>
      </c>
    </row>
    <row r="51" spans="1:4" x14ac:dyDescent="0.6">
      <c r="A51" s="5" t="s">
        <v>1542</v>
      </c>
    </row>
    <row r="52" spans="1:4" ht="28.05" customHeight="1" x14ac:dyDescent="0.6">
      <c r="A52" s="7" t="s">
        <v>1543</v>
      </c>
      <c r="B52" s="7" t="s">
        <v>1544</v>
      </c>
      <c r="C52" s="7" t="s">
        <v>99</v>
      </c>
      <c r="D52" s="7" t="s">
        <v>790</v>
      </c>
    </row>
    <row r="53" spans="1:4" ht="25.5" x14ac:dyDescent="0.6">
      <c r="A53" s="20" t="s">
        <v>1545</v>
      </c>
      <c r="B53" s="20" t="s">
        <v>1546</v>
      </c>
      <c r="C53" s="20" t="s">
        <v>1547</v>
      </c>
      <c r="D53" s="19" t="s">
        <v>1548</v>
      </c>
    </row>
    <row r="54" spans="1:4" x14ac:dyDescent="0.6">
      <c r="A54" s="10" t="s">
        <v>1549</v>
      </c>
      <c r="B54" s="22"/>
      <c r="C54" s="22"/>
      <c r="D54" s="11" t="s">
        <v>1550</v>
      </c>
    </row>
    <row r="56" spans="1:4" x14ac:dyDescent="0.6">
      <c r="A56" s="16" t="s">
        <v>1551</v>
      </c>
    </row>
  </sheetData>
  <phoneticPr fontId="10" type="noConversion"/>
  <dataValidations count="1">
    <dataValidation type="list" allowBlank="1" sqref="F5:F43" xr:uid="{00000000-0002-0000-0C00-000000000000}">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00_Cover</vt:lpstr>
      <vt:lpstr>01_Version_History</vt:lpstr>
      <vt:lpstr>02_Scope</vt:lpstr>
      <vt:lpstr>03_Requirements</vt:lpstr>
      <vt:lpstr>04_Data_Model</vt:lpstr>
      <vt:lpstr>05_Resource_Logic</vt:lpstr>
      <vt:lpstr>06_Dashboard_Design</vt:lpstr>
      <vt:lpstr>07_Architecture</vt:lpstr>
      <vt:lpstr>08_WBS_Schedule</vt:lpstr>
      <vt:lpstr>09_Version_Control</vt:lpstr>
      <vt:lpstr>10_Risks</vt:lpstr>
      <vt:lpstr>11_Open_Questions</vt:lpstr>
      <vt:lpstr>12_Review_Log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대은 임</cp:lastModifiedBy>
  <dcterms:created xsi:type="dcterms:W3CDTF">2026-08-01T02:22:52Z</dcterms:created>
  <dcterms:modified xsi:type="dcterms:W3CDTF">2026-08-01T02:39:49Z</dcterms:modified>
</cp:coreProperties>
</file>