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Version_History" sheetId="2" state="visible" r:id="rId2"/>
    <sheet name="02_Scope" sheetId="3" state="visible" r:id="rId3"/>
    <sheet name="03_Requirements" sheetId="4" state="visible" r:id="rId4"/>
    <sheet name="04_Data_Model" sheetId="5" state="visible" r:id="rId5"/>
    <sheet name="05_Resource_Logic" sheetId="6" state="visible" r:id="rId6"/>
    <sheet name="06_Dashboard_Design" sheetId="7" state="visible" r:id="rId7"/>
    <sheet name="07_Architecture" sheetId="8" state="visible" r:id="rId8"/>
    <sheet name="08_WBS_Schedule" sheetId="9" state="visible" r:id="rId9"/>
    <sheet name="09_Version_Control" sheetId="10" state="visible" r:id="rId10"/>
    <sheet name="10_Risks" sheetId="11" state="visible" r:id="rId11"/>
    <sheet name="11_Open_Questions" sheetId="12" state="visible" r:id="rId12"/>
    <sheet name="12_Review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" t="inlineStr">
        <is>
          <t>Project Resource Assignment Program (PRAP)</t>
        </is>
      </c>
    </row>
    <row r="2">
      <c r="A2" s="2" t="inlineStr">
        <is>
          <t>Application Development Plan</t>
        </is>
      </c>
    </row>
    <row r="4">
      <c r="A4" s="3" t="inlineStr">
        <is>
          <t>Document ID</t>
        </is>
      </c>
      <c r="B4" s="4" t="inlineStr">
        <is>
          <t>PRAP-PLAN-001</t>
        </is>
      </c>
    </row>
    <row r="5">
      <c r="A5" s="3" t="inlineStr">
        <is>
          <t>Document type</t>
        </is>
      </c>
      <c r="B5" s="4" t="inlineStr">
        <is>
          <t>Development plan (Step 1 deliverable)</t>
        </is>
      </c>
    </row>
    <row r="6">
      <c r="A6" s="3" t="inlineStr">
        <is>
          <t>Version</t>
        </is>
      </c>
      <c r="B6" s="4" t="inlineStr">
        <is>
          <t>v0.1</t>
        </is>
      </c>
    </row>
    <row r="7">
      <c r="A7" s="3" t="inlineStr">
        <is>
          <t>Status</t>
        </is>
      </c>
      <c r="B7" s="4" t="inlineStr">
        <is>
          <t>Draft for review</t>
        </is>
      </c>
    </row>
    <row r="8">
      <c r="A8" s="3" t="inlineStr">
        <is>
          <t>Issue date</t>
        </is>
      </c>
      <c r="B8" s="4" t="inlineStr">
        <is>
          <t>2026-07-25</t>
        </is>
      </c>
    </row>
    <row r="9">
      <c r="A9" s="3" t="inlineStr">
        <is>
          <t>Author</t>
        </is>
      </c>
      <c r="B9" s="4" t="inlineStr">
        <is>
          <t>Claude Code (drafted from requirements supplied by the requester)</t>
        </is>
      </c>
    </row>
    <row r="10">
      <c r="A10" s="3" t="inlineStr">
        <is>
          <t>Reviewer / Approver</t>
        </is>
      </c>
      <c r="B10" s="4" t="inlineStr">
        <is>
          <t>Requester (pending)</t>
        </is>
      </c>
    </row>
    <row r="11">
      <c r="A11" s="3" t="inlineStr">
        <is>
          <t>Repository</t>
        </is>
      </c>
      <c r="B11" s="4" t="inlineStr">
        <is>
          <t>Dan5050-now/project1</t>
        </is>
      </c>
    </row>
    <row r="12">
      <c r="A12" s="3" t="inlineStr">
        <is>
          <t>Branch</t>
        </is>
      </c>
      <c r="B12" s="4" t="inlineStr">
        <is>
          <t>claude/project-resource-assignment-app-1vjdzh</t>
        </is>
      </c>
    </row>
    <row r="13">
      <c r="A13" s="3" t="inlineStr">
        <is>
          <t>Supersedes</t>
        </is>
      </c>
      <c r="B13" s="4" t="inlineStr">
        <is>
          <t>None - first issue</t>
        </is>
      </c>
    </row>
    <row r="15">
      <c r="A15" s="5" t="inlineStr">
        <is>
          <t>Purpose of this document</t>
        </is>
      </c>
    </row>
    <row r="16">
      <c r="A16" s="6" t="inlineStr">
        <is>
          <t>This plan defines what the Project Resource Assignment Program is, what it must do, how it will be built,</t>
        </is>
      </c>
    </row>
    <row r="17">
      <c r="A17" s="6" t="inlineStr">
        <is>
          <t>and how the work is broken into the five agreed development steps. It is the controlling document for</t>
        </is>
      </c>
    </row>
    <row r="18">
      <c r="A18" s="6" t="inlineStr">
        <is>
          <t>Step 1 and the direct input to the Step 2 programming specification.</t>
        </is>
      </c>
    </row>
    <row r="19">
      <c r="A19" s="6" t="inlineStr"/>
    </row>
    <row r="20">
      <c r="A20" s="6" t="inlineStr">
        <is>
          <t>Every requirement carries a REQ-ID (sheet 03). The specification, the code, and the test evidence all</t>
        </is>
      </c>
    </row>
    <row r="21">
      <c r="A21" s="6" t="inlineStr">
        <is>
          <t>trace back to those IDs, so nothing agreed here can be silently dropped later.</t>
        </is>
      </c>
    </row>
    <row r="23">
      <c r="A23" s="5" t="inlineStr">
        <is>
          <t>How to read this workbook</t>
        </is>
      </c>
    </row>
    <row r="24" ht="28" customHeight="1">
      <c r="A24" s="7" t="inlineStr">
        <is>
          <t>Sheet</t>
        </is>
      </c>
      <c r="B24" s="7" t="inlineStr">
        <is>
          <t>Contents</t>
        </is>
      </c>
    </row>
    <row r="25">
      <c r="A25" s="8" t="inlineStr">
        <is>
          <t>00_Cover</t>
        </is>
      </c>
      <c r="B25" s="9" t="inlineStr">
        <is>
          <t>Document control and reading guide.</t>
        </is>
      </c>
    </row>
    <row r="26">
      <c r="A26" s="10" t="inlineStr">
        <is>
          <t>01_Version_History</t>
        </is>
      </c>
      <c r="B26" s="11" t="inlineStr">
        <is>
          <t>Change log for this plan. Every re-issue adds a row.</t>
        </is>
      </c>
    </row>
    <row r="27">
      <c r="A27" s="8" t="inlineStr">
        <is>
          <t>02_Scope</t>
        </is>
      </c>
      <c r="B27" s="9" t="inlineStr">
        <is>
          <t>Background, objectives, in scope / out of scope.</t>
        </is>
      </c>
    </row>
    <row r="28">
      <c r="A28" s="10" t="inlineStr">
        <is>
          <t>03_Requirements</t>
        </is>
      </c>
      <c r="B28" s="11" t="inlineStr">
        <is>
          <t>Numbered requirement register - the contract for Steps 2-5.</t>
        </is>
      </c>
    </row>
    <row r="29">
      <c r="A29" s="8" t="inlineStr">
        <is>
          <t>04_Data_Model</t>
        </is>
      </c>
      <c r="B29" s="9" t="inlineStr">
        <is>
          <t>Every field held for a project and for a person, with type and rules.</t>
        </is>
      </c>
    </row>
    <row r="30">
      <c r="A30" s="10" t="inlineStr">
        <is>
          <t>05_Resource_Logic</t>
        </is>
      </c>
      <c r="B30" s="11" t="inlineStr">
        <is>
          <t>The calculation that turns assignments and weights into monthly resource.</t>
        </is>
      </c>
    </row>
    <row r="31">
      <c r="A31" s="8" t="inlineStr">
        <is>
          <t>06_Dashboard_Design</t>
        </is>
      </c>
      <c r="B31" s="9" t="inlineStr">
        <is>
          <t>The three dashboard tabs: tables, graphs, filters.</t>
        </is>
      </c>
    </row>
    <row r="32">
      <c r="A32" s="10" t="inlineStr">
        <is>
          <t>07_Architecture</t>
        </is>
      </c>
      <c r="B32" s="11" t="inlineStr">
        <is>
          <t>Single-file HTML + Excel-on-disk design and the file-access decision.</t>
        </is>
      </c>
    </row>
    <row r="33">
      <c r="A33" s="8" t="inlineStr">
        <is>
          <t>08_WBS_Schedule</t>
        </is>
      </c>
      <c r="B33" s="9" t="inlineStr">
        <is>
          <t>The five steps broken into tasks, deliverables and review gates.</t>
        </is>
      </c>
    </row>
    <row r="34">
      <c r="A34" s="10" t="inlineStr">
        <is>
          <t>09_Version_Control</t>
        </is>
      </c>
      <c r="B34" s="11" t="inlineStr">
        <is>
          <t>How plan, specification and output files are versioned together.</t>
        </is>
      </c>
    </row>
    <row r="35">
      <c r="A35" s="8" t="inlineStr">
        <is>
          <t>10_Risks</t>
        </is>
      </c>
      <c r="B35" s="9" t="inlineStr">
        <is>
          <t>Risks and assumptions with mitigations.</t>
        </is>
      </c>
    </row>
    <row r="36">
      <c r="A36" s="10" t="inlineStr">
        <is>
          <t>11_Open_Questions</t>
        </is>
      </c>
      <c r="B36" s="11" t="inlineStr">
        <is>
          <t>Decisions needed from the reviewer. YELLOW cells are for your answer.</t>
        </is>
      </c>
    </row>
    <row r="37">
      <c r="A37" s="8" t="inlineStr">
        <is>
          <t>12_Review_Log</t>
        </is>
      </c>
      <c r="B37" s="9" t="inlineStr">
        <is>
          <t>Reviewer comments and their disposition.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4" customWidth="1" min="4" max="4"/>
    <col width="86" customWidth="1" min="5" max="5"/>
    <col width="14" customWidth="1" min="6" max="6"/>
  </cols>
  <sheetData>
    <row r="1">
      <c r="A1" s="12" t="inlineStr">
        <is>
          <t>Version history</t>
        </is>
      </c>
    </row>
    <row r="2">
      <c r="A2" s="13" t="inlineStr">
        <is>
          <t>One row per issued version of this development plan. Version numbering rules are on sheet 09_Version_Control.</t>
        </is>
      </c>
    </row>
    <row r="4" ht="28" customHeight="1">
      <c r="A4" s="7" t="inlineStr">
        <is>
          <t>Version</t>
        </is>
      </c>
      <c r="B4" s="7" t="inlineStr">
        <is>
          <t>Date</t>
        </is>
      </c>
      <c r="C4" s="7" t="inlineStr">
        <is>
          <t>Author</t>
        </is>
      </c>
      <c r="D4" s="7" t="inlineStr">
        <is>
          <t>Reviewer</t>
        </is>
      </c>
      <c r="E4" s="7" t="inlineStr">
        <is>
          <t>Summary of change</t>
        </is>
      </c>
      <c r="F4" s="7" t="inlineStr">
        <is>
          <t>Status</t>
        </is>
      </c>
    </row>
    <row r="5">
      <c r="A5" s="8" t="inlineStr">
        <is>
          <t>0.1</t>
        </is>
      </c>
      <c r="B5" s="8" t="inlineStr">
        <is>
          <t>2026-07-25</t>
        </is>
      </c>
      <c r="C5" s="8" t="inlineStr">
        <is>
          <t>Claude Code</t>
        </is>
      </c>
      <c r="D5" s="8" t="inlineStr">
        <is>
          <t>-</t>
        </is>
      </c>
      <c r="E5" s="9" t="inlineStr">
        <is>
          <t>First draft issued for review. Built from the requirements supplied by the requester, incorporating two confirmed decisions: browser file-picker + SheetJS for Excel access (option a), and the five-step plan.</t>
        </is>
      </c>
      <c r="F5" s="8" t="inlineStr">
        <is>
          <t>Draft</t>
        </is>
      </c>
    </row>
    <row r="7">
      <c r="A7" s="13" t="inlineStr">
        <is>
          <t>Rule: the plan version, the specification version and the released application version are recorded together on sheet 09_Version_Control.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4" customWidth="1" min="3" max="3"/>
  </cols>
  <sheetData>
    <row r="1">
      <c r="A1" s="12" t="inlineStr">
        <is>
          <t>Scope and objectives</t>
        </is>
      </c>
    </row>
    <row r="3">
      <c r="A3" s="5" t="inlineStr">
        <is>
          <t>Background - the problem being solved</t>
        </is>
      </c>
    </row>
    <row r="4">
      <c r="A4" s="6" t="inlineStr">
        <is>
          <t>Multiple projects run at the same time, and their timelines change frequently. Deciding who to assign, in which</t>
        </is>
      </c>
    </row>
    <row r="5">
      <c r="A5" s="6" t="inlineStr">
        <is>
          <t>role, to which project is therefore difficult to do by hand. The resource burden a project places on a person is</t>
        </is>
      </c>
    </row>
    <row r="6">
      <c r="A6" s="6" t="inlineStr">
        <is>
          <t>not constant: it varies by project, by period within that project, and by the role the person holds.</t>
        </is>
      </c>
    </row>
    <row r="7">
      <c r="A7" s="6" t="inlineStr"/>
    </row>
    <row r="8">
      <c r="A8" s="6" t="inlineStr">
        <is>
          <t>Today there is no single view that answers 'who is over-committed next quarter, and on which project?'.</t>
        </is>
      </c>
    </row>
    <row r="10">
      <c r="A10" s="5" t="inlineStr">
        <is>
          <t>Objectives</t>
        </is>
      </c>
    </row>
    <row r="11" ht="28" customHeight="1">
      <c r="A11" s="7" t="inlineStr">
        <is>
          <t>ID</t>
        </is>
      </c>
      <c r="B11" s="7" t="inlineStr">
        <is>
          <t>Objective</t>
        </is>
      </c>
      <c r="C11" s="7" t="inlineStr">
        <is>
          <t>How success is measured</t>
        </is>
      </c>
    </row>
    <row r="12">
      <c r="A12" s="8" t="inlineStr">
        <is>
          <t>OBJ-1</t>
        </is>
      </c>
      <c r="B12" s="9" t="inlineStr">
        <is>
          <t>Hold project and person data in one controlled place, kept in Excel files outside the application.</t>
        </is>
      </c>
      <c r="C12" s="9" t="inlineStr">
        <is>
          <t>Both source workbooks load without error and round-trip through export.</t>
        </is>
      </c>
    </row>
    <row r="13">
      <c r="A13" s="10" t="inlineStr">
        <is>
          <t>OBJ-2</t>
        </is>
      </c>
      <c r="B13" s="11" t="inlineStr">
        <is>
          <t>Simulate monthly resource demand per project and per person, respecting period weights and role factors.</t>
        </is>
      </c>
      <c r="C13" s="11" t="inlineStr">
        <is>
          <t>Monthly figures reconcile to a hand-worked example agreed at Step 2.</t>
        </is>
      </c>
    </row>
    <row r="14">
      <c r="A14" s="8" t="inlineStr">
        <is>
          <t>OBJ-3</t>
        </is>
      </c>
      <c r="B14" s="9" t="inlineStr">
        <is>
          <t>Make over-allocation visible before it happens.</t>
        </is>
      </c>
      <c r="C14" s="9" t="inlineStr">
        <is>
          <t>Any person-month above the configured threshold is flagged on the Overall tab.</t>
        </is>
      </c>
    </row>
    <row r="15">
      <c r="A15" s="10" t="inlineStr">
        <is>
          <t>OBJ-4</t>
        </is>
      </c>
      <c r="B15" s="11" t="inlineStr">
        <is>
          <t>Let the user re-run the simulation immediately after a timeline change.</t>
        </is>
      </c>
      <c r="C15" s="11" t="inlineStr">
        <is>
          <t>Editing dates in the source Excel and re-loading updates the dashboard with no code change.</t>
        </is>
      </c>
    </row>
    <row r="16">
      <c r="A16" s="8" t="inlineStr">
        <is>
          <t>OBJ-5</t>
        </is>
      </c>
      <c r="B16" s="9" t="inlineStr">
        <is>
          <t>Run entirely on a local Windows PC with no install, no server and no network.</t>
        </is>
      </c>
      <c r="C16" s="9" t="inlineStr">
        <is>
          <t>The HTML file opens by double-click in Edge and Chrome and works offline.</t>
        </is>
      </c>
    </row>
    <row r="18">
      <c r="A18" s="5" t="inlineStr">
        <is>
          <t>In scope</t>
        </is>
      </c>
    </row>
    <row r="19" ht="28" customHeight="1">
      <c r="A19" s="7" t="inlineStr">
        <is>
          <t>In scope for v1.0</t>
        </is>
      </c>
    </row>
    <row r="20">
      <c r="A20" s="9" t="inlineStr">
        <is>
          <t>Single-file HTML application runnable from local disk on Windows.</t>
        </is>
      </c>
    </row>
    <row r="21">
      <c r="A21" s="11" t="inlineStr">
        <is>
          <t>Import of project data and person/assignment data from Excel (.xlsx) via a browser file picker or drag-and-drop.</t>
        </is>
      </c>
    </row>
    <row r="22">
      <c r="A22" s="9" t="inlineStr">
        <is>
          <t>Export of the current working data back to .xlsx, so the source files remain the archive of record.</t>
        </is>
      </c>
    </row>
    <row r="23">
      <c r="A23" s="11" t="inlineStr">
        <is>
          <t>Monthly resource simulation per project and per person over a user-selected horizon.</t>
        </is>
      </c>
    </row>
    <row r="24">
      <c r="A24" s="9" t="inlineStr">
        <is>
          <t>Three dashboard tabs: Overall, Source data (project), Source data (person).</t>
        </is>
      </c>
    </row>
    <row r="25">
      <c r="A25" s="11" t="inlineStr">
        <is>
          <t>Tables plus graphs on the Overall tab.</t>
        </is>
      </c>
    </row>
    <row r="26">
      <c r="A26" s="9" t="inlineStr">
        <is>
          <t>Version control of plan, specification and application across the development lifecycle.</t>
        </is>
      </c>
    </row>
    <row r="28">
      <c r="A28" s="5" t="inlineStr">
        <is>
          <t>Out of scope</t>
        </is>
      </c>
    </row>
    <row r="29" ht="28" customHeight="1">
      <c r="A29" s="7" t="inlineStr">
        <is>
          <t>Excluded from v1.0</t>
        </is>
      </c>
      <c r="B29" s="7" t="inlineStr">
        <is>
          <t>Reason</t>
        </is>
      </c>
    </row>
    <row r="30">
      <c r="A30" s="9" t="inlineStr">
        <is>
          <t>Multi-user concurrent editing, or any server / database component.</t>
        </is>
      </c>
      <c r="B30" s="9" t="inlineStr">
        <is>
          <t>Requirement is a local single-file HTML tool.</t>
        </is>
      </c>
    </row>
    <row r="31">
      <c r="A31" s="11" t="inlineStr">
        <is>
          <t>Authentication, user accounts, permissions.</t>
        </is>
      </c>
      <c r="B31" s="11" t="inlineStr">
        <is>
          <t>No server; the Excel files carry whatever access control the file share provides.</t>
        </is>
      </c>
    </row>
    <row r="32">
      <c r="A32" s="9" t="inlineStr">
        <is>
          <t>Automatic writing to the Excel file on disk without user action.</t>
        </is>
      </c>
      <c r="B32" s="9" t="inlineStr">
        <is>
          <t>Browsers cannot do this from a file:// page - see 07_Architecture.</t>
        </is>
      </c>
    </row>
    <row r="33">
      <c r="A33" s="11" t="inlineStr">
        <is>
          <t>Cost, budget or salary calculation.</t>
        </is>
      </c>
      <c r="B33" s="11" t="inlineStr">
        <is>
          <t>Not raised in requirements. Can be added later - the data model leaves room.</t>
        </is>
      </c>
    </row>
    <row r="34">
      <c r="A34" s="9" t="inlineStr">
        <is>
          <t>Integration with an HR, CTMS or timesheet system.</t>
        </is>
      </c>
      <c r="B34" s="9" t="inlineStr">
        <is>
          <t>Not raised in requirements.</t>
        </is>
      </c>
    </row>
    <row r="35">
      <c r="A35" s="11" t="inlineStr">
        <is>
          <t>Resource optimisation / automatic assignment suggestions.</t>
        </is>
      </c>
      <c r="B35" s="11" t="inlineStr">
        <is>
          <t>v1.0 reports and simulates; it does not decide. Candidate for a later version.</t>
        </is>
      </c>
    </row>
    <row r="37">
      <c r="A37" s="5" t="inlineStr">
        <is>
          <t>Users</t>
        </is>
      </c>
    </row>
    <row r="38" ht="28" customHeight="1">
      <c r="A38" s="7" t="inlineStr">
        <is>
          <t>User</t>
        </is>
      </c>
      <c r="B38" s="7" t="inlineStr">
        <is>
          <t>Type</t>
        </is>
      </c>
      <c r="C38" s="7" t="inlineStr">
        <is>
          <t>What they do with the application</t>
        </is>
      </c>
    </row>
    <row r="39">
      <c r="A39" s="8" t="inlineStr">
        <is>
          <t>Resource planner / manager</t>
        </is>
      </c>
      <c r="B39" s="8" t="inlineStr">
        <is>
          <t>Primary</t>
        </is>
      </c>
      <c r="C39" s="9" t="inlineStr">
        <is>
          <t>Loads the source files, reviews monthly simulation, spots over-allocation, tries timeline scenarios.</t>
        </is>
      </c>
    </row>
    <row r="40">
      <c r="A40" s="10" t="inlineStr">
        <is>
          <t>Project lead</t>
        </is>
      </c>
      <c r="B40" s="10" t="inlineStr">
        <is>
          <t>Secondary</t>
        </is>
      </c>
      <c r="C40" s="11" t="inlineStr">
        <is>
          <t>Checks the resource profile of their own project and who is assigned in which role.</t>
        </is>
      </c>
    </row>
    <row r="41">
      <c r="A41" s="8" t="inlineStr">
        <is>
          <t>Data maintainer</t>
        </is>
      </c>
      <c r="B41" s="8" t="inlineStr">
        <is>
          <t>Secondary</t>
        </is>
      </c>
      <c r="C41" s="9" t="inlineStr">
        <is>
          <t>Keeps the two source Excel files accurate; may be the same person as the planner.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90" customWidth="1" min="3" max="3"/>
    <col width="10" customWidth="1" min="4" max="4"/>
    <col width="14" customWidth="1" min="5" max="5"/>
    <col width="8" customWidth="1" min="6" max="6"/>
  </cols>
  <sheetData>
    <row r="1">
      <c r="A1" s="12" t="inlineStr">
        <is>
          <t>Requirement register</t>
        </is>
      </c>
    </row>
    <row r="2">
      <c r="A2" s="13" t="inlineStr">
        <is>
          <t>The contract for Steps 2-5. Every specification section and every code module cites the REQ-IDs it satisfies.</t>
        </is>
      </c>
    </row>
    <row r="4" ht="28" customHeight="1">
      <c r="A4" s="7" t="inlineStr">
        <is>
          <t>REQ-ID</t>
        </is>
      </c>
      <c r="B4" s="7" t="inlineStr">
        <is>
          <t>Category</t>
        </is>
      </c>
      <c r="C4" s="7" t="inlineStr">
        <is>
          <t>Requirement</t>
        </is>
      </c>
      <c r="D4" s="7" t="inlineStr">
        <is>
          <t>Priority</t>
        </is>
      </c>
      <c r="E4" s="7" t="inlineStr">
        <is>
          <t>Source</t>
        </is>
      </c>
      <c r="F4" s="7" t="inlineStr">
        <is>
          <t>Step</t>
        </is>
      </c>
    </row>
    <row r="5">
      <c r="A5" s="8" t="inlineStr">
        <is>
          <t>REQ-OUT-01</t>
        </is>
      </c>
      <c r="B5" s="8" t="inlineStr">
        <is>
          <t>Output</t>
        </is>
      </c>
      <c r="C5" s="9" t="inlineStr">
        <is>
          <t>The application is a single HTML file that runs on a local Windows PC by double-click, with no install and no network access.</t>
        </is>
      </c>
      <c r="D5" s="8" t="inlineStr">
        <is>
          <t>Must</t>
        </is>
      </c>
      <c r="E5" s="8" t="inlineStr">
        <is>
          <t>Requester</t>
        </is>
      </c>
      <c r="F5" s="8" t="inlineStr">
        <is>
          <t>4</t>
        </is>
      </c>
    </row>
    <row r="6">
      <c r="A6" s="10" t="inlineStr">
        <is>
          <t>REQ-OUT-02</t>
        </is>
      </c>
      <c r="B6" s="10" t="inlineStr">
        <is>
          <t>Output</t>
        </is>
      </c>
      <c r="C6" s="11" t="inlineStr">
        <is>
          <t>All program logic (HTML, CSS, JavaScript, libraries) is embedded in that one HTML file so it can be copied between PCs as a single artifact.</t>
        </is>
      </c>
      <c r="D6" s="10" t="inlineStr">
        <is>
          <t>Must</t>
        </is>
      </c>
      <c r="E6" s="10" t="inlineStr">
        <is>
          <t>Requester</t>
        </is>
      </c>
      <c r="F6" s="10" t="inlineStr">
        <is>
          <t>4</t>
        </is>
      </c>
    </row>
    <row r="7">
      <c r="A7" s="8" t="inlineStr">
        <is>
          <t>REQ-OUT-03</t>
        </is>
      </c>
      <c r="B7" s="8" t="inlineStr">
        <is>
          <t>Output</t>
        </is>
      </c>
      <c r="C7" s="9" t="inlineStr">
        <is>
          <t>Source data lives in Excel file(s) held separately from the HTML file, and those files are the archive of record.</t>
        </is>
      </c>
      <c r="D7" s="8" t="inlineStr">
        <is>
          <t>Must</t>
        </is>
      </c>
      <c r="E7" s="8" t="inlineStr">
        <is>
          <t>Requester</t>
        </is>
      </c>
      <c r="F7" s="8" t="inlineStr">
        <is>
          <t>4</t>
        </is>
      </c>
    </row>
    <row r="8">
      <c r="A8" s="10" t="inlineStr">
        <is>
          <t>REQ-OUT-04</t>
        </is>
      </c>
      <c r="B8" s="10" t="inlineStr">
        <is>
          <t>Output</t>
        </is>
      </c>
      <c r="C8" s="11" t="inlineStr">
        <is>
          <t>The application reads the source Excel files and uses them to drive every table and graph.</t>
        </is>
      </c>
      <c r="D8" s="10" t="inlineStr">
        <is>
          <t>Must</t>
        </is>
      </c>
      <c r="E8" s="10" t="inlineStr">
        <is>
          <t>Requester</t>
        </is>
      </c>
      <c r="F8" s="10" t="inlineStr">
        <is>
          <t>4</t>
        </is>
      </c>
    </row>
    <row r="9">
      <c r="A9" s="8" t="inlineStr">
        <is>
          <t>REQ-OUT-05</t>
        </is>
      </c>
      <c r="B9" s="8" t="inlineStr">
        <is>
          <t>Output</t>
        </is>
      </c>
      <c r="C9" s="9" t="inlineStr">
        <is>
          <t>Plans and specifications are delivered as Excel workbooks.</t>
        </is>
      </c>
      <c r="D9" s="8" t="inlineStr">
        <is>
          <t>Must</t>
        </is>
      </c>
      <c r="E9" s="8" t="inlineStr">
        <is>
          <t>Requester</t>
        </is>
      </c>
      <c r="F9" s="8" t="inlineStr">
        <is>
          <t>1,2</t>
        </is>
      </c>
    </row>
    <row r="10">
      <c r="A10" s="10" t="inlineStr">
        <is>
          <t>REQ-PRJ-01</t>
        </is>
      </c>
      <c r="B10" s="10" t="inlineStr">
        <is>
          <t>Project data</t>
        </is>
      </c>
      <c r="C10" s="11" t="inlineStr">
        <is>
          <t>Each project records a project type, restricted to 'Clinical Trial' or 'Others'.</t>
        </is>
      </c>
      <c r="D10" s="10" t="inlineStr">
        <is>
          <t>Must</t>
        </is>
      </c>
      <c r="E10" s="10" t="inlineStr">
        <is>
          <t>Requester</t>
        </is>
      </c>
      <c r="F10" s="10" t="inlineStr">
        <is>
          <t>2</t>
        </is>
      </c>
    </row>
    <row r="11">
      <c r="A11" s="8" t="inlineStr">
        <is>
          <t>REQ-PRJ-02</t>
        </is>
      </c>
      <c r="B11" s="8" t="inlineStr">
        <is>
          <t>Project data</t>
        </is>
      </c>
      <c r="C11" s="9" t="inlineStr">
        <is>
          <t>Each project records a project category. Where type = 'Clinical Trial' the category is the product name; the field is optional for 'Others'.</t>
        </is>
      </c>
      <c r="D11" s="8" t="inlineStr">
        <is>
          <t>Must</t>
        </is>
      </c>
      <c r="E11" s="8" t="inlineStr">
        <is>
          <t>Requester</t>
        </is>
      </c>
      <c r="F11" s="8" t="inlineStr">
        <is>
          <t>2</t>
        </is>
      </c>
    </row>
    <row r="12">
      <c r="A12" s="10" t="inlineStr">
        <is>
          <t>REQ-PRJ-03</t>
        </is>
      </c>
      <c r="B12" s="10" t="inlineStr">
        <is>
          <t>Project data</t>
        </is>
      </c>
      <c r="C12" s="11" t="inlineStr">
        <is>
          <t>Each project records a project name, unique within the source file.</t>
        </is>
      </c>
      <c r="D12" s="10" t="inlineStr">
        <is>
          <t>Must</t>
        </is>
      </c>
      <c r="E12" s="10" t="inlineStr">
        <is>
          <t>Requester</t>
        </is>
      </c>
      <c r="F12" s="10" t="inlineStr">
        <is>
          <t>2</t>
        </is>
      </c>
    </row>
    <row r="13">
      <c r="A13" s="8" t="inlineStr">
        <is>
          <t>REQ-PRJ-04</t>
        </is>
      </c>
      <c r="B13" s="8" t="inlineStr">
        <is>
          <t>Project data</t>
        </is>
      </c>
      <c r="C13" s="9" t="inlineStr">
        <is>
          <t>Each project records its conditions: outsourcing type, which party prepares which system, and the number of project members.</t>
        </is>
      </c>
      <c r="D13" s="8" t="inlineStr">
        <is>
          <t>Must</t>
        </is>
      </c>
      <c r="E13" s="8" t="inlineStr">
        <is>
          <t>Requester</t>
        </is>
      </c>
      <c r="F13" s="8" t="inlineStr">
        <is>
          <t>2</t>
        </is>
      </c>
    </row>
    <row r="14">
      <c r="A14" s="10" t="inlineStr">
        <is>
          <t>REQ-PRJ-05</t>
        </is>
      </c>
      <c r="B14" s="10" t="inlineStr">
        <is>
          <t>Project data</t>
        </is>
      </c>
      <c r="C14" s="11" t="inlineStr">
        <is>
          <t>Each project records a timeline: start date, major milestone dates, and total period.</t>
        </is>
      </c>
      <c r="D14" s="10" t="inlineStr">
        <is>
          <t>Must</t>
        </is>
      </c>
      <c r="E14" s="10" t="inlineStr">
        <is>
          <t>Requester</t>
        </is>
      </c>
      <c r="F14" s="10" t="inlineStr">
        <is>
          <t>2</t>
        </is>
      </c>
    </row>
    <row r="15">
      <c r="A15" s="8" t="inlineStr">
        <is>
          <t>REQ-PRJ-06</t>
        </is>
      </c>
      <c r="B15" s="8" t="inlineStr">
        <is>
          <t>Project data</t>
        </is>
      </c>
      <c r="C15" s="9" t="inlineStr">
        <is>
          <t>Each project carries a resource weight applicable to a defined period, so burden can differ across the project's phases.</t>
        </is>
      </c>
      <c r="D15" s="8" t="inlineStr">
        <is>
          <t>Must</t>
        </is>
      </c>
      <c r="E15" s="8" t="inlineStr">
        <is>
          <t>Requester</t>
        </is>
      </c>
      <c r="F15" s="8" t="inlineStr">
        <is>
          <t>2</t>
        </is>
      </c>
    </row>
    <row r="16">
      <c r="A16" s="10" t="inlineStr">
        <is>
          <t>REQ-PRJ-07</t>
        </is>
      </c>
      <c r="B16" s="10" t="inlineStr">
        <is>
          <t>Project data</t>
        </is>
      </c>
      <c r="C16" s="11" t="inlineStr">
        <is>
          <t>The project record accepts further project-related information without a schema change (free/extension columns).</t>
        </is>
      </c>
      <c r="D16" s="10" t="inlineStr">
        <is>
          <t>Should</t>
        </is>
      </c>
      <c r="E16" s="10" t="inlineStr">
        <is>
          <t>Requester</t>
        </is>
      </c>
      <c r="F16" s="10" t="inlineStr">
        <is>
          <t>2</t>
        </is>
      </c>
    </row>
    <row r="17">
      <c r="A17" s="8" t="inlineStr">
        <is>
          <t>REQ-PRJ-08</t>
        </is>
      </c>
      <c r="B17" s="8" t="inlineStr">
        <is>
          <t>Project data</t>
        </is>
      </c>
      <c r="C17" s="9" t="inlineStr">
        <is>
          <t>Total period is derived from start and end dates rather than typed by hand, so it cannot contradict the timeline.</t>
        </is>
      </c>
      <c r="D17" s="8" t="inlineStr">
        <is>
          <t>Should</t>
        </is>
      </c>
      <c r="E17" s="8" t="inlineStr">
        <is>
          <t>Derived</t>
        </is>
      </c>
      <c r="F17" s="8" t="inlineStr">
        <is>
          <t>2</t>
        </is>
      </c>
    </row>
    <row r="18">
      <c r="A18" s="10" t="inlineStr">
        <is>
          <t>REQ-PSN-01</t>
        </is>
      </c>
      <c r="B18" s="10" t="inlineStr">
        <is>
          <t>Person data</t>
        </is>
      </c>
      <c r="C18" s="11" t="inlineStr">
        <is>
          <t>Data is managed by person, by project assigned, and by project role assigned.</t>
        </is>
      </c>
      <c r="D18" s="10" t="inlineStr">
        <is>
          <t>Must</t>
        </is>
      </c>
      <c r="E18" s="10" t="inlineStr">
        <is>
          <t>Requester</t>
        </is>
      </c>
      <c r="F18" s="10" t="inlineStr">
        <is>
          <t>2</t>
        </is>
      </c>
    </row>
    <row r="19">
      <c r="A19" s="8" t="inlineStr">
        <is>
          <t>REQ-PSN-02</t>
        </is>
      </c>
      <c r="B19" s="8" t="inlineStr">
        <is>
          <t>Person data</t>
        </is>
      </c>
      <c r="C19" s="9" t="inlineStr">
        <is>
          <t>Each assignment records the project(s) the person is assigned to.</t>
        </is>
      </c>
      <c r="D19" s="8" t="inlineStr">
        <is>
          <t>Must</t>
        </is>
      </c>
      <c r="E19" s="8" t="inlineStr">
        <is>
          <t>Requester</t>
        </is>
      </c>
      <c r="F19" s="8" t="inlineStr">
        <is>
          <t>2</t>
        </is>
      </c>
    </row>
    <row r="20">
      <c r="A20" s="10" t="inlineStr">
        <is>
          <t>REQ-PSN-03</t>
        </is>
      </c>
      <c r="B20" s="10" t="inlineStr">
        <is>
          <t>Person data</t>
        </is>
      </c>
      <c r="C20" s="11" t="inlineStr">
        <is>
          <t>Each assignment records the role(s) the person holds on that project.</t>
        </is>
      </c>
      <c r="D20" s="10" t="inlineStr">
        <is>
          <t>Must</t>
        </is>
      </c>
      <c r="E20" s="10" t="inlineStr">
        <is>
          <t>Requester</t>
        </is>
      </c>
      <c r="F20" s="10" t="inlineStr">
        <is>
          <t>2</t>
        </is>
      </c>
    </row>
    <row r="21">
      <c r="A21" s="8" t="inlineStr">
        <is>
          <t>REQ-PSN-04</t>
        </is>
      </c>
      <c r="B21" s="8" t="inlineStr">
        <is>
          <t>Person data</t>
        </is>
      </c>
      <c r="C21" s="9" t="inlineStr">
        <is>
          <t>Each assignment records the start date the person joins and the end date they leave that study.</t>
        </is>
      </c>
      <c r="D21" s="8" t="inlineStr">
        <is>
          <t>Must</t>
        </is>
      </c>
      <c r="E21" s="8" t="inlineStr">
        <is>
          <t>Requester</t>
        </is>
      </c>
      <c r="F21" s="8" t="inlineStr">
        <is>
          <t>2</t>
        </is>
      </c>
    </row>
    <row r="22">
      <c r="A22" s="10" t="inlineStr">
        <is>
          <t>REQ-PSN-05</t>
        </is>
      </c>
      <c r="B22" s="10" t="inlineStr">
        <is>
          <t>Person data</t>
        </is>
      </c>
      <c r="C22" s="11" t="inlineStr">
        <is>
          <t>Each assignment carries a personal resource weight applicable to defined periods.</t>
        </is>
      </c>
      <c r="D22" s="10" t="inlineStr">
        <is>
          <t>Must</t>
        </is>
      </c>
      <c r="E22" s="10" t="inlineStr">
        <is>
          <t>Requester</t>
        </is>
      </c>
      <c r="F22" s="10" t="inlineStr">
        <is>
          <t>2</t>
        </is>
      </c>
    </row>
    <row r="23">
      <c r="A23" s="8" t="inlineStr">
        <is>
          <t>REQ-PSN-06</t>
        </is>
      </c>
      <c r="B23" s="8" t="inlineStr">
        <is>
          <t>Person data</t>
        </is>
      </c>
      <c r="C23" s="9" t="inlineStr">
        <is>
          <t>The person record accepts further project-related information without a schema change.</t>
        </is>
      </c>
      <c r="D23" s="8" t="inlineStr">
        <is>
          <t>Should</t>
        </is>
      </c>
      <c r="E23" s="8" t="inlineStr">
        <is>
          <t>Requester</t>
        </is>
      </c>
      <c r="F23" s="8" t="inlineStr">
        <is>
          <t>2</t>
        </is>
      </c>
    </row>
    <row r="24">
      <c r="A24" s="10" t="inlineStr">
        <is>
          <t>REQ-PSN-07</t>
        </is>
      </c>
      <c r="B24" s="10" t="inlineStr">
        <is>
          <t>Person data</t>
        </is>
      </c>
      <c r="C24" s="11" t="inlineStr">
        <is>
          <t>One person may hold assignments on several projects simultaneously, and may hold more than one role on the same project.</t>
        </is>
      </c>
      <c r="D24" s="10" t="inlineStr">
        <is>
          <t>Must</t>
        </is>
      </c>
      <c r="E24" s="10" t="inlineStr">
        <is>
          <t>Derived</t>
        </is>
      </c>
      <c r="F24" s="10" t="inlineStr">
        <is>
          <t>2</t>
        </is>
      </c>
    </row>
    <row r="25">
      <c r="A25" s="8" t="inlineStr">
        <is>
          <t>REQ-CAL-01</t>
        </is>
      </c>
      <c r="B25" s="8" t="inlineStr">
        <is>
          <t>Calculation</t>
        </is>
      </c>
      <c r="C25" s="9" t="inlineStr">
        <is>
          <t>Resource is simulated on a monthly grid across a user-selected horizon.</t>
        </is>
      </c>
      <c r="D25" s="8" t="inlineStr">
        <is>
          <t>Must</t>
        </is>
      </c>
      <c r="E25" s="8" t="inlineStr">
        <is>
          <t>Requester</t>
        </is>
      </c>
      <c r="F25" s="8" t="inlineStr">
        <is>
          <t>4</t>
        </is>
      </c>
    </row>
    <row r="26">
      <c r="A26" s="10" t="inlineStr">
        <is>
          <t>REQ-CAL-02</t>
        </is>
      </c>
      <c r="B26" s="10" t="inlineStr">
        <is>
          <t>Calculation</t>
        </is>
      </c>
      <c r="C26" s="11" t="inlineStr">
        <is>
          <t>Monthly load for an assignment combines base allocation, project period weight, personal period weight, role factor and the fraction of the month actually covered.</t>
        </is>
      </c>
      <c r="D26" s="10" t="inlineStr">
        <is>
          <t>Must</t>
        </is>
      </c>
      <c r="E26" s="10" t="inlineStr">
        <is>
          <t>Derived</t>
        </is>
      </c>
      <c r="F26" s="10" t="inlineStr">
        <is>
          <t>2,4</t>
        </is>
      </c>
    </row>
    <row r="27">
      <c r="A27" s="8" t="inlineStr">
        <is>
          <t>REQ-CAL-03</t>
        </is>
      </c>
      <c r="B27" s="8" t="inlineStr">
        <is>
          <t>Calculation</t>
        </is>
      </c>
      <c r="C27" s="9" t="inlineStr">
        <is>
          <t>Project monthly load is the sum of its assignments; person monthly load is the sum across all their projects.</t>
        </is>
      </c>
      <c r="D27" s="8" t="inlineStr">
        <is>
          <t>Must</t>
        </is>
      </c>
      <c r="E27" s="8" t="inlineStr">
        <is>
          <t>Requester</t>
        </is>
      </c>
      <c r="F27" s="8" t="inlineStr">
        <is>
          <t>4</t>
        </is>
      </c>
    </row>
    <row r="28">
      <c r="A28" s="10" t="inlineStr">
        <is>
          <t>REQ-CAL-04</t>
        </is>
      </c>
      <c r="B28" s="10" t="inlineStr">
        <is>
          <t>Calculation</t>
        </is>
      </c>
      <c r="C28" s="11" t="inlineStr">
        <is>
          <t>A person-month exceeding the configured capacity threshold is flagged as over-allocated.</t>
        </is>
      </c>
      <c r="D28" s="10" t="inlineStr">
        <is>
          <t>Must</t>
        </is>
      </c>
      <c r="E28" s="10" t="inlineStr">
        <is>
          <t>Derived</t>
        </is>
      </c>
      <c r="F28" s="10" t="inlineStr">
        <is>
          <t>4</t>
        </is>
      </c>
    </row>
    <row r="29">
      <c r="A29" s="8" t="inlineStr">
        <is>
          <t>REQ-CAL-05</t>
        </is>
      </c>
      <c r="B29" s="8" t="inlineStr">
        <is>
          <t>Calculation</t>
        </is>
      </c>
      <c r="C29" s="9" t="inlineStr">
        <is>
          <t>A partial first or last month is pro-rated by calendar days, not counted as a whole month.</t>
        </is>
      </c>
      <c r="D29" s="8" t="inlineStr">
        <is>
          <t>Should</t>
        </is>
      </c>
      <c r="E29" s="8" t="inlineStr">
        <is>
          <t>Derived</t>
        </is>
      </c>
      <c r="F29" s="8" t="inlineStr">
        <is>
          <t>4</t>
        </is>
      </c>
    </row>
    <row r="30">
      <c r="A30" s="10" t="inlineStr">
        <is>
          <t>REQ-CAL-06</t>
        </is>
      </c>
      <c r="B30" s="10" t="inlineStr">
        <is>
          <t>Calculation</t>
        </is>
      </c>
      <c r="C30" s="11" t="inlineStr">
        <is>
          <t>All weights and factors are data, held in the source Excel, never hardcoded in the program.</t>
        </is>
      </c>
      <c r="D30" s="10" t="inlineStr">
        <is>
          <t>Must</t>
        </is>
      </c>
      <c r="E30" s="10" t="inlineStr">
        <is>
          <t>Derived</t>
        </is>
      </c>
      <c r="F30" s="10" t="inlineStr">
        <is>
          <t>4</t>
        </is>
      </c>
    </row>
    <row r="31">
      <c r="A31" s="8" t="inlineStr">
        <is>
          <t>REQ-DSH-01</t>
        </is>
      </c>
      <c r="B31" s="8" t="inlineStr">
        <is>
          <t>Dashboard</t>
        </is>
      </c>
      <c r="C31" s="9" t="inlineStr">
        <is>
          <t>Tab 'Overall' shows monthly resource simulation per project and per person as tables.</t>
        </is>
      </c>
      <c r="D31" s="8" t="inlineStr">
        <is>
          <t>Must</t>
        </is>
      </c>
      <c r="E31" s="8" t="inlineStr">
        <is>
          <t>Requester</t>
        </is>
      </c>
      <c r="F31" s="8" t="inlineStr">
        <is>
          <t>3,4</t>
        </is>
      </c>
    </row>
    <row r="32">
      <c r="A32" s="10" t="inlineStr">
        <is>
          <t>REQ-DSH-02</t>
        </is>
      </c>
      <c r="B32" s="10" t="inlineStr">
        <is>
          <t>Dashboard</t>
        </is>
      </c>
      <c r="C32" s="11" t="inlineStr">
        <is>
          <t>Tab 'Overall' shows appropriate graphs of the same simulation.</t>
        </is>
      </c>
      <c r="D32" s="10" t="inlineStr">
        <is>
          <t>Must</t>
        </is>
      </c>
      <c r="E32" s="10" t="inlineStr">
        <is>
          <t>Requester</t>
        </is>
      </c>
      <c r="F32" s="10" t="inlineStr">
        <is>
          <t>3,4</t>
        </is>
      </c>
    </row>
    <row r="33">
      <c r="A33" s="8" t="inlineStr">
        <is>
          <t>REQ-DSH-03</t>
        </is>
      </c>
      <c r="B33" s="8" t="inlineStr">
        <is>
          <t>Dashboard</t>
        </is>
      </c>
      <c r="C33" s="9" t="inlineStr">
        <is>
          <t>Tab 'Source data (project)' shows project information as a table.</t>
        </is>
      </c>
      <c r="D33" s="8" t="inlineStr">
        <is>
          <t>Must</t>
        </is>
      </c>
      <c r="E33" s="8" t="inlineStr">
        <is>
          <t>Requester</t>
        </is>
      </c>
      <c r="F33" s="8" t="inlineStr">
        <is>
          <t>3,4</t>
        </is>
      </c>
    </row>
    <row r="34">
      <c r="A34" s="10" t="inlineStr">
        <is>
          <t>REQ-DSH-04</t>
        </is>
      </c>
      <c r="B34" s="10" t="inlineStr">
        <is>
          <t>Dashboard</t>
        </is>
      </c>
      <c r="C34" s="11" t="inlineStr">
        <is>
          <t>Tab 'Source data (person)' shows person information as a table.</t>
        </is>
      </c>
      <c r="D34" s="10" t="inlineStr">
        <is>
          <t>Must</t>
        </is>
      </c>
      <c r="E34" s="10" t="inlineStr">
        <is>
          <t>Requester</t>
        </is>
      </c>
      <c r="F34" s="10" t="inlineStr">
        <is>
          <t>3,4</t>
        </is>
      </c>
    </row>
    <row r="35">
      <c r="A35" s="8" t="inlineStr">
        <is>
          <t>REQ-DSH-05</t>
        </is>
      </c>
      <c r="B35" s="8" t="inlineStr">
        <is>
          <t>Dashboard</t>
        </is>
      </c>
      <c r="C35" s="9" t="inlineStr">
        <is>
          <t>Tables can be filtered by date horizon, project type, project, person and role.</t>
        </is>
      </c>
      <c r="D35" s="8" t="inlineStr">
        <is>
          <t>Should</t>
        </is>
      </c>
      <c r="E35" s="8" t="inlineStr">
        <is>
          <t>Derived</t>
        </is>
      </c>
      <c r="F35" s="8" t="inlineStr">
        <is>
          <t>3,4</t>
        </is>
      </c>
    </row>
    <row r="36">
      <c r="A36" s="10" t="inlineStr">
        <is>
          <t>REQ-DSH-06</t>
        </is>
      </c>
      <c r="B36" s="10" t="inlineStr">
        <is>
          <t>Dashboard</t>
        </is>
      </c>
      <c r="C36" s="11" t="inlineStr">
        <is>
          <t>Any table on screen can be exported to Excel.</t>
        </is>
      </c>
      <c r="D36" s="10" t="inlineStr">
        <is>
          <t>Should</t>
        </is>
      </c>
      <c r="E36" s="10" t="inlineStr">
        <is>
          <t>Derived</t>
        </is>
      </c>
      <c r="F36" s="10" t="inlineStr">
        <is>
          <t>4</t>
        </is>
      </c>
    </row>
    <row r="37">
      <c r="A37" s="8" t="inlineStr">
        <is>
          <t>REQ-IMP-01</t>
        </is>
      </c>
      <c r="B37" s="8" t="inlineStr">
        <is>
          <t>Import/Export</t>
        </is>
      </c>
      <c r="C37" s="9" t="inlineStr">
        <is>
          <t>The user loads the source Excel files through a file picker or drag-and-drop, chosen because a local HTML page cannot open a file from disk unaided.</t>
        </is>
      </c>
      <c r="D37" s="8" t="inlineStr">
        <is>
          <t>Must</t>
        </is>
      </c>
      <c r="E37" s="8" t="inlineStr">
        <is>
          <t>Decision D-01</t>
        </is>
      </c>
      <c r="F37" s="8" t="inlineStr">
        <is>
          <t>4</t>
        </is>
      </c>
    </row>
    <row r="38">
      <c r="A38" s="10" t="inlineStr">
        <is>
          <t>REQ-IMP-02</t>
        </is>
      </c>
      <c r="B38" s="10" t="inlineStr">
        <is>
          <t>Import/Export</t>
        </is>
      </c>
      <c r="C38" s="11" t="inlineStr">
        <is>
          <t>Loading validates the workbook and reports every problem found - missing sheet, missing column, bad date, unknown project reference - without stopping at the first one.</t>
        </is>
      </c>
      <c r="D38" s="10" t="inlineStr">
        <is>
          <t>Must</t>
        </is>
      </c>
      <c r="E38" s="10" t="inlineStr">
        <is>
          <t>Derived</t>
        </is>
      </c>
      <c r="F38" s="10" t="inlineStr">
        <is>
          <t>4</t>
        </is>
      </c>
    </row>
    <row r="39">
      <c r="A39" s="8" t="inlineStr">
        <is>
          <t>REQ-IMP-03</t>
        </is>
      </c>
      <c r="B39" s="8" t="inlineStr">
        <is>
          <t>Import/Export</t>
        </is>
      </c>
      <c r="C39" s="9" t="inlineStr">
        <is>
          <t>A blank source workbook template with correct sheet names, headers and one example row is delivered with the application.</t>
        </is>
      </c>
      <c r="D39" s="8" t="inlineStr">
        <is>
          <t>Must</t>
        </is>
      </c>
      <c r="E39" s="8" t="inlineStr">
        <is>
          <t>Derived</t>
        </is>
      </c>
      <c r="F39" s="8" t="inlineStr">
        <is>
          <t>4</t>
        </is>
      </c>
    </row>
    <row r="40">
      <c r="A40" s="10" t="inlineStr">
        <is>
          <t>REQ-IMP-04</t>
        </is>
      </c>
      <c r="B40" s="10" t="inlineStr">
        <is>
          <t>Import/Export</t>
        </is>
      </c>
      <c r="C40" s="11" t="inlineStr">
        <is>
          <t>The user can export current data back to .xlsx, preserving the template layout so the export can be re-imported.</t>
        </is>
      </c>
      <c r="D40" s="10" t="inlineStr">
        <is>
          <t>Must</t>
        </is>
      </c>
      <c r="E40" s="10" t="inlineStr">
        <is>
          <t>Derived</t>
        </is>
      </c>
      <c r="F40" s="10" t="inlineStr">
        <is>
          <t>4</t>
        </is>
      </c>
    </row>
    <row r="41">
      <c r="A41" s="8" t="inlineStr">
        <is>
          <t>REQ-IMP-05</t>
        </is>
      </c>
      <c r="B41" s="8" t="inlineStr">
        <is>
          <t>Import/Export</t>
        </is>
      </c>
      <c r="C41" s="9" t="inlineStr">
        <is>
          <t>The application records which file was loaded, and when, and shows it on screen.</t>
        </is>
      </c>
      <c r="D41" s="8" t="inlineStr">
        <is>
          <t>Should</t>
        </is>
      </c>
      <c r="E41" s="8" t="inlineStr">
        <is>
          <t>Derived</t>
        </is>
      </c>
      <c r="F41" s="8" t="inlineStr">
        <is>
          <t>4</t>
        </is>
      </c>
    </row>
    <row r="42">
      <c r="A42" s="10" t="inlineStr">
        <is>
          <t>REQ-IMP-06</t>
        </is>
      </c>
      <c r="B42" s="10" t="inlineStr">
        <is>
          <t>Import/Export</t>
        </is>
      </c>
      <c r="C42" s="11" t="inlineStr">
        <is>
          <t>Loaded data may be cached in the browser so re-opening the page does not force a re-import; the cache never replaces the Excel file as the record.</t>
        </is>
      </c>
      <c r="D42" s="10" t="inlineStr">
        <is>
          <t>Could</t>
        </is>
      </c>
      <c r="E42" s="10" t="inlineStr">
        <is>
          <t>Derived</t>
        </is>
      </c>
      <c r="F42" s="10" t="inlineStr">
        <is>
          <t>4</t>
        </is>
      </c>
    </row>
    <row r="43">
      <c r="A43" s="8" t="inlineStr">
        <is>
          <t>REQ-VC-01</t>
        </is>
      </c>
      <c r="B43" s="8" t="inlineStr">
        <is>
          <t>Version control</t>
        </is>
      </c>
      <c r="C43" s="9" t="inlineStr">
        <is>
          <t>Development plan, programming specification and output files are version-controlled together and their versions are cross-referenced.</t>
        </is>
      </c>
      <c r="D43" s="8" t="inlineStr">
        <is>
          <t>Must</t>
        </is>
      </c>
      <c r="E43" s="8" t="inlineStr">
        <is>
          <t>Requester</t>
        </is>
      </c>
      <c r="F43" s="8" t="inlineStr">
        <is>
          <t>1-5</t>
        </is>
      </c>
    </row>
    <row r="44">
      <c r="A44" s="10" t="inlineStr">
        <is>
          <t>REQ-VC-02</t>
        </is>
      </c>
      <c r="B44" s="10" t="inlineStr">
        <is>
          <t>Version control</t>
        </is>
      </c>
      <c r="C44" s="11" t="inlineStr">
        <is>
          <t>The application displays its own version, and the version of the source data schema it expects.</t>
        </is>
      </c>
      <c r="D44" s="10" t="inlineStr">
        <is>
          <t>Must</t>
        </is>
      </c>
      <c r="E44" s="10" t="inlineStr">
        <is>
          <t>Derived</t>
        </is>
      </c>
      <c r="F44" s="10" t="inlineStr">
        <is>
          <t>4</t>
        </is>
      </c>
    </row>
    <row r="45">
      <c r="A45" s="8" t="inlineStr">
        <is>
          <t>REQ-VC-03</t>
        </is>
      </c>
      <c r="B45" s="8" t="inlineStr">
        <is>
          <t>Version control</t>
        </is>
      </c>
      <c r="C45" s="9" t="inlineStr">
        <is>
          <t>Loading a source file whose schema version is newer or older than the application expects produces a clear warning.</t>
        </is>
      </c>
      <c r="D45" s="8" t="inlineStr">
        <is>
          <t>Should</t>
        </is>
      </c>
      <c r="E45" s="8" t="inlineStr">
        <is>
          <t>Derived</t>
        </is>
      </c>
      <c r="F45" s="8" t="inlineStr">
        <is>
          <t>4</t>
        </is>
      </c>
    </row>
    <row r="46">
      <c r="A46" s="10" t="inlineStr">
        <is>
          <t>REQ-VC-04</t>
        </is>
      </c>
      <c r="B46" s="10" t="inlineStr">
        <is>
          <t>Version control</t>
        </is>
      </c>
      <c r="C46" s="11" t="inlineStr">
        <is>
          <t>Every document re-issue adds a version-history row stating what changed and why.</t>
        </is>
      </c>
      <c r="D46" s="10" t="inlineStr">
        <is>
          <t>Must</t>
        </is>
      </c>
      <c r="E46" s="10" t="inlineStr">
        <is>
          <t>Requester</t>
        </is>
      </c>
      <c r="F46" s="10" t="inlineStr">
        <is>
          <t>1-5</t>
        </is>
      </c>
    </row>
    <row r="47">
      <c r="A47" s="8" t="inlineStr">
        <is>
          <t>REQ-NFR-01</t>
        </is>
      </c>
      <c r="B47" s="8" t="inlineStr">
        <is>
          <t>Non-functional</t>
        </is>
      </c>
      <c r="C47" s="9" t="inlineStr">
        <is>
          <t>The application is built so later requirements can be added without restructuring: parsing, calculation and presentation are separated.</t>
        </is>
      </c>
      <c r="D47" s="8" t="inlineStr">
        <is>
          <t>Must</t>
        </is>
      </c>
      <c r="E47" s="8" t="inlineStr">
        <is>
          <t>Requester</t>
        </is>
      </c>
      <c r="F47" s="8" t="inlineStr">
        <is>
          <t>4</t>
        </is>
      </c>
    </row>
    <row r="48">
      <c r="A48" s="10" t="inlineStr">
        <is>
          <t>REQ-NFR-02</t>
        </is>
      </c>
      <c r="B48" s="10" t="inlineStr">
        <is>
          <t>Non-functional</t>
        </is>
      </c>
      <c r="C48" s="11" t="inlineStr">
        <is>
          <t>Works in Microsoft Edge and Google Chrome on Windows 10/11, offline.</t>
        </is>
      </c>
      <c r="D48" s="10" t="inlineStr">
        <is>
          <t>Must</t>
        </is>
      </c>
      <c r="E48" s="10" t="inlineStr">
        <is>
          <t>Derived</t>
        </is>
      </c>
      <c r="F48" s="10" t="inlineStr">
        <is>
          <t>4</t>
        </is>
      </c>
    </row>
    <row r="49">
      <c r="A49" s="8" t="inlineStr">
        <is>
          <t>REQ-NFR-03</t>
        </is>
      </c>
      <c r="B49" s="8" t="inlineStr">
        <is>
          <t>Non-functional</t>
        </is>
      </c>
      <c r="C49" s="9" t="inlineStr">
        <is>
          <t>Handles at least 100 projects, 200 people, 1,000 assignments and a 60-month horizon with a redraw under about 2 seconds.</t>
        </is>
      </c>
      <c r="D49" s="8" t="inlineStr">
        <is>
          <t>Should</t>
        </is>
      </c>
      <c r="E49" s="8" t="inlineStr">
        <is>
          <t>Derived</t>
        </is>
      </c>
      <c r="F49" s="8" t="inlineStr">
        <is>
          <t>4</t>
        </is>
      </c>
    </row>
    <row r="50">
      <c r="A50" s="10" t="inlineStr">
        <is>
          <t>REQ-NFR-04</t>
        </is>
      </c>
      <c r="B50" s="10" t="inlineStr">
        <is>
          <t>Non-functional</t>
        </is>
      </c>
      <c r="C50" s="11" t="inlineStr">
        <is>
          <t>No data leaves the PC: no network calls, no external CDN, no telemetry.</t>
        </is>
      </c>
      <c r="D50" s="10" t="inlineStr">
        <is>
          <t>Must</t>
        </is>
      </c>
      <c r="E50" s="10" t="inlineStr">
        <is>
          <t>Derived</t>
        </is>
      </c>
      <c r="F50" s="10" t="inlineStr">
        <is>
          <t>4</t>
        </is>
      </c>
    </row>
    <row r="51">
      <c r="A51" s="8" t="inlineStr">
        <is>
          <t>REQ-NFR-05</t>
        </is>
      </c>
      <c r="B51" s="8" t="inlineStr">
        <is>
          <t>Non-functional</t>
        </is>
      </c>
      <c r="C51" s="9" t="inlineStr">
        <is>
          <t>Dates are handled unambiguously (ISO yyyy-mm-dd internally) regardless of Windows regional settings.</t>
        </is>
      </c>
      <c r="D51" s="8" t="inlineStr">
        <is>
          <t>Must</t>
        </is>
      </c>
      <c r="E51" s="8" t="inlineStr">
        <is>
          <t>Derived</t>
        </is>
      </c>
      <c r="F51" s="8" t="inlineStr">
        <is>
          <t>4</t>
        </is>
      </c>
    </row>
    <row r="53">
      <c r="A53" s="5" t="inlineStr">
        <is>
          <t>Requirement count by priority</t>
        </is>
      </c>
    </row>
    <row r="54" ht="28" customHeight="1">
      <c r="A54" s="7" t="inlineStr">
        <is>
          <t>Priority</t>
        </is>
      </c>
      <c r="B54" s="7" t="inlineStr">
        <is>
          <t>Count</t>
        </is>
      </c>
    </row>
    <row r="55">
      <c r="A55" s="8" t="inlineStr">
        <is>
          <t>Must</t>
        </is>
      </c>
      <c r="B55" s="8">
        <f>COUNTIF(D5:D51,"Must")</f>
        <v/>
      </c>
    </row>
    <row r="56">
      <c r="A56" s="10" t="inlineStr">
        <is>
          <t>Should</t>
        </is>
      </c>
      <c r="B56" s="10">
        <f>COUNTIF(D5:D51,"Should")</f>
        <v/>
      </c>
    </row>
    <row r="57">
      <c r="A57" s="8" t="inlineStr">
        <is>
          <t>Could</t>
        </is>
      </c>
      <c r="B57" s="8">
        <f>COUNTIF(D5:D51,"Could")</f>
        <v/>
      </c>
    </row>
    <row r="58">
      <c r="A58" s="10" t="inlineStr">
        <is>
          <t>Total</t>
        </is>
      </c>
      <c r="B58" s="10">
        <f>COUNTA(A5:A51)</f>
        <v/>
      </c>
    </row>
    <row r="60">
      <c r="A60" s="13" t="inlineStr">
        <is>
          <t>Counts are live formulas over the register above - adding or re-prioritising a requirement updates them.</t>
        </is>
      </c>
    </row>
    <row r="61">
      <c r="A61" s="13" t="inlineStr">
        <is>
          <t>'Source' = Requester (stated in the request), Derived (engineering consequence, needs confirmation), or a Decision ID from 07_Architecture.</t>
        </is>
      </c>
    </row>
  </sheetData>
  <dataValidations count="1">
    <dataValidation sqref="D5:D51" showDropDown="0" showInputMessage="0" showErrorMessage="0" allowBlank="1" type="list">
      <formula1>"Must,Should,Could,Won't"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4" customWidth="1" min="2" max="2"/>
    <col width="54" customWidth="1" min="3" max="3"/>
    <col width="12" customWidth="1" min="4" max="4"/>
    <col width="76" customWidth="1" min="5" max="5"/>
    <col width="14" customWidth="1" min="6" max="6"/>
  </cols>
  <sheetData>
    <row r="1">
      <c r="A1" s="12" t="inlineStr">
        <is>
          <t>Data model - source Excel structure</t>
        </is>
      </c>
    </row>
    <row r="2">
      <c r="A2" s="13" t="inlineStr">
        <is>
          <t>Two workbooks, each with the sheets below. This is the schema the Step 2 specification will fix and the code will parse.</t>
        </is>
      </c>
    </row>
    <row r="4">
      <c r="A4" s="5" t="inlineStr">
        <is>
          <t>Workbook 1 - PRAP_SourceData_Project.xlsx</t>
        </is>
      </c>
    </row>
    <row r="5" ht="28" customHeight="1">
      <c r="A5" s="7" t="inlineStr">
        <is>
          <t>Sheet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Required</t>
        </is>
      </c>
      <c r="E5" s="7" t="inlineStr">
        <is>
          <t>Definition / rule</t>
        </is>
      </c>
      <c r="F5" s="7" t="inlineStr">
        <is>
          <t>REQ-ID</t>
        </is>
      </c>
    </row>
    <row r="6">
      <c r="A6" s="8" t="inlineStr">
        <is>
          <t>Project</t>
        </is>
      </c>
      <c r="B6" s="8" t="inlineStr">
        <is>
          <t>project_id</t>
        </is>
      </c>
      <c r="C6" s="8" t="inlineStr">
        <is>
          <t>Text</t>
        </is>
      </c>
      <c r="D6" s="8" t="inlineStr">
        <is>
          <t>Yes</t>
        </is>
      </c>
      <c r="E6" s="9" t="inlineStr">
        <is>
          <t>Unique key, e.g. PRJ-001. Referenced by every other sheet.</t>
        </is>
      </c>
      <c r="F6" s="8" t="inlineStr">
        <is>
          <t>REQ-PRJ-03</t>
        </is>
      </c>
    </row>
    <row r="7">
      <c r="A7" s="10" t="inlineStr">
        <is>
          <t>Project</t>
        </is>
      </c>
      <c r="B7" s="10" t="inlineStr">
        <is>
          <t>project_name</t>
        </is>
      </c>
      <c r="C7" s="10" t="inlineStr">
        <is>
          <t>Text</t>
        </is>
      </c>
      <c r="D7" s="10" t="inlineStr">
        <is>
          <t>Yes</t>
        </is>
      </c>
      <c r="E7" s="11" t="inlineStr">
        <is>
          <t>Unique display name.</t>
        </is>
      </c>
      <c r="F7" s="10" t="inlineStr">
        <is>
          <t>REQ-PRJ-03</t>
        </is>
      </c>
    </row>
    <row r="8">
      <c r="A8" s="8" t="inlineStr">
        <is>
          <t>Project</t>
        </is>
      </c>
      <c r="B8" s="8" t="inlineStr">
        <is>
          <t>project_type</t>
        </is>
      </c>
      <c r="C8" s="8" t="inlineStr">
        <is>
          <t>List</t>
        </is>
      </c>
      <c r="D8" s="8" t="inlineStr">
        <is>
          <t>Yes</t>
        </is>
      </c>
      <c r="E8" s="9" t="inlineStr">
        <is>
          <t>'Clinical Trial' or 'Others'.</t>
        </is>
      </c>
      <c r="F8" s="8" t="inlineStr">
        <is>
          <t>REQ-PRJ-01</t>
        </is>
      </c>
    </row>
    <row r="9">
      <c r="A9" s="10" t="inlineStr">
        <is>
          <t>Project</t>
        </is>
      </c>
      <c r="B9" s="10" t="inlineStr">
        <is>
          <t>project_category</t>
        </is>
      </c>
      <c r="C9" s="10" t="inlineStr">
        <is>
          <t>Text</t>
        </is>
      </c>
      <c r="D9" s="10" t="inlineStr">
        <is>
          <t>Conditional</t>
        </is>
      </c>
      <c r="E9" s="11" t="inlineStr">
        <is>
          <t>Product name. Required when project_type = 'Clinical Trial'.</t>
        </is>
      </c>
      <c r="F9" s="10" t="inlineStr">
        <is>
          <t>REQ-PRJ-02</t>
        </is>
      </c>
    </row>
    <row r="10">
      <c r="A10" s="8" t="inlineStr">
        <is>
          <t>Project</t>
        </is>
      </c>
      <c r="B10" s="8" t="inlineStr">
        <is>
          <t>outsourcing_type</t>
        </is>
      </c>
      <c r="C10" s="8" t="inlineStr">
        <is>
          <t>List</t>
        </is>
      </c>
      <c r="D10" s="8" t="inlineStr">
        <is>
          <t>No</t>
        </is>
      </c>
      <c r="E10" s="9" t="inlineStr">
        <is>
          <t>e.g. Full outsourcing / Partial / In-house. List is data-driven, not fixed in code.</t>
        </is>
      </c>
      <c r="F10" s="8" t="inlineStr">
        <is>
          <t>REQ-PRJ-04</t>
        </is>
      </c>
    </row>
    <row r="11">
      <c r="A11" s="10" t="inlineStr">
        <is>
          <t>Project</t>
        </is>
      </c>
      <c r="B11" s="10" t="inlineStr">
        <is>
          <t>system_prepared_by</t>
        </is>
      </c>
      <c r="C11" s="10" t="inlineStr">
        <is>
          <t>List</t>
        </is>
      </c>
      <c r="D11" s="10" t="inlineStr">
        <is>
          <t>No</t>
        </is>
      </c>
      <c r="E11" s="11" t="inlineStr">
        <is>
          <t>Which party prepares the system, e.g. Sponsor / CRO / Vendor.</t>
        </is>
      </c>
      <c r="F11" s="10" t="inlineStr">
        <is>
          <t>REQ-PRJ-04</t>
        </is>
      </c>
    </row>
    <row r="12">
      <c r="A12" s="8" t="inlineStr">
        <is>
          <t>Project</t>
        </is>
      </c>
      <c r="B12" s="8" t="inlineStr">
        <is>
          <t>planned_member_count</t>
        </is>
      </c>
      <c r="C12" s="8" t="inlineStr">
        <is>
          <t>Integer</t>
        </is>
      </c>
      <c r="D12" s="8" t="inlineStr">
        <is>
          <t>No</t>
        </is>
      </c>
      <c r="E12" s="9" t="inlineStr">
        <is>
          <t>Planned number of project members; compared against actual assignments.</t>
        </is>
      </c>
      <c r="F12" s="8" t="inlineStr">
        <is>
          <t>REQ-PRJ-04</t>
        </is>
      </c>
    </row>
    <row r="13">
      <c r="A13" s="10" t="inlineStr">
        <is>
          <t>Project</t>
        </is>
      </c>
      <c r="B13" s="10" t="inlineStr">
        <is>
          <t>start_date</t>
        </is>
      </c>
      <c r="C13" s="10" t="inlineStr">
        <is>
          <t>Date</t>
        </is>
      </c>
      <c r="D13" s="10" t="inlineStr">
        <is>
          <t>Yes</t>
        </is>
      </c>
      <c r="E13" s="11" t="inlineStr">
        <is>
          <t>Project start.</t>
        </is>
      </c>
      <c r="F13" s="10" t="inlineStr">
        <is>
          <t>REQ-PRJ-05</t>
        </is>
      </c>
    </row>
    <row r="14">
      <c r="A14" s="8" t="inlineStr">
        <is>
          <t>Project</t>
        </is>
      </c>
      <c r="B14" s="8" t="inlineStr">
        <is>
          <t>end_date</t>
        </is>
      </c>
      <c r="C14" s="8" t="inlineStr">
        <is>
          <t>Date</t>
        </is>
      </c>
      <c r="D14" s="8" t="inlineStr">
        <is>
          <t>Yes</t>
        </is>
      </c>
      <c r="E14" s="9" t="inlineStr">
        <is>
          <t>Planned project end.</t>
        </is>
      </c>
      <c r="F14" s="8" t="inlineStr">
        <is>
          <t>REQ-PRJ-05</t>
        </is>
      </c>
    </row>
    <row r="15">
      <c r="A15" s="10" t="inlineStr">
        <is>
          <t>Project</t>
        </is>
      </c>
      <c r="B15" s="10" t="inlineStr">
        <is>
          <t>total_period_months</t>
        </is>
      </c>
      <c r="C15" s="10" t="inlineStr">
        <is>
          <t>Derived</t>
        </is>
      </c>
      <c r="D15" s="10" t="inlineStr">
        <is>
          <t>-</t>
        </is>
      </c>
      <c r="E15" s="11" t="inlineStr">
        <is>
          <t>Calculated from start_date and end_date; not entered by hand.</t>
        </is>
      </c>
      <c r="F15" s="10" t="inlineStr">
        <is>
          <t>REQ-PRJ-08</t>
        </is>
      </c>
    </row>
    <row r="16">
      <c r="A16" s="8" t="inlineStr">
        <is>
          <t>Project</t>
        </is>
      </c>
      <c r="B16" s="8" t="inlineStr">
        <is>
          <t>status</t>
        </is>
      </c>
      <c r="C16" s="8" t="inlineStr">
        <is>
          <t>List</t>
        </is>
      </c>
      <c r="D16" s="8" t="inlineStr">
        <is>
          <t>No</t>
        </is>
      </c>
      <c r="E16" s="9" t="inlineStr">
        <is>
          <t>e.g. Planned / Active / On hold / Completed. Drives default dashboard filtering.</t>
        </is>
      </c>
      <c r="F16" s="8" t="inlineStr">
        <is>
          <t>REQ-PRJ-07</t>
        </is>
      </c>
    </row>
    <row r="17">
      <c r="A17" s="10" t="inlineStr">
        <is>
          <t>Project</t>
        </is>
      </c>
      <c r="B17" s="10" t="inlineStr">
        <is>
          <t>note_1 .. note_5</t>
        </is>
      </c>
      <c r="C17" s="10" t="inlineStr">
        <is>
          <t>Text</t>
        </is>
      </c>
      <c r="D17" s="10" t="inlineStr">
        <is>
          <t>No</t>
        </is>
      </c>
      <c r="E17" s="11" t="inlineStr">
        <is>
          <t>Free extension columns for other project-related information.</t>
        </is>
      </c>
      <c r="F17" s="10" t="inlineStr">
        <is>
          <t>REQ-PRJ-07</t>
        </is>
      </c>
    </row>
    <row r="18">
      <c r="A18" s="8" t="inlineStr"/>
      <c r="B18" s="8" t="inlineStr"/>
      <c r="C18" s="8" t="inlineStr"/>
      <c r="D18" s="8" t="inlineStr"/>
      <c r="E18" s="9" t="inlineStr"/>
      <c r="F18" s="8" t="inlineStr"/>
    </row>
    <row r="19">
      <c r="A19" s="10" t="inlineStr">
        <is>
          <t>Milestone</t>
        </is>
      </c>
      <c r="B19" s="10" t="inlineStr">
        <is>
          <t>project_id</t>
        </is>
      </c>
      <c r="C19" s="10" t="inlineStr">
        <is>
          <t>Text</t>
        </is>
      </c>
      <c r="D19" s="10" t="inlineStr">
        <is>
          <t>Yes</t>
        </is>
      </c>
      <c r="E19" s="11" t="inlineStr">
        <is>
          <t>Foreign key to Project.</t>
        </is>
      </c>
      <c r="F19" s="10" t="inlineStr">
        <is>
          <t>REQ-PRJ-05</t>
        </is>
      </c>
    </row>
    <row r="20">
      <c r="A20" s="8" t="inlineStr">
        <is>
          <t>Milestone</t>
        </is>
      </c>
      <c r="B20" s="8" t="inlineStr">
        <is>
          <t>milestone_name</t>
        </is>
      </c>
      <c r="C20" s="8" t="inlineStr">
        <is>
          <t>Text</t>
        </is>
      </c>
      <c r="D20" s="8" t="inlineStr">
        <is>
          <t>Yes</t>
        </is>
      </c>
      <c r="E20" s="9" t="inlineStr">
        <is>
          <t>e.g. FPI, LPI, LPO, DB Lock, CSR. Names are data, not fixed in code.</t>
        </is>
      </c>
      <c r="F20" s="8" t="inlineStr">
        <is>
          <t>REQ-PRJ-05</t>
        </is>
      </c>
    </row>
    <row r="21">
      <c r="A21" s="10" t="inlineStr">
        <is>
          <t>Milestone</t>
        </is>
      </c>
      <c r="B21" s="10" t="inlineStr">
        <is>
          <t>milestone_date</t>
        </is>
      </c>
      <c r="C21" s="10" t="inlineStr">
        <is>
          <t>Date</t>
        </is>
      </c>
      <c r="D21" s="10" t="inlineStr">
        <is>
          <t>Yes</t>
        </is>
      </c>
      <c r="E21" s="11" t="inlineStr">
        <is>
          <t>Planned date.</t>
        </is>
      </c>
      <c r="F21" s="10" t="inlineStr">
        <is>
          <t>REQ-PRJ-05</t>
        </is>
      </c>
    </row>
    <row r="22">
      <c r="A22" s="8" t="inlineStr">
        <is>
          <t>Milestone</t>
        </is>
      </c>
      <c r="B22" s="8" t="inlineStr">
        <is>
          <t>milestone_seq</t>
        </is>
      </c>
      <c r="C22" s="8" t="inlineStr">
        <is>
          <t>Integer</t>
        </is>
      </c>
      <c r="D22" s="8" t="inlineStr">
        <is>
          <t>No</t>
        </is>
      </c>
      <c r="E22" s="9" t="inlineStr">
        <is>
          <t>Display order on the timeline.</t>
        </is>
      </c>
      <c r="F22" s="8" t="inlineStr">
        <is>
          <t>REQ-PRJ-05</t>
        </is>
      </c>
    </row>
    <row r="23">
      <c r="A23" s="10" t="inlineStr"/>
      <c r="B23" s="10" t="inlineStr"/>
      <c r="C23" s="10" t="inlineStr"/>
      <c r="D23" s="10" t="inlineStr"/>
      <c r="E23" s="11" t="inlineStr"/>
      <c r="F23" s="10" t="inlineStr"/>
    </row>
    <row r="24">
      <c r="A24" s="8" t="inlineStr">
        <is>
          <t>ProjectPeriodWeight</t>
        </is>
      </c>
      <c r="B24" s="8" t="inlineStr">
        <is>
          <t>project_id</t>
        </is>
      </c>
      <c r="C24" s="8" t="inlineStr">
        <is>
          <t>Text</t>
        </is>
      </c>
      <c r="D24" s="8" t="inlineStr">
        <is>
          <t>Yes</t>
        </is>
      </c>
      <c r="E24" s="9" t="inlineStr">
        <is>
          <t>Foreign key to Project.</t>
        </is>
      </c>
      <c r="F24" s="8" t="inlineStr">
        <is>
          <t>REQ-PRJ-06</t>
        </is>
      </c>
    </row>
    <row r="25">
      <c r="A25" s="10" t="inlineStr">
        <is>
          <t>ProjectPeriodWeight</t>
        </is>
      </c>
      <c r="B25" s="10" t="inlineStr">
        <is>
          <t>period_name</t>
        </is>
      </c>
      <c r="C25" s="10" t="inlineStr">
        <is>
          <t>Text</t>
        </is>
      </c>
      <c r="D25" s="10" t="inlineStr">
        <is>
          <t>Yes</t>
        </is>
      </c>
      <c r="E25" s="11" t="inlineStr">
        <is>
          <t>e.g. Start-up, Enrolment, Maintenance, Close-out.</t>
        </is>
      </c>
      <c r="F25" s="10" t="inlineStr">
        <is>
          <t>REQ-PRJ-06</t>
        </is>
      </c>
    </row>
    <row r="26">
      <c r="A26" s="8" t="inlineStr">
        <is>
          <t>ProjectPeriodWeight</t>
        </is>
      </c>
      <c r="B26" s="8" t="inlineStr">
        <is>
          <t>period_start</t>
        </is>
      </c>
      <c r="C26" s="8" t="inlineStr">
        <is>
          <t>Date</t>
        </is>
      </c>
      <c r="D26" s="8" t="inlineStr">
        <is>
          <t>Yes</t>
        </is>
      </c>
      <c r="E26" s="9" t="inlineStr">
        <is>
          <t>Inclusive.</t>
        </is>
      </c>
      <c r="F26" s="8" t="inlineStr">
        <is>
          <t>REQ-PRJ-06</t>
        </is>
      </c>
    </row>
    <row r="27">
      <c r="A27" s="10" t="inlineStr">
        <is>
          <t>ProjectPeriodWeight</t>
        </is>
      </c>
      <c r="B27" s="10" t="inlineStr">
        <is>
          <t>period_end</t>
        </is>
      </c>
      <c r="C27" s="10" t="inlineStr">
        <is>
          <t>Date</t>
        </is>
      </c>
      <c r="D27" s="10" t="inlineStr">
        <is>
          <t>Yes</t>
        </is>
      </c>
      <c r="E27" s="11" t="inlineStr">
        <is>
          <t>Inclusive. Periods for one project must not overlap.</t>
        </is>
      </c>
      <c r="F27" s="10" t="inlineStr">
        <is>
          <t>REQ-PRJ-06</t>
        </is>
      </c>
    </row>
    <row r="28">
      <c r="A28" s="8" t="inlineStr">
        <is>
          <t>ProjectPeriodWeight</t>
        </is>
      </c>
      <c r="B28" s="8" t="inlineStr">
        <is>
          <t>weight</t>
        </is>
      </c>
      <c r="C28" s="8" t="inlineStr">
        <is>
          <t>Decimal</t>
        </is>
      </c>
      <c r="D28" s="8" t="inlineStr">
        <is>
          <t>Yes</t>
        </is>
      </c>
      <c r="E28" s="9" t="inlineStr">
        <is>
          <t>Multiplier on effort during this period. 1.00 = normal, 1.50 = 50% heavier.</t>
        </is>
      </c>
      <c r="F28" s="8" t="inlineStr">
        <is>
          <t>REQ-PRJ-06</t>
        </is>
      </c>
    </row>
    <row r="29">
      <c r="A29" s="10" t="inlineStr"/>
      <c r="B29" s="10" t="inlineStr"/>
      <c r="C29" s="10" t="inlineStr"/>
      <c r="D29" s="10" t="inlineStr"/>
      <c r="E29" s="11" t="inlineStr"/>
      <c r="F29" s="10" t="inlineStr"/>
    </row>
    <row r="30">
      <c r="A30" s="8" t="inlineStr">
        <is>
          <t>RoleFactor</t>
        </is>
      </c>
      <c r="B30" s="8" t="inlineStr">
        <is>
          <t>role_name</t>
        </is>
      </c>
      <c r="C30" s="8" t="inlineStr">
        <is>
          <t>Text</t>
        </is>
      </c>
      <c r="D30" s="8" t="inlineStr">
        <is>
          <t>Yes</t>
        </is>
      </c>
      <c r="E30" s="9" t="inlineStr">
        <is>
          <t>e.g. Project Manager, CRA, Data Manager, Statistician.</t>
        </is>
      </c>
      <c r="F30" s="8" t="inlineStr">
        <is>
          <t>REQ-CAL-02</t>
        </is>
      </c>
    </row>
    <row r="31">
      <c r="A31" s="10" t="inlineStr">
        <is>
          <t>RoleFactor</t>
        </is>
      </c>
      <c r="B31" s="10" t="inlineStr">
        <is>
          <t>role_factor</t>
        </is>
      </c>
      <c r="C31" s="10" t="inlineStr">
        <is>
          <t>Decimal</t>
        </is>
      </c>
      <c r="D31" s="10" t="inlineStr">
        <is>
          <t>Yes</t>
        </is>
      </c>
      <c r="E31" s="11" t="inlineStr">
        <is>
          <t>Relative burden of the role. Default 1.00.</t>
        </is>
      </c>
      <c r="F31" s="10" t="inlineStr">
        <is>
          <t>REQ-CAL-02</t>
        </is>
      </c>
    </row>
    <row r="32">
      <c r="A32" s="8" t="inlineStr">
        <is>
          <t>RoleFactor</t>
        </is>
      </c>
      <c r="B32" s="8" t="inlineStr">
        <is>
          <t>role_note</t>
        </is>
      </c>
      <c r="C32" s="8" t="inlineStr">
        <is>
          <t>Text</t>
        </is>
      </c>
      <c r="D32" s="8" t="inlineStr">
        <is>
          <t>No</t>
        </is>
      </c>
      <c r="E32" s="9" t="inlineStr">
        <is>
          <t>Basis for the factor.</t>
        </is>
      </c>
      <c r="F32" s="8" t="inlineStr">
        <is>
          <t>REQ-CAL-06</t>
        </is>
      </c>
    </row>
    <row r="33">
      <c r="A33" s="10" t="inlineStr"/>
      <c r="B33" s="10" t="inlineStr"/>
      <c r="C33" s="10" t="inlineStr"/>
      <c r="D33" s="10" t="inlineStr"/>
      <c r="E33" s="11" t="inlineStr"/>
      <c r="F33" s="10" t="inlineStr"/>
    </row>
    <row r="34">
      <c r="A34" s="8" t="inlineStr">
        <is>
          <t>Config</t>
        </is>
      </c>
      <c r="B34" s="8" t="inlineStr">
        <is>
          <t>parameter</t>
        </is>
      </c>
      <c r="C34" s="8" t="inlineStr">
        <is>
          <t>Text</t>
        </is>
      </c>
      <c r="D34" s="8" t="inlineStr">
        <is>
          <t>Yes</t>
        </is>
      </c>
      <c r="E34" s="9" t="inlineStr">
        <is>
          <t>e.g. schema_version, capacity_threshold, default_horizon_months, capacity_unit.</t>
        </is>
      </c>
      <c r="F34" s="8" t="inlineStr">
        <is>
          <t>REQ-VC-02</t>
        </is>
      </c>
    </row>
    <row r="35">
      <c r="A35" s="10" t="inlineStr">
        <is>
          <t>Config</t>
        </is>
      </c>
      <c r="B35" s="10" t="inlineStr">
        <is>
          <t>value</t>
        </is>
      </c>
      <c r="C35" s="10" t="inlineStr">
        <is>
          <t>Text</t>
        </is>
      </c>
      <c r="D35" s="10" t="inlineStr">
        <is>
          <t>Yes</t>
        </is>
      </c>
      <c r="E35" s="11" t="inlineStr">
        <is>
          <t>The setting. Kept in data so tuning needs no code change.</t>
        </is>
      </c>
      <c r="F35" s="10" t="inlineStr">
        <is>
          <t>REQ-CAL-06</t>
        </is>
      </c>
    </row>
    <row r="37">
      <c r="A37" s="5" t="inlineStr">
        <is>
          <t>Workbook 2 - PRAP_SourceData_Person.xlsx</t>
        </is>
      </c>
    </row>
    <row r="38" ht="28" customHeight="1">
      <c r="A38" s="7" t="inlineStr">
        <is>
          <t>Sheet</t>
        </is>
      </c>
      <c r="B38" s="7" t="inlineStr">
        <is>
          <t>Column</t>
        </is>
      </c>
      <c r="C38" s="7" t="inlineStr">
        <is>
          <t>Type</t>
        </is>
      </c>
      <c r="D38" s="7" t="inlineStr">
        <is>
          <t>Required</t>
        </is>
      </c>
      <c r="E38" s="7" t="inlineStr">
        <is>
          <t>Definition / rule</t>
        </is>
      </c>
      <c r="F38" s="7" t="inlineStr">
        <is>
          <t>REQ-ID</t>
        </is>
      </c>
    </row>
    <row r="39">
      <c r="A39" s="8" t="inlineStr">
        <is>
          <t>Person</t>
        </is>
      </c>
      <c r="B39" s="8" t="inlineStr">
        <is>
          <t>person_id</t>
        </is>
      </c>
      <c r="C39" s="8" t="inlineStr">
        <is>
          <t>Text</t>
        </is>
      </c>
      <c r="D39" s="8" t="inlineStr">
        <is>
          <t>Yes</t>
        </is>
      </c>
      <c r="E39" s="9" t="inlineStr">
        <is>
          <t>Unique key, e.g. PSN-001.</t>
        </is>
      </c>
      <c r="F39" s="8" t="inlineStr">
        <is>
          <t>REQ-PSN-01</t>
        </is>
      </c>
    </row>
    <row r="40">
      <c r="A40" s="10" t="inlineStr">
        <is>
          <t>Person</t>
        </is>
      </c>
      <c r="B40" s="10" t="inlineStr">
        <is>
          <t>person_name</t>
        </is>
      </c>
      <c r="C40" s="10" t="inlineStr">
        <is>
          <t>Text</t>
        </is>
      </c>
      <c r="D40" s="10" t="inlineStr">
        <is>
          <t>Yes</t>
        </is>
      </c>
      <c r="E40" s="11" t="inlineStr">
        <is>
          <t>Display name.</t>
        </is>
      </c>
      <c r="F40" s="10" t="inlineStr">
        <is>
          <t>REQ-PSN-01</t>
        </is>
      </c>
    </row>
    <row r="41">
      <c r="A41" s="8" t="inlineStr">
        <is>
          <t>Person</t>
        </is>
      </c>
      <c r="B41" s="8" t="inlineStr">
        <is>
          <t>department</t>
        </is>
      </c>
      <c r="C41" s="8" t="inlineStr">
        <is>
          <t>Text</t>
        </is>
      </c>
      <c r="D41" s="8" t="inlineStr">
        <is>
          <t>No</t>
        </is>
      </c>
      <c r="E41" s="9" t="inlineStr">
        <is>
          <t>Grouping for the dashboard.</t>
        </is>
      </c>
      <c r="F41" s="8" t="inlineStr">
        <is>
          <t>REQ-PSN-06</t>
        </is>
      </c>
    </row>
    <row r="42">
      <c r="A42" s="10" t="inlineStr">
        <is>
          <t>Person</t>
        </is>
      </c>
      <c r="B42" s="10" t="inlineStr">
        <is>
          <t>primary_role</t>
        </is>
      </c>
      <c r="C42" s="10" t="inlineStr">
        <is>
          <t>Text</t>
        </is>
      </c>
      <c r="D42" s="10" t="inlineStr">
        <is>
          <t>No</t>
        </is>
      </c>
      <c r="E42" s="11" t="inlineStr">
        <is>
          <t>Usual role; an assignment can override it.</t>
        </is>
      </c>
      <c r="F42" s="10" t="inlineStr">
        <is>
          <t>REQ-PSN-03</t>
        </is>
      </c>
    </row>
    <row r="43">
      <c r="A43" s="8" t="inlineStr">
        <is>
          <t>Person</t>
        </is>
      </c>
      <c r="B43" s="8" t="inlineStr">
        <is>
          <t>capacity</t>
        </is>
      </c>
      <c r="C43" s="8" t="inlineStr">
        <is>
          <t>Decimal</t>
        </is>
      </c>
      <c r="D43" s="8" t="inlineStr">
        <is>
          <t>No</t>
        </is>
      </c>
      <c r="E43" s="9" t="inlineStr">
        <is>
          <t>Available capacity, default 1.00 (= 100%). Basis of the over-allocation flag.</t>
        </is>
      </c>
      <c r="F43" s="8" t="inlineStr">
        <is>
          <t>REQ-CAL-04</t>
        </is>
      </c>
    </row>
    <row r="44">
      <c r="A44" s="10" t="inlineStr">
        <is>
          <t>Person</t>
        </is>
      </c>
      <c r="B44" s="10" t="inlineStr">
        <is>
          <t>employment_start / employment_end</t>
        </is>
      </c>
      <c r="C44" s="10" t="inlineStr">
        <is>
          <t>Date</t>
        </is>
      </c>
      <c r="D44" s="10" t="inlineStr">
        <is>
          <t>No</t>
        </is>
      </c>
      <c r="E44" s="11" t="inlineStr">
        <is>
          <t>Bounds availability; blank end = open.</t>
        </is>
      </c>
      <c r="F44" s="10" t="inlineStr">
        <is>
          <t>REQ-PSN-04</t>
        </is>
      </c>
    </row>
    <row r="45">
      <c r="A45" s="8" t="inlineStr">
        <is>
          <t>Person</t>
        </is>
      </c>
      <c r="B45" s="8" t="inlineStr">
        <is>
          <t>note_1 .. note_5</t>
        </is>
      </c>
      <c r="C45" s="8" t="inlineStr">
        <is>
          <t>Text</t>
        </is>
      </c>
      <c r="D45" s="8" t="inlineStr">
        <is>
          <t>No</t>
        </is>
      </c>
      <c r="E45" s="9" t="inlineStr">
        <is>
          <t>Free extension columns.</t>
        </is>
      </c>
      <c r="F45" s="8" t="inlineStr">
        <is>
          <t>REQ-PSN-06</t>
        </is>
      </c>
    </row>
    <row r="46">
      <c r="A46" s="10" t="inlineStr"/>
      <c r="B46" s="10" t="inlineStr"/>
      <c r="C46" s="10" t="inlineStr"/>
      <c r="D46" s="10" t="inlineStr"/>
      <c r="E46" s="11" t="inlineStr"/>
      <c r="F46" s="10" t="inlineStr"/>
    </row>
    <row r="47">
      <c r="A47" s="8" t="inlineStr">
        <is>
          <t>Assignment</t>
        </is>
      </c>
      <c r="B47" s="8" t="inlineStr">
        <is>
          <t>assignment_id</t>
        </is>
      </c>
      <c r="C47" s="8" t="inlineStr">
        <is>
          <t>Text</t>
        </is>
      </c>
      <c r="D47" s="8" t="inlineStr">
        <is>
          <t>Yes</t>
        </is>
      </c>
      <c r="E47" s="9" t="inlineStr">
        <is>
          <t>Unique key. One row per person + project + role.</t>
        </is>
      </c>
      <c r="F47" s="8" t="inlineStr">
        <is>
          <t>REQ-PSN-07</t>
        </is>
      </c>
    </row>
    <row r="48">
      <c r="A48" s="10" t="inlineStr">
        <is>
          <t>Assignment</t>
        </is>
      </c>
      <c r="B48" s="10" t="inlineStr">
        <is>
          <t>person_id</t>
        </is>
      </c>
      <c r="C48" s="10" t="inlineStr">
        <is>
          <t>Text</t>
        </is>
      </c>
      <c r="D48" s="10" t="inlineStr">
        <is>
          <t>Yes</t>
        </is>
      </c>
      <c r="E48" s="11" t="inlineStr">
        <is>
          <t>Foreign key to Person.</t>
        </is>
      </c>
      <c r="F48" s="10" t="inlineStr">
        <is>
          <t>REQ-PSN-01</t>
        </is>
      </c>
    </row>
    <row r="49">
      <c r="A49" s="8" t="inlineStr">
        <is>
          <t>Assignment</t>
        </is>
      </c>
      <c r="B49" s="8" t="inlineStr">
        <is>
          <t>project_id</t>
        </is>
      </c>
      <c r="C49" s="8" t="inlineStr">
        <is>
          <t>Text</t>
        </is>
      </c>
      <c r="D49" s="8" t="inlineStr">
        <is>
          <t>Yes</t>
        </is>
      </c>
      <c r="E49" s="9" t="inlineStr">
        <is>
          <t>Foreign key to Project in workbook 1.</t>
        </is>
      </c>
      <c r="F49" s="8" t="inlineStr">
        <is>
          <t>REQ-PSN-02</t>
        </is>
      </c>
    </row>
    <row r="50">
      <c r="A50" s="10" t="inlineStr">
        <is>
          <t>Assignment</t>
        </is>
      </c>
      <c r="B50" s="10" t="inlineStr">
        <is>
          <t>role_name</t>
        </is>
      </c>
      <c r="C50" s="10" t="inlineStr">
        <is>
          <t>Text</t>
        </is>
      </c>
      <c r="D50" s="10" t="inlineStr">
        <is>
          <t>Yes</t>
        </is>
      </c>
      <c r="E50" s="11" t="inlineStr">
        <is>
          <t>Foreign key to RoleFactor. Several rows = several roles on one project.</t>
        </is>
      </c>
      <c r="F50" s="10" t="inlineStr">
        <is>
          <t>REQ-PSN-03</t>
        </is>
      </c>
    </row>
    <row r="51">
      <c r="A51" s="8" t="inlineStr">
        <is>
          <t>Assignment</t>
        </is>
      </c>
      <c r="B51" s="8" t="inlineStr">
        <is>
          <t>assign_start_date</t>
        </is>
      </c>
      <c r="C51" s="8" t="inlineStr">
        <is>
          <t>Date</t>
        </is>
      </c>
      <c r="D51" s="8" t="inlineStr">
        <is>
          <t>Yes</t>
        </is>
      </c>
      <c r="E51" s="9" t="inlineStr">
        <is>
          <t>Date the person joins the study.</t>
        </is>
      </c>
      <c r="F51" s="8" t="inlineStr">
        <is>
          <t>REQ-PSN-04</t>
        </is>
      </c>
    </row>
    <row r="52">
      <c r="A52" s="10" t="inlineStr">
        <is>
          <t>Assignment</t>
        </is>
      </c>
      <c r="B52" s="10" t="inlineStr">
        <is>
          <t>assign_end_date</t>
        </is>
      </c>
      <c r="C52" s="10" t="inlineStr">
        <is>
          <t>Date</t>
        </is>
      </c>
      <c r="D52" s="10" t="inlineStr">
        <is>
          <t>Yes</t>
        </is>
      </c>
      <c r="E52" s="11" t="inlineStr">
        <is>
          <t>Date the person leaves the study. Blank = runs to project end.</t>
        </is>
      </c>
      <c r="F52" s="10" t="inlineStr">
        <is>
          <t>REQ-PSN-04</t>
        </is>
      </c>
    </row>
    <row r="53">
      <c r="A53" s="8" t="inlineStr">
        <is>
          <t>Assignment</t>
        </is>
      </c>
      <c r="B53" s="8" t="inlineStr">
        <is>
          <t>base_allocation</t>
        </is>
      </c>
      <c r="C53" s="8" t="inlineStr">
        <is>
          <t>Decimal</t>
        </is>
      </c>
      <c r="D53" s="8" t="inlineStr">
        <is>
          <t>Yes</t>
        </is>
      </c>
      <c r="E53" s="9" t="inlineStr">
        <is>
          <t>Baseline share of the person's capacity, e.g. 0.40 = 40%.</t>
        </is>
      </c>
      <c r="F53" s="8" t="inlineStr">
        <is>
          <t>REQ-CAL-02</t>
        </is>
      </c>
    </row>
    <row r="54">
      <c r="A54" s="10" t="inlineStr">
        <is>
          <t>Assignment</t>
        </is>
      </c>
      <c r="B54" s="10" t="inlineStr">
        <is>
          <t>note_1 .. note_3</t>
        </is>
      </c>
      <c r="C54" s="10" t="inlineStr">
        <is>
          <t>Text</t>
        </is>
      </c>
      <c r="D54" s="10" t="inlineStr">
        <is>
          <t>No</t>
        </is>
      </c>
      <c r="E54" s="11" t="inlineStr">
        <is>
          <t>Free extension columns.</t>
        </is>
      </c>
      <c r="F54" s="10" t="inlineStr">
        <is>
          <t>REQ-PSN-06</t>
        </is>
      </c>
    </row>
    <row r="55">
      <c r="A55" s="8" t="inlineStr"/>
      <c r="B55" s="8" t="inlineStr"/>
      <c r="C55" s="8" t="inlineStr"/>
      <c r="D55" s="8" t="inlineStr"/>
      <c r="E55" s="9" t="inlineStr"/>
      <c r="F55" s="8" t="inlineStr"/>
    </row>
    <row r="56">
      <c r="A56" s="10" t="inlineStr">
        <is>
          <t>PersonPeriodWeight</t>
        </is>
      </c>
      <c r="B56" s="10" t="inlineStr">
        <is>
          <t>assignment_id</t>
        </is>
      </c>
      <c r="C56" s="10" t="inlineStr">
        <is>
          <t>Text</t>
        </is>
      </c>
      <c r="D56" s="10" t="inlineStr">
        <is>
          <t>Yes</t>
        </is>
      </c>
      <c r="E56" s="11" t="inlineStr">
        <is>
          <t>Foreign key to Assignment.</t>
        </is>
      </c>
      <c r="F56" s="10" t="inlineStr">
        <is>
          <t>REQ-PSN-05</t>
        </is>
      </c>
    </row>
    <row r="57">
      <c r="A57" s="8" t="inlineStr">
        <is>
          <t>PersonPeriodWeight</t>
        </is>
      </c>
      <c r="B57" s="8" t="inlineStr">
        <is>
          <t>period_start</t>
        </is>
      </c>
      <c r="C57" s="8" t="inlineStr">
        <is>
          <t>Date</t>
        </is>
      </c>
      <c r="D57" s="8" t="inlineStr">
        <is>
          <t>Yes</t>
        </is>
      </c>
      <c r="E57" s="9" t="inlineStr">
        <is>
          <t>Inclusive.</t>
        </is>
      </c>
      <c r="F57" s="8" t="inlineStr">
        <is>
          <t>REQ-PSN-05</t>
        </is>
      </c>
    </row>
    <row r="58">
      <c r="A58" s="10" t="inlineStr">
        <is>
          <t>PersonPeriodWeight</t>
        </is>
      </c>
      <c r="B58" s="10" t="inlineStr">
        <is>
          <t>period_end</t>
        </is>
      </c>
      <c r="C58" s="10" t="inlineStr">
        <is>
          <t>Date</t>
        </is>
      </c>
      <c r="D58" s="10" t="inlineStr">
        <is>
          <t>Yes</t>
        </is>
      </c>
      <c r="E58" s="11" t="inlineStr">
        <is>
          <t>Inclusive. Periods within one assignment must not overlap.</t>
        </is>
      </c>
      <c r="F58" s="10" t="inlineStr">
        <is>
          <t>REQ-PSN-05</t>
        </is>
      </c>
    </row>
    <row r="59">
      <c r="A59" s="8" t="inlineStr">
        <is>
          <t>PersonPeriodWeight</t>
        </is>
      </c>
      <c r="B59" s="8" t="inlineStr">
        <is>
          <t>weight</t>
        </is>
      </c>
      <c r="C59" s="8" t="inlineStr">
        <is>
          <t>Decimal</t>
        </is>
      </c>
      <c r="D59" s="8" t="inlineStr">
        <is>
          <t>Yes</t>
        </is>
      </c>
      <c r="E59" s="9" t="inlineStr">
        <is>
          <t>Multiplier for this person on this assignment in this period. Default 1.00 where no row exists.</t>
        </is>
      </c>
      <c r="F59" s="8" t="inlineStr">
        <is>
          <t>REQ-PSN-05</t>
        </is>
      </c>
    </row>
    <row r="60">
      <c r="A60" s="10" t="inlineStr">
        <is>
          <t>PersonPeriodWeight</t>
        </is>
      </c>
      <c r="B60" s="10" t="inlineStr">
        <is>
          <t>reason</t>
        </is>
      </c>
      <c r="C60" s="10" t="inlineStr">
        <is>
          <t>Text</t>
        </is>
      </c>
      <c r="D60" s="10" t="inlineStr">
        <is>
          <t>No</t>
        </is>
      </c>
      <c r="E60" s="11" t="inlineStr">
        <is>
          <t>Why the weight differs, e.g. 'part-time', 'covering start-up peak'.</t>
        </is>
      </c>
      <c r="F60" s="10" t="inlineStr">
        <is>
          <t>REQ-PSN-05</t>
        </is>
      </c>
    </row>
    <row r="62">
      <c r="A62" s="5" t="inlineStr">
        <is>
          <t>Referential rules checked on import</t>
        </is>
      </c>
    </row>
    <row r="63" ht="28" customHeight="1">
      <c r="A63" s="7" t="inlineStr">
        <is>
          <t>ID</t>
        </is>
      </c>
      <c r="B63" s="7" t="inlineStr">
        <is>
          <t>Rule</t>
        </is>
      </c>
      <c r="C63" s="7" t="inlineStr">
        <is>
          <t>On failure</t>
        </is>
      </c>
    </row>
    <row r="64">
      <c r="A64" s="8" t="inlineStr">
        <is>
          <t>V-01</t>
        </is>
      </c>
      <c r="B64" s="9" t="inlineStr">
        <is>
          <t>Every Assignment.project_id exists in Project.</t>
        </is>
      </c>
      <c r="C64" s="9" t="inlineStr">
        <is>
          <t>Error - row rejected, reported with its row number.</t>
        </is>
      </c>
    </row>
    <row r="65">
      <c r="A65" s="10" t="inlineStr">
        <is>
          <t>V-02</t>
        </is>
      </c>
      <c r="B65" s="11" t="inlineStr">
        <is>
          <t>Every Assignment.person_id exists in Person.</t>
        </is>
      </c>
      <c r="C65" s="11" t="inlineStr">
        <is>
          <t>Error - row rejected.</t>
        </is>
      </c>
    </row>
    <row r="66">
      <c r="A66" s="8" t="inlineStr">
        <is>
          <t>V-03</t>
        </is>
      </c>
      <c r="B66" s="9" t="inlineStr">
        <is>
          <t>Every Assignment.role_name exists in RoleFactor.</t>
        </is>
      </c>
      <c r="C66" s="9" t="inlineStr">
        <is>
          <t>Warning - role factor defaults to 1.00.</t>
        </is>
      </c>
    </row>
    <row r="67">
      <c r="A67" s="10" t="inlineStr">
        <is>
          <t>V-04</t>
        </is>
      </c>
      <c r="B67" s="11" t="inlineStr">
        <is>
          <t>project_category is present when project_type = 'Clinical Trial'.</t>
        </is>
      </c>
      <c r="C67" s="11" t="inlineStr">
        <is>
          <t>Warning - shown as blank in the dashboard.</t>
        </is>
      </c>
    </row>
    <row r="68">
      <c r="A68" s="8" t="inlineStr">
        <is>
          <t>V-05</t>
        </is>
      </c>
      <c r="B68" s="9" t="inlineStr">
        <is>
          <t>end_date is on or after start_date, for projects, assignments and all weight periods.</t>
        </is>
      </c>
      <c r="C68" s="9" t="inlineStr">
        <is>
          <t>Error - row rejected.</t>
        </is>
      </c>
    </row>
    <row r="69">
      <c r="A69" s="10" t="inlineStr">
        <is>
          <t>V-06</t>
        </is>
      </c>
      <c r="B69" s="11" t="inlineStr">
        <is>
          <t>Weight periods within one project, and within one assignment, do not overlap.</t>
        </is>
      </c>
      <c r="C69" s="11" t="inlineStr">
        <is>
          <t>Error - overlapping pair reported.</t>
        </is>
      </c>
    </row>
    <row r="70">
      <c r="A70" s="8" t="inlineStr">
        <is>
          <t>V-07</t>
        </is>
      </c>
      <c r="B70" s="9" t="inlineStr">
        <is>
          <t>Assignment dates fall inside the project's own start and end dates.</t>
        </is>
      </c>
      <c r="C70" s="9" t="inlineStr">
        <is>
          <t>Warning - kept, but listed for review.</t>
        </is>
      </c>
    </row>
    <row r="71">
      <c r="A71" s="10" t="inlineStr">
        <is>
          <t>V-08</t>
        </is>
      </c>
      <c r="B71" s="11" t="inlineStr">
        <is>
          <t>project_id, person_id and assignment_id are unique in their sheet.</t>
        </is>
      </c>
      <c r="C71" s="11" t="inlineStr">
        <is>
          <t>Error - duplicate rejected.</t>
        </is>
      </c>
    </row>
    <row r="72">
      <c r="A72" s="8" t="inlineStr">
        <is>
          <t>V-09</t>
        </is>
      </c>
      <c r="B72" s="9" t="inlineStr">
        <is>
          <t>schema_version in Config matches the version the application expects.</t>
        </is>
      </c>
      <c r="C72" s="9" t="inlineStr">
        <is>
          <t>Warning - proceeds, banner shown.</t>
        </is>
      </c>
    </row>
    <row r="74">
      <c r="A74" s="13" t="inlineStr">
        <is>
          <t>Import never stops at the first problem: it collects every finding and presents one report (REQ-IMP-02).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76" customWidth="1" min="3" max="3"/>
    <col width="12" customWidth="1" min="4" max="4"/>
  </cols>
  <sheetData>
    <row r="1">
      <c r="A1" s="12" t="inlineStr">
        <is>
          <t>Resource calculation logic</t>
        </is>
      </c>
    </row>
    <row r="2">
      <c r="A2" s="13" t="inlineStr">
        <is>
          <t>The core of the application. Step 2 will fix this as pseudocode plus a worked example to test against.</t>
        </is>
      </c>
    </row>
    <row r="4">
      <c r="A4" s="5" t="inlineStr">
        <is>
          <t>Monthly load for one assignment, in one month</t>
        </is>
      </c>
    </row>
    <row r="5">
      <c r="A5" s="14" t="inlineStr">
        <is>
          <t xml:space="preserve">    load(assignment, month) = base_allocation</t>
        </is>
      </c>
    </row>
    <row r="6">
      <c r="A6" s="14" t="inlineStr">
        <is>
          <t xml:space="preserve">                            x project_period_weight(project, month)</t>
        </is>
      </c>
    </row>
    <row r="7">
      <c r="A7" s="14" t="inlineStr">
        <is>
          <t xml:space="preserve">                            x person_period_weight(assignment, month)</t>
        </is>
      </c>
    </row>
    <row r="8">
      <c r="A8" s="14" t="inlineStr">
        <is>
          <t xml:space="preserve">                            x role_factor(role)</t>
        </is>
      </c>
    </row>
    <row r="9">
      <c r="A9" s="14" t="inlineStr">
        <is>
          <t xml:space="preserve">                            x coverage(assignment, month)</t>
        </is>
      </c>
    </row>
    <row r="10">
      <c r="A10" s="6" t="inlineStr"/>
    </row>
    <row r="11">
      <c r="A11" s="6" t="inlineStr">
        <is>
          <t>coverage = (days in the month that fall inside the assignment's start..end window) / (days in that month).</t>
        </is>
      </c>
    </row>
    <row r="12">
      <c r="A12" s="6" t="inlineStr">
        <is>
          <t>It is 1.00 for a fully covered month, and a fraction for the joining and leaving months (REQ-CAL-05).</t>
        </is>
      </c>
    </row>
    <row r="13">
      <c r="A13" s="6" t="inlineStr">
        <is>
          <t>Where no weight period covers the month, the weight defaults to 1.00 rather than to zero.</t>
        </is>
      </c>
    </row>
    <row r="15">
      <c r="A15" s="5" t="inlineStr">
        <is>
          <t>Aggregation</t>
        </is>
      </c>
    </row>
    <row r="16" ht="28" customHeight="1">
      <c r="A16" s="7" t="inlineStr">
        <is>
          <t>Output</t>
        </is>
      </c>
      <c r="B16" s="7" t="inlineStr">
        <is>
          <t>How it is computed</t>
        </is>
      </c>
      <c r="C16" s="7" t="inlineStr">
        <is>
          <t>Where it appears</t>
        </is>
      </c>
      <c r="D16" s="7" t="inlineStr">
        <is>
          <t>REQ-ID</t>
        </is>
      </c>
    </row>
    <row r="17">
      <c r="A17" s="8" t="inlineStr">
        <is>
          <t>Per project, per month</t>
        </is>
      </c>
      <c r="B17" s="9" t="inlineStr">
        <is>
          <t>Sum of load over every assignment on that project.</t>
        </is>
      </c>
      <c r="C17" s="9" t="inlineStr">
        <is>
          <t>Overall tab, project table + stacked graph</t>
        </is>
      </c>
      <c r="D17" s="8" t="inlineStr">
        <is>
          <t>REQ-CAL-03</t>
        </is>
      </c>
    </row>
    <row r="18">
      <c r="A18" s="10" t="inlineStr">
        <is>
          <t>Per person, per month</t>
        </is>
      </c>
      <c r="B18" s="11" t="inlineStr">
        <is>
          <t>Sum of load over every assignment that person holds, across all projects.</t>
        </is>
      </c>
      <c r="C18" s="11" t="inlineStr">
        <is>
          <t>Overall tab, person table + graph</t>
        </is>
      </c>
      <c r="D18" s="10" t="inlineStr">
        <is>
          <t>REQ-CAL-03</t>
        </is>
      </c>
    </row>
    <row r="19">
      <c r="A19" s="8" t="inlineStr">
        <is>
          <t>Per person, per project, per month</t>
        </is>
      </c>
      <c r="B19" s="9" t="inlineStr">
        <is>
          <t>The individual load value.</t>
        </is>
      </c>
      <c r="C19" s="9" t="inlineStr">
        <is>
          <t>Drill-down when a person row is expanded</t>
        </is>
      </c>
      <c r="D19" s="8" t="inlineStr">
        <is>
          <t>REQ-CAL-03</t>
        </is>
      </c>
    </row>
    <row r="20">
      <c r="A20" s="10" t="inlineStr">
        <is>
          <t>Over-allocation flag</t>
        </is>
      </c>
      <c r="B20" s="11" t="inlineStr">
        <is>
          <t>Raised when person-month total &gt; capacity x capacity_threshold.</t>
        </is>
      </c>
      <c r="C20" s="11" t="inlineStr">
        <is>
          <t>Cell highlight + count of flagged person-months</t>
        </is>
      </c>
      <c r="D20" s="10" t="inlineStr">
        <is>
          <t>REQ-CAL-04</t>
        </is>
      </c>
    </row>
    <row r="21">
      <c r="A21" s="8" t="inlineStr">
        <is>
          <t>Head-count per project, per month</t>
        </is>
      </c>
      <c r="B21" s="9" t="inlineStr">
        <is>
          <t>Count of assignments with load &gt; 0 that month.</t>
        </is>
      </c>
      <c r="C21" s="9" t="inlineStr">
        <is>
          <t>Compared against planned_member_count</t>
        </is>
      </c>
      <c r="D21" s="8" t="inlineStr">
        <is>
          <t>REQ-PRJ-04</t>
        </is>
      </c>
    </row>
    <row r="23">
      <c r="A23" s="5" t="inlineStr">
        <is>
          <t>Worked example - to be confirmed at Step 2 review</t>
        </is>
      </c>
    </row>
    <row r="24" ht="28" customHeight="1">
      <c r="A24" s="7" t="inlineStr">
        <is>
          <t>Element</t>
        </is>
      </c>
      <c r="B24" s="7" t="inlineStr">
        <is>
          <t>Value</t>
        </is>
      </c>
      <c r="C24" s="7" t="inlineStr">
        <is>
          <t>Note</t>
        </is>
      </c>
    </row>
    <row r="25">
      <c r="A25" s="8" t="inlineStr">
        <is>
          <t>Assignment</t>
        </is>
      </c>
      <c r="B25" s="9" t="inlineStr">
        <is>
          <t>PSN-001 (Kim) on PRJ-001, role = Project Manager</t>
        </is>
      </c>
      <c r="C25" s="9" t="inlineStr"/>
    </row>
    <row r="26">
      <c r="A26" s="10" t="inlineStr">
        <is>
          <t>base_allocation</t>
        </is>
      </c>
      <c r="B26" s="11" t="inlineStr">
        <is>
          <t>0.40</t>
        </is>
      </c>
      <c r="C26" s="11" t="inlineStr">
        <is>
          <t>40% of capacity as the baseline</t>
        </is>
      </c>
    </row>
    <row r="27">
      <c r="A27" s="8" t="inlineStr">
        <is>
          <t>Assignment window</t>
        </is>
      </c>
      <c r="B27" s="9" t="inlineStr">
        <is>
          <t>2026-03-10 to 2026-12-31</t>
        </is>
      </c>
      <c r="C27" s="9" t="inlineStr">
        <is>
          <t>Joins part-way through March</t>
        </is>
      </c>
    </row>
    <row r="28">
      <c r="A28" s="10" t="inlineStr">
        <is>
          <t>Project period weight</t>
        </is>
      </c>
      <c r="B28" s="11" t="inlineStr">
        <is>
          <t>1.50 for 2026-01-01..2026-06-30 (Start-up)</t>
        </is>
      </c>
      <c r="C28" s="11" t="inlineStr">
        <is>
          <t>Start-up is 50% heavier</t>
        </is>
      </c>
    </row>
    <row r="29">
      <c r="A29" s="8" t="inlineStr">
        <is>
          <t>Person period weight</t>
        </is>
      </c>
      <c r="B29" s="9" t="inlineStr">
        <is>
          <t>1.00 (no row)</t>
        </is>
      </c>
      <c r="C29" s="9" t="inlineStr">
        <is>
          <t>Defaults to 1.00</t>
        </is>
      </c>
    </row>
    <row r="30">
      <c r="A30" s="10" t="inlineStr">
        <is>
          <t>Role factor</t>
        </is>
      </c>
      <c r="B30" s="11" t="inlineStr">
        <is>
          <t>1.20 for Project Manager</t>
        </is>
      </c>
      <c r="C30" s="11" t="inlineStr"/>
    </row>
    <row r="31">
      <c r="A31" s="8" t="inlineStr">
        <is>
          <t>Coverage, March 2026</t>
        </is>
      </c>
      <c r="B31" s="9" t="inlineStr">
        <is>
          <t>22 / 31 = 0.7097</t>
        </is>
      </c>
      <c r="C31" s="9" t="inlineStr">
        <is>
          <t>10 Mar to 31 Mar inclusive = 22 days</t>
        </is>
      </c>
    </row>
    <row r="32">
      <c r="A32" s="10" t="inlineStr">
        <is>
          <t>Load, March 2026</t>
        </is>
      </c>
      <c r="B32" s="11" t="inlineStr">
        <is>
          <t>0.40 x 1.50 x 1.00 x 1.20 x 0.7097 = 0.511</t>
        </is>
      </c>
      <c r="C32" s="11" t="inlineStr">
        <is>
          <t>51.1% of capacity</t>
        </is>
      </c>
    </row>
    <row r="33">
      <c r="A33" s="8" t="inlineStr">
        <is>
          <t>Load, April 2026</t>
        </is>
      </c>
      <c r="B33" s="9" t="inlineStr">
        <is>
          <t>0.40 x 1.50 x 1.00 x 1.20 x 1.0000 = 0.720</t>
        </is>
      </c>
      <c r="C33" s="9" t="inlineStr">
        <is>
          <t>Full month inside Start-up</t>
        </is>
      </c>
    </row>
    <row r="34">
      <c r="A34" s="10" t="inlineStr">
        <is>
          <t>Load, July 2026</t>
        </is>
      </c>
      <c r="B34" s="11" t="inlineStr">
        <is>
          <t>0.40 x 1.00 x 1.00 x 1.20 x 1.0000 = 0.480</t>
        </is>
      </c>
      <c r="C34" s="11" t="inlineStr">
        <is>
          <t>Start-up weight no longer applies</t>
        </is>
      </c>
    </row>
    <row r="36">
      <c r="A36" s="13" t="inlineStr">
        <is>
          <t>This example becomes the acceptance test for the calculation engine. Please confirm at Step 2 that these numbers match how you reason about burden today.</t>
        </is>
      </c>
    </row>
    <row r="37">
      <c r="A37" s="5" t="inlineStr">
        <is>
          <t>Design decisions inside the calculation - confirm at review</t>
        </is>
      </c>
    </row>
    <row r="38" ht="28" customHeight="1">
      <c r="A38" s="7" t="inlineStr">
        <is>
          <t>ID</t>
        </is>
      </c>
      <c r="B38" s="7" t="inlineStr">
        <is>
          <t>Decision</t>
        </is>
      </c>
      <c r="C38" s="7" t="inlineStr">
        <is>
          <t>Rationale</t>
        </is>
      </c>
      <c r="D38" s="7" t="inlineStr">
        <is>
          <t>Status</t>
        </is>
      </c>
    </row>
    <row r="39">
      <c r="A39" s="8" t="inlineStr">
        <is>
          <t>C-01</t>
        </is>
      </c>
      <c r="B39" s="9" t="inlineStr">
        <is>
          <t>Weights multiply rather than add.</t>
        </is>
      </c>
      <c r="C39" s="9" t="inlineStr">
        <is>
          <t>Multiplication keeps each factor independent and proportional. Adding would make a 1.5 project weight mean different things at different allocations.</t>
        </is>
      </c>
      <c r="D39" s="8" t="inlineStr">
        <is>
          <t>Confirm</t>
        </is>
      </c>
    </row>
    <row r="40">
      <c r="A40" s="10" t="inlineStr">
        <is>
          <t>C-02</t>
        </is>
      </c>
      <c r="B40" s="11" t="inlineStr">
        <is>
          <t>Partial months are pro-rated by calendar days.</t>
        </is>
      </c>
      <c r="C40" s="11" t="inlineStr">
        <is>
          <t>Calendar days need no working-day calendar and no holiday table. Working days are a later option if you need them.</t>
        </is>
      </c>
      <c r="D40" s="10" t="inlineStr">
        <is>
          <t>Confirm</t>
        </is>
      </c>
    </row>
    <row r="41">
      <c r="A41" s="8" t="inlineStr">
        <is>
          <t>C-03</t>
        </is>
      </c>
      <c r="B41" s="9" t="inlineStr">
        <is>
          <t>Missing weight row means 1.00, not 0.00.</t>
        </is>
      </c>
      <c r="C41" s="9" t="inlineStr">
        <is>
          <t>A person with no explicit weight should carry a normal load, not disappear from the simulation.</t>
        </is>
      </c>
      <c r="D41" s="8" t="inlineStr">
        <is>
          <t>Confirm</t>
        </is>
      </c>
    </row>
    <row r="42">
      <c r="A42" s="10" t="inlineStr">
        <is>
          <t>C-04</t>
        </is>
      </c>
      <c r="B42" s="11" t="inlineStr">
        <is>
          <t>Capacity is expressed as a fraction where 1.00 = one full-time person.</t>
        </is>
      </c>
      <c r="C42" s="11" t="inlineStr">
        <is>
          <t>Keeps person and project totals directly comparable and makes over-allocation obvious at a glance.</t>
        </is>
      </c>
      <c r="D42" s="10" t="inlineStr">
        <is>
          <t>Confirm</t>
        </is>
      </c>
    </row>
    <row r="43">
      <c r="A43" s="8" t="inlineStr">
        <is>
          <t>C-05</t>
        </is>
      </c>
      <c r="B43" s="9" t="inlineStr">
        <is>
          <t>The unit shown on screen is % of capacity, with FTE available as an alternative.</t>
        </is>
      </c>
      <c r="C43" s="9" t="inlineStr">
        <is>
          <t>Set by capacity_unit in Config, so it can change without code.</t>
        </is>
      </c>
      <c r="D43" s="8" t="inlineStr">
        <is>
          <t>Confirm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6" customWidth="1" min="1" max="1"/>
    <col width="92" customWidth="1" min="2" max="2"/>
    <col width="20" customWidth="1" min="3" max="3"/>
  </cols>
  <sheetData>
    <row r="1">
      <c r="A1" s="12" t="inlineStr">
        <is>
          <t>Dashboard design</t>
        </is>
      </c>
    </row>
    <row r="2">
      <c r="A2" s="13" t="inlineStr">
        <is>
          <t>Three tabs as specified. Detailed layout is fixed at the Step 3 UI review.</t>
        </is>
      </c>
    </row>
    <row r="4">
      <c r="A4" s="5" t="inlineStr">
        <is>
          <t>Tab 1 - Overall</t>
        </is>
      </c>
    </row>
    <row r="5" ht="28" customHeight="1">
      <c r="A5" s="7" t="inlineStr">
        <is>
          <t>Component</t>
        </is>
      </c>
      <c r="B5" s="7" t="inlineStr">
        <is>
          <t>Content</t>
        </is>
      </c>
      <c r="C5" s="7" t="inlineStr">
        <is>
          <t>REQ-ID</t>
        </is>
      </c>
    </row>
    <row r="6">
      <c r="A6" s="8" t="inlineStr">
        <is>
          <t>Control bar</t>
        </is>
      </c>
      <c r="B6" s="9" t="inlineStr">
        <is>
          <t>Horizon from / to (month), project type, project, person, role, department. Plus 'Load files', 'Export', and the loaded-file name and time.</t>
        </is>
      </c>
      <c r="C6" s="8" t="inlineStr">
        <is>
          <t>REQ-DSH-05, REQ-IMP-05</t>
        </is>
      </c>
    </row>
    <row r="7">
      <c r="A7" s="10" t="inlineStr">
        <is>
          <t>Table A - resource by project</t>
        </is>
      </c>
      <c r="B7" s="11" t="inlineStr">
        <is>
          <t>Rows = project, columns = months, cells = monthly load. Row total and column total. Expanding a project reveals its assigned people.</t>
        </is>
      </c>
      <c r="C7" s="10" t="inlineStr">
        <is>
          <t>REQ-DSH-01</t>
        </is>
      </c>
    </row>
    <row r="8">
      <c r="A8" s="8" t="inlineStr">
        <is>
          <t>Table B - resource by person</t>
        </is>
      </c>
      <c r="B8" s="9" t="inlineStr">
        <is>
          <t>Rows = person, columns = months, cells = summed load across projects. Over-allocated cells highlighted. Expanding a person reveals their projects.</t>
        </is>
      </c>
      <c r="C8" s="8" t="inlineStr">
        <is>
          <t>REQ-DSH-01, REQ-CAL-04</t>
        </is>
      </c>
    </row>
    <row r="9">
      <c r="A9" s="10" t="inlineStr">
        <is>
          <t>Graph 1 - stacked area or bar, by project</t>
        </is>
      </c>
      <c r="B9" s="11" t="inlineStr">
        <is>
          <t>Total monthly demand, one band per project. Shows how demand builds and where the peaks land.</t>
        </is>
      </c>
      <c r="C9" s="10" t="inlineStr">
        <is>
          <t>REQ-DSH-02</t>
        </is>
      </c>
    </row>
    <row r="10">
      <c r="A10" s="8" t="inlineStr">
        <is>
          <t>Graph 2 - grouped bar, by person</t>
        </is>
      </c>
      <c r="B10" s="9" t="inlineStr">
        <is>
          <t>Monthly load per person with a capacity reference line, so over-allocation is visible.</t>
        </is>
      </c>
      <c r="C10" s="8" t="inlineStr">
        <is>
          <t>REQ-DSH-02, REQ-CAL-04</t>
        </is>
      </c>
    </row>
    <row r="11">
      <c r="A11" s="10" t="inlineStr">
        <is>
          <t>Graph 3 - project timeline (Gantt-style)</t>
        </is>
      </c>
      <c r="B11" s="11" t="inlineStr">
        <is>
          <t>One bar per project across the horizon with milestone markers and period-weight shading.</t>
        </is>
      </c>
      <c r="C11" s="10" t="inlineStr">
        <is>
          <t>REQ-DSH-02, REQ-PRJ-05</t>
        </is>
      </c>
    </row>
    <row r="12">
      <c r="A12" s="8" t="inlineStr">
        <is>
          <t>Summary tiles</t>
        </is>
      </c>
      <c r="B12" s="9" t="inlineStr">
        <is>
          <t>Active projects, people assigned, total demand in the horizon, count of over-allocated person-months.</t>
        </is>
      </c>
      <c r="C12" s="8" t="inlineStr">
        <is>
          <t>REQ-DSH-01</t>
        </is>
      </c>
    </row>
    <row r="14">
      <c r="A14" s="5" t="inlineStr">
        <is>
          <t>Tab 2 - Source data (project)</t>
        </is>
      </c>
    </row>
    <row r="15" ht="28" customHeight="1">
      <c r="A15" s="7" t="inlineStr">
        <is>
          <t>Component</t>
        </is>
      </c>
      <c r="B15" s="7" t="inlineStr">
        <is>
          <t>Content</t>
        </is>
      </c>
      <c r="C15" s="7" t="inlineStr">
        <is>
          <t>REQ-ID</t>
        </is>
      </c>
    </row>
    <row r="16">
      <c r="A16" s="8" t="inlineStr">
        <is>
          <t>Project table</t>
        </is>
      </c>
      <c r="B16" s="9" t="inlineStr">
        <is>
          <t>Every project column from 04_Data_Model, sortable and filterable, with derived total period shown.</t>
        </is>
      </c>
      <c r="C16" s="8" t="inlineStr">
        <is>
          <t>REQ-DSH-03</t>
        </is>
      </c>
    </row>
    <row r="17">
      <c r="A17" s="10" t="inlineStr">
        <is>
          <t>Milestone sub-table</t>
        </is>
      </c>
      <c r="B17" s="11" t="inlineStr">
        <is>
          <t>Milestones of the selected project, in sequence.</t>
        </is>
      </c>
      <c r="C17" s="10" t="inlineStr">
        <is>
          <t>REQ-PRJ-05</t>
        </is>
      </c>
    </row>
    <row r="18">
      <c r="A18" s="8" t="inlineStr">
        <is>
          <t>Period weight sub-table</t>
        </is>
      </c>
      <c r="B18" s="9" t="inlineStr">
        <is>
          <t>The selected project's periods and their weights.</t>
        </is>
      </c>
      <c r="C18" s="8" t="inlineStr">
        <is>
          <t>REQ-PRJ-06</t>
        </is>
      </c>
    </row>
    <row r="19">
      <c r="A19" s="10" t="inlineStr">
        <is>
          <t>Export</t>
        </is>
      </c>
      <c r="B19" s="11" t="inlineStr">
        <is>
          <t>Export the visible table to .xlsx.</t>
        </is>
      </c>
      <c r="C19" s="10" t="inlineStr">
        <is>
          <t>REQ-DSH-06</t>
        </is>
      </c>
    </row>
    <row r="21">
      <c r="A21" s="5" t="inlineStr">
        <is>
          <t>Tab 3 - Source data (person)</t>
        </is>
      </c>
    </row>
    <row r="22" ht="28" customHeight="1">
      <c r="A22" s="7" t="inlineStr">
        <is>
          <t>Component</t>
        </is>
      </c>
      <c r="B22" s="7" t="inlineStr">
        <is>
          <t>Content</t>
        </is>
      </c>
      <c r="C22" s="7" t="inlineStr">
        <is>
          <t>REQ-ID</t>
        </is>
      </c>
    </row>
    <row r="23">
      <c r="A23" s="8" t="inlineStr">
        <is>
          <t>Person table</t>
        </is>
      </c>
      <c r="B23" s="9" t="inlineStr">
        <is>
          <t>Every person column from 04_Data_Model, sortable and filterable.</t>
        </is>
      </c>
      <c r="C23" s="8" t="inlineStr">
        <is>
          <t>REQ-DSH-04</t>
        </is>
      </c>
    </row>
    <row r="24">
      <c r="A24" s="10" t="inlineStr">
        <is>
          <t>Assignment sub-table</t>
        </is>
      </c>
      <c r="B24" s="11" t="inlineStr">
        <is>
          <t>The selected person's assignments: project, role, start, end, base allocation.</t>
        </is>
      </c>
      <c r="C24" s="10" t="inlineStr">
        <is>
          <t>REQ-PSN-02, REQ-PSN-03</t>
        </is>
      </c>
    </row>
    <row r="25">
      <c r="A25" s="8" t="inlineStr">
        <is>
          <t>Person period weight sub-table</t>
        </is>
      </c>
      <c r="B25" s="9" t="inlineStr">
        <is>
          <t>Weight periods for the selected assignment.</t>
        </is>
      </c>
      <c r="C25" s="8" t="inlineStr">
        <is>
          <t>REQ-PSN-05</t>
        </is>
      </c>
    </row>
    <row r="26">
      <c r="A26" s="10" t="inlineStr">
        <is>
          <t>Export</t>
        </is>
      </c>
      <c r="B26" s="11" t="inlineStr">
        <is>
          <t>Export the visible table to .xlsx.</t>
        </is>
      </c>
      <c r="C26" s="10" t="inlineStr">
        <is>
          <t>REQ-DSH-06</t>
        </is>
      </c>
    </row>
    <row r="28">
      <c r="A28" s="5" t="inlineStr">
        <is>
          <t>Cross-cutting UI rules</t>
        </is>
      </c>
    </row>
    <row r="29" ht="28" customHeight="1">
      <c r="A29" s="7" t="inlineStr">
        <is>
          <t>Rule</t>
        </is>
      </c>
    </row>
    <row r="30">
      <c r="A30" s="9" t="inlineStr">
        <is>
          <t>A validation banner appears whenever the last import produced findings, and opens the full report on click.</t>
        </is>
      </c>
    </row>
    <row r="31">
      <c r="A31" s="11" t="inlineStr">
        <is>
          <t>Empty state: with nothing loaded, every tab shows the same clear 'Load your source Excel files' panel and a link to download the blank template.</t>
        </is>
      </c>
    </row>
    <row r="32">
      <c r="A32" s="9" t="inlineStr">
        <is>
          <t>The application version and expected schema version are shown in the footer at all times (REQ-VC-02).</t>
        </is>
      </c>
    </row>
    <row r="33">
      <c r="A33" s="11" t="inlineStr">
        <is>
          <t>Nothing on screen is editable in v1.0 - the Excel files remain the single place data is changed.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6" customWidth="1" min="1" max="1"/>
    <col width="66" customWidth="1" min="2" max="2"/>
    <col width="62" customWidth="1" min="3" max="3"/>
    <col width="46" customWidth="1" min="4" max="4"/>
    <col width="18" customWidth="1" min="5" max="5"/>
  </cols>
  <sheetData>
    <row r="1">
      <c r="A1" s="12" t="inlineStr">
        <is>
          <t>Architecture and technical approach</t>
        </is>
      </c>
    </row>
    <row r="3">
      <c r="A3" s="5" t="inlineStr">
        <is>
          <t>Decision D-01 - how the HTML file reads the Excel data  [CONFIRMED: option (a)]</t>
        </is>
      </c>
    </row>
    <row r="4">
      <c r="A4" s="6" t="inlineStr">
        <is>
          <t>A page opened from local disk (file://) cannot read an .xlsx from a fixed path on its own - the browser's</t>
        </is>
      </c>
    </row>
    <row r="5">
      <c r="A5" s="6" t="inlineStr">
        <is>
          <t>security model blocks it, and no setting on a standard corporate Windows PC changes that safely.</t>
        </is>
      </c>
    </row>
    <row r="6">
      <c r="A6" s="6" t="inlineStr">
        <is>
          <t>The options considered, and the one you confirmed:</t>
        </is>
      </c>
    </row>
    <row r="8" ht="28" customHeight="1">
      <c r="A8" s="7" t="inlineStr">
        <is>
          <t>Option</t>
        </is>
      </c>
      <c r="B8" s="7" t="inlineStr">
        <is>
          <t>Description</t>
        </is>
      </c>
      <c r="C8" s="7" t="inlineStr">
        <is>
          <t>Advantages</t>
        </is>
      </c>
      <c r="D8" s="7" t="inlineStr">
        <is>
          <t>Disadvantages</t>
        </is>
      </c>
      <c r="E8" s="7" t="inlineStr">
        <is>
          <t>Outcome</t>
        </is>
      </c>
    </row>
    <row r="9">
      <c r="A9" s="8" t="inlineStr">
        <is>
          <t>(a)</t>
        </is>
      </c>
      <c r="B9" s="9" t="inlineStr">
        <is>
          <t>User selects the .xlsx through a file picker or drag-and-drop; an embedded SheetJS-style parser reads it in memory.</t>
        </is>
      </c>
      <c r="C9" s="9" t="inlineStr">
        <is>
          <t>True .xlsx support; no install; no server; user stays in control of which file is loaded.</t>
        </is>
      </c>
      <c r="D9" s="9" t="inlineStr">
        <is>
          <t>The file must be selected each session (mitigated by optional browser caching, REQ-IMP-06).</t>
        </is>
      </c>
      <c r="E9" s="8" t="inlineStr">
        <is>
          <t>CONFIRMED - adopted</t>
        </is>
      </c>
    </row>
    <row r="10">
      <c r="A10" s="10" t="inlineStr">
        <is>
          <t>(b)</t>
        </is>
      </c>
      <c r="B10" s="11" t="inlineStr">
        <is>
          <t>Data kept as .csv next to the HTML, still opened through a picker.</t>
        </is>
      </c>
      <c r="C10" s="11" t="inlineStr">
        <is>
          <t>Simplest possible parsing.</t>
        </is>
      </c>
      <c r="D10" s="11" t="inlineStr">
        <is>
          <t>Loses Excel formatting, multiple sheets and data validation - a poor fit for an archive of record.</t>
        </is>
      </c>
      <c r="E10" s="10" t="inlineStr">
        <is>
          <t>Rejected</t>
        </is>
      </c>
    </row>
    <row r="11">
      <c r="A11" s="8" t="inlineStr">
        <is>
          <t>(c)</t>
        </is>
      </c>
      <c r="B11" s="9" t="inlineStr">
        <is>
          <t>Excel is only an export target; the browser's local storage is the working record.</t>
        </is>
      </c>
      <c r="C11" s="9" t="inlineStr">
        <is>
          <t>No load step at all.</t>
        </is>
      </c>
      <c r="D11" s="9" t="inlineStr">
        <is>
          <t>Contradicts the requirement that the Excel file is the archive of record; clearing browser data would lose everything.</t>
        </is>
      </c>
      <c r="E11" s="8" t="inlineStr">
        <is>
          <t>Rejected</t>
        </is>
      </c>
    </row>
    <row r="13">
      <c r="A13" s="13" t="inlineStr">
        <is>
          <t>Consequence: REQ-IMP-01 and REQ-IMP-06 exist because of this decision. The Excel files stay the archive of record in all cases.</t>
        </is>
      </c>
    </row>
    <row r="14">
      <c r="A14" s="5" t="inlineStr">
        <is>
          <t>Technology</t>
        </is>
      </c>
    </row>
    <row r="15" ht="28" customHeight="1">
      <c r="A15" s="7" t="inlineStr">
        <is>
          <t>Concern</t>
        </is>
      </c>
      <c r="B15" s="7" t="inlineStr">
        <is>
          <t>Choice and reason</t>
        </is>
      </c>
      <c r="C15" s="7" t="inlineStr">
        <is>
          <t>REQ-ID</t>
        </is>
      </c>
    </row>
    <row r="16">
      <c r="A16" s="8" t="inlineStr">
        <is>
          <t>Container</t>
        </is>
      </c>
      <c r="B16" s="9" t="inlineStr">
        <is>
          <t>One .html file, opened by double-click.</t>
        </is>
      </c>
      <c r="C16" s="8" t="inlineStr">
        <is>
          <t>REQ-OUT-01</t>
        </is>
      </c>
    </row>
    <row r="17">
      <c r="A17" s="10" t="inlineStr">
        <is>
          <t>Excel parsing/writing</t>
        </is>
      </c>
      <c r="B17" s="11" t="inlineStr">
        <is>
          <t>SheetJS (xlsx) community build, embedded inline in the HTML - no CDN, so it works offline.</t>
        </is>
      </c>
      <c r="C17" s="10" t="inlineStr">
        <is>
          <t>REQ-OUT-02, REQ-NFR-04</t>
        </is>
      </c>
    </row>
    <row r="18">
      <c r="A18" s="8" t="inlineStr">
        <is>
          <t>Charts</t>
        </is>
      </c>
      <c r="B18" s="9" t="inlineStr">
        <is>
          <t>Inline SVG drawn by the application's own code, or a small embedded chart library. No external requests either way.</t>
        </is>
      </c>
      <c r="C18" s="8" t="inlineStr">
        <is>
          <t>REQ-DSH-02, REQ-NFR-04</t>
        </is>
      </c>
    </row>
    <row r="19">
      <c r="A19" s="10" t="inlineStr">
        <is>
          <t>Framework</t>
        </is>
      </c>
      <c r="B19" s="11" t="inlineStr">
        <is>
          <t>None. Plain modern JavaScript. A build step or framework would add a toolchain the requirement does not want.</t>
        </is>
      </c>
      <c r="C19" s="10" t="inlineStr">
        <is>
          <t>REQ-OUT-02</t>
        </is>
      </c>
    </row>
    <row r="20">
      <c r="A20" s="8" t="inlineStr">
        <is>
          <t>Styling</t>
        </is>
      </c>
      <c r="B20" s="9" t="inlineStr">
        <is>
          <t>Embedded CSS. Readable on a laptop screen and when printed.</t>
        </is>
      </c>
      <c r="C20" s="8" t="inlineStr">
        <is>
          <t>REQ-OUT-01</t>
        </is>
      </c>
    </row>
    <row r="21">
      <c r="A21" s="10" t="inlineStr">
        <is>
          <t>Persistence</t>
        </is>
      </c>
      <c r="B21" s="11" t="inlineStr">
        <is>
          <t>Optional browser localStorage cache of the last load, clearly marked as a convenience, never as the record.</t>
        </is>
      </c>
      <c r="C21" s="10" t="inlineStr">
        <is>
          <t>REQ-IMP-06</t>
        </is>
      </c>
    </row>
    <row r="23">
      <c r="A23" s="5" t="inlineStr">
        <is>
          <t>Internal structure - built for later change (REQ-NFR-01)</t>
        </is>
      </c>
    </row>
    <row r="24" ht="28" customHeight="1">
      <c r="A24" s="7" t="inlineStr">
        <is>
          <t>Layer</t>
        </is>
      </c>
      <c r="B24" s="7" t="inlineStr">
        <is>
          <t>Responsibility</t>
        </is>
      </c>
      <c r="C24" s="7" t="inlineStr">
        <is>
          <t>Why the boundary is there</t>
        </is>
      </c>
    </row>
    <row r="25">
      <c r="A25" s="8" t="inlineStr">
        <is>
          <t>1. IO layer</t>
        </is>
      </c>
      <c r="B25" s="9" t="inlineStr">
        <is>
          <t>Reads the chosen workbook into raw rows; writes .xlsx on export.</t>
        </is>
      </c>
      <c r="C25" s="9" t="inlineStr">
        <is>
          <t>Swapping the file-access method touches this layer only.</t>
        </is>
      </c>
    </row>
    <row r="26">
      <c r="A26" s="10" t="inlineStr">
        <is>
          <t>2. Validation layer</t>
        </is>
      </c>
      <c r="B26" s="11" t="inlineStr">
        <is>
          <t>Applies rules V-01..V-09, produces one findings report.</t>
        </is>
      </c>
      <c r="C26" s="11" t="inlineStr">
        <is>
          <t>New rules are added here without touching parsing or maths.</t>
        </is>
      </c>
    </row>
    <row r="27">
      <c r="A27" s="8" t="inlineStr">
        <is>
          <t>3. Model layer</t>
        </is>
      </c>
      <c r="B27" s="9" t="inlineStr">
        <is>
          <t>Typed in-memory objects: Project, Milestone, PeriodWeight, Person, Assignment, Config.</t>
        </is>
      </c>
      <c r="C27" s="9" t="inlineStr">
        <is>
          <t>New fields are added here and flow outward.</t>
        </is>
      </c>
    </row>
    <row r="28">
      <c r="A28" s="10" t="inlineStr">
        <is>
          <t>4. Calculation layer</t>
        </is>
      </c>
      <c r="B28" s="11" t="inlineStr">
        <is>
          <t>The monthly engine of 05_Resource_Logic. Pure functions - no DOM, no file access.</t>
        </is>
      </c>
      <c r="C28" s="11" t="inlineStr">
        <is>
          <t>Directly unit-testable, and the piece most likely to be refined after you review real output.</t>
        </is>
      </c>
    </row>
    <row r="29">
      <c r="A29" s="8" t="inlineStr">
        <is>
          <t>5. Presentation layer</t>
        </is>
      </c>
      <c r="B29" s="9" t="inlineStr">
        <is>
          <t>Tabs, tables, graphs, filters, export buttons.</t>
        </is>
      </c>
      <c r="C29" s="9" t="inlineStr">
        <is>
          <t>A new tab or graph is added here alone.</t>
        </is>
      </c>
    </row>
    <row r="31">
      <c r="A31" s="13" t="inlineStr">
        <is>
          <t>The calculation layer never touches the screen and never touches files. That is what makes both future requirement changes and testing cheap.</t>
        </is>
      </c>
    </row>
    <row r="32">
      <c r="A32" s="5" t="inlineStr">
        <is>
          <t>Deployment</t>
        </is>
      </c>
    </row>
    <row r="33" ht="28" customHeight="1">
      <c r="A33" s="7" t="inlineStr">
        <is>
          <t>Point</t>
        </is>
      </c>
    </row>
    <row r="34">
      <c r="A34" s="9" t="inlineStr">
        <is>
          <t>The user keeps one folder containing the .html file and the two source .xlsx files. Copying the folder moves the whole tool.</t>
        </is>
      </c>
    </row>
    <row r="35">
      <c r="A35" s="11" t="inlineStr">
        <is>
          <t>Updating the application means replacing the .html file. Source data is untouched, because it lives outside it (REQ-OUT-03).</t>
        </is>
      </c>
    </row>
    <row r="36">
      <c r="A36" s="9" t="inlineStr">
        <is>
          <t>The application checks the source schema version on load and warns on a mismatch (REQ-VC-03).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4" customWidth="1" min="3" max="3"/>
    <col width="44" customWidth="1" min="4" max="4"/>
    <col width="22" customWidth="1" min="5" max="5"/>
  </cols>
  <sheetData>
    <row r="1">
      <c r="A1" s="12" t="inlineStr">
        <is>
          <t>Work breakdown - the five steps</t>
        </is>
      </c>
    </row>
    <row r="2">
      <c r="A2" s="13" t="inlineStr">
        <is>
          <t>Each step ends at a review gate. Work on the next step starts only after that gate is passed.</t>
        </is>
      </c>
    </row>
    <row r="4" ht="28" customHeight="1">
      <c r="A4" s="7" t="inlineStr">
        <is>
          <t>Step</t>
        </is>
      </c>
      <c r="B4" s="7" t="inlineStr">
        <is>
          <t>Task</t>
        </is>
      </c>
      <c r="C4" s="7" t="inlineStr">
        <is>
          <t>Activity</t>
        </is>
      </c>
      <c r="D4" s="7" t="inlineStr">
        <is>
          <t>Deliverable</t>
        </is>
      </c>
      <c r="E4" s="7" t="inlineStr">
        <is>
          <t>Status</t>
        </is>
      </c>
    </row>
    <row r="5">
      <c r="A5" s="8" t="inlineStr">
        <is>
          <t>1</t>
        </is>
      </c>
      <c r="B5" s="8" t="inlineStr">
        <is>
          <t>1.1</t>
        </is>
      </c>
      <c r="C5" s="9" t="inlineStr">
        <is>
          <t>Draft the development plan (this workbook).</t>
        </is>
      </c>
      <c r="D5" s="9" t="inlineStr">
        <is>
          <t>PRAP_Development_Plan_v0.1.xlsx</t>
        </is>
      </c>
      <c r="E5" s="8" t="inlineStr">
        <is>
          <t>Complete - issued for review</t>
        </is>
      </c>
    </row>
    <row r="6">
      <c r="A6" s="10" t="inlineStr">
        <is>
          <t>1</t>
        </is>
      </c>
      <c r="B6" s="10" t="inlineStr">
        <is>
          <t>1.2</t>
        </is>
      </c>
      <c r="C6" s="11" t="inlineStr">
        <is>
          <t>Requester reviews; answers the open questions on sheet 11.</t>
        </is>
      </c>
      <c r="D6" s="11" t="inlineStr">
        <is>
          <t>Review comments</t>
        </is>
      </c>
      <c r="E6" s="10" t="inlineStr">
        <is>
          <t>Pending you</t>
        </is>
      </c>
    </row>
    <row r="7">
      <c r="A7" s="8" t="inlineStr">
        <is>
          <t>1</t>
        </is>
      </c>
      <c r="B7" s="8" t="inlineStr">
        <is>
          <t>1.3</t>
        </is>
      </c>
      <c r="C7" s="9" t="inlineStr">
        <is>
          <t>Re-issue the plan incorporating comments.</t>
        </is>
      </c>
      <c r="D7" s="9" t="inlineStr">
        <is>
          <t>PRAP_Development_Plan_v1.0.xlsx</t>
        </is>
      </c>
      <c r="E7" s="8" t="inlineStr">
        <is>
          <t>Not started</t>
        </is>
      </c>
    </row>
    <row r="8">
      <c r="A8" s="10" t="inlineStr">
        <is>
          <t>1</t>
        </is>
      </c>
      <c r="B8" s="10" t="inlineStr">
        <is>
          <t>G1</t>
        </is>
      </c>
      <c r="C8" s="11" t="inlineStr">
        <is>
          <t>GATE 1 - development plan approved.</t>
        </is>
      </c>
      <c r="D8" s="11" t="inlineStr">
        <is>
          <t>Approval recorded on 12_Review_Log</t>
        </is>
      </c>
      <c r="E8" s="10" t="inlineStr">
        <is>
          <t>Not started</t>
        </is>
      </c>
    </row>
    <row r="9">
      <c r="A9" s="8" t="inlineStr">
        <is>
          <t>2</t>
        </is>
      </c>
      <c r="B9" s="8" t="inlineStr">
        <is>
          <t>2.1</t>
        </is>
      </c>
      <c r="C9" s="9" t="inlineStr">
        <is>
          <t>Fix the source Excel schema: exact sheet names, column headers, types, validation lists.</t>
        </is>
      </c>
      <c r="D9" s="9" t="inlineStr">
        <is>
          <t>Specification sheet 'Data schema'</t>
        </is>
      </c>
      <c r="E9" s="8" t="inlineStr">
        <is>
          <t>Not started</t>
        </is>
      </c>
    </row>
    <row r="10">
      <c r="A10" s="10" t="inlineStr">
        <is>
          <t>2</t>
        </is>
      </c>
      <c r="B10" s="10" t="inlineStr">
        <is>
          <t>2.2</t>
        </is>
      </c>
      <c r="C10" s="11" t="inlineStr">
        <is>
          <t>Specify the calculation engine as pseudocode plus the worked example as an acceptance test.</t>
        </is>
      </c>
      <c r="D10" s="11" t="inlineStr">
        <is>
          <t>Specification sheet 'Calculation'</t>
        </is>
      </c>
      <c r="E10" s="10" t="inlineStr">
        <is>
          <t>Not started</t>
        </is>
      </c>
    </row>
    <row r="11">
      <c r="A11" s="8" t="inlineStr">
        <is>
          <t>2</t>
        </is>
      </c>
      <c r="B11" s="8" t="inlineStr">
        <is>
          <t>2.3</t>
        </is>
      </c>
      <c r="C11" s="9" t="inlineStr">
        <is>
          <t>Specify import validation rules and the findings report.</t>
        </is>
      </c>
      <c r="D11" s="9" t="inlineStr">
        <is>
          <t>Specification sheet 'Validation'</t>
        </is>
      </c>
      <c r="E11" s="8" t="inlineStr">
        <is>
          <t>Not started</t>
        </is>
      </c>
    </row>
    <row r="12">
      <c r="A12" s="10" t="inlineStr">
        <is>
          <t>2</t>
        </is>
      </c>
      <c r="B12" s="10" t="inlineStr">
        <is>
          <t>2.4</t>
        </is>
      </c>
      <c r="C12" s="11" t="inlineStr">
        <is>
          <t>Specify each dashboard tab: every table, column, graph, filter and interaction.</t>
        </is>
      </c>
      <c r="D12" s="11" t="inlineStr">
        <is>
          <t>Specification sheet 'UI spec'</t>
        </is>
      </c>
      <c r="E12" s="10" t="inlineStr">
        <is>
          <t>Not started</t>
        </is>
      </c>
    </row>
    <row r="13">
      <c r="A13" s="8" t="inlineStr">
        <is>
          <t>2</t>
        </is>
      </c>
      <c r="B13" s="8" t="inlineStr">
        <is>
          <t>2.5</t>
        </is>
      </c>
      <c r="C13" s="9" t="inlineStr">
        <is>
          <t>Specify export format and the version/compatibility check.</t>
        </is>
      </c>
      <c r="D13" s="9" t="inlineStr">
        <is>
          <t>Specification sheet 'IO &amp; versioning'</t>
        </is>
      </c>
      <c r="E13" s="8" t="inlineStr">
        <is>
          <t>Not started</t>
        </is>
      </c>
    </row>
    <row r="14">
      <c r="A14" s="10" t="inlineStr">
        <is>
          <t>2</t>
        </is>
      </c>
      <c r="B14" s="10" t="inlineStr">
        <is>
          <t>2.6</t>
        </is>
      </c>
      <c r="C14" s="11" t="inlineStr">
        <is>
          <t>Build the requirement-to-specification traceability matrix.</t>
        </is>
      </c>
      <c r="D14" s="11" t="inlineStr">
        <is>
          <t>Specification sheet 'Traceability'</t>
        </is>
      </c>
      <c r="E14" s="10" t="inlineStr">
        <is>
          <t>Not started</t>
        </is>
      </c>
    </row>
    <row r="15">
      <c r="A15" s="8" t="inlineStr">
        <is>
          <t>2</t>
        </is>
      </c>
      <c r="B15" s="8" t="inlineStr">
        <is>
          <t>G2</t>
        </is>
      </c>
      <c r="C15" s="9" t="inlineStr">
        <is>
          <t>GATE 2 - programming specification approved.</t>
        </is>
      </c>
      <c r="D15" s="9" t="inlineStr">
        <is>
          <t>PRAP_Programming_Specification_v1.0.xlsx</t>
        </is>
      </c>
      <c r="E15" s="8" t="inlineStr">
        <is>
          <t>Not started</t>
        </is>
      </c>
    </row>
    <row r="16">
      <c r="A16" s="10" t="inlineStr">
        <is>
          <t>3</t>
        </is>
      </c>
      <c r="B16" s="10" t="inlineStr">
        <is>
          <t>3.1</t>
        </is>
      </c>
      <c r="C16" s="11" t="inlineStr">
        <is>
          <t>High-level UI design: tab structure, page regions, navigation. No code behind it.</t>
        </is>
      </c>
      <c r="D16" s="11" t="inlineStr">
        <is>
          <t>Prototype HTML (UI only)</t>
        </is>
      </c>
      <c r="E16" s="10" t="inlineStr">
        <is>
          <t>Not started</t>
        </is>
      </c>
    </row>
    <row r="17">
      <c r="A17" s="8" t="inlineStr">
        <is>
          <t>3</t>
        </is>
      </c>
      <c r="B17" s="8" t="inlineStr">
        <is>
          <t>3.2</t>
        </is>
      </c>
      <c r="C17" s="9" t="inlineStr">
        <is>
          <t>Requester reviews the high-level component design.</t>
        </is>
      </c>
      <c r="D17" s="9" t="inlineStr">
        <is>
          <t>Review comments</t>
        </is>
      </c>
      <c r="E17" s="8" t="inlineStr">
        <is>
          <t>Not started</t>
        </is>
      </c>
    </row>
    <row r="18">
      <c r="A18" s="10" t="inlineStr">
        <is>
          <t>3</t>
        </is>
      </c>
      <c r="B18" s="10" t="inlineStr">
        <is>
          <t>3.3</t>
        </is>
      </c>
      <c r="C18" s="11" t="inlineStr">
        <is>
          <t>Final UI design with clear per-component requirements.</t>
        </is>
      </c>
      <c r="D18" s="11" t="inlineStr">
        <is>
          <t>Prototype HTML v1.0 + component list</t>
        </is>
      </c>
      <c r="E18" s="10" t="inlineStr">
        <is>
          <t>Not started</t>
        </is>
      </c>
    </row>
    <row r="19">
      <c r="A19" s="8" t="inlineStr">
        <is>
          <t>3</t>
        </is>
      </c>
      <c r="B19" s="8" t="inlineStr">
        <is>
          <t>G3</t>
        </is>
      </c>
      <c r="C19" s="9" t="inlineStr">
        <is>
          <t>GATE 3 - final design and component list approved. Code generation starts only for approved components.</t>
        </is>
      </c>
      <c r="D19" s="9" t="inlineStr">
        <is>
          <t>Approved component list</t>
        </is>
      </c>
      <c r="E19" s="8" t="inlineStr">
        <is>
          <t>Not started</t>
        </is>
      </c>
    </row>
    <row r="20">
      <c r="A20" s="10" t="inlineStr">
        <is>
          <t>4</t>
        </is>
      </c>
      <c r="B20" s="10" t="inlineStr">
        <is>
          <t>4.1</t>
        </is>
      </c>
      <c r="C20" s="11" t="inlineStr">
        <is>
          <t>IO layer: workbook load, sheet/column mapping, export.</t>
        </is>
      </c>
      <c r="D20" s="11" t="inlineStr">
        <is>
          <t>Application code</t>
        </is>
      </c>
      <c r="E20" s="10" t="inlineStr">
        <is>
          <t>Not started</t>
        </is>
      </c>
    </row>
    <row r="21">
      <c r="A21" s="8" t="inlineStr">
        <is>
          <t>4</t>
        </is>
      </c>
      <c r="B21" s="8" t="inlineStr">
        <is>
          <t>4.2</t>
        </is>
      </c>
      <c r="C21" s="9" t="inlineStr">
        <is>
          <t>Validation layer: rules V-01..V-09 and the findings report.</t>
        </is>
      </c>
      <c r="D21" s="9" t="inlineStr">
        <is>
          <t>Application code</t>
        </is>
      </c>
      <c r="E21" s="8" t="inlineStr">
        <is>
          <t>Not started</t>
        </is>
      </c>
    </row>
    <row r="22">
      <c r="A22" s="10" t="inlineStr">
        <is>
          <t>4</t>
        </is>
      </c>
      <c r="B22" s="10" t="inlineStr">
        <is>
          <t>4.3</t>
        </is>
      </c>
      <c r="C22" s="11" t="inlineStr">
        <is>
          <t>Model layer and Config handling.</t>
        </is>
      </c>
      <c r="D22" s="11" t="inlineStr">
        <is>
          <t>Application code</t>
        </is>
      </c>
      <c r="E22" s="10" t="inlineStr">
        <is>
          <t>Not started</t>
        </is>
      </c>
    </row>
    <row r="23">
      <c r="A23" s="8" t="inlineStr">
        <is>
          <t>4</t>
        </is>
      </c>
      <c r="B23" s="8" t="inlineStr">
        <is>
          <t>4.4</t>
        </is>
      </c>
      <c r="C23" s="9" t="inlineStr">
        <is>
          <t>Calculation engine, verified against the worked example.</t>
        </is>
      </c>
      <c r="D23" s="9" t="inlineStr">
        <is>
          <t>Application code + test evidence</t>
        </is>
      </c>
      <c r="E23" s="8" t="inlineStr">
        <is>
          <t>Not started</t>
        </is>
      </c>
    </row>
    <row r="24">
      <c r="A24" s="10" t="inlineStr">
        <is>
          <t>4</t>
        </is>
      </c>
      <c r="B24" s="10" t="inlineStr">
        <is>
          <t>4.5</t>
        </is>
      </c>
      <c r="C24" s="11" t="inlineStr">
        <is>
          <t>Overall tab: tables, graphs, filters, over-allocation flagging.</t>
        </is>
      </c>
      <c r="D24" s="11" t="inlineStr">
        <is>
          <t>Application code</t>
        </is>
      </c>
      <c r="E24" s="10" t="inlineStr">
        <is>
          <t>Not started</t>
        </is>
      </c>
    </row>
    <row r="25">
      <c r="A25" s="8" t="inlineStr">
        <is>
          <t>4</t>
        </is>
      </c>
      <c r="B25" s="8" t="inlineStr">
        <is>
          <t>4.6</t>
        </is>
      </c>
      <c r="C25" s="9" t="inlineStr">
        <is>
          <t>Source data (project) and Source data (person) tabs.</t>
        </is>
      </c>
      <c r="D25" s="9" t="inlineStr">
        <is>
          <t>Application code</t>
        </is>
      </c>
      <c r="E25" s="8" t="inlineStr">
        <is>
          <t>Not started</t>
        </is>
      </c>
    </row>
    <row r="26">
      <c r="A26" s="10" t="inlineStr">
        <is>
          <t>4</t>
        </is>
      </c>
      <c r="B26" s="10" t="inlineStr">
        <is>
          <t>4.7</t>
        </is>
      </c>
      <c r="C26" s="11" t="inlineStr">
        <is>
          <t>Blank source workbook template with example rows.</t>
        </is>
      </c>
      <c r="D26" s="11" t="inlineStr">
        <is>
          <t>Two .xlsx templates</t>
        </is>
      </c>
      <c r="E26" s="10" t="inlineStr">
        <is>
          <t>Not started</t>
        </is>
      </c>
    </row>
    <row r="27">
      <c r="A27" s="8" t="inlineStr">
        <is>
          <t>4</t>
        </is>
      </c>
      <c r="B27" s="8" t="inlineStr">
        <is>
          <t>4.8</t>
        </is>
      </c>
      <c r="C27" s="9" t="inlineStr">
        <is>
          <t>Requester reviews output against real data; refinements folded in.</t>
        </is>
      </c>
      <c r="D27" s="9" t="inlineStr">
        <is>
          <t>Updated code</t>
        </is>
      </c>
      <c r="E27" s="8" t="inlineStr">
        <is>
          <t>Not started</t>
        </is>
      </c>
    </row>
    <row r="28">
      <c r="A28" s="10" t="inlineStr">
        <is>
          <t>4</t>
        </is>
      </c>
      <c r="B28" s="10" t="inlineStr">
        <is>
          <t>G4</t>
        </is>
      </c>
      <c r="C28" s="11" t="inlineStr">
        <is>
          <t>GATE 4 - application functionally complete.</t>
        </is>
      </c>
      <c r="D28" s="11" t="inlineStr">
        <is>
          <t>PRAP_Application_v0.9.html</t>
        </is>
      </c>
      <c r="E28" s="10" t="inlineStr">
        <is>
          <t>Not started</t>
        </is>
      </c>
    </row>
    <row r="29">
      <c r="A29" s="8" t="inlineStr">
        <is>
          <t>5</t>
        </is>
      </c>
      <c r="B29" s="8" t="inlineStr">
        <is>
          <t>5.1</t>
        </is>
      </c>
      <c r="C29" s="9" t="inlineStr">
        <is>
          <t>Full pass over the traceability matrix: every Must requirement demonstrated.</t>
        </is>
      </c>
      <c r="D29" s="9" t="inlineStr">
        <is>
          <t>Completed traceability matrix</t>
        </is>
      </c>
      <c r="E29" s="8" t="inlineStr">
        <is>
          <t>Not started</t>
        </is>
      </c>
    </row>
    <row r="30">
      <c r="A30" s="10" t="inlineStr">
        <is>
          <t>5</t>
        </is>
      </c>
      <c r="B30" s="10" t="inlineStr">
        <is>
          <t>5.2</t>
        </is>
      </c>
      <c r="C30" s="11" t="inlineStr">
        <is>
          <t>Test on a clean Windows PC in Edge and Chrome, offline.</t>
        </is>
      </c>
      <c r="D30" s="11" t="inlineStr">
        <is>
          <t>Test evidence</t>
        </is>
      </c>
      <c r="E30" s="10" t="inlineStr">
        <is>
          <t>Not started</t>
        </is>
      </c>
    </row>
    <row r="31">
      <c r="A31" s="8" t="inlineStr">
        <is>
          <t>5</t>
        </is>
      </c>
      <c r="B31" s="8" t="inlineStr">
        <is>
          <t>5.3</t>
        </is>
      </c>
      <c r="C31" s="9" t="inlineStr">
        <is>
          <t>Write the user guide: folder layout, how to load, how to maintain source data.</t>
        </is>
      </c>
      <c r="D31" s="9" t="inlineStr">
        <is>
          <t>User guide</t>
        </is>
      </c>
      <c r="E31" s="8" t="inlineStr">
        <is>
          <t>Not started</t>
        </is>
      </c>
    </row>
    <row r="32">
      <c r="A32" s="10" t="inlineStr">
        <is>
          <t>5</t>
        </is>
      </c>
      <c r="B32" s="10" t="inlineStr">
        <is>
          <t>5.4</t>
        </is>
      </c>
      <c r="C32" s="11" t="inlineStr">
        <is>
          <t>Final version alignment across plan, specification and application.</t>
        </is>
      </c>
      <c r="D32" s="11" t="inlineStr">
        <is>
          <t>Version alignment table (sheet 09)</t>
        </is>
      </c>
      <c r="E32" s="10" t="inlineStr">
        <is>
          <t>Not started</t>
        </is>
      </c>
    </row>
    <row r="33">
      <c r="A33" s="8" t="inlineStr">
        <is>
          <t>5</t>
        </is>
      </c>
      <c r="B33" s="8" t="inlineStr">
        <is>
          <t>G5</t>
        </is>
      </c>
      <c r="C33" s="9" t="inlineStr">
        <is>
          <t>GATE 5 - release.</t>
        </is>
      </c>
      <c r="D33" s="9" t="inlineStr">
        <is>
          <t>PRAP_Application_v1.0.html</t>
        </is>
      </c>
      <c r="E33" s="8" t="inlineStr">
        <is>
          <t>Not started</t>
        </is>
      </c>
    </row>
    <row r="35">
      <c r="A35" s="5" t="inlineStr">
        <is>
          <t>Progress</t>
        </is>
      </c>
    </row>
    <row r="36" ht="28" customHeight="1">
      <c r="A36" s="7" t="inlineStr">
        <is>
          <t>Measure</t>
        </is>
      </c>
      <c r="B36" s="7" t="inlineStr">
        <is>
          <t>Count</t>
        </is>
      </c>
    </row>
    <row r="37">
      <c r="A37" s="8" t="inlineStr">
        <is>
          <t>Tasks total</t>
        </is>
      </c>
      <c r="B37" s="8">
        <f>COUNTA(B5:B33)</f>
        <v/>
      </c>
    </row>
    <row r="38">
      <c r="A38" s="10" t="inlineStr">
        <is>
          <t>Complete</t>
        </is>
      </c>
      <c r="B38" s="10">
        <f>COUNTIF(E5:E33,"Complete")+COUNTIF(E5:E33,"Complete - issued for review")</f>
        <v/>
      </c>
    </row>
    <row r="39">
      <c r="A39" s="8" t="inlineStr">
        <is>
          <t>Awaiting the requester</t>
        </is>
      </c>
      <c r="B39" s="8">
        <f>COUNTIF(E5:E33,"Pending you")</f>
        <v/>
      </c>
    </row>
    <row r="40">
      <c r="A40" s="10" t="inlineStr">
        <is>
          <t>Not started</t>
        </is>
      </c>
      <c r="B40" s="10">
        <f>COUNTIF(E5:E33,"Not started")</f>
        <v/>
      </c>
    </row>
    <row r="42">
      <c r="A42" s="13" t="inlineStr">
        <is>
          <t>No duration estimates are given: the pace is set by your review turnaround at each gate, not by build effort. Add dates once the gate rhythm is known.</t>
        </is>
      </c>
    </row>
  </sheetData>
  <dataValidations count="1">
    <dataValidation sqref="E5:E33" showDropDown="0" showInputMessage="0" showErrorMessage="0" allowBlank="1" type="list">
      <formula1>"Not started,In progress,Pending you,Complete - issued for review,Complete,Blocked"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6" customWidth="1" min="1" max="1"/>
    <col width="22" customWidth="1" min="2" max="2"/>
    <col width="20" customWidth="1" min="3" max="3"/>
    <col width="16" customWidth="1" min="4" max="4"/>
    <col width="14" customWidth="1" min="5" max="5"/>
    <col width="46" customWidth="1" min="6" max="6"/>
  </cols>
  <sheetData>
    <row r="1">
      <c r="A1" s="12" t="inlineStr">
        <is>
          <t>Version control across documents (REQ-VC-01)</t>
        </is>
      </c>
    </row>
    <row r="3">
      <c r="A3" s="5" t="inlineStr">
        <is>
          <t>What is version-controlled</t>
        </is>
      </c>
    </row>
    <row r="4" ht="28" customHeight="1">
      <c r="A4" s="7" t="inlineStr">
        <is>
          <t>Artifact</t>
        </is>
      </c>
      <c r="B4" s="7" t="inlineStr">
        <is>
          <t>Naming convention</t>
        </is>
      </c>
      <c r="C4" s="7" t="inlineStr">
        <is>
          <t>Folder</t>
        </is>
      </c>
      <c r="D4" s="7" t="inlineStr">
        <is>
          <t>Where its version is recorded</t>
        </is>
      </c>
    </row>
    <row r="5">
      <c r="A5" s="8" t="inlineStr">
        <is>
          <t>Development plan</t>
        </is>
      </c>
      <c r="B5" s="9" t="inlineStr">
        <is>
          <t>PRAP_Development_Plan_v&lt;ver&gt;.xlsx</t>
        </is>
      </c>
      <c r="C5" s="8" t="inlineStr">
        <is>
          <t>docs/</t>
        </is>
      </c>
      <c r="D5" s="9" t="inlineStr">
        <is>
          <t>Sheet 01_Version_History</t>
        </is>
      </c>
    </row>
    <row r="6">
      <c r="A6" s="10" t="inlineStr">
        <is>
          <t>Programming specification</t>
        </is>
      </c>
      <c r="B6" s="11" t="inlineStr">
        <is>
          <t>PRAP_Programming_Specification_v&lt;ver&gt;.xlsx</t>
        </is>
      </c>
      <c r="C6" s="10" t="inlineStr">
        <is>
          <t>docs/</t>
        </is>
      </c>
      <c r="D6" s="11" t="inlineStr">
        <is>
          <t>Its own version-history sheet</t>
        </is>
      </c>
    </row>
    <row r="7">
      <c r="A7" s="8" t="inlineStr">
        <is>
          <t>Application</t>
        </is>
      </c>
      <c r="B7" s="9" t="inlineStr">
        <is>
          <t>PRAP_Application_v&lt;ver&gt;.html</t>
        </is>
      </c>
      <c r="C7" s="8" t="inlineStr">
        <is>
          <t>app/</t>
        </is>
      </c>
      <c r="D7" s="9" t="inlineStr">
        <is>
          <t>Version constant shown in the footer</t>
        </is>
      </c>
    </row>
    <row r="8">
      <c r="A8" s="10" t="inlineStr">
        <is>
          <t>Source data template</t>
        </is>
      </c>
      <c r="B8" s="11" t="inlineStr">
        <is>
          <t>PRAP_SourceData_Project_v&lt;ver&gt;.xlsx / _Person_v&lt;ver&gt;.xlsx</t>
        </is>
      </c>
      <c r="C8" s="10" t="inlineStr">
        <is>
          <t>templates/</t>
        </is>
      </c>
      <c r="D8" s="11" t="inlineStr">
        <is>
          <t>schema_version in the Config sheet</t>
        </is>
      </c>
    </row>
    <row r="9">
      <c r="A9" s="8" t="inlineStr">
        <is>
          <t>Output / evidence files</t>
        </is>
      </c>
      <c r="B9" s="9" t="inlineStr">
        <is>
          <t>PRAP_&lt;content&gt;_v&lt;ver&gt;_&lt;yyyymmdd&gt;.xlsx</t>
        </is>
      </c>
      <c r="C9" s="8" t="inlineStr">
        <is>
          <t>output/</t>
        </is>
      </c>
      <c r="D9" s="9" t="inlineStr">
        <is>
          <t>Filename plus a header block</t>
        </is>
      </c>
    </row>
    <row r="10">
      <c r="A10" s="10" t="inlineStr">
        <is>
          <t>Generator scripts</t>
        </is>
      </c>
      <c r="B10" s="11" t="inlineStr">
        <is>
          <t>tools/*.py</t>
        </is>
      </c>
      <c r="C10" s="10" t="inlineStr">
        <is>
          <t>tools/</t>
        </is>
      </c>
      <c r="D10" s="11" t="inlineStr">
        <is>
          <t>Git history</t>
        </is>
      </c>
    </row>
    <row r="12">
      <c r="A12" s="5" t="inlineStr">
        <is>
          <t>Version numbering</t>
        </is>
      </c>
    </row>
    <row r="13" ht="28" customHeight="1">
      <c r="A13" s="7" t="inlineStr">
        <is>
          <t>Pattern</t>
        </is>
      </c>
      <c r="B13" s="7" t="inlineStr">
        <is>
          <t>Meaning</t>
        </is>
      </c>
      <c r="C13" s="7" t="inlineStr">
        <is>
          <t>Example</t>
        </is>
      </c>
    </row>
    <row r="14">
      <c r="A14" s="8" t="inlineStr">
        <is>
          <t>0.x</t>
        </is>
      </c>
      <c r="B14" s="9" t="inlineStr">
        <is>
          <t>Draft, under review. Content may change substantially.</t>
        </is>
      </c>
      <c r="C14" s="8" t="inlineStr">
        <is>
          <t>0.1 -&gt; 0.2 on each re-issue during review.</t>
        </is>
      </c>
    </row>
    <row r="15">
      <c r="A15" s="10" t="inlineStr">
        <is>
          <t>x.0</t>
        </is>
      </c>
      <c r="B15" s="11" t="inlineStr">
        <is>
          <t>Approved baseline. Changing it requires a new approval.</t>
        </is>
      </c>
      <c r="C15" s="10" t="inlineStr">
        <is>
          <t>0.9 -&gt; 1.0 at the gate.</t>
        </is>
      </c>
    </row>
    <row r="16">
      <c r="A16" s="8" t="inlineStr">
        <is>
          <t>x.y</t>
        </is>
      </c>
      <c r="B16" s="9" t="inlineStr">
        <is>
          <t>Approved change against a baseline: added requirement, bug fix, layout change.</t>
        </is>
      </c>
      <c r="C16" s="8" t="inlineStr">
        <is>
          <t>1.0 -&gt; 1.1</t>
        </is>
      </c>
    </row>
    <row r="17">
      <c r="A17" s="10" t="inlineStr">
        <is>
          <t>Schema version</t>
        </is>
      </c>
      <c r="B17" s="11" t="inlineStr">
        <is>
          <t>Independent counter for the source Excel structure. Only steps when a sheet or column changes.</t>
        </is>
      </c>
      <c r="C17" s="10" t="inlineStr">
        <is>
          <t>schema 1 -&gt; 2</t>
        </is>
      </c>
    </row>
    <row r="19">
      <c r="A19" s="5" t="inlineStr">
        <is>
          <t>Version alignment - which versions belong together</t>
        </is>
      </c>
    </row>
    <row r="20" ht="28" customHeight="1">
      <c r="A20" s="7" t="inlineStr">
        <is>
          <t>Plan version</t>
        </is>
      </c>
      <c r="B20" s="7" t="inlineStr">
        <is>
          <t>Specification version</t>
        </is>
      </c>
      <c r="C20" s="7" t="inlineStr">
        <is>
          <t>Application version</t>
        </is>
      </c>
      <c r="D20" s="7" t="inlineStr">
        <is>
          <t>Schema version</t>
        </is>
      </c>
      <c r="E20" s="7" t="inlineStr">
        <is>
          <t>Date</t>
        </is>
      </c>
      <c r="F20" s="7" t="inlineStr">
        <is>
          <t>Note</t>
        </is>
      </c>
    </row>
    <row r="21">
      <c r="A21" s="8" t="inlineStr">
        <is>
          <t>v0.1</t>
        </is>
      </c>
      <c r="B21" s="8" t="inlineStr">
        <is>
          <t>-</t>
        </is>
      </c>
      <c r="C21" s="8" t="inlineStr">
        <is>
          <t>-</t>
        </is>
      </c>
      <c r="D21" s="8" t="inlineStr">
        <is>
          <t>-</t>
        </is>
      </c>
      <c r="E21" s="8" t="inlineStr">
        <is>
          <t>2026-07-25</t>
        </is>
      </c>
      <c r="F21" s="9" t="inlineStr">
        <is>
          <t>Plan issued for review</t>
        </is>
      </c>
    </row>
    <row r="22">
      <c r="A22" s="10" t="inlineStr"/>
      <c r="B22" s="10" t="inlineStr"/>
      <c r="C22" s="10" t="inlineStr"/>
      <c r="D22" s="10" t="inlineStr"/>
      <c r="E22" s="10" t="inlineStr"/>
      <c r="F22" s="11" t="inlineStr"/>
    </row>
    <row r="23">
      <c r="A23" s="8" t="inlineStr"/>
      <c r="B23" s="8" t="inlineStr"/>
      <c r="C23" s="8" t="inlineStr"/>
      <c r="D23" s="8" t="inlineStr"/>
      <c r="E23" s="8" t="inlineStr"/>
      <c r="F23" s="9" t="inlineStr"/>
    </row>
    <row r="25">
      <c r="A25" s="13" t="inlineStr">
        <is>
          <t>One row per release. This table answers 'which specification produced this .html, and which source template does it expect?'.</t>
        </is>
      </c>
    </row>
    <row r="26">
      <c r="A26" s="5" t="inlineStr">
        <is>
          <t>Repository rules</t>
        </is>
      </c>
    </row>
    <row r="27" ht="28" customHeight="1">
      <c r="A27" s="7" t="inlineStr">
        <is>
          <t>Rule</t>
        </is>
      </c>
    </row>
    <row r="28">
      <c r="A28" s="9" t="inlineStr">
        <is>
          <t>All work is committed to branch claude/project-resource-assignment-app-1vjdzh.</t>
        </is>
      </c>
    </row>
    <row r="29">
      <c r="A29" s="11" t="inlineStr">
        <is>
          <t>Documents are generated from scripts in tools/ so their content is reviewable as a text diff, not only as a binary.</t>
        </is>
      </c>
    </row>
    <row r="30">
      <c r="A30" s="9" t="inlineStr">
        <is>
          <t>One commit per meaningful change, with a message naming the step and the affected REQ-IDs.</t>
        </is>
      </c>
    </row>
    <row r="31">
      <c r="A31" s="11" t="inlineStr">
        <is>
          <t>A released version is tagged, so any release can be reproduced exactly.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8" customWidth="1" min="2" max="2"/>
    <col width="13" customWidth="1" min="3" max="3"/>
    <col width="11" customWidth="1" min="4" max="4"/>
    <col width="62" customWidth="1" min="5" max="5"/>
  </cols>
  <sheetData>
    <row r="1">
      <c r="A1" s="12" t="inlineStr">
        <is>
          <t>Risks and assumptions</t>
        </is>
      </c>
    </row>
    <row r="3">
      <c r="A3" s="5" t="inlineStr">
        <is>
          <t>Risks</t>
        </is>
      </c>
    </row>
    <row r="4" ht="28" customHeight="1">
      <c r="A4" s="7" t="inlineStr">
        <is>
          <t>ID</t>
        </is>
      </c>
      <c r="B4" s="7" t="inlineStr">
        <is>
          <t>Risk</t>
        </is>
      </c>
      <c r="C4" s="7" t="inlineStr">
        <is>
          <t>Likelihood</t>
        </is>
      </c>
      <c r="D4" s="7" t="inlineStr">
        <is>
          <t>Impact</t>
        </is>
      </c>
      <c r="E4" s="7" t="inlineStr">
        <is>
          <t>Mitigation</t>
        </is>
      </c>
    </row>
    <row r="5">
      <c r="A5" s="8" t="inlineStr">
        <is>
          <t>R-01</t>
        </is>
      </c>
      <c r="B5" s="9" t="inlineStr">
        <is>
          <t>The resource formula does not match how burden is actually judged in your workplace, so output looks wrong.</t>
        </is>
      </c>
      <c r="C5" s="8" t="inlineStr">
        <is>
          <t>High</t>
        </is>
      </c>
      <c r="D5" s="8" t="inlineStr">
        <is>
          <t>High</t>
        </is>
      </c>
      <c r="E5" s="9" t="inlineStr">
        <is>
          <t>A worked example (sheet 05) is agreed at Step 2 before any code is written, and every factor stays in the data so it can be re-tuned without code.</t>
        </is>
      </c>
    </row>
    <row r="6">
      <c r="A6" s="10" t="inlineStr">
        <is>
          <t>R-02</t>
        </is>
      </c>
      <c r="B6" s="11" t="inlineStr">
        <is>
          <t>The source Excel is maintained inconsistently - typos in project names, overlapping periods - and the simulation silently misleads.</t>
        </is>
      </c>
      <c r="C6" s="10" t="inlineStr">
        <is>
          <t>High</t>
        </is>
      </c>
      <c r="D6" s="10" t="inlineStr">
        <is>
          <t>Medium</t>
        </is>
      </c>
      <c r="E6" s="11" t="inlineStr">
        <is>
          <t>Nine validation rules run on every import, ID-based references instead of name matching, and a findings report the user cannot miss.</t>
        </is>
      </c>
    </row>
    <row r="7">
      <c r="A7" s="8" t="inlineStr">
        <is>
          <t>R-03</t>
        </is>
      </c>
      <c r="B7" s="9" t="inlineStr">
        <is>
          <t>Corporate policy blocks local .html files or restricts the browser.</t>
        </is>
      </c>
      <c r="C7" s="8" t="inlineStr">
        <is>
          <t>Low</t>
        </is>
      </c>
      <c r="D7" s="8" t="inlineStr">
        <is>
          <t>High</t>
        </is>
      </c>
      <c r="E7" s="9" t="inlineStr">
        <is>
          <t>No install, no network, no external file needed. Worth confirming early on a real work PC - see Q-05.</t>
        </is>
      </c>
    </row>
    <row r="8">
      <c r="A8" s="10" t="inlineStr">
        <is>
          <t>R-04</t>
        </is>
      </c>
      <c r="B8" s="11" t="inlineStr">
        <is>
          <t>Requirements grow after you see real output.</t>
        </is>
      </c>
      <c r="C8" s="10" t="inlineStr">
        <is>
          <t>High</t>
        </is>
      </c>
      <c r="D8" s="10" t="inlineStr">
        <is>
          <t>Medium</t>
        </is>
      </c>
      <c r="E8" s="11" t="inlineStr">
        <is>
          <t>Expected, and planned for: five separated layers (sheet 07) plus extension columns already in the schema.</t>
        </is>
      </c>
    </row>
    <row r="9">
      <c r="A9" s="8" t="inlineStr">
        <is>
          <t>R-05</t>
        </is>
      </c>
      <c r="B9" s="9" t="inlineStr">
        <is>
          <t>Data volume grows beyond what a browser handles comfortably.</t>
        </is>
      </c>
      <c r="C9" s="8" t="inlineStr">
        <is>
          <t>Low</t>
        </is>
      </c>
      <c r="D9" s="8" t="inlineStr">
        <is>
          <t>Medium</t>
        </is>
      </c>
      <c r="E9" s="9" t="inlineStr">
        <is>
          <t>Targets set in REQ-NFR-03 and tested at Step 5; the calculation layer can move to a worker if ever needed.</t>
        </is>
      </c>
    </row>
    <row r="10">
      <c r="A10" s="10" t="inlineStr">
        <is>
          <t>R-06</t>
        </is>
      </c>
      <c r="B10" s="11" t="inlineStr">
        <is>
          <t>Excel date handling differs between Windows regional settings and misreads dates.</t>
        </is>
      </c>
      <c r="C10" s="10" t="inlineStr">
        <is>
          <t>Medium</t>
        </is>
      </c>
      <c r="D10" s="10" t="inlineStr">
        <is>
          <t>High</t>
        </is>
      </c>
      <c r="E10" s="11" t="inlineStr">
        <is>
          <t>Dates are normalised to ISO on import, and any unparseable date is a hard error, never a guess (REQ-NFR-05).</t>
        </is>
      </c>
    </row>
    <row r="11">
      <c r="A11" s="8" t="inlineStr">
        <is>
          <t>R-07</t>
        </is>
      </c>
      <c r="B11" s="9" t="inlineStr">
        <is>
          <t>The file must be re-selected each session and this becomes irritating.</t>
        </is>
      </c>
      <c r="C11" s="8" t="inlineStr">
        <is>
          <t>Medium</t>
        </is>
      </c>
      <c r="D11" s="8" t="inlineStr">
        <is>
          <t>Low</t>
        </is>
      </c>
      <c r="E11" s="9" t="inlineStr">
        <is>
          <t>Optional browser caching (REQ-IMP-06) plus a one-click reload of the last file.</t>
        </is>
      </c>
    </row>
    <row r="13">
      <c r="A13" s="5" t="inlineStr">
        <is>
          <t>Assumptions - correct these at review if any is wrong</t>
        </is>
      </c>
    </row>
    <row r="14" ht="28" customHeight="1">
      <c r="A14" s="7" t="inlineStr">
        <is>
          <t>ID</t>
        </is>
      </c>
      <c r="B14" s="7" t="inlineStr">
        <is>
          <t>Assumption</t>
        </is>
      </c>
    </row>
    <row r="15">
      <c r="A15" s="8" t="inlineStr">
        <is>
          <t>A-01</t>
        </is>
      </c>
      <c r="B15" s="9" t="inlineStr">
        <is>
          <t>Data volume is on the order of tens of projects and hundreds of people, not tens of thousands.</t>
        </is>
      </c>
    </row>
    <row r="16">
      <c r="A16" s="10" t="inlineStr">
        <is>
          <t>A-02</t>
        </is>
      </c>
      <c r="B16" s="11" t="inlineStr">
        <is>
          <t>One person's capacity is expressed as a fraction where 1.00 = fully committed.</t>
        </is>
      </c>
    </row>
    <row r="17">
      <c r="A17" s="8" t="inlineStr">
        <is>
          <t>A-03</t>
        </is>
      </c>
      <c r="B17" s="9" t="inlineStr">
        <is>
          <t>Monthly granularity is sufficient; weekly or daily simulation is not required in v1.0.</t>
        </is>
      </c>
    </row>
    <row r="18">
      <c r="A18" s="10" t="inlineStr">
        <is>
          <t>A-04</t>
        </is>
      </c>
      <c r="B18" s="11" t="inlineStr">
        <is>
          <t>Source Excel files are maintained by hand, not generated by another system.</t>
        </is>
      </c>
    </row>
    <row r="19">
      <c r="A19" s="8" t="inlineStr">
        <is>
          <t>A-05</t>
        </is>
      </c>
      <c r="B19" s="9" t="inlineStr">
        <is>
          <t>Windows 10 or 11 with Edge or Chrome available.</t>
        </is>
      </c>
    </row>
    <row r="20">
      <c r="A20" s="10" t="inlineStr">
        <is>
          <t>A-06</t>
        </is>
      </c>
      <c r="B20" s="11" t="inlineStr">
        <is>
          <t>Only one person maintains the source files at a time - no concurrent editing to reconcile.</t>
        </is>
      </c>
    </row>
    <row r="21">
      <c r="A21" s="8" t="inlineStr">
        <is>
          <t>A-07</t>
        </is>
      </c>
      <c r="B21" s="9" t="inlineStr">
        <is>
          <t>Milestone dates are informational for v1.0: they are displayed, but do not themselves drive resource weight.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4" customWidth="1" min="3" max="3"/>
    <col width="14" customWidth="1" min="4" max="4"/>
    <col width="48" customWidth="1" min="5" max="5"/>
  </cols>
  <sheetData>
    <row r="1">
      <c r="A1" s="12" t="inlineStr">
        <is>
          <t>Open questions for the reviewer</t>
        </is>
      </c>
    </row>
    <row r="2">
      <c r="A2" s="13" t="inlineStr">
        <is>
          <t>Please answer in the YELLOW cells. These are the points where a wrong guess would cost real rework.</t>
        </is>
      </c>
    </row>
    <row r="4" ht="28" customHeight="1">
      <c r="A4" s="7" t="inlineStr">
        <is>
          <t>ID</t>
        </is>
      </c>
      <c r="B4" s="7" t="inlineStr">
        <is>
          <t>Topic</t>
        </is>
      </c>
      <c r="C4" s="7" t="inlineStr">
        <is>
          <t>Question</t>
        </is>
      </c>
      <c r="D4" s="7" t="inlineStr">
        <is>
          <t>Needed by step</t>
        </is>
      </c>
      <c r="E4" s="7" t="inlineStr">
        <is>
          <t>Your answer</t>
        </is>
      </c>
    </row>
    <row r="5">
      <c r="A5" s="8" t="inlineStr">
        <is>
          <t>Q-01</t>
        </is>
      </c>
      <c r="B5" s="8" t="inlineStr">
        <is>
          <t>Calculation</t>
        </is>
      </c>
      <c r="C5" s="9" t="inlineStr">
        <is>
          <t>Do you agree weights multiply (base x project weight x person weight x role factor)? If your practice is different - for example role sets the load outright rather than scaling it - say so now.</t>
        </is>
      </c>
      <c r="D5" s="8" t="inlineStr">
        <is>
          <t>2</t>
        </is>
      </c>
      <c r="E5" s="15" t="inlineStr"/>
    </row>
    <row r="6">
      <c r="A6" s="10" t="inlineStr">
        <is>
          <t>Q-02</t>
        </is>
      </c>
      <c r="B6" s="10" t="inlineStr">
        <is>
          <t>Calculation</t>
        </is>
      </c>
      <c r="C6" s="11" t="inlineStr">
        <is>
          <t>Is pro-rating a partial month by calendar days right, or should a person joining mid-month count as a whole month?</t>
        </is>
      </c>
      <c r="D6" s="10" t="inlineStr">
        <is>
          <t>2</t>
        </is>
      </c>
      <c r="E6" s="15" t="inlineStr"/>
    </row>
    <row r="7">
      <c r="A7" s="8" t="inlineStr">
        <is>
          <t>Q-03</t>
        </is>
      </c>
      <c r="B7" s="8" t="inlineStr">
        <is>
          <t>Roles</t>
        </is>
      </c>
      <c r="C7" s="9" t="inlineStr">
        <is>
          <t>Please list the roles actually used, and whether each carries a different burden factor. This drives the RoleFactor sheet.</t>
        </is>
      </c>
      <c r="D7" s="8" t="inlineStr">
        <is>
          <t>2</t>
        </is>
      </c>
      <c r="E7" s="15" t="inlineStr"/>
    </row>
    <row r="8">
      <c r="A8" s="10" t="inlineStr">
        <is>
          <t>Q-04</t>
        </is>
      </c>
      <c r="B8" s="10" t="inlineStr">
        <is>
          <t>Project periods</t>
        </is>
      </c>
      <c r="C8" s="11" t="inlineStr">
        <is>
          <t>What are the standard period names (e.g. Start-up / Enrolment / Maintenance / Close-out) and typical weights? Do they differ between 'Clinical Trial' and 'Others'?</t>
        </is>
      </c>
      <c r="D8" s="10" t="inlineStr">
        <is>
          <t>2</t>
        </is>
      </c>
      <c r="E8" s="15" t="inlineStr"/>
    </row>
    <row r="9">
      <c r="A9" s="8" t="inlineStr">
        <is>
          <t>Q-05</t>
        </is>
      </c>
      <c r="B9" s="8" t="inlineStr">
        <is>
          <t>Environment</t>
        </is>
      </c>
      <c r="C9" s="9" t="inlineStr">
        <is>
          <t>Can you open a local .html file in Edge or Chrome on your work PC? If corporate policy blocks it, we need to know before Step 4.</t>
        </is>
      </c>
      <c r="D9" s="8" t="inlineStr">
        <is>
          <t>1</t>
        </is>
      </c>
      <c r="E9" s="15" t="inlineStr"/>
    </row>
    <row r="10">
      <c r="A10" s="10" t="inlineStr">
        <is>
          <t>Q-06</t>
        </is>
      </c>
      <c r="B10" s="10" t="inlineStr">
        <is>
          <t>Data volume</t>
        </is>
      </c>
      <c r="C10" s="11" t="inlineStr">
        <is>
          <t>Roughly how many projects, people and simultaneous assignments? Confirms the performance target in REQ-NFR-03.</t>
        </is>
      </c>
      <c r="D10" s="10" t="inlineStr">
        <is>
          <t>1</t>
        </is>
      </c>
      <c r="E10" s="15" t="inlineStr"/>
    </row>
    <row r="11">
      <c r="A11" s="8" t="inlineStr">
        <is>
          <t>Q-07</t>
        </is>
      </c>
      <c r="B11" s="8" t="inlineStr">
        <is>
          <t>Milestones</t>
        </is>
      </c>
      <c r="C11" s="9" t="inlineStr">
        <is>
          <t>Which milestones do you track (FPI, LPI, DB Lock...)? Are they a fixed list, or does it vary by project?</t>
        </is>
      </c>
      <c r="D11" s="8" t="inlineStr">
        <is>
          <t>2</t>
        </is>
      </c>
      <c r="E11" s="15" t="inlineStr"/>
    </row>
    <row r="12">
      <c r="A12" s="10" t="inlineStr">
        <is>
          <t>Q-08</t>
        </is>
      </c>
      <c r="B12" s="10" t="inlineStr">
        <is>
          <t>Capacity</t>
        </is>
      </c>
      <c r="C12" s="11" t="inlineStr">
        <is>
          <t>Is one person always 1.00 capacity, or do part-time staff need a different capacity value? What over-allocation threshold should flag - above 100%, or above some buffer like 85%?</t>
        </is>
      </c>
      <c r="D12" s="10" t="inlineStr">
        <is>
          <t>2</t>
        </is>
      </c>
      <c r="E12" s="15" t="inlineStr"/>
    </row>
    <row r="13">
      <c r="A13" s="8" t="inlineStr">
        <is>
          <t>Q-09</t>
        </is>
      </c>
      <c r="B13" s="8" t="inlineStr">
        <is>
          <t>Source files</t>
        </is>
      </c>
      <c r="C13" s="9" t="inlineStr">
        <is>
          <t>Two separate workbooks (project / person), or a single workbook with all sheets in it? Two is assumed; one is simpler to hand around.</t>
        </is>
      </c>
      <c r="D13" s="8" t="inlineStr">
        <is>
          <t>1</t>
        </is>
      </c>
      <c r="E13" s="15" t="inlineStr"/>
    </row>
    <row r="14">
      <c r="A14" s="10" t="inlineStr">
        <is>
          <t>Q-10</t>
        </is>
      </c>
      <c r="B14" s="10" t="inlineStr">
        <is>
          <t>Existing data</t>
        </is>
      </c>
      <c r="C14" s="11" t="inlineStr">
        <is>
          <t>Do you already hold this data in a spreadsheet? If you can share the structure (or a de-identified sample), the template can match what you already use.</t>
        </is>
      </c>
      <c r="D14" s="10" t="inlineStr">
        <is>
          <t>1</t>
        </is>
      </c>
      <c r="E14" s="15" t="inlineStr"/>
    </row>
    <row r="15">
      <c r="A15" s="8" t="inlineStr">
        <is>
          <t>Q-11</t>
        </is>
      </c>
      <c r="B15" s="8" t="inlineStr">
        <is>
          <t>Horizon</t>
        </is>
      </c>
      <c r="C15" s="9" t="inlineStr">
        <is>
          <t>What planning horizon matters - 12, 24, 36 months? Sets the default view.</t>
        </is>
      </c>
      <c r="D15" s="8" t="inlineStr">
        <is>
          <t>2</t>
        </is>
      </c>
      <c r="E15" s="15" t="inlineStr"/>
    </row>
    <row r="16">
      <c r="A16" s="10" t="inlineStr">
        <is>
          <t>Q-12</t>
        </is>
      </c>
      <c r="B16" s="10" t="inlineStr">
        <is>
          <t>Scope check</t>
        </is>
      </c>
      <c r="C16" s="11" t="inlineStr">
        <is>
          <t>Anything in 'Out of scope' on sheet 02 that you actually need in v1.0?</t>
        </is>
      </c>
      <c r="D16" s="10" t="inlineStr">
        <is>
          <t>1</t>
        </is>
      </c>
      <c r="E16" s="15" t="inlineStr"/>
    </row>
    <row r="18">
      <c r="A18" s="13" t="inlineStr">
        <is>
          <t>YELLOW = for you to complete. Anything left blank will be built to the assumption stated on sheet 10, and flagged as such.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46" customWidth="1" min="4" max="4"/>
    <col width="40" customWidth="1" min="5" max="5"/>
    <col width="14" customWidth="1" min="6" max="6"/>
  </cols>
  <sheetData>
    <row r="1">
      <c r="A1" s="12" t="inlineStr">
        <is>
          <t>Review log and approval</t>
        </is>
      </c>
    </row>
    <row r="2">
      <c r="A2" s="13" t="inlineStr">
        <is>
          <t>One row per reviewer comment, with what was done about it.</t>
        </is>
      </c>
    </row>
    <row r="4" ht="28" customHeight="1">
      <c r="A4" s="7" t="inlineStr">
        <is>
          <t>No.</t>
        </is>
      </c>
      <c r="B4" s="7" t="inlineStr">
        <is>
          <t>Sheet / cell</t>
        </is>
      </c>
      <c r="C4" s="7" t="inlineStr">
        <is>
          <t>Reviewer comment</t>
        </is>
      </c>
      <c r="D4" s="7" t="inlineStr">
        <is>
          <t>Response</t>
        </is>
      </c>
      <c r="E4" s="7" t="inlineStr">
        <is>
          <t>Action taken</t>
        </is>
      </c>
      <c r="F4" s="7" t="inlineStr">
        <is>
          <t>Status</t>
        </is>
      </c>
    </row>
    <row r="5">
      <c r="A5" s="16" t="inlineStr"/>
      <c r="B5" s="16" t="inlineStr"/>
      <c r="C5" s="15" t="inlineStr"/>
      <c r="D5" s="9" t="inlineStr"/>
      <c r="E5" s="9" t="inlineStr"/>
      <c r="F5" s="16" t="inlineStr"/>
    </row>
    <row r="6">
      <c r="A6" s="16" t="inlineStr"/>
      <c r="B6" s="16" t="inlineStr"/>
      <c r="C6" s="15" t="inlineStr"/>
      <c r="D6" s="11" t="inlineStr"/>
      <c r="E6" s="11" t="inlineStr"/>
      <c r="F6" s="16" t="inlineStr"/>
    </row>
    <row r="7">
      <c r="A7" s="16" t="inlineStr"/>
      <c r="B7" s="16" t="inlineStr"/>
      <c r="C7" s="15" t="inlineStr"/>
      <c r="D7" s="9" t="inlineStr"/>
      <c r="E7" s="9" t="inlineStr"/>
      <c r="F7" s="16" t="inlineStr"/>
    </row>
    <row r="8">
      <c r="A8" s="16" t="inlineStr"/>
      <c r="B8" s="16" t="inlineStr"/>
      <c r="C8" s="15" t="inlineStr"/>
      <c r="D8" s="11" t="inlineStr"/>
      <c r="E8" s="11" t="inlineStr"/>
      <c r="F8" s="16" t="inlineStr"/>
    </row>
    <row r="9">
      <c r="A9" s="16" t="inlineStr"/>
      <c r="B9" s="16" t="inlineStr"/>
      <c r="C9" s="15" t="inlineStr"/>
      <c r="D9" s="9" t="inlineStr"/>
      <c r="E9" s="9" t="inlineStr"/>
      <c r="F9" s="16" t="inlineStr"/>
    </row>
    <row r="10">
      <c r="A10" s="16" t="inlineStr"/>
      <c r="B10" s="16" t="inlineStr"/>
      <c r="C10" s="15" t="inlineStr"/>
      <c r="D10" s="11" t="inlineStr"/>
      <c r="E10" s="11" t="inlineStr"/>
      <c r="F10" s="16" t="inlineStr"/>
    </row>
    <row r="11">
      <c r="A11" s="16" t="inlineStr"/>
      <c r="B11" s="16" t="inlineStr"/>
      <c r="C11" s="15" t="inlineStr"/>
      <c r="D11" s="9" t="inlineStr"/>
      <c r="E11" s="9" t="inlineStr"/>
      <c r="F11" s="16" t="inlineStr"/>
    </row>
    <row r="12">
      <c r="A12" s="16" t="inlineStr"/>
      <c r="B12" s="16" t="inlineStr"/>
      <c r="C12" s="15" t="inlineStr"/>
      <c r="D12" s="11" t="inlineStr"/>
      <c r="E12" s="11" t="inlineStr"/>
      <c r="F12" s="16" t="inlineStr"/>
    </row>
    <row r="13">
      <c r="A13" s="16" t="inlineStr"/>
      <c r="B13" s="16" t="inlineStr"/>
      <c r="C13" s="15" t="inlineStr"/>
      <c r="D13" s="9" t="inlineStr"/>
      <c r="E13" s="9" t="inlineStr"/>
      <c r="F13" s="16" t="inlineStr"/>
    </row>
    <row r="14">
      <c r="A14" s="16" t="inlineStr"/>
      <c r="B14" s="16" t="inlineStr"/>
      <c r="C14" s="15" t="inlineStr"/>
      <c r="D14" s="11" t="inlineStr"/>
      <c r="E14" s="11" t="inlineStr"/>
      <c r="F14" s="16" t="inlineStr"/>
    </row>
    <row r="16">
      <c r="A16" s="5" t="inlineStr">
        <is>
          <t>Approval - Gate 1</t>
        </is>
      </c>
    </row>
    <row r="17" ht="28" customHeight="1">
      <c r="A17" s="7" t="inlineStr">
        <is>
          <t>Document</t>
        </is>
      </c>
      <c r="B17" s="7" t="inlineStr">
        <is>
          <t>Approver</t>
        </is>
      </c>
      <c r="C17" s="7" t="inlineStr">
        <is>
          <t>Date</t>
        </is>
      </c>
      <c r="D17" s="7" t="inlineStr">
        <is>
          <t>Decision</t>
        </is>
      </c>
    </row>
    <row r="18">
      <c r="A18" s="8" t="inlineStr">
        <is>
          <t>Development plan v___</t>
        </is>
      </c>
      <c r="B18" s="16" t="inlineStr"/>
      <c r="C18" s="16" t="inlineStr"/>
      <c r="D18" s="15" t="inlineStr">
        <is>
          <t>Approved / Approved with comments / Not approved</t>
        </is>
      </c>
    </row>
    <row r="20">
      <c r="A20" s="13" t="inlineStr">
        <is>
          <t>Step 2 begins only once this gate is recorded as approved.</t>
        </is>
      </c>
    </row>
  </sheetData>
  <dataValidations count="1">
    <dataValidation sqref="F5:F14" showDropDown="0" showInputMessage="0" showErrorMessage="0" allowBlank="1" type="list">
      <formula1>"Open,Accepted,Rejected,Deferred,Closed"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2026-07-25T07:44:37Z</dcterms:created>
  <dcterms:modified xsi:type="dcterms:W3CDTF">2026-07-25T07:44:37Z</dcterms:modified>
</cp:coreProperties>
</file>