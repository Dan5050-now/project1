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Data_Model" sheetId="5" state="visible" r:id="rId5"/>
    <sheet name="05_Resource_Logic" sheetId="6" state="visible" r:id="rId6"/>
    <sheet name="06_Dashboard_Design" sheetId="7" state="visible" r:id="rId7"/>
    <sheet name="07_Architecture" sheetId="8" state="visible" r:id="rId8"/>
    <sheet name="08_WBS_Schedule" sheetId="9" state="visible" r:id="rId9"/>
    <sheet name="09_Version_Control" sheetId="10" state="visible" r:id="rId10"/>
    <sheet name="10_Risks" sheetId="11" state="visible" r:id="rId11"/>
    <sheet name="11_Open_Questions" sheetId="12" state="visible" r:id="rId12"/>
    <sheet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5" borderId="1" applyAlignment="1" pivotButton="0" quotePrefix="0" xfId="0">
      <alignment vertical="top" wrapText="1"/>
    </xf>
    <xf numFmtId="0" fontId="4" fillId="5" borderId="1" applyAlignment="1" pivotButton="0" quotePrefix="0" xfId="0">
      <alignment vertical="top"/>
    </xf>
    <xf numFmtId="0" fontId="4" fillId="4" borderId="1" applyAlignment="1" pivotButton="0" quotePrefix="0" xfId="0">
      <alignment vertical="top" wrapText="1"/>
    </xf>
    <xf numFmtId="0" fontId="4" fillId="4" borderId="1" applyAlignment="1" pivotButton="0" quotePrefix="0" xfId="0">
      <alignment vertical="top"/>
    </xf>
    <xf numFmtId="0" fontId="9" fillId="0" borderId="0" pivotButton="0" quotePrefix="0" xfId="0"/>
    <xf numFmtId="0" fontId="4" fillId="6" borderId="1" applyAlignment="1" pivotButton="0" quotePrefix="0" xfId="0">
      <alignment vertical="top" wrapText="1"/>
    </xf>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2"/>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t>
        </is>
      </c>
    </row>
    <row r="6">
      <c r="A6" s="3" t="inlineStr">
        <is>
          <t>Version</t>
        </is>
      </c>
      <c r="B6" s="4" t="inlineStr">
        <is>
          <t>v0.2</t>
        </is>
      </c>
    </row>
    <row r="7">
      <c r="A7" s="3" t="inlineStr">
        <is>
          <t>Status</t>
        </is>
      </c>
      <c r="B7" s="4" t="inlineStr">
        <is>
          <t>Draft 2 - reviewer answers incorporated, re-issued for review</t>
        </is>
      </c>
    </row>
    <row r="8">
      <c r="A8" s="3" t="inlineStr">
        <is>
          <t>Issue date</t>
        </is>
      </c>
      <c r="B8" s="4" t="inlineStr">
        <is>
          <t>2026-07-31</t>
        </is>
      </c>
    </row>
    <row r="9">
      <c r="A9" s="3" t="inlineStr">
        <is>
          <t>Author</t>
        </is>
      </c>
      <c r="B9" s="4" t="inlineStr">
        <is>
          <t>Claude Code</t>
        </is>
      </c>
    </row>
    <row r="10">
      <c r="A10" s="3" t="inlineStr">
        <is>
          <t>Reviewer</t>
        </is>
      </c>
      <c r="B10" s="4" t="inlineStr">
        <is>
          <t>Requester - review of v0.1 returned as v0.11_reviewed</t>
        </is>
      </c>
    </row>
    <row r="11">
      <c r="A11" s="3" t="inlineStr">
        <is>
          <t>Repository</t>
        </is>
      </c>
      <c r="B11" s="4" t="inlineStr">
        <is>
          <t>Dan5050-now/project1</t>
        </is>
      </c>
    </row>
    <row r="12">
      <c r="A12" s="3" t="inlineStr">
        <is>
          <t>Branch</t>
        </is>
      </c>
      <c r="B12" s="4" t="inlineStr">
        <is>
          <t>claude/project-resource-assignment-app-1vjdzh</t>
        </is>
      </c>
    </row>
    <row r="13">
      <c r="A13" s="3" t="inlineStr">
        <is>
          <t>Supersedes</t>
        </is>
      </c>
      <c r="B13" s="4" t="inlineStr">
        <is>
          <t>v0.1 (2026-07-25)</t>
        </is>
      </c>
    </row>
    <row r="15">
      <c r="A15" s="5" t="inlineStr">
        <is>
          <t>What changed in v0.2</t>
        </is>
      </c>
    </row>
    <row r="16">
      <c r="A16" s="6" t="inlineStr">
        <is>
          <t>All 12 open questions from v0.1 were answered, and the reviewer edited the requirement register and the</t>
        </is>
      </c>
    </row>
    <row r="17">
      <c r="A17" s="6" t="inlineStr">
        <is>
          <t>data model directly. Those answers are not merely recorded here - they have been propagated into every</t>
        </is>
      </c>
    </row>
    <row r="18">
      <c r="A18" s="6" t="inlineStr">
        <is>
          <t>sheet they affect. The four largest consequences:</t>
        </is>
      </c>
    </row>
    <row r="19">
      <c r="A19" s="6" t="inlineStr"/>
    </row>
    <row r="20">
      <c r="A20" s="6" t="inlineStr">
        <is>
          <t xml:space="preserve">  1. One source workbook, not two (Q-09). The data model, architecture and deployment sections change.</t>
        </is>
      </c>
    </row>
    <row r="21">
      <c r="A21" s="6" t="inlineStr">
        <is>
          <t xml:space="preserve">  2. The calculation drops base_allocation (Q-01). Load = project weight x role factor x person weight</t>
        </is>
      </c>
    </row>
    <row r="22">
      <c r="A22" s="6" t="inlineStr">
        <is>
          <t xml:space="preserve">     x coverage. What was two fields is now one, which also answers the earlier question about</t>
        </is>
      </c>
    </row>
    <row r="23">
      <c r="A23" s="6" t="inlineStr">
        <is>
          <t xml:space="preserve">     PersonPeriodWeight: it survives only as a time-varying override.</t>
        </is>
      </c>
    </row>
    <row r="24">
      <c r="A24" s="6" t="inlineStr">
        <is>
          <t xml:space="preserve">  3. Capacity is FTE, and the thresholds are asymmetric (Q-08). Over-allocation is above 1.50 FTE in a</t>
        </is>
      </c>
    </row>
    <row r="25">
      <c r="A25" s="6" t="inlineStr">
        <is>
          <t xml:space="preserve">     month; under-allocation is below 0.80 FTE sustained for three or more consecutive months. The</t>
        </is>
      </c>
    </row>
    <row r="26">
      <c r="A26" s="6" t="inlineStr">
        <is>
          <t xml:space="preserve">     under-allocation rule is a new requirement - it needs a rolling window, not a per-month test.</t>
        </is>
      </c>
    </row>
    <row r="27">
      <c r="A27" s="6" t="inlineStr">
        <is>
          <t xml:space="preserve">  4. Imported data becomes editable in the application (new REQ-IMP-07). This reverses the v0.1 rule</t>
        </is>
      </c>
    </row>
    <row r="28">
      <c r="A28" s="6" t="inlineStr">
        <is>
          <t xml:space="preserve">     that nothing on screen was editable, and pulls an edit-buffer layer into the architecture.</t>
        </is>
      </c>
    </row>
    <row r="29">
      <c r="A29" s="6" t="inlineStr"/>
    </row>
    <row r="30">
      <c r="A30" s="6" t="inlineStr">
        <is>
          <t>Six new questions (Q-13 to Q-18) arise from the answers - mostly the numeric weights themselves, which</t>
        </is>
      </c>
    </row>
    <row r="31">
      <c r="A31" s="6" t="inlineStr">
        <is>
          <t>were not supplied. Sheet 11 has them.</t>
        </is>
      </c>
    </row>
    <row r="33">
      <c r="A33" s="5" t="inlineStr">
        <is>
          <t>How to read this workbook</t>
        </is>
      </c>
    </row>
    <row r="34" ht="28" customHeight="1">
      <c r="A34" s="7" t="inlineStr">
        <is>
          <t>Sheet</t>
        </is>
      </c>
      <c r="B34" s="7" t="inlineStr">
        <is>
          <t>Contents</t>
        </is>
      </c>
    </row>
    <row r="35">
      <c r="A35" s="8" t="inlineStr">
        <is>
          <t>00_Cover</t>
        </is>
      </c>
      <c r="B35" s="9" t="inlineStr">
        <is>
          <t>Document control, what changed, reading guide.</t>
        </is>
      </c>
    </row>
    <row r="36">
      <c r="A36" s="10" t="inlineStr">
        <is>
          <t>01_Version_History</t>
        </is>
      </c>
      <c r="B36" s="11" t="inlineStr">
        <is>
          <t>Change log for this plan.</t>
        </is>
      </c>
    </row>
    <row r="37">
      <c r="A37" s="8" t="inlineStr">
        <is>
          <t>02_Scope</t>
        </is>
      </c>
      <c r="B37" s="9" t="inlineStr">
        <is>
          <t>Background, objectives, in scope / out of scope.</t>
        </is>
      </c>
    </row>
    <row r="38">
      <c r="A38" s="10" t="inlineStr">
        <is>
          <t>03_Requirements</t>
        </is>
      </c>
      <c r="B38" s="11" t="inlineStr">
        <is>
          <t>Numbered requirement register - the contract for Steps 2-5.</t>
        </is>
      </c>
    </row>
    <row r="39">
      <c r="A39" s="8" t="inlineStr">
        <is>
          <t>04_Data_Model</t>
        </is>
      </c>
      <c r="B39" s="9" t="inlineStr">
        <is>
          <t>Every sheet and column of the single source workbook, with rules.</t>
        </is>
      </c>
    </row>
    <row r="40">
      <c r="A40" s="10" t="inlineStr">
        <is>
          <t>05_Resource_Logic</t>
        </is>
      </c>
      <c r="B40" s="11" t="inlineStr">
        <is>
          <t>The calculation that turns assignments and weights into monthly FTE.</t>
        </is>
      </c>
    </row>
    <row r="41">
      <c r="A41" s="8" t="inlineStr">
        <is>
          <t>06_Dashboard_Design</t>
        </is>
      </c>
      <c r="B41" s="9" t="inlineStr">
        <is>
          <t>The three dashboard tabs: tables, graphs, filters, editing.</t>
        </is>
      </c>
    </row>
    <row r="42">
      <c r="A42" s="10" t="inlineStr">
        <is>
          <t>07_Architecture</t>
        </is>
      </c>
      <c r="B42" s="11" t="inlineStr">
        <is>
          <t>Single-file HTML + Excel-on-disk design and the file-access decision.</t>
        </is>
      </c>
    </row>
    <row r="43">
      <c r="A43" s="8" t="inlineStr">
        <is>
          <t>08_WBS_Schedule</t>
        </is>
      </c>
      <c r="B43" s="9" t="inlineStr">
        <is>
          <t>The five steps broken into tasks, deliverables and review gates.</t>
        </is>
      </c>
    </row>
    <row r="44">
      <c r="A44" s="10" t="inlineStr">
        <is>
          <t>09_Version_Control</t>
        </is>
      </c>
      <c r="B44" s="11" t="inlineStr">
        <is>
          <t>How plan, specification and output files are versioned together.</t>
        </is>
      </c>
    </row>
    <row r="45">
      <c r="A45" s="8" t="inlineStr">
        <is>
          <t>10_Risks</t>
        </is>
      </c>
      <c r="B45" s="9" t="inlineStr">
        <is>
          <t>Risks and assumptions with mitigations.</t>
        </is>
      </c>
    </row>
    <row r="46">
      <c r="A46" s="10" t="inlineStr">
        <is>
          <t>11_Open_Questions</t>
        </is>
      </c>
      <c r="B46" s="11" t="inlineStr">
        <is>
          <t>Your answers to Q-01..Q-12, and six new questions Q-13..Q-18.</t>
        </is>
      </c>
    </row>
    <row r="47">
      <c r="A47" s="8" t="inlineStr">
        <is>
          <t>12_Review_Log</t>
        </is>
      </c>
      <c r="B47" s="9" t="inlineStr">
        <is>
          <t>Every change made in v0.2 and why.</t>
        </is>
      </c>
    </row>
    <row r="49">
      <c r="A49" s="3" t="inlineStr">
        <is>
          <t>Legend</t>
        </is>
      </c>
    </row>
    <row r="50">
      <c r="A50" s="12" t="inlineStr">
        <is>
          <t>Green = new in v0.2, added from your review answers.</t>
        </is>
      </c>
    </row>
    <row r="51">
      <c r="A51" s="13" t="inlineStr">
        <is>
          <t>Orange = changed in v0.2 as a consequence of your review.</t>
        </is>
      </c>
    </row>
    <row r="52">
      <c r="A52"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Pending</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Six follow-up questions raised.</t>
        </is>
      </c>
      <c r="F7" s="8" t="inlineStr">
        <is>
          <t>Draft for review</t>
        </is>
      </c>
    </row>
    <row r="9">
      <c r="A9"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17" t="inlineStr">
        <is>
          <t>Import of all project and person data from ONE Excel workbook via a browser file picker or drag-and-drop.</t>
        </is>
      </c>
      <c r="B22" s="18" t="inlineStr">
        <is>
          <t>Q-09</t>
        </is>
      </c>
    </row>
    <row r="23">
      <c r="A23" s="19" t="inlineStr">
        <is>
          <t>Editing imported data inside the application, with the edits carried into the export.</t>
        </is>
      </c>
      <c r="B23" s="20" t="inlineStr">
        <is>
          <t>REQ-IMP-07</t>
        </is>
      </c>
    </row>
    <row r="24">
      <c r="A24" s="11" t="inlineStr">
        <is>
          <t>Export of the current working data back to .xlsx, so the workbook remains the archive of record.</t>
        </is>
      </c>
      <c r="B24" s="10" t="inlineStr">
        <is>
          <t>v0.1</t>
        </is>
      </c>
    </row>
    <row r="25">
      <c r="A25" s="17" t="inlineStr">
        <is>
          <t>Monthly resource simulation in FTE per project and per person, default 24-month horizon, expandable to the latest project end date.</t>
        </is>
      </c>
      <c r="B25" s="18"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9" t="inlineStr">
        <is>
          <t>Over-allocation and under-allocation detection against the agreed FTE thresholds.</t>
        </is>
      </c>
      <c r="B28" s="20"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6"/>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18" t="inlineStr">
        <is>
          <t>REQ-OUT-03</t>
        </is>
      </c>
      <c r="B7" s="18" t="inlineStr">
        <is>
          <t>Output</t>
        </is>
      </c>
      <c r="C7" s="17" t="inlineStr">
        <is>
          <t>Source data lives in ONE Excel workbook held separately from the HTML file, and that workbook is the archive of record.</t>
        </is>
      </c>
      <c r="D7" s="18" t="inlineStr">
        <is>
          <t>Must</t>
        </is>
      </c>
      <c r="E7" s="18" t="inlineStr">
        <is>
          <t>Q-09</t>
        </is>
      </c>
      <c r="F7" s="18"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10" t="inlineStr">
        <is>
          <t>REQ-PRJ-01</t>
        </is>
      </c>
      <c r="B10" s="10" t="inlineStr">
        <is>
          <t>Project data</t>
        </is>
      </c>
      <c r="C10" s="11" t="inlineStr">
        <is>
          <t>Each project records a project type, restricted to 'Clinical Trial' or 'Others'.</t>
        </is>
      </c>
      <c r="D10" s="10" t="inlineStr">
        <is>
          <t>Must</t>
        </is>
      </c>
      <c r="E10" s="10" t="inlineStr">
        <is>
          <t>Requester</t>
        </is>
      </c>
      <c r="F10" s="10" t="inlineStr">
        <is>
          <t>2</t>
        </is>
      </c>
    </row>
    <row r="11">
      <c r="A11" s="8" t="inlineStr">
        <is>
          <t>REQ-PRJ-02</t>
        </is>
      </c>
      <c r="B11" s="8" t="inlineStr">
        <is>
          <t>Project data</t>
        </is>
      </c>
      <c r="C11" s="9" t="inlineStr">
        <is>
          <t>Each project records a project category. Where type = 'Clinical Trial' the category is the product name; the field is optional for 'Others'.</t>
        </is>
      </c>
      <c r="D11" s="8" t="inlineStr">
        <is>
          <t>Must</t>
        </is>
      </c>
      <c r="E11" s="8" t="inlineStr">
        <is>
          <t>Requester</t>
        </is>
      </c>
      <c r="F11" s="8"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8" t="inlineStr">
        <is>
          <t>REQ-PRJ-04</t>
        </is>
      </c>
      <c r="B13" s="8" t="inlineStr">
        <is>
          <t>Project data</t>
        </is>
      </c>
      <c r="C13" s="9" t="inlineStr">
        <is>
          <t>Each project records its conditions: outsourcing type and the number of project members.</t>
        </is>
      </c>
      <c r="D13" s="8" t="inlineStr">
        <is>
          <t>Must</t>
        </is>
      </c>
      <c r="E13" s="8" t="inlineStr">
        <is>
          <t>Requester</t>
        </is>
      </c>
      <c r="F13" s="8" t="inlineStr">
        <is>
          <t>2</t>
        </is>
      </c>
    </row>
    <row r="14">
      <c r="A14" s="10" t="inlineStr">
        <is>
          <t>REQ-PRJ-05</t>
        </is>
      </c>
      <c r="B14" s="10" t="inlineStr">
        <is>
          <t>Project data</t>
        </is>
      </c>
      <c r="C14" s="11" t="inlineStr">
        <is>
          <t>Each project records a timeline: start date, major milestone dates, and total period.</t>
        </is>
      </c>
      <c r="D14" s="10" t="inlineStr">
        <is>
          <t>Must</t>
        </is>
      </c>
      <c r="E14" s="10" t="inlineStr">
        <is>
          <t>Requester</t>
        </is>
      </c>
      <c r="F14" s="10" t="inlineStr">
        <is>
          <t>2</t>
        </is>
      </c>
    </row>
    <row r="15">
      <c r="A15" s="8" t="inlineStr">
        <is>
          <t>REQ-PRJ-06</t>
        </is>
      </c>
      <c r="B15" s="8" t="inlineStr">
        <is>
          <t>Project data</t>
        </is>
      </c>
      <c r="C15" s="9" t="inlineStr">
        <is>
          <t>Each project carries a resource weight applicable to a defined period, so burden can differ across the project's phases.</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20" t="inlineStr">
        <is>
          <t>REQ-PRJ-09</t>
        </is>
      </c>
      <c r="B18" s="20" t="inlineStr">
        <is>
          <t>Project data</t>
        </is>
      </c>
      <c r="C18" s="19" t="inlineStr">
        <is>
          <t>A 'Clinical Trial' project records its clinical phase (phase 1 / 2 / 3 / 4).</t>
        </is>
      </c>
      <c r="D18" s="20" t="inlineStr">
        <is>
          <t>Must</t>
        </is>
      </c>
      <c r="E18" s="20" t="inlineStr">
        <is>
          <t>Reviewer v0.11</t>
        </is>
      </c>
      <c r="F18" s="20" t="inlineStr">
        <is>
          <t>2</t>
        </is>
      </c>
    </row>
    <row r="19">
      <c r="A19" s="20" t="inlineStr">
        <is>
          <t>REQ-PRJ-10</t>
        </is>
      </c>
      <c r="B19" s="20" t="inlineStr">
        <is>
          <t>Project data</t>
        </is>
      </c>
      <c r="C19" s="19" t="inlineStr">
        <is>
          <t>A 'Clinical Trial' project records who performs each of EDC set-up, data-review-system set-up, RBQM set-up and DM conduct ('by CRO' / 'by SB').</t>
        </is>
      </c>
      <c r="D19" s="20" t="inlineStr">
        <is>
          <t>Must</t>
        </is>
      </c>
      <c r="E19" s="20" t="inlineStr">
        <is>
          <t>Reviewer v0.11</t>
        </is>
      </c>
      <c r="F19" s="20" t="inlineStr">
        <is>
          <t>2</t>
        </is>
      </c>
    </row>
    <row r="20">
      <c r="A20" s="20" t="inlineStr">
        <is>
          <t>REQ-PRJ-11</t>
        </is>
      </c>
      <c r="B20" s="20" t="inlineStr">
        <is>
          <t>Project data</t>
        </is>
      </c>
      <c r="C20" s="19" t="inlineStr">
        <is>
          <t>A 'Clinical Trial' project records the EDC system, data review system and RBQM system in use, from data-driven value lists.</t>
        </is>
      </c>
      <c r="D20" s="20" t="inlineStr">
        <is>
          <t>Must</t>
        </is>
      </c>
      <c r="E20" s="20" t="inlineStr">
        <is>
          <t>Reviewer v0.11</t>
        </is>
      </c>
      <c r="F20" s="20" t="inlineStr">
        <is>
          <t>2</t>
        </is>
      </c>
    </row>
    <row r="21">
      <c r="A21" s="8" t="inlineStr">
        <is>
          <t>REQ-PSN-01</t>
        </is>
      </c>
      <c r="B21" s="8" t="inlineStr">
        <is>
          <t>Person data</t>
        </is>
      </c>
      <c r="C21" s="9" t="inlineStr">
        <is>
          <t>Data is managed by person, by project assigned, and by project role assigned.</t>
        </is>
      </c>
      <c r="D21" s="8" t="inlineStr">
        <is>
          <t>Must</t>
        </is>
      </c>
      <c r="E21" s="8" t="inlineStr">
        <is>
          <t>Requester</t>
        </is>
      </c>
      <c r="F21" s="8" t="inlineStr">
        <is>
          <t>2</t>
        </is>
      </c>
    </row>
    <row r="22">
      <c r="A22" s="10" t="inlineStr">
        <is>
          <t>REQ-PSN-02</t>
        </is>
      </c>
      <c r="B22" s="10" t="inlineStr">
        <is>
          <t>Person data</t>
        </is>
      </c>
      <c r="C22" s="11" t="inlineStr">
        <is>
          <t>Each assignment records the project(s) the person is assigned to.</t>
        </is>
      </c>
      <c r="D22" s="10" t="inlineStr">
        <is>
          <t>Must</t>
        </is>
      </c>
      <c r="E22" s="10" t="inlineStr">
        <is>
          <t>Requester</t>
        </is>
      </c>
      <c r="F22" s="10" t="inlineStr">
        <is>
          <t>2</t>
        </is>
      </c>
    </row>
    <row r="23">
      <c r="A23" s="18" t="inlineStr">
        <is>
          <t>REQ-PSN-03</t>
        </is>
      </c>
      <c r="B23" s="18" t="inlineStr">
        <is>
          <t>Person data</t>
        </is>
      </c>
      <c r="C23" s="17" t="inlineStr">
        <is>
          <t>Each assignment records the role(s) the person holds on that project, drawn from the role list valid for that project's type.</t>
        </is>
      </c>
      <c r="D23" s="18" t="inlineStr">
        <is>
          <t>Must</t>
        </is>
      </c>
      <c r="E23" s="18" t="inlineStr">
        <is>
          <t>Q-03</t>
        </is>
      </c>
      <c r="F23" s="18" t="inlineStr">
        <is>
          <t>2</t>
        </is>
      </c>
    </row>
    <row r="24">
      <c r="A24" s="10" t="inlineStr">
        <is>
          <t>REQ-PSN-04</t>
        </is>
      </c>
      <c r="B24" s="10" t="inlineStr">
        <is>
          <t>Person data</t>
        </is>
      </c>
      <c r="C24" s="11" t="inlineStr">
        <is>
          <t>Each assignment records the start date the person joins and the end date they leave that study.</t>
        </is>
      </c>
      <c r="D24" s="10" t="inlineStr">
        <is>
          <t>Must</t>
        </is>
      </c>
      <c r="E24" s="10" t="inlineStr">
        <is>
          <t>Requester</t>
        </is>
      </c>
      <c r="F24" s="10" t="inlineStr">
        <is>
          <t>2</t>
        </is>
      </c>
    </row>
    <row r="25">
      <c r="A25" s="18" t="inlineStr">
        <is>
          <t>REQ-PSN-05</t>
        </is>
      </c>
      <c r="B25" s="18" t="inlineStr">
        <is>
          <t>Person data</t>
        </is>
      </c>
      <c r="C25" s="17" t="inlineStr">
        <is>
          <t>Each assignment carries a person weight saying how much that person works on that project, with optional period-specific overrides.</t>
        </is>
      </c>
      <c r="D25" s="18" t="inlineStr">
        <is>
          <t>Must</t>
        </is>
      </c>
      <c r="E25" s="18" t="inlineStr">
        <is>
          <t>Q-01</t>
        </is>
      </c>
      <c r="F25" s="18" t="inlineStr">
        <is>
          <t>2</t>
        </is>
      </c>
    </row>
    <row r="26">
      <c r="A26" s="10" t="inlineStr">
        <is>
          <t>REQ-PSN-06</t>
        </is>
      </c>
      <c r="B26" s="10" t="inlineStr">
        <is>
          <t>Person data</t>
        </is>
      </c>
      <c r="C26" s="11" t="inlineStr">
        <is>
          <t>The person record accepts further project-related information without a schema change.</t>
        </is>
      </c>
      <c r="D26" s="10" t="inlineStr">
        <is>
          <t>Should</t>
        </is>
      </c>
      <c r="E26" s="10" t="inlineStr">
        <is>
          <t>Requester</t>
        </is>
      </c>
      <c r="F26" s="10" t="inlineStr">
        <is>
          <t>2</t>
        </is>
      </c>
    </row>
    <row r="27">
      <c r="A27" s="8" t="inlineStr">
        <is>
          <t>REQ-PSN-07</t>
        </is>
      </c>
      <c r="B27" s="8" t="inlineStr">
        <is>
          <t>Person data</t>
        </is>
      </c>
      <c r="C27" s="9" t="inlineStr">
        <is>
          <t>One person may hold assignments on several projects simultaneously, and may hold more than one role on the same project.</t>
        </is>
      </c>
      <c r="D27" s="8" t="inlineStr">
        <is>
          <t>Must</t>
        </is>
      </c>
      <c r="E27" s="8" t="inlineStr">
        <is>
          <t>Derived</t>
        </is>
      </c>
      <c r="F27" s="8" t="inlineStr">
        <is>
          <t>2</t>
        </is>
      </c>
    </row>
    <row r="28">
      <c r="A28" s="18" t="inlineStr">
        <is>
          <t>REQ-CAL-01</t>
        </is>
      </c>
      <c r="B28" s="18" t="inlineStr">
        <is>
          <t>Calculation</t>
        </is>
      </c>
      <c r="C28" s="17" t="inlineStr">
        <is>
          <t>Resource is simulated on a monthly grid, default horizon 24 months, expandable to the latest project end date.</t>
        </is>
      </c>
      <c r="D28" s="18" t="inlineStr">
        <is>
          <t>Must</t>
        </is>
      </c>
      <c r="E28" s="18" t="inlineStr">
        <is>
          <t>Q-11</t>
        </is>
      </c>
      <c r="F28" s="18" t="inlineStr">
        <is>
          <t>4</t>
        </is>
      </c>
    </row>
    <row r="29">
      <c r="A29" s="18" t="inlineStr">
        <is>
          <t>REQ-CAL-02</t>
        </is>
      </c>
      <c r="B29" s="18" t="inlineStr">
        <is>
          <t>Calculation</t>
        </is>
      </c>
      <c r="C29" s="17" t="inlineStr">
        <is>
          <t>Monthly load for an assignment = project period weight x role factor x person weight x fraction of the month covered. There is no separate base allocation.</t>
        </is>
      </c>
      <c r="D29" s="18" t="inlineStr">
        <is>
          <t>Must</t>
        </is>
      </c>
      <c r="E29" s="18" t="inlineStr">
        <is>
          <t>Q-01</t>
        </is>
      </c>
      <c r="F29" s="18" t="inlineStr">
        <is>
          <t>2,4</t>
        </is>
      </c>
    </row>
    <row r="30">
      <c r="A30" s="10" t="inlineStr">
        <is>
          <t>REQ-CAL-03</t>
        </is>
      </c>
      <c r="B30" s="10" t="inlineStr">
        <is>
          <t>Calculation</t>
        </is>
      </c>
      <c r="C30" s="11" t="inlineStr">
        <is>
          <t>Project monthly load is the sum of its assignments; person monthly load is the sum across all their projects.</t>
        </is>
      </c>
      <c r="D30" s="10" t="inlineStr">
        <is>
          <t>Must</t>
        </is>
      </c>
      <c r="E30" s="10" t="inlineStr">
        <is>
          <t>Requester</t>
        </is>
      </c>
      <c r="F30" s="10" t="inlineStr">
        <is>
          <t>4</t>
        </is>
      </c>
    </row>
    <row r="31">
      <c r="A31" s="18" t="inlineStr">
        <is>
          <t>REQ-CAL-04</t>
        </is>
      </c>
      <c r="B31" s="18" t="inlineStr">
        <is>
          <t>Calculation</t>
        </is>
      </c>
      <c r="C31" s="17" t="inlineStr">
        <is>
          <t>A person-month whose total exceeds the over-allocation threshold (default 1.50 FTE) is flagged as over-allocated.</t>
        </is>
      </c>
      <c r="D31" s="18" t="inlineStr">
        <is>
          <t>Must</t>
        </is>
      </c>
      <c r="E31" s="18" t="inlineStr">
        <is>
          <t>Q-08</t>
        </is>
      </c>
      <c r="F31" s="18" t="inlineStr">
        <is>
          <t>4</t>
        </is>
      </c>
    </row>
    <row r="32">
      <c r="A32" s="18" t="inlineStr">
        <is>
          <t>REQ-CAL-05</t>
        </is>
      </c>
      <c r="B32" s="18" t="inlineStr">
        <is>
          <t>Calculation</t>
        </is>
      </c>
      <c r="C32" s="17" t="inlineStr">
        <is>
          <t>A partial first or last month is pro-rated by calendar days worked, not counted as a whole month.</t>
        </is>
      </c>
      <c r="D32" s="18" t="inlineStr">
        <is>
          <t>Must</t>
        </is>
      </c>
      <c r="E32" s="18" t="inlineStr">
        <is>
          <t>Q-02</t>
        </is>
      </c>
      <c r="F32" s="18" t="inlineStr">
        <is>
          <t>4</t>
        </is>
      </c>
    </row>
    <row r="33">
      <c r="A33" s="8" t="inlineStr">
        <is>
          <t>REQ-CAL-06</t>
        </is>
      </c>
      <c r="B33" s="8" t="inlineStr">
        <is>
          <t>Calculation</t>
        </is>
      </c>
      <c r="C33" s="9" t="inlineStr">
        <is>
          <t>All weights, factors and thresholds are data, held in the source workbook, never hardcoded in the program.</t>
        </is>
      </c>
      <c r="D33" s="8" t="inlineStr">
        <is>
          <t>Must</t>
        </is>
      </c>
      <c r="E33" s="8" t="inlineStr">
        <is>
          <t>Derived</t>
        </is>
      </c>
      <c r="F33" s="8" t="inlineStr">
        <is>
          <t>4</t>
        </is>
      </c>
    </row>
    <row r="34">
      <c r="A34" s="20" t="inlineStr">
        <is>
          <t>REQ-CAL-07</t>
        </is>
      </c>
      <c r="B34" s="20" t="inlineStr">
        <is>
          <t>Calculation</t>
        </is>
      </c>
      <c r="C34" s="19" t="inlineStr">
        <is>
          <t>A person whose monthly total stays below the under-allocation threshold (default 0.80 FTE) for three or more consecutive months is flagged as under-allocated, with the run's start and length reported.</t>
        </is>
      </c>
      <c r="D34" s="20" t="inlineStr">
        <is>
          <t>Must</t>
        </is>
      </c>
      <c r="E34" s="20" t="inlineStr">
        <is>
          <t>Q-08</t>
        </is>
      </c>
      <c r="F34" s="20" t="inlineStr">
        <is>
          <t>4</t>
        </is>
      </c>
    </row>
    <row r="35">
      <c r="A35" s="20" t="inlineStr">
        <is>
          <t>REQ-CAL-08</t>
        </is>
      </c>
      <c r="B35" s="20" t="inlineStr">
        <is>
          <t>Calculation</t>
        </is>
      </c>
      <c r="C35" s="19" t="inlineStr">
        <is>
          <t>Load is expressed in FTE, where 1.00 FTE = 160 hours per month (8 h/day x 5 days/week x 20 days/month). Hours are shown alongside FTE where useful.</t>
        </is>
      </c>
      <c r="D35" s="20" t="inlineStr">
        <is>
          <t>Must</t>
        </is>
      </c>
      <c r="E35" s="20" t="inlineStr">
        <is>
          <t>Q-08</t>
        </is>
      </c>
      <c r="F35" s="20" t="inlineStr">
        <is>
          <t>4</t>
        </is>
      </c>
    </row>
    <row r="36">
      <c r="A36" s="20" t="inlineStr">
        <is>
          <t>REQ-CAL-09</t>
        </is>
      </c>
      <c r="B36" s="20" t="inlineStr">
        <is>
          <t>Calculation</t>
        </is>
      </c>
      <c r="C36" s="19" t="inlineStr">
        <is>
          <t>Project period weights are derived from the project's milestone dates, so a timeline change re-shapes the weight periods without re-typing them.</t>
        </is>
      </c>
      <c r="D36" s="20" t="inlineStr">
        <is>
          <t>Should</t>
        </is>
      </c>
      <c r="E36" s="20" t="inlineStr">
        <is>
          <t>Q-01, Q-04</t>
        </is>
      </c>
      <c r="F36" s="20" t="inlineStr">
        <is>
          <t>2,4</t>
        </is>
      </c>
    </row>
    <row r="37">
      <c r="A37" s="8" t="inlineStr">
        <is>
          <t>REQ-DSH-01</t>
        </is>
      </c>
      <c r="B37" s="8" t="inlineStr">
        <is>
          <t>Dashboard</t>
        </is>
      </c>
      <c r="C37" s="9" t="inlineStr">
        <is>
          <t>Tab 'Overall' shows monthly resource simulation per project and per person as tables.</t>
        </is>
      </c>
      <c r="D37" s="8" t="inlineStr">
        <is>
          <t>Must</t>
        </is>
      </c>
      <c r="E37" s="8" t="inlineStr">
        <is>
          <t>Requester</t>
        </is>
      </c>
      <c r="F37" s="8" t="inlineStr">
        <is>
          <t>3,4</t>
        </is>
      </c>
    </row>
    <row r="38">
      <c r="A38" s="10" t="inlineStr">
        <is>
          <t>REQ-DSH-02</t>
        </is>
      </c>
      <c r="B38" s="10" t="inlineStr">
        <is>
          <t>Dashboard</t>
        </is>
      </c>
      <c r="C38" s="11" t="inlineStr">
        <is>
          <t>Tab 'Overall' shows appropriate graphs of the same simulation.</t>
        </is>
      </c>
      <c r="D38" s="10" t="inlineStr">
        <is>
          <t>Must</t>
        </is>
      </c>
      <c r="E38" s="10" t="inlineStr">
        <is>
          <t>Requester</t>
        </is>
      </c>
      <c r="F38" s="10" t="inlineStr">
        <is>
          <t>3,4</t>
        </is>
      </c>
    </row>
    <row r="39">
      <c r="A39" s="8" t="inlineStr">
        <is>
          <t>REQ-DSH-03</t>
        </is>
      </c>
      <c r="B39" s="8" t="inlineStr">
        <is>
          <t>Dashboard</t>
        </is>
      </c>
      <c r="C39" s="9" t="inlineStr">
        <is>
          <t>Tab 'Source data (project)' shows project information as a table.</t>
        </is>
      </c>
      <c r="D39" s="8" t="inlineStr">
        <is>
          <t>Must</t>
        </is>
      </c>
      <c r="E39" s="8" t="inlineStr">
        <is>
          <t>Requester</t>
        </is>
      </c>
      <c r="F39" s="8" t="inlineStr">
        <is>
          <t>3,4</t>
        </is>
      </c>
    </row>
    <row r="40">
      <c r="A40" s="10" t="inlineStr">
        <is>
          <t>REQ-DSH-04</t>
        </is>
      </c>
      <c r="B40" s="10" t="inlineStr">
        <is>
          <t>Dashboard</t>
        </is>
      </c>
      <c r="C40" s="11" t="inlineStr">
        <is>
          <t>Tab 'Source data (person)' shows person information as a table.</t>
        </is>
      </c>
      <c r="D40" s="10" t="inlineStr">
        <is>
          <t>Must</t>
        </is>
      </c>
      <c r="E40" s="10" t="inlineStr">
        <is>
          <t>Requester</t>
        </is>
      </c>
      <c r="F40" s="10" t="inlineStr">
        <is>
          <t>3,4</t>
        </is>
      </c>
    </row>
    <row r="41">
      <c r="A41" s="8" t="inlineStr">
        <is>
          <t>REQ-DSH-05</t>
        </is>
      </c>
      <c r="B41" s="8" t="inlineStr">
        <is>
          <t>Dashboard</t>
        </is>
      </c>
      <c r="C41" s="9" t="inlineStr">
        <is>
          <t>Tables can be filtered by date horizon, project type, project, person and role.</t>
        </is>
      </c>
      <c r="D41" s="8" t="inlineStr">
        <is>
          <t>Should</t>
        </is>
      </c>
      <c r="E41" s="8" t="inlineStr">
        <is>
          <t>Derived</t>
        </is>
      </c>
      <c r="F41" s="8" t="inlineStr">
        <is>
          <t>3,4</t>
        </is>
      </c>
    </row>
    <row r="42">
      <c r="A42" s="10" t="inlineStr">
        <is>
          <t>REQ-DSH-06</t>
        </is>
      </c>
      <c r="B42" s="10" t="inlineStr">
        <is>
          <t>Dashboard</t>
        </is>
      </c>
      <c r="C42" s="11" t="inlineStr">
        <is>
          <t>Any table on screen can be exported to Excel.</t>
        </is>
      </c>
      <c r="D42" s="10" t="inlineStr">
        <is>
          <t>Should</t>
        </is>
      </c>
      <c r="E42" s="10" t="inlineStr">
        <is>
          <t>Derived</t>
        </is>
      </c>
      <c r="F42" s="10" t="inlineStr">
        <is>
          <t>4</t>
        </is>
      </c>
    </row>
    <row r="43">
      <c r="A43" s="20" t="inlineStr">
        <is>
          <t>REQ-DSH-07</t>
        </is>
      </c>
      <c r="B43" s="20" t="inlineStr">
        <is>
          <t>Dashboard</t>
        </is>
      </c>
      <c r="C43" s="19" t="inlineStr">
        <is>
          <t>The horizon control offers 24 months by default and a one-click expansion to cover the latest project end date across all projects.</t>
        </is>
      </c>
      <c r="D43" s="20" t="inlineStr">
        <is>
          <t>Must</t>
        </is>
      </c>
      <c r="E43" s="20" t="inlineStr">
        <is>
          <t>Q-11</t>
        </is>
      </c>
      <c r="F43" s="20" t="inlineStr">
        <is>
          <t>3,4</t>
        </is>
      </c>
    </row>
    <row r="44">
      <c r="A44" s="20" t="inlineStr">
        <is>
          <t>REQ-DSH-08</t>
        </is>
      </c>
      <c r="B44" s="20" t="inlineStr">
        <is>
          <t>Dashboard</t>
        </is>
      </c>
      <c r="C44" s="19" t="inlineStr">
        <is>
          <t>Over-allocated and under-allocated person-months are distinguishable at a glance, and both are counted in the summary tiles.</t>
        </is>
      </c>
      <c r="D44" s="20" t="inlineStr">
        <is>
          <t>Must</t>
        </is>
      </c>
      <c r="E44" s="20" t="inlineStr">
        <is>
          <t>Q-08</t>
        </is>
      </c>
      <c r="F44" s="20" t="inlineStr">
        <is>
          <t>3,4</t>
        </is>
      </c>
    </row>
    <row r="45">
      <c r="A45" s="18" t="inlineStr">
        <is>
          <t>REQ-IMP-01</t>
        </is>
      </c>
      <c r="B45" s="18" t="inlineStr">
        <is>
          <t>Import/Export</t>
        </is>
      </c>
      <c r="C45" s="17" t="inlineStr">
        <is>
          <t>The user loads the source workbook through a file picker or drag-and-drop, chosen because a local HTML page cannot open a file from disk unaided.</t>
        </is>
      </c>
      <c r="D45" s="18" t="inlineStr">
        <is>
          <t>Must</t>
        </is>
      </c>
      <c r="E45" s="18" t="inlineStr">
        <is>
          <t>Decision D-01</t>
        </is>
      </c>
      <c r="F45" s="18" t="inlineStr">
        <is>
          <t>4</t>
        </is>
      </c>
    </row>
    <row r="46">
      <c r="A46" s="10" t="inlineStr">
        <is>
          <t>REQ-IMP-02</t>
        </is>
      </c>
      <c r="B46" s="10" t="inlineStr">
        <is>
          <t>Import/Export</t>
        </is>
      </c>
      <c r="C46" s="11" t="inlineStr">
        <is>
          <t>Loading validates the workbook and reports every problem found - missing sheet, missing column, bad date, unknown project reference - without stopping at the first one.</t>
        </is>
      </c>
      <c r="D46" s="10" t="inlineStr">
        <is>
          <t>Must</t>
        </is>
      </c>
      <c r="E46" s="10" t="inlineStr">
        <is>
          <t>Derived</t>
        </is>
      </c>
      <c r="F46" s="10" t="inlineStr">
        <is>
          <t>4</t>
        </is>
      </c>
    </row>
    <row r="47">
      <c r="A47" s="18" t="inlineStr">
        <is>
          <t>REQ-IMP-03</t>
        </is>
      </c>
      <c r="B47" s="18" t="inlineStr">
        <is>
          <t>Import/Export</t>
        </is>
      </c>
      <c r="C47" s="17" t="inlineStr">
        <is>
          <t>A blank source workbook template with correct sheet names, headers, value lists and one example row is delivered with the application.</t>
        </is>
      </c>
      <c r="D47" s="18" t="inlineStr">
        <is>
          <t>Must</t>
        </is>
      </c>
      <c r="E47" s="18" t="inlineStr">
        <is>
          <t>Derived</t>
        </is>
      </c>
      <c r="F47" s="18" t="inlineStr">
        <is>
          <t>4</t>
        </is>
      </c>
    </row>
    <row r="48">
      <c r="A48" s="10" t="inlineStr">
        <is>
          <t>REQ-IMP-04</t>
        </is>
      </c>
      <c r="B48" s="10" t="inlineStr">
        <is>
          <t>Import/Export</t>
        </is>
      </c>
      <c r="C48" s="11" t="inlineStr">
        <is>
          <t>The user can export current data back to .xlsx, preserving the template layout so the export can be re-imported.</t>
        </is>
      </c>
      <c r="D48" s="10" t="inlineStr">
        <is>
          <t>Must</t>
        </is>
      </c>
      <c r="E48" s="10" t="inlineStr">
        <is>
          <t>Derived</t>
        </is>
      </c>
      <c r="F48" s="10" t="inlineStr">
        <is>
          <t>4</t>
        </is>
      </c>
    </row>
    <row r="49">
      <c r="A49" s="8" t="inlineStr">
        <is>
          <t>REQ-IMP-05</t>
        </is>
      </c>
      <c r="B49" s="8" t="inlineStr">
        <is>
          <t>Import/Export</t>
        </is>
      </c>
      <c r="C49" s="9" t="inlineStr">
        <is>
          <t>The application records which file was loaded, and when, and shows it on screen.</t>
        </is>
      </c>
      <c r="D49" s="8" t="inlineStr">
        <is>
          <t>Should</t>
        </is>
      </c>
      <c r="E49" s="8" t="inlineStr">
        <is>
          <t>Derived</t>
        </is>
      </c>
      <c r="F49" s="8" t="inlineStr">
        <is>
          <t>4</t>
        </is>
      </c>
    </row>
    <row r="50">
      <c r="A50" s="10" t="inlineStr">
        <is>
          <t>REQ-IMP-06</t>
        </is>
      </c>
      <c r="B50" s="10" t="inlineStr">
        <is>
          <t>Import/Export</t>
        </is>
      </c>
      <c r="C50" s="11" t="inlineStr">
        <is>
          <t>Loaded data may be cached in the browser so re-opening the page does not force a re-import; the cache never replaces the workbook as the record.</t>
        </is>
      </c>
      <c r="D50" s="10" t="inlineStr">
        <is>
          <t>Could</t>
        </is>
      </c>
      <c r="E50" s="10" t="inlineStr">
        <is>
          <t>Derived</t>
        </is>
      </c>
      <c r="F50" s="10" t="inlineStr">
        <is>
          <t>4</t>
        </is>
      </c>
    </row>
    <row r="51">
      <c r="A51" s="20" t="inlineStr">
        <is>
          <t>REQ-IMP-07</t>
        </is>
      </c>
      <c r="B51" s="20" t="inlineStr">
        <is>
          <t>Import/Export</t>
        </is>
      </c>
      <c r="C51" s="19" t="inlineStr">
        <is>
          <t>After import, the application lets the user update the data on screen, and those updates are carried into the file produced on export.</t>
        </is>
      </c>
      <c r="D51" s="20" t="inlineStr">
        <is>
          <t>Must</t>
        </is>
      </c>
      <c r="E51" s="20" t="inlineStr">
        <is>
          <t>Reviewer v0.11</t>
        </is>
      </c>
      <c r="F51" s="20" t="inlineStr">
        <is>
          <t>4</t>
        </is>
      </c>
    </row>
    <row r="52">
      <c r="A52" s="20" t="inlineStr">
        <is>
          <t>REQ-IMP-08</t>
        </is>
      </c>
      <c r="B52" s="20" t="inlineStr">
        <is>
          <t>Import/Export</t>
        </is>
      </c>
      <c r="C52" s="19" t="inlineStr">
        <is>
          <t>Unsaved edits are visible as such, and the user is warned before any action that would discard them (closing the page, loading another file).</t>
        </is>
      </c>
      <c r="D52" s="20" t="inlineStr">
        <is>
          <t>Must</t>
        </is>
      </c>
      <c r="E52" s="20" t="inlineStr">
        <is>
          <t>Derived from REQ-IMP-07</t>
        </is>
      </c>
      <c r="F52" s="20" t="inlineStr">
        <is>
          <t>4</t>
        </is>
      </c>
    </row>
    <row r="53">
      <c r="A53" s="20" t="inlineStr">
        <is>
          <t>REQ-IMP-09</t>
        </is>
      </c>
      <c r="B53" s="20" t="inlineStr">
        <is>
          <t>Import/Export</t>
        </is>
      </c>
      <c r="C53" s="19" t="inlineStr">
        <is>
          <t>An on-screen edit is re-validated against the same rules as an imported value, so editing cannot introduce data the import would have rejected.</t>
        </is>
      </c>
      <c r="D53" s="20" t="inlineStr">
        <is>
          <t>Must</t>
        </is>
      </c>
      <c r="E53" s="20" t="inlineStr">
        <is>
          <t>Derived from REQ-IMP-07</t>
        </is>
      </c>
      <c r="F53" s="20" t="inlineStr">
        <is>
          <t>4</t>
        </is>
      </c>
    </row>
    <row r="54">
      <c r="A54" s="10" t="inlineStr">
        <is>
          <t>REQ-VC-01</t>
        </is>
      </c>
      <c r="B54" s="10" t="inlineStr">
        <is>
          <t>Version control</t>
        </is>
      </c>
      <c r="C54" s="11" t="inlineStr">
        <is>
          <t>Development plan, programming specification and output files are version-controlled together and their versions are cross-referenced.</t>
        </is>
      </c>
      <c r="D54" s="10" t="inlineStr">
        <is>
          <t>Must</t>
        </is>
      </c>
      <c r="E54" s="10" t="inlineStr">
        <is>
          <t>Requester</t>
        </is>
      </c>
      <c r="F54" s="10" t="inlineStr">
        <is>
          <t>1-5</t>
        </is>
      </c>
    </row>
    <row r="55">
      <c r="A55" s="8" t="inlineStr">
        <is>
          <t>REQ-VC-02</t>
        </is>
      </c>
      <c r="B55" s="8" t="inlineStr">
        <is>
          <t>Version control</t>
        </is>
      </c>
      <c r="C55" s="9" t="inlineStr">
        <is>
          <t>The application displays its own version, and the version of the source data schema it expects.</t>
        </is>
      </c>
      <c r="D55" s="8" t="inlineStr">
        <is>
          <t>Must</t>
        </is>
      </c>
      <c r="E55" s="8" t="inlineStr">
        <is>
          <t>Requester</t>
        </is>
      </c>
      <c r="F55" s="8" t="inlineStr">
        <is>
          <t>4</t>
        </is>
      </c>
    </row>
    <row r="56">
      <c r="A56" s="10" t="inlineStr">
        <is>
          <t>REQ-VC-03</t>
        </is>
      </c>
      <c r="B56" s="10" t="inlineStr">
        <is>
          <t>Version control</t>
        </is>
      </c>
      <c r="C56" s="11" t="inlineStr">
        <is>
          <t>Loading a source file whose schema version is newer or older than the application expects produces a clear warning.</t>
        </is>
      </c>
      <c r="D56" s="10" t="inlineStr">
        <is>
          <t>Should</t>
        </is>
      </c>
      <c r="E56" s="10" t="inlineStr">
        <is>
          <t>Derived</t>
        </is>
      </c>
      <c r="F56" s="10" t="inlineStr">
        <is>
          <t>4</t>
        </is>
      </c>
    </row>
    <row r="57">
      <c r="A57" s="8" t="inlineStr">
        <is>
          <t>REQ-VC-04</t>
        </is>
      </c>
      <c r="B57" s="8" t="inlineStr">
        <is>
          <t>Version control</t>
        </is>
      </c>
      <c r="C57" s="9" t="inlineStr">
        <is>
          <t>Every document re-issue adds a version-history row stating what changed and why.</t>
        </is>
      </c>
      <c r="D57" s="8" t="inlineStr">
        <is>
          <t>Must</t>
        </is>
      </c>
      <c r="E57" s="8" t="inlineStr">
        <is>
          <t>Requester</t>
        </is>
      </c>
      <c r="F57" s="8" t="inlineStr">
        <is>
          <t>1-5</t>
        </is>
      </c>
    </row>
    <row r="58">
      <c r="A58" s="10" t="inlineStr">
        <is>
          <t>REQ-NFR-01</t>
        </is>
      </c>
      <c r="B58" s="10" t="inlineStr">
        <is>
          <t>Non-functional</t>
        </is>
      </c>
      <c r="C58" s="11" t="inlineStr">
        <is>
          <t>The application is built so later requirements can be added without restructuring: parsing, calculation and presentation are separated.</t>
        </is>
      </c>
      <c r="D58" s="10" t="inlineStr">
        <is>
          <t>Must</t>
        </is>
      </c>
      <c r="E58" s="10" t="inlineStr">
        <is>
          <t>Requester</t>
        </is>
      </c>
      <c r="F58" s="10" t="inlineStr">
        <is>
          <t>4</t>
        </is>
      </c>
    </row>
    <row r="59">
      <c r="A59" s="8" t="inlineStr">
        <is>
          <t>REQ-NFR-02</t>
        </is>
      </c>
      <c r="B59" s="8" t="inlineStr">
        <is>
          <t>Non-functional</t>
        </is>
      </c>
      <c r="C59" s="9" t="inlineStr">
        <is>
          <t>Works in Microsoft Edge and Google Chrome on Windows 10/11, offline.</t>
        </is>
      </c>
      <c r="D59" s="8" t="inlineStr">
        <is>
          <t>Must</t>
        </is>
      </c>
      <c r="E59" s="8" t="inlineStr">
        <is>
          <t>Q-05</t>
        </is>
      </c>
      <c r="F59" s="8" t="inlineStr">
        <is>
          <t>4</t>
        </is>
      </c>
    </row>
    <row r="60">
      <c r="A60" s="18" t="inlineStr">
        <is>
          <t>REQ-NFR-03</t>
        </is>
      </c>
      <c r="B60" s="18" t="inlineStr">
        <is>
          <t>Non-functional</t>
        </is>
      </c>
      <c r="C60" s="17" t="inlineStr">
        <is>
          <t>Handles the working data volume - 20 projects, 30 people - with headroom to 50 projects, 100 people, 500 assignments and a 60-month horizon, redrawing in under about 1 second.</t>
        </is>
      </c>
      <c r="D60" s="18" t="inlineStr">
        <is>
          <t>Should</t>
        </is>
      </c>
      <c r="E60" s="18" t="inlineStr">
        <is>
          <t>Q-06</t>
        </is>
      </c>
      <c r="F60" s="18" t="inlineStr">
        <is>
          <t>4</t>
        </is>
      </c>
    </row>
    <row r="61">
      <c r="A61" s="8" t="inlineStr">
        <is>
          <t>REQ-NFR-04</t>
        </is>
      </c>
      <c r="B61" s="8" t="inlineStr">
        <is>
          <t>Non-functional</t>
        </is>
      </c>
      <c r="C61" s="9" t="inlineStr">
        <is>
          <t>No data leaves the PC: no network calls, no external CDN, no telemetry.</t>
        </is>
      </c>
      <c r="D61" s="8" t="inlineStr">
        <is>
          <t>Must</t>
        </is>
      </c>
      <c r="E61" s="8" t="inlineStr">
        <is>
          <t>Derived</t>
        </is>
      </c>
      <c r="F61" s="8" t="inlineStr">
        <is>
          <t>4</t>
        </is>
      </c>
    </row>
    <row r="62">
      <c r="A62" s="10" t="inlineStr">
        <is>
          <t>REQ-NFR-05</t>
        </is>
      </c>
      <c r="B62" s="10" t="inlineStr">
        <is>
          <t>Non-functional</t>
        </is>
      </c>
      <c r="C62" s="11" t="inlineStr">
        <is>
          <t>Dates are handled unambiguously (ISO yyyy-mm-dd internally) regardless of Windows regional settings.</t>
        </is>
      </c>
      <c r="D62" s="10" t="inlineStr">
        <is>
          <t>Must</t>
        </is>
      </c>
      <c r="E62" s="10" t="inlineStr">
        <is>
          <t>Derived</t>
        </is>
      </c>
      <c r="F62" s="10" t="inlineStr">
        <is>
          <t>4</t>
        </is>
      </c>
    </row>
    <row r="64">
      <c r="A64" s="5" t="inlineStr">
        <is>
          <t>Requirement count by priority</t>
        </is>
      </c>
    </row>
    <row r="65" ht="28" customHeight="1">
      <c r="A65" s="7" t="inlineStr">
        <is>
          <t>Priority</t>
        </is>
      </c>
      <c r="B65" s="7" t="inlineStr">
        <is>
          <t>Count</t>
        </is>
      </c>
    </row>
    <row r="66">
      <c r="A66" s="8" t="inlineStr">
        <is>
          <t>Must</t>
        </is>
      </c>
      <c r="B66" s="8">
        <f>COUNTIF(D5:D62,"Must")</f>
        <v/>
      </c>
    </row>
    <row r="67">
      <c r="A67" s="10" t="inlineStr">
        <is>
          <t>Should</t>
        </is>
      </c>
      <c r="B67" s="10">
        <f>COUNTIF(D5:D62,"Should")</f>
        <v/>
      </c>
    </row>
    <row r="68">
      <c r="A68" s="8" t="inlineStr">
        <is>
          <t>Could</t>
        </is>
      </c>
      <c r="B68" s="8">
        <f>COUNTIF(D5:D62,"Could")</f>
        <v/>
      </c>
    </row>
    <row r="69">
      <c r="A69" s="10" t="inlineStr">
        <is>
          <t>Total</t>
        </is>
      </c>
      <c r="B69" s="10">
        <f>COUNTA(A5:A62)</f>
        <v/>
      </c>
    </row>
    <row r="71">
      <c r="A71" s="16" t="inlineStr">
        <is>
          <t>v0.1 held 47 requirements. v0.2 adds 12 and rewords 10.</t>
        </is>
      </c>
    </row>
    <row r="72">
      <c r="A72" s="16" t="inlineStr">
        <is>
          <t>'Source' = Requester (in the original request), a Q-number (answered at v0.11 review), 'Reviewer v0.11' (added by the reviewer directly), Derived (engineering consequence), or a Decision ID from 07_Architecture.</t>
        </is>
      </c>
    </row>
    <row r="73">
      <c r="A73" s="3" t="inlineStr">
        <is>
          <t>Legend</t>
        </is>
      </c>
    </row>
    <row r="74">
      <c r="A74" s="12" t="inlineStr">
        <is>
          <t>Green = new in v0.2, added from your review answers.</t>
        </is>
      </c>
    </row>
    <row r="75">
      <c r="A75" s="13" t="inlineStr">
        <is>
          <t>Orange = changed in v0.2 as a consequence of your review.</t>
        </is>
      </c>
    </row>
    <row r="76">
      <c r="A76" s="14" t="inlineStr">
        <is>
          <t>Yellow = still needs your input.</t>
        </is>
      </c>
    </row>
  </sheetData>
  <dataValidations count="1">
    <dataValidation sqref="D5:D62"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45"/>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20" t="inlineStr">
        <is>
          <t>ProjectPeriod</t>
        </is>
      </c>
      <c r="B8" s="19" t="inlineStr">
        <is>
          <t>The four standard periods per project, with their start/end and weight.</t>
        </is>
      </c>
      <c r="C8" s="20" t="inlineStr">
        <is>
          <t>Child of Project</t>
        </is>
      </c>
    </row>
    <row r="9">
      <c r="A9" s="20" t="inlineStr">
        <is>
          <t>PeriodWeightStandard</t>
        </is>
      </c>
      <c r="B9" s="19" t="inlineStr">
        <is>
          <t>Default weight per project category x period. Seeds ProjectPeriod.</t>
        </is>
      </c>
      <c r="C9" s="20" t="inlineStr">
        <is>
          <t>Reference</t>
        </is>
      </c>
    </row>
    <row r="10">
      <c r="A10" s="8" t="inlineStr">
        <is>
          <t>RoleFactor</t>
        </is>
      </c>
      <c r="B10" s="9" t="inlineStr">
        <is>
          <t>Role list and burden factor, per project type.</t>
        </is>
      </c>
      <c r="C10" s="8"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20" t="inlineStr">
        <is>
          <t>Lists</t>
        </is>
      </c>
      <c r="B14" s="19" t="inlineStr">
        <is>
          <t>Value lists for every data-driven dropdown, so lists change without code.</t>
        </is>
      </c>
      <c r="C14" s="20" t="inlineStr">
        <is>
          <t>Reference</t>
        </is>
      </c>
    </row>
    <row r="15">
      <c r="A15" s="10" t="inlineStr">
        <is>
          <t>Config</t>
        </is>
      </c>
      <c r="B15" s="11" t="inlineStr">
        <is>
          <t>Parameters: schema version, thresholds, horizon, FTE hours.</t>
        </is>
      </c>
      <c r="C15" s="10" t="inlineStr">
        <is>
          <t>Reference</t>
        </is>
      </c>
    </row>
    <row r="17">
      <c r="A17" s="5" t="inlineStr">
        <is>
          <t>Sheet: Project</t>
        </is>
      </c>
    </row>
    <row r="18" ht="28" customHeight="1">
      <c r="A18" s="7" t="inlineStr">
        <is>
          <t>Column</t>
        </is>
      </c>
      <c r="B18" s="7" t="inlineStr">
        <is>
          <t>Type</t>
        </is>
      </c>
      <c r="C18" s="7" t="inlineStr">
        <is>
          <t>Required</t>
        </is>
      </c>
      <c r="D18" s="7" t="inlineStr">
        <is>
          <t>Definition / rule</t>
        </is>
      </c>
      <c r="E18" s="7" t="inlineStr">
        <is>
          <t>REQ-ID</t>
        </is>
      </c>
    </row>
    <row r="19">
      <c r="A19" s="8" t="inlineStr">
        <is>
          <t>project_id</t>
        </is>
      </c>
      <c r="B19" s="8" t="inlineStr">
        <is>
          <t>Text</t>
        </is>
      </c>
      <c r="C19" s="8" t="inlineStr">
        <is>
          <t>Yes</t>
        </is>
      </c>
      <c r="D19" s="9" t="inlineStr">
        <is>
          <t>Unique key, e.g. PRJ-001. Referenced by every other sheet.</t>
        </is>
      </c>
      <c r="E19" s="8" t="inlineStr">
        <is>
          <t>REQ-PRJ-03</t>
        </is>
      </c>
    </row>
    <row r="20">
      <c r="A20" s="10" t="inlineStr">
        <is>
          <t>project_name</t>
        </is>
      </c>
      <c r="B20" s="10" t="inlineStr">
        <is>
          <t>Text</t>
        </is>
      </c>
      <c r="C20" s="10" t="inlineStr">
        <is>
          <t>Yes</t>
        </is>
      </c>
      <c r="D20" s="11" t="inlineStr">
        <is>
          <t>Unique display name.</t>
        </is>
      </c>
      <c r="E20" s="10" t="inlineStr">
        <is>
          <t>REQ-PRJ-03</t>
        </is>
      </c>
    </row>
    <row r="21">
      <c r="A21" s="8" t="inlineStr">
        <is>
          <t>project_type</t>
        </is>
      </c>
      <c r="B21" s="8" t="inlineStr">
        <is>
          <t>List</t>
        </is>
      </c>
      <c r="C21" s="8" t="inlineStr">
        <is>
          <t>Yes</t>
        </is>
      </c>
      <c r="D21" s="9" t="inlineStr">
        <is>
          <t>'Clinical Trial' or 'Others'.</t>
        </is>
      </c>
      <c r="E21" s="8" t="inlineStr">
        <is>
          <t>REQ-PRJ-01</t>
        </is>
      </c>
    </row>
    <row r="22">
      <c r="A22" s="10" t="inlineStr">
        <is>
          <t>project_category</t>
        </is>
      </c>
      <c r="B22" s="10" t="inlineStr">
        <is>
          <t>Text</t>
        </is>
      </c>
      <c r="C22" s="10" t="inlineStr">
        <is>
          <t>Conditional</t>
        </is>
      </c>
      <c r="D22" s="11" t="inlineStr">
        <is>
          <t>Product name. Required when project_type = 'Clinical Trial'.</t>
        </is>
      </c>
      <c r="E22" s="10" t="inlineStr">
        <is>
          <t>REQ-PRJ-02</t>
        </is>
      </c>
    </row>
    <row r="23">
      <c r="A23" s="20" t="inlineStr">
        <is>
          <t>clinical_phase</t>
        </is>
      </c>
      <c r="B23" s="20" t="inlineStr">
        <is>
          <t>List</t>
        </is>
      </c>
      <c r="C23" s="20" t="inlineStr">
        <is>
          <t>Conditional</t>
        </is>
      </c>
      <c r="D23" s="19" t="inlineStr">
        <is>
          <t>'Phase 1' / 'Phase 2' / 'Phase 3' / 'Phase 4'. Required when project_type = 'Clinical Trial'.</t>
        </is>
      </c>
      <c r="E23" s="20" t="inlineStr">
        <is>
          <t>REQ-PRJ-09</t>
        </is>
      </c>
    </row>
    <row r="24">
      <c r="A24" s="18" t="inlineStr">
        <is>
          <t>outsourcing_type</t>
        </is>
      </c>
      <c r="B24" s="18" t="inlineStr">
        <is>
          <t>List</t>
        </is>
      </c>
      <c r="C24" s="18" t="inlineStr">
        <is>
          <t>Yes</t>
        </is>
      </c>
      <c r="D24" s="17" t="inlineStr">
        <is>
          <t>From the Lists sheet. See Q-13 - the v0.11 list repeated 'Partial outsourcing' twice and needs correcting.</t>
        </is>
      </c>
      <c r="E24" s="18" t="inlineStr">
        <is>
          <t>REQ-PRJ-04</t>
        </is>
      </c>
    </row>
    <row r="25">
      <c r="A25" s="20" t="inlineStr">
        <is>
          <t>EDC_setup</t>
        </is>
      </c>
      <c r="B25" s="20" t="inlineStr">
        <is>
          <t>List</t>
        </is>
      </c>
      <c r="C25" s="20" t="inlineStr">
        <is>
          <t>Conditional</t>
        </is>
      </c>
      <c r="D25" s="19" t="inlineStr">
        <is>
          <t>Who sets up the EDC system. 'by CRO' / 'by SB'. Required when project_type = 'Clinical Trial'.</t>
        </is>
      </c>
      <c r="E25" s="20" t="inlineStr">
        <is>
          <t>REQ-PRJ-10</t>
        </is>
      </c>
    </row>
    <row r="26">
      <c r="A26" s="20" t="inlineStr">
        <is>
          <t>DataReviewSystem_setup</t>
        </is>
      </c>
      <c r="B26" s="20" t="inlineStr">
        <is>
          <t>List</t>
        </is>
      </c>
      <c r="C26" s="20" t="inlineStr">
        <is>
          <t>Conditional</t>
        </is>
      </c>
      <c r="D26" s="19" t="inlineStr">
        <is>
          <t>Who sets up the data review system. 'by CRO' / 'by SB'.</t>
        </is>
      </c>
      <c r="E26" s="20" t="inlineStr">
        <is>
          <t>REQ-PRJ-10</t>
        </is>
      </c>
    </row>
    <row r="27">
      <c r="A27" s="20" t="inlineStr">
        <is>
          <t>RBQM_setup</t>
        </is>
      </c>
      <c r="B27" s="20" t="inlineStr">
        <is>
          <t>List</t>
        </is>
      </c>
      <c r="C27" s="20" t="inlineStr">
        <is>
          <t>Conditional</t>
        </is>
      </c>
      <c r="D27" s="19" t="inlineStr">
        <is>
          <t>Who sets up the RBQM system. 'by CRO' / 'by SB'.</t>
        </is>
      </c>
      <c r="E27" s="20" t="inlineStr">
        <is>
          <t>REQ-PRJ-10</t>
        </is>
      </c>
    </row>
    <row r="28">
      <c r="A28" s="20" t="inlineStr">
        <is>
          <t>DM_conduct</t>
        </is>
      </c>
      <c r="B28" s="20" t="inlineStr">
        <is>
          <t>List</t>
        </is>
      </c>
      <c r="C28" s="20" t="inlineStr">
        <is>
          <t>Conditional</t>
        </is>
      </c>
      <c r="D28" s="19" t="inlineStr">
        <is>
          <t>Who reviews the clinical trial data. 'by CRO' / 'by SB'.</t>
        </is>
      </c>
      <c r="E28" s="20" t="inlineStr">
        <is>
          <t>REQ-PRJ-10</t>
        </is>
      </c>
    </row>
    <row r="29">
      <c r="A29" s="20" t="inlineStr">
        <is>
          <t>EDC_system</t>
        </is>
      </c>
      <c r="B29" s="20" t="inlineStr">
        <is>
          <t>List</t>
        </is>
      </c>
      <c r="C29" s="20" t="inlineStr">
        <is>
          <t>Conditional</t>
        </is>
      </c>
      <c r="D29" s="19" t="inlineStr">
        <is>
          <t>EDC system name, e.g. 'Veeva EDC' / 'Rave' / 'eSOURCE'. Data-driven list.</t>
        </is>
      </c>
      <c r="E29" s="20" t="inlineStr">
        <is>
          <t>REQ-PRJ-11</t>
        </is>
      </c>
    </row>
    <row r="30">
      <c r="A30" s="20" t="inlineStr">
        <is>
          <t>DataReviewSystem</t>
        </is>
      </c>
      <c r="B30" s="20" t="inlineStr">
        <is>
          <t>List</t>
        </is>
      </c>
      <c r="C30" s="20" t="inlineStr">
        <is>
          <t>Conditional</t>
        </is>
      </c>
      <c r="D30" s="19" t="inlineStr">
        <is>
          <t>e.g. 'Veeva DQS' / 'Medidata CDS' / 'No system (manual)'. Data-driven list.</t>
        </is>
      </c>
      <c r="E30" s="20" t="inlineStr">
        <is>
          <t>REQ-PRJ-11</t>
        </is>
      </c>
    </row>
    <row r="31">
      <c r="A31" s="20" t="inlineStr">
        <is>
          <t>RBQM_system</t>
        </is>
      </c>
      <c r="B31" s="20" t="inlineStr">
        <is>
          <t>List</t>
        </is>
      </c>
      <c r="C31" s="20" t="inlineStr">
        <is>
          <t>Conditional</t>
        </is>
      </c>
      <c r="D31" s="19" t="inlineStr">
        <is>
          <t>e.g. 'CluePoints' / 'Medidata CDS' / 'No system (manual)'. Data-driven list.</t>
        </is>
      </c>
      <c r="E31" s="20" t="inlineStr">
        <is>
          <t>REQ-PRJ-11</t>
        </is>
      </c>
    </row>
    <row r="32">
      <c r="A32" s="10" t="inlineStr">
        <is>
          <t>planned_member_count</t>
        </is>
      </c>
      <c r="B32" s="10" t="inlineStr">
        <is>
          <t>Integer</t>
        </is>
      </c>
      <c r="C32" s="10" t="inlineStr">
        <is>
          <t>No</t>
        </is>
      </c>
      <c r="D32" s="11" t="inlineStr">
        <is>
          <t>Planned number of project members; compared against actual assignments.</t>
        </is>
      </c>
      <c r="E32" s="10" t="inlineStr">
        <is>
          <t>REQ-PRJ-04</t>
        </is>
      </c>
    </row>
    <row r="33">
      <c r="A33" s="8" t="inlineStr">
        <is>
          <t>start_date</t>
        </is>
      </c>
      <c r="B33" s="8" t="inlineStr">
        <is>
          <t>Date</t>
        </is>
      </c>
      <c r="C33" s="8" t="inlineStr">
        <is>
          <t>Yes</t>
        </is>
      </c>
      <c r="D33" s="9" t="inlineStr">
        <is>
          <t>Project start.</t>
        </is>
      </c>
      <c r="E33" s="8" t="inlineStr">
        <is>
          <t>REQ-PRJ-05</t>
        </is>
      </c>
    </row>
    <row r="34">
      <c r="A34" s="10" t="inlineStr">
        <is>
          <t>end_date</t>
        </is>
      </c>
      <c r="B34" s="10" t="inlineStr">
        <is>
          <t>Date</t>
        </is>
      </c>
      <c r="C34" s="10" t="inlineStr">
        <is>
          <t>Yes</t>
        </is>
      </c>
      <c r="D34" s="11" t="inlineStr">
        <is>
          <t>Planned project end.</t>
        </is>
      </c>
      <c r="E34" s="10" t="inlineStr">
        <is>
          <t>REQ-PRJ-05</t>
        </is>
      </c>
    </row>
    <row r="35">
      <c r="A35" s="8" t="inlineStr">
        <is>
          <t>total_period_months</t>
        </is>
      </c>
      <c r="B35" s="8" t="inlineStr">
        <is>
          <t>Derived</t>
        </is>
      </c>
      <c r="C35" s="8" t="inlineStr">
        <is>
          <t>-</t>
        </is>
      </c>
      <c r="D35" s="9" t="inlineStr">
        <is>
          <t>Calculated from start_date and end_date; not entered by hand.</t>
        </is>
      </c>
      <c r="E35" s="8" t="inlineStr">
        <is>
          <t>REQ-PRJ-08</t>
        </is>
      </c>
    </row>
    <row r="36">
      <c r="A36" s="10" t="inlineStr">
        <is>
          <t>status</t>
        </is>
      </c>
      <c r="B36" s="10" t="inlineStr">
        <is>
          <t>List</t>
        </is>
      </c>
      <c r="C36" s="10" t="inlineStr">
        <is>
          <t>No</t>
        </is>
      </c>
      <c r="D36" s="11" t="inlineStr">
        <is>
          <t>Planned / Active / On hold / Completed. Drives default dashboard filtering.</t>
        </is>
      </c>
      <c r="E36" s="10" t="inlineStr">
        <is>
          <t>REQ-PRJ-07</t>
        </is>
      </c>
    </row>
    <row r="37">
      <c r="A37" s="8" t="inlineStr">
        <is>
          <t>note_1 .. note_5</t>
        </is>
      </c>
      <c r="B37" s="8" t="inlineStr">
        <is>
          <t>Text</t>
        </is>
      </c>
      <c r="C37" s="8" t="inlineStr">
        <is>
          <t>No</t>
        </is>
      </c>
      <c r="D37" s="9" t="inlineStr">
        <is>
          <t>Free extension columns.</t>
        </is>
      </c>
      <c r="E37" s="8" t="inlineStr">
        <is>
          <t>REQ-PRJ-07</t>
        </is>
      </c>
    </row>
    <row r="38">
      <c r="A38" s="18" t="inlineStr">
        <is>
          <t>system_prepared_by</t>
        </is>
      </c>
      <c r="B38" s="18" t="inlineStr">
        <is>
          <t>-</t>
        </is>
      </c>
      <c r="C38" s="18" t="inlineStr">
        <is>
          <t>-</t>
        </is>
      </c>
      <c r="D38" s="17" t="inlineStr">
        <is>
          <t>RETIRED. Superseded by the four *_setup columns above, which say the same thing more precisely. See Q-14 before it is removed for good.</t>
        </is>
      </c>
      <c r="E38" s="18" t="inlineStr">
        <is>
          <t>REQ-PRJ-04</t>
        </is>
      </c>
    </row>
    <row r="40">
      <c r="A40" s="5" t="inlineStr">
        <is>
          <t>Sheet: Milestone</t>
        </is>
      </c>
    </row>
    <row r="41" ht="28" customHeight="1">
      <c r="A41" s="7" t="inlineStr">
        <is>
          <t>Column</t>
        </is>
      </c>
      <c r="B41" s="7" t="inlineStr">
        <is>
          <t>Type</t>
        </is>
      </c>
      <c r="C41" s="7" t="inlineStr">
        <is>
          <t>Required</t>
        </is>
      </c>
      <c r="D41" s="7" t="inlineStr">
        <is>
          <t>Definition / rule</t>
        </is>
      </c>
      <c r="E41" s="7" t="inlineStr">
        <is>
          <t>REQ-ID</t>
        </is>
      </c>
    </row>
    <row r="42">
      <c r="A42" s="8" t="inlineStr">
        <is>
          <t>project_id</t>
        </is>
      </c>
      <c r="B42" s="8" t="inlineStr">
        <is>
          <t>Text</t>
        </is>
      </c>
      <c r="C42" s="8" t="inlineStr">
        <is>
          <t>Yes</t>
        </is>
      </c>
      <c r="D42" s="9" t="inlineStr">
        <is>
          <t>Foreign key to Project.</t>
        </is>
      </c>
      <c r="E42" s="8" t="inlineStr">
        <is>
          <t>REQ-PRJ-05</t>
        </is>
      </c>
    </row>
    <row r="43">
      <c r="A43" s="20" t="inlineStr">
        <is>
          <t>project_name</t>
        </is>
      </c>
      <c r="B43" s="20" t="inlineStr">
        <is>
          <t>Text</t>
        </is>
      </c>
      <c r="C43" s="20" t="inlineStr">
        <is>
          <t>No</t>
        </is>
      </c>
      <c r="D43" s="19" t="inlineStr">
        <is>
          <t>Display convenience added at v0.11. Not authoritative: checked against Project on import and refreshed from it, so a mismatch cannot corrupt the link.</t>
        </is>
      </c>
      <c r="E43" s="20" t="inlineStr">
        <is>
          <t>REQ-PRJ-05</t>
        </is>
      </c>
    </row>
    <row r="44">
      <c r="A44" s="18" t="inlineStr">
        <is>
          <t>milestone_name</t>
        </is>
      </c>
      <c r="B44" s="18" t="inlineStr">
        <is>
          <t>List</t>
        </is>
      </c>
      <c r="C44" s="18" t="inlineStr">
        <is>
          <t>Yes</t>
        </is>
      </c>
      <c r="D44" s="17" t="inlineStr">
        <is>
          <t>Standard list from Q-07: 'CTA submission', 'FPI', 'LPI', 'DB lock cut-off', 'DB lock'. The v0.11 mark-up also cited LPO, LPLV, interim/final DB Lock and CSR - see Q-15. Held in Lists, not fixed in code.</t>
        </is>
      </c>
      <c r="E44" s="18" t="inlineStr">
        <is>
          <t>REQ-PRJ-05</t>
        </is>
      </c>
    </row>
    <row r="45">
      <c r="A45" s="10" t="inlineStr">
        <is>
          <t>milestone_date</t>
        </is>
      </c>
      <c r="B45" s="10" t="inlineStr">
        <is>
          <t>Date</t>
        </is>
      </c>
      <c r="C45" s="10" t="inlineStr">
        <is>
          <t>Yes</t>
        </is>
      </c>
      <c r="D45" s="11" t="inlineStr">
        <is>
          <t>Planned date.</t>
        </is>
      </c>
      <c r="E45" s="10" t="inlineStr">
        <is>
          <t>REQ-PRJ-05</t>
        </is>
      </c>
    </row>
    <row r="46">
      <c r="A46" s="8" t="inlineStr">
        <is>
          <t>milestone_seq</t>
        </is>
      </c>
      <c r="B46" s="8" t="inlineStr">
        <is>
          <t>Integer</t>
        </is>
      </c>
      <c r="C46" s="8" t="inlineStr">
        <is>
          <t>No</t>
        </is>
      </c>
      <c r="D46" s="9" t="inlineStr">
        <is>
          <t>Display order on the timeline.</t>
        </is>
      </c>
      <c r="E46" s="8" t="inlineStr">
        <is>
          <t>REQ-PRJ-05</t>
        </is>
      </c>
    </row>
    <row r="48">
      <c r="A48" s="5" t="inlineStr">
        <is>
          <t>Sheet: ProjectPeriod  [was ProjectPeriodWeight]</t>
        </is>
      </c>
    </row>
    <row r="49" ht="28" customHeight="1">
      <c r="A49" s="7" t="inlineStr">
        <is>
          <t>Column</t>
        </is>
      </c>
      <c r="B49" s="7" t="inlineStr">
        <is>
          <t>Type</t>
        </is>
      </c>
      <c r="C49" s="7" t="inlineStr">
        <is>
          <t>Required</t>
        </is>
      </c>
      <c r="D49" s="7" t="inlineStr">
        <is>
          <t>Definition / rule</t>
        </is>
      </c>
      <c r="E49" s="7" t="inlineStr">
        <is>
          <t>REQ-ID</t>
        </is>
      </c>
    </row>
    <row r="50">
      <c r="A50" s="8" t="inlineStr">
        <is>
          <t>project_id</t>
        </is>
      </c>
      <c r="B50" s="8" t="inlineStr">
        <is>
          <t>Text</t>
        </is>
      </c>
      <c r="C50" s="8" t="inlineStr">
        <is>
          <t>Yes</t>
        </is>
      </c>
      <c r="D50" s="9" t="inlineStr">
        <is>
          <t>Foreign key to Project.</t>
        </is>
      </c>
      <c r="E50" s="8" t="inlineStr">
        <is>
          <t>REQ-PRJ-06</t>
        </is>
      </c>
    </row>
    <row r="51">
      <c r="A51" s="18" t="inlineStr">
        <is>
          <t>period_name</t>
        </is>
      </c>
      <c r="B51" s="18" t="inlineStr">
        <is>
          <t>List</t>
        </is>
      </c>
      <c r="C51" s="18" t="inlineStr">
        <is>
          <t>Yes</t>
        </is>
      </c>
      <c r="D51" s="17" t="inlineStr">
        <is>
          <t>The four standard periods from Q-04: 'Before-Start-up', 'Start-up', 'Conduct', 'Close-out'.</t>
        </is>
      </c>
      <c r="E51" s="18" t="inlineStr">
        <is>
          <t>REQ-PRJ-06</t>
        </is>
      </c>
    </row>
    <row r="52">
      <c r="A52" s="18" t="inlineStr">
        <is>
          <t>period_start</t>
        </is>
      </c>
      <c r="B52" s="18" t="inlineStr">
        <is>
          <t>Date</t>
        </is>
      </c>
      <c r="C52" s="18" t="inlineStr">
        <is>
          <t>Yes</t>
        </is>
      </c>
      <c r="D52" s="17" t="inlineStr">
        <is>
          <t>Inclusive. Derived from milestone dates by default - see the derivation table below - and editable.</t>
        </is>
      </c>
      <c r="E52" s="18" t="inlineStr">
        <is>
          <t>REQ-CAL-09</t>
        </is>
      </c>
    </row>
    <row r="53">
      <c r="A53" s="18" t="inlineStr">
        <is>
          <t>period_end</t>
        </is>
      </c>
      <c r="B53" s="18" t="inlineStr">
        <is>
          <t>Date</t>
        </is>
      </c>
      <c r="C53" s="18" t="inlineStr">
        <is>
          <t>Yes</t>
        </is>
      </c>
      <c r="D53" s="17" t="inlineStr">
        <is>
          <t>Inclusive. Periods for one project must not overlap and should leave no gap.</t>
        </is>
      </c>
      <c r="E53" s="18" t="inlineStr">
        <is>
          <t>REQ-CAL-09</t>
        </is>
      </c>
    </row>
    <row r="54">
      <c r="A54" s="18" t="inlineStr">
        <is>
          <t>weight</t>
        </is>
      </c>
      <c r="B54" s="18" t="inlineStr">
        <is>
          <t>Decimal</t>
        </is>
      </c>
      <c r="C54" s="18" t="inlineStr">
        <is>
          <t>Yes</t>
        </is>
      </c>
      <c r="D54" s="17" t="inlineStr">
        <is>
          <t>Effort multiplier for this period. Seeded from PeriodWeightStandard by the project's category, then editable per project.</t>
        </is>
      </c>
      <c r="E54" s="18" t="inlineStr">
        <is>
          <t>REQ-PRJ-06</t>
        </is>
      </c>
    </row>
    <row r="56">
      <c r="A56" s="16" t="inlineStr">
        <is>
          <t>Proposed derivation of period boundaries from milestones (REQ-CAL-09). Confirm at Q-16.</t>
        </is>
      </c>
    </row>
    <row r="57" ht="28" customHeight="1">
      <c r="A57" s="7" t="inlineStr">
        <is>
          <t>Period</t>
        </is>
      </c>
      <c r="B57" s="7" t="inlineStr">
        <is>
          <t>Starts</t>
        </is>
      </c>
      <c r="C57" s="7" t="inlineStr">
        <is>
          <t>Ends</t>
        </is>
      </c>
    </row>
    <row r="58">
      <c r="A58" s="8" t="inlineStr">
        <is>
          <t>Before-Start-up</t>
        </is>
      </c>
      <c r="B58" s="9" t="inlineStr">
        <is>
          <t>project start_date</t>
        </is>
      </c>
      <c r="C58" s="9" t="inlineStr">
        <is>
          <t>day before CTA submission</t>
        </is>
      </c>
    </row>
    <row r="59">
      <c r="A59" s="10" t="inlineStr">
        <is>
          <t>Start-up</t>
        </is>
      </c>
      <c r="B59" s="11" t="inlineStr">
        <is>
          <t>CTA submission</t>
        </is>
      </c>
      <c r="C59" s="11" t="inlineStr">
        <is>
          <t>day before FPI</t>
        </is>
      </c>
    </row>
    <row r="60">
      <c r="A60" s="8" t="inlineStr">
        <is>
          <t>Conduct</t>
        </is>
      </c>
      <c r="B60" s="9" t="inlineStr">
        <is>
          <t>FPI</t>
        </is>
      </c>
      <c r="C60" s="9" t="inlineStr">
        <is>
          <t>day before DB lock cut-off</t>
        </is>
      </c>
    </row>
    <row r="61">
      <c r="A61" s="10" t="inlineStr">
        <is>
          <t>Close-out</t>
        </is>
      </c>
      <c r="B61" s="11" t="inlineStr">
        <is>
          <t>DB lock cut-off</t>
        </is>
      </c>
      <c r="C61" s="11" t="inlineStr">
        <is>
          <t>DB lock (or project end_date if later)</t>
        </is>
      </c>
    </row>
    <row r="63">
      <c r="A63" s="16" t="inlineStr">
        <is>
          <t>LPI falls inside Conduct as a marker under this mapping. If a project is missing a milestone, that boundary falls back to the neighbouring period and the gap is reported as a warning, not an error.</t>
        </is>
      </c>
    </row>
    <row r="64">
      <c r="A64" s="5" t="inlineStr">
        <is>
          <t>Sheet: PeriodWeightStandard   [new]</t>
        </is>
      </c>
    </row>
    <row r="65" ht="28" customHeight="1">
      <c r="A65" s="7" t="inlineStr">
        <is>
          <t>Column</t>
        </is>
      </c>
      <c r="B65" s="7" t="inlineStr">
        <is>
          <t>Type</t>
        </is>
      </c>
      <c r="C65" s="7" t="inlineStr">
        <is>
          <t>Required</t>
        </is>
      </c>
      <c r="D65" s="7" t="inlineStr">
        <is>
          <t>Definition / rule</t>
        </is>
      </c>
      <c r="E65" s="7" t="inlineStr">
        <is>
          <t>Basis</t>
        </is>
      </c>
    </row>
    <row r="66">
      <c r="A66" s="8" t="inlineStr">
        <is>
          <t>project_category</t>
        </is>
      </c>
      <c r="B66" s="8" t="inlineStr">
        <is>
          <t>Text</t>
        </is>
      </c>
      <c r="C66" s="8" t="inlineStr">
        <is>
          <t>Yes</t>
        </is>
      </c>
      <c r="D66" s="9" t="inlineStr">
        <is>
          <t>The category the standard applies to. Use '*' for a catch-all default.</t>
        </is>
      </c>
      <c r="E66" s="8" t="inlineStr">
        <is>
          <t>Q-01</t>
        </is>
      </c>
    </row>
    <row r="67">
      <c r="A67" s="10" t="inlineStr">
        <is>
          <t>period_name</t>
        </is>
      </c>
      <c r="B67" s="10" t="inlineStr">
        <is>
          <t>List</t>
        </is>
      </c>
      <c r="C67" s="10" t="inlineStr">
        <is>
          <t>Yes</t>
        </is>
      </c>
      <c r="D67" s="11" t="inlineStr">
        <is>
          <t>One of the four standard periods.</t>
        </is>
      </c>
      <c r="E67" s="10" t="inlineStr">
        <is>
          <t>Q-04</t>
        </is>
      </c>
    </row>
    <row r="68">
      <c r="A68" s="8" t="inlineStr">
        <is>
          <t>weight</t>
        </is>
      </c>
      <c r="B68" s="8" t="inlineStr">
        <is>
          <t>Decimal</t>
        </is>
      </c>
      <c r="C68" s="8" t="inlineStr">
        <is>
          <t>Yes</t>
        </is>
      </c>
      <c r="D68" s="9" t="inlineStr">
        <is>
          <t>Default multiplier for that category in that period. Values still to be supplied - see Q-17.</t>
        </is>
      </c>
      <c r="E68" s="8" t="inlineStr">
        <is>
          <t>Q-01</t>
        </is>
      </c>
    </row>
    <row r="70">
      <c r="A70" s="16" t="inlineStr">
        <is>
          <t>Exists because Q-01 said project weight is given by the category of the project and is the same for everyone on that project in that period. Keeping the standard in one place stops the same number being re-typed per project - and re-typed inconsistently.</t>
        </is>
      </c>
    </row>
    <row r="71">
      <c r="A71" s="5" t="inlineStr">
        <is>
          <t>Sheet: RoleFactor</t>
        </is>
      </c>
    </row>
    <row r="72" ht="28" customHeight="1">
      <c r="A72" s="7" t="inlineStr">
        <is>
          <t>Column</t>
        </is>
      </c>
      <c r="B72" s="7" t="inlineStr">
        <is>
          <t>Type</t>
        </is>
      </c>
      <c r="C72" s="7" t="inlineStr">
        <is>
          <t>Required</t>
        </is>
      </c>
      <c r="D72" s="7" t="inlineStr">
        <is>
          <t>Definition / rule</t>
        </is>
      </c>
      <c r="E72" s="7" t="inlineStr">
        <is>
          <t>Basis</t>
        </is>
      </c>
    </row>
    <row r="73">
      <c r="A73" s="20" t="inlineStr">
        <is>
          <t>project_type</t>
        </is>
      </c>
      <c r="B73" s="20" t="inlineStr">
        <is>
          <t>List</t>
        </is>
      </c>
      <c r="C73" s="20" t="inlineStr">
        <is>
          <t>Yes</t>
        </is>
      </c>
      <c r="D73" s="19" t="inlineStr">
        <is>
          <t>'Clinical Trial' or 'Others'. Roles differ by type, so the same role name cannot leak across types.</t>
        </is>
      </c>
      <c r="E73" s="20" t="inlineStr">
        <is>
          <t>Q-03</t>
        </is>
      </c>
    </row>
    <row r="74">
      <c r="A74" s="18" t="inlineStr">
        <is>
          <t>role_name</t>
        </is>
      </c>
      <c r="B74" s="18" t="inlineStr">
        <is>
          <t>Text</t>
        </is>
      </c>
      <c r="C74" s="18" t="inlineStr">
        <is>
          <t>Yes</t>
        </is>
      </c>
      <c r="D74" s="17" t="inlineStr">
        <is>
          <t>Clinical Trial: 'Project oversight', 'Lead data manager', 'Clinical Data Associator', 'Clinical Database Programmer', 'Data Analyst'. Others: 'Project lead', 'Main staff', 'Other staff'.</t>
        </is>
      </c>
      <c r="E74" s="18" t="inlineStr">
        <is>
          <t>Q-03</t>
        </is>
      </c>
    </row>
    <row r="75">
      <c r="A75" s="18" t="inlineStr">
        <is>
          <t>role_factor</t>
        </is>
      </c>
      <c r="B75" s="18" t="inlineStr">
        <is>
          <t>Decimal</t>
        </is>
      </c>
      <c r="C75" s="18" t="inlineStr">
        <is>
          <t>Yes</t>
        </is>
      </c>
      <c r="D75" s="17" t="inlineStr">
        <is>
          <t>Relative burden of the role, the same for everyone holding it. Values still to be supplied - see Q-17.</t>
        </is>
      </c>
      <c r="E75" s="18" t="inlineStr">
        <is>
          <t>Q-01</t>
        </is>
      </c>
    </row>
    <row r="76">
      <c r="A76" s="10" t="inlineStr">
        <is>
          <t>role_note</t>
        </is>
      </c>
      <c r="B76" s="10" t="inlineStr">
        <is>
          <t>Text</t>
        </is>
      </c>
      <c r="C76" s="10" t="inlineStr">
        <is>
          <t>No</t>
        </is>
      </c>
      <c r="D76" s="11" t="inlineStr">
        <is>
          <t>Basis for the factor.</t>
        </is>
      </c>
      <c r="E76" s="10" t="inlineStr">
        <is>
          <t>REQ-CAL-06</t>
        </is>
      </c>
    </row>
    <row r="78">
      <c r="A78" s="5" t="inlineStr">
        <is>
          <t>Sheet: Person</t>
        </is>
      </c>
    </row>
    <row r="79" ht="28" customHeight="1">
      <c r="A79" s="7" t="inlineStr">
        <is>
          <t>Column</t>
        </is>
      </c>
      <c r="B79" s="7" t="inlineStr">
        <is>
          <t>Type</t>
        </is>
      </c>
      <c r="C79" s="7" t="inlineStr">
        <is>
          <t>Required</t>
        </is>
      </c>
      <c r="D79" s="7" t="inlineStr">
        <is>
          <t>Definition / rule</t>
        </is>
      </c>
      <c r="E79" s="7" t="inlineStr">
        <is>
          <t>REQ-ID</t>
        </is>
      </c>
    </row>
    <row r="80">
      <c r="A80" s="8" t="inlineStr">
        <is>
          <t>person_id</t>
        </is>
      </c>
      <c r="B80" s="8" t="inlineStr">
        <is>
          <t>Text</t>
        </is>
      </c>
      <c r="C80" s="8" t="inlineStr">
        <is>
          <t>Yes</t>
        </is>
      </c>
      <c r="D80" s="9" t="inlineStr">
        <is>
          <t>Unique key, e.g. PSN-001.</t>
        </is>
      </c>
      <c r="E80" s="8" t="inlineStr">
        <is>
          <t>REQ-PSN-01</t>
        </is>
      </c>
    </row>
    <row r="81">
      <c r="A81" s="10" t="inlineStr">
        <is>
          <t>person_name</t>
        </is>
      </c>
      <c r="B81" s="10" t="inlineStr">
        <is>
          <t>Text</t>
        </is>
      </c>
      <c r="C81" s="10" t="inlineStr">
        <is>
          <t>Yes</t>
        </is>
      </c>
      <c r="D81" s="11" t="inlineStr">
        <is>
          <t>Display name.</t>
        </is>
      </c>
      <c r="E81" s="10" t="inlineStr">
        <is>
          <t>REQ-PSN-01</t>
        </is>
      </c>
    </row>
    <row r="82">
      <c r="A82" s="8" t="inlineStr">
        <is>
          <t>department</t>
        </is>
      </c>
      <c r="B82" s="8" t="inlineStr">
        <is>
          <t>Text</t>
        </is>
      </c>
      <c r="C82" s="8" t="inlineStr">
        <is>
          <t>No</t>
        </is>
      </c>
      <c r="D82" s="9" t="inlineStr">
        <is>
          <t>Grouping for the dashboard.</t>
        </is>
      </c>
      <c r="E82" s="8" t="inlineStr">
        <is>
          <t>REQ-PSN-06</t>
        </is>
      </c>
    </row>
    <row r="83">
      <c r="A83" s="10" t="inlineStr">
        <is>
          <t>primary_role</t>
        </is>
      </c>
      <c r="B83" s="10" t="inlineStr">
        <is>
          <t>Text</t>
        </is>
      </c>
      <c r="C83" s="10" t="inlineStr">
        <is>
          <t>No</t>
        </is>
      </c>
      <c r="D83" s="11" t="inlineStr">
        <is>
          <t>Usual role; an assignment can override it.</t>
        </is>
      </c>
      <c r="E83" s="10" t="inlineStr">
        <is>
          <t>REQ-PSN-03</t>
        </is>
      </c>
    </row>
    <row r="84">
      <c r="A84" s="18" t="inlineStr">
        <is>
          <t>capacity_fte</t>
        </is>
      </c>
      <c r="B84" s="18" t="inlineStr">
        <is>
          <t>Decimal</t>
        </is>
      </c>
      <c r="C84" s="18" t="inlineStr">
        <is>
          <t>No</t>
        </is>
      </c>
      <c r="D84" s="17" t="inlineStr">
        <is>
          <t>Available capacity in FTE, default 1.00 (= 160 h/month). Lower it for a part-timer.</t>
        </is>
      </c>
      <c r="E84" s="18" t="inlineStr">
        <is>
          <t>REQ-CAL-08</t>
        </is>
      </c>
    </row>
    <row r="85">
      <c r="A85" s="10" t="inlineStr">
        <is>
          <t>employment_start / employment_end</t>
        </is>
      </c>
      <c r="B85" s="10" t="inlineStr">
        <is>
          <t>Date</t>
        </is>
      </c>
      <c r="C85" s="10" t="inlineStr">
        <is>
          <t>No</t>
        </is>
      </c>
      <c r="D85" s="11" t="inlineStr">
        <is>
          <t>Bounds availability; blank end = open.</t>
        </is>
      </c>
      <c r="E85" s="10" t="inlineStr">
        <is>
          <t>REQ-PSN-04</t>
        </is>
      </c>
    </row>
    <row r="86">
      <c r="A86" s="8" t="inlineStr">
        <is>
          <t>note_1 .. note_5</t>
        </is>
      </c>
      <c r="B86" s="8" t="inlineStr">
        <is>
          <t>Text</t>
        </is>
      </c>
      <c r="C86" s="8" t="inlineStr">
        <is>
          <t>No</t>
        </is>
      </c>
      <c r="D86" s="9" t="inlineStr">
        <is>
          <t>Free extension columns.</t>
        </is>
      </c>
      <c r="E86" s="8" t="inlineStr">
        <is>
          <t>REQ-PSN-06</t>
        </is>
      </c>
    </row>
    <row r="88">
      <c r="A88" s="5" t="inlineStr">
        <is>
          <t>Sheet: Assignment</t>
        </is>
      </c>
    </row>
    <row r="89" ht="28" customHeight="1">
      <c r="A89" s="7" t="inlineStr">
        <is>
          <t>Column</t>
        </is>
      </c>
      <c r="B89" s="7" t="inlineStr">
        <is>
          <t>Type</t>
        </is>
      </c>
      <c r="C89" s="7" t="inlineStr">
        <is>
          <t>Required</t>
        </is>
      </c>
      <c r="D89" s="7" t="inlineStr">
        <is>
          <t>Definition / rule</t>
        </is>
      </c>
      <c r="E89" s="7" t="inlineStr">
        <is>
          <t>REQ-ID</t>
        </is>
      </c>
    </row>
    <row r="90">
      <c r="A90" s="8" t="inlineStr">
        <is>
          <t>assignment_id</t>
        </is>
      </c>
      <c r="B90" s="8" t="inlineStr">
        <is>
          <t>Text</t>
        </is>
      </c>
      <c r="C90" s="8" t="inlineStr">
        <is>
          <t>Yes</t>
        </is>
      </c>
      <c r="D90" s="9" t="inlineStr">
        <is>
          <t>Unique key. One row per person + project + role.</t>
        </is>
      </c>
      <c r="E90" s="8" t="inlineStr">
        <is>
          <t>REQ-PSN-07</t>
        </is>
      </c>
    </row>
    <row r="91">
      <c r="A91" s="10" t="inlineStr">
        <is>
          <t>person_id</t>
        </is>
      </c>
      <c r="B91" s="10" t="inlineStr">
        <is>
          <t>Text</t>
        </is>
      </c>
      <c r="C91" s="10" t="inlineStr">
        <is>
          <t>Yes</t>
        </is>
      </c>
      <c r="D91" s="11" t="inlineStr">
        <is>
          <t>Foreign key to Person.</t>
        </is>
      </c>
      <c r="E91" s="10" t="inlineStr">
        <is>
          <t>REQ-PSN-01</t>
        </is>
      </c>
    </row>
    <row r="92">
      <c r="A92" s="20" t="inlineStr">
        <is>
          <t>person_name</t>
        </is>
      </c>
      <c r="B92" s="20" t="inlineStr">
        <is>
          <t>Text</t>
        </is>
      </c>
      <c r="C92" s="20" t="inlineStr">
        <is>
          <t>No</t>
        </is>
      </c>
      <c r="D92" s="19" t="inlineStr">
        <is>
          <t>Display convenience added at v0.11. Not authoritative: checked against Person on import and refreshed from it.</t>
        </is>
      </c>
      <c r="E92" s="20" t="inlineStr">
        <is>
          <t>REQ-PSN-01</t>
        </is>
      </c>
    </row>
    <row r="93">
      <c r="A93" s="10" t="inlineStr">
        <is>
          <t>project_id</t>
        </is>
      </c>
      <c r="B93" s="10" t="inlineStr">
        <is>
          <t>Text</t>
        </is>
      </c>
      <c r="C93" s="10" t="inlineStr">
        <is>
          <t>Yes</t>
        </is>
      </c>
      <c r="D93" s="11" t="inlineStr">
        <is>
          <t>Foreign key to Project.</t>
        </is>
      </c>
      <c r="E93" s="10" t="inlineStr">
        <is>
          <t>REQ-PSN-02</t>
        </is>
      </c>
    </row>
    <row r="94">
      <c r="A94" s="18" t="inlineStr">
        <is>
          <t>role_name</t>
        </is>
      </c>
      <c r="B94" s="18" t="inlineStr">
        <is>
          <t>Text</t>
        </is>
      </c>
      <c r="C94" s="18" t="inlineStr">
        <is>
          <t>Yes</t>
        </is>
      </c>
      <c r="D94" s="17" t="inlineStr">
        <is>
          <t>Foreign key to RoleFactor, matched on (project's type, role_name). Several rows = several roles on one project.</t>
        </is>
      </c>
      <c r="E94" s="18" t="inlineStr">
        <is>
          <t>REQ-PSN-03</t>
        </is>
      </c>
    </row>
    <row r="95">
      <c r="A95" s="10" t="inlineStr">
        <is>
          <t>assign_start_date</t>
        </is>
      </c>
      <c r="B95" s="10" t="inlineStr">
        <is>
          <t>Date</t>
        </is>
      </c>
      <c r="C95" s="10" t="inlineStr">
        <is>
          <t>Yes</t>
        </is>
      </c>
      <c r="D95" s="11" t="inlineStr">
        <is>
          <t>Date the person joins the study.</t>
        </is>
      </c>
      <c r="E95" s="10" t="inlineStr">
        <is>
          <t>REQ-PSN-04</t>
        </is>
      </c>
    </row>
    <row r="96">
      <c r="A96" s="8" t="inlineStr">
        <is>
          <t>assign_end_date</t>
        </is>
      </c>
      <c r="B96" s="8" t="inlineStr">
        <is>
          <t>Date</t>
        </is>
      </c>
      <c r="C96" s="8" t="inlineStr">
        <is>
          <t>Yes</t>
        </is>
      </c>
      <c r="D96" s="9" t="inlineStr">
        <is>
          <t>Date the person leaves the study. Blank = runs to project end.</t>
        </is>
      </c>
      <c r="E96" s="8" t="inlineStr">
        <is>
          <t>REQ-PSN-04</t>
        </is>
      </c>
    </row>
    <row r="97">
      <c r="A97" s="18" t="inlineStr">
        <is>
          <t>person_weight</t>
        </is>
      </c>
      <c r="B97" s="18" t="inlineStr">
        <is>
          <t>Decimal</t>
        </is>
      </c>
      <c r="C97" s="18" t="inlineStr">
        <is>
          <t>Yes</t>
        </is>
      </c>
      <c r="D97" s="17" t="inlineStr">
        <is>
          <t>RENAMED from base_allocation. How much this person works on this project, e.g. 0.40. Q-01 folded the two former fields into this one.</t>
        </is>
      </c>
      <c r="E97" s="18" t="inlineStr">
        <is>
          <t>REQ-CAL-02</t>
        </is>
      </c>
    </row>
    <row r="98">
      <c r="A98" s="8" t="inlineStr">
        <is>
          <t>note_1 .. note_3</t>
        </is>
      </c>
      <c r="B98" s="8" t="inlineStr">
        <is>
          <t>Text</t>
        </is>
      </c>
      <c r="C98" s="8" t="inlineStr">
        <is>
          <t>No</t>
        </is>
      </c>
      <c r="D98" s="9" t="inlineStr">
        <is>
          <t>Free extension columns.</t>
        </is>
      </c>
      <c r="E98" s="8" t="inlineStr">
        <is>
          <t>REQ-PSN-06</t>
        </is>
      </c>
    </row>
    <row r="100">
      <c r="A100" s="5" t="inlineStr">
        <is>
          <t>Sheet: PersonPeriodWeight</t>
        </is>
      </c>
    </row>
    <row r="101" ht="28" customHeight="1">
      <c r="A101" s="7" t="inlineStr">
        <is>
          <t>Column</t>
        </is>
      </c>
      <c r="B101" s="7" t="inlineStr">
        <is>
          <t>Type</t>
        </is>
      </c>
      <c r="C101" s="7" t="inlineStr">
        <is>
          <t>Required</t>
        </is>
      </c>
      <c r="D101" s="7" t="inlineStr">
        <is>
          <t>Definition / rule</t>
        </is>
      </c>
      <c r="E101" s="7" t="inlineStr">
        <is>
          <t>REQ-ID</t>
        </is>
      </c>
    </row>
    <row r="102">
      <c r="A102" s="8" t="inlineStr">
        <is>
          <t>assignment_id</t>
        </is>
      </c>
      <c r="B102" s="8" t="inlineStr">
        <is>
          <t>Text</t>
        </is>
      </c>
      <c r="C102" s="8" t="inlineStr">
        <is>
          <t>Yes</t>
        </is>
      </c>
      <c r="D102" s="9" t="inlineStr">
        <is>
          <t>Foreign key to Assignment.</t>
        </is>
      </c>
      <c r="E102" s="8" t="inlineStr">
        <is>
          <t>REQ-PSN-05</t>
        </is>
      </c>
    </row>
    <row r="103">
      <c r="A103" s="10" t="inlineStr">
        <is>
          <t>period_start</t>
        </is>
      </c>
      <c r="B103" s="10" t="inlineStr">
        <is>
          <t>Date</t>
        </is>
      </c>
      <c r="C103" s="10" t="inlineStr">
        <is>
          <t>Yes</t>
        </is>
      </c>
      <c r="D103" s="11" t="inlineStr">
        <is>
          <t>Inclusive.</t>
        </is>
      </c>
      <c r="E103" s="10" t="inlineStr">
        <is>
          <t>REQ-PSN-05</t>
        </is>
      </c>
    </row>
    <row r="104">
      <c r="A104" s="8" t="inlineStr">
        <is>
          <t>period_end</t>
        </is>
      </c>
      <c r="B104" s="8" t="inlineStr">
        <is>
          <t>Date</t>
        </is>
      </c>
      <c r="C104" s="8" t="inlineStr">
        <is>
          <t>Yes</t>
        </is>
      </c>
      <c r="D104" s="9" t="inlineStr">
        <is>
          <t>Inclusive. Periods within one assignment must not overlap.</t>
        </is>
      </c>
      <c r="E104" s="8" t="inlineStr">
        <is>
          <t>REQ-PSN-05</t>
        </is>
      </c>
    </row>
    <row r="105">
      <c r="A105" s="18" t="inlineStr">
        <is>
          <t>weight_override</t>
        </is>
      </c>
      <c r="B105" s="18" t="inlineStr">
        <is>
          <t>Decimal</t>
        </is>
      </c>
      <c r="C105" s="18" t="inlineStr">
        <is>
          <t>Yes</t>
        </is>
      </c>
      <c r="D105" s="17" t="inlineStr">
        <is>
          <t>REPLACES person_weight for months inside this window - it no longer multiplies it. Where no row covers a month, person_weight applies unchanged.</t>
        </is>
      </c>
      <c r="E105" s="18" t="inlineStr">
        <is>
          <t>REQ-PSN-05</t>
        </is>
      </c>
    </row>
    <row r="106">
      <c r="A106" s="8" t="inlineStr">
        <is>
          <t>reason</t>
        </is>
      </c>
      <c r="B106" s="8" t="inlineStr">
        <is>
          <t>Text</t>
        </is>
      </c>
      <c r="C106" s="8" t="inlineStr">
        <is>
          <t>No</t>
        </is>
      </c>
      <c r="D106" s="9" t="inlineStr">
        <is>
          <t>Why the weight differs, e.g. 'part-time', 'covering start-up peak'.</t>
        </is>
      </c>
      <c r="E106" s="8" t="inlineStr">
        <is>
          <t>REQ-PSN-05</t>
        </is>
      </c>
    </row>
    <row r="108">
      <c r="A108"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09">
      <c r="A109" s="5" t="inlineStr">
        <is>
          <t>Sheet: Config</t>
        </is>
      </c>
    </row>
    <row r="110" ht="28" customHeight="1">
      <c r="A110" s="7" t="inlineStr">
        <is>
          <t>parameter</t>
        </is>
      </c>
      <c r="B110" s="7" t="inlineStr">
        <is>
          <t>Meaning</t>
        </is>
      </c>
      <c r="C110" s="7" t="inlineStr">
        <is>
          <t>Default value</t>
        </is>
      </c>
      <c r="D110" s="7" t="inlineStr">
        <is>
          <t>REQ-ID</t>
        </is>
      </c>
    </row>
    <row r="111">
      <c r="A111" s="8" t="inlineStr">
        <is>
          <t>schema_version</t>
        </is>
      </c>
      <c r="B111" s="9" t="inlineStr">
        <is>
          <t>Version of this workbook structure; checked on import.</t>
        </is>
      </c>
      <c r="C111" s="8" t="inlineStr">
        <is>
          <t>1</t>
        </is>
      </c>
      <c r="D111" s="8" t="inlineStr">
        <is>
          <t>REQ-VC-02</t>
        </is>
      </c>
    </row>
    <row r="112">
      <c r="A112" s="20" t="inlineStr">
        <is>
          <t>fte_hours_per_month</t>
        </is>
      </c>
      <c r="B112" s="19" t="inlineStr">
        <is>
          <t>Hours equal to 1.00 FTE.</t>
        </is>
      </c>
      <c r="C112" s="20" t="inlineStr">
        <is>
          <t>160</t>
        </is>
      </c>
      <c r="D112" s="20" t="inlineStr">
        <is>
          <t>REQ-CAL-08</t>
        </is>
      </c>
    </row>
    <row r="113">
      <c r="A113" s="20" t="inlineStr">
        <is>
          <t>over_allocation_fte</t>
        </is>
      </c>
      <c r="B113" s="19" t="inlineStr">
        <is>
          <t>Person-month total above this is over-allocated.</t>
        </is>
      </c>
      <c r="C113" s="20" t="inlineStr">
        <is>
          <t>1.50</t>
        </is>
      </c>
      <c r="D113" s="20" t="inlineStr">
        <is>
          <t>REQ-CAL-04</t>
        </is>
      </c>
    </row>
    <row r="114">
      <c r="A114" s="20" t="inlineStr">
        <is>
          <t>under_allocation_fte</t>
        </is>
      </c>
      <c r="B114" s="19" t="inlineStr">
        <is>
          <t>Person-month total below this counts toward an under-allocated run.</t>
        </is>
      </c>
      <c r="C114" s="20" t="inlineStr">
        <is>
          <t>0.80</t>
        </is>
      </c>
      <c r="D114" s="20" t="inlineStr">
        <is>
          <t>REQ-CAL-07</t>
        </is>
      </c>
    </row>
    <row r="115">
      <c r="A115" s="20" t="inlineStr">
        <is>
          <t>under_allocation_min_months</t>
        </is>
      </c>
      <c r="B115" s="19" t="inlineStr">
        <is>
          <t>Consecutive months below the threshold before flagging.</t>
        </is>
      </c>
      <c r="C115" s="20" t="inlineStr">
        <is>
          <t>3</t>
        </is>
      </c>
      <c r="D115" s="20" t="inlineStr">
        <is>
          <t>REQ-CAL-07</t>
        </is>
      </c>
    </row>
    <row r="116">
      <c r="A116" s="18" t="inlineStr">
        <is>
          <t>default_horizon_months</t>
        </is>
      </c>
      <c r="B116" s="17" t="inlineStr">
        <is>
          <t>Months shown on opening.</t>
        </is>
      </c>
      <c r="C116" s="18" t="inlineStr">
        <is>
          <t>24</t>
        </is>
      </c>
      <c r="D116" s="18" t="inlineStr">
        <is>
          <t>REQ-CAL-01</t>
        </is>
      </c>
    </row>
    <row r="117">
      <c r="A117" s="18" t="inlineStr">
        <is>
          <t>capacity_unit</t>
        </is>
      </c>
      <c r="B117" s="17" t="inlineStr">
        <is>
          <t>Display unit: 'FTE' or 'percent'.</t>
        </is>
      </c>
      <c r="C117" s="18" t="inlineStr">
        <is>
          <t>FTE</t>
        </is>
      </c>
      <c r="D117" s="18" t="inlineStr">
        <is>
          <t>REQ-CAL-08</t>
        </is>
      </c>
    </row>
    <row r="119">
      <c r="A119" s="5" t="inlineStr">
        <is>
          <t>Sheet: Lists   [new]</t>
        </is>
      </c>
    </row>
    <row r="120">
      <c r="A120" s="6" t="inlineStr">
        <is>
          <t>Two columns - list_name, value - holding every data-driven dropdown: outsourcing_type, clinical_phase,</t>
        </is>
      </c>
    </row>
    <row r="121">
      <c r="A121" s="6" t="inlineStr">
        <is>
          <t>milestone_name, period_name, EDC_system, DataReviewSystem, RBQM_system, setup_party, project_status.</t>
        </is>
      </c>
    </row>
    <row r="122">
      <c r="A122" s="6" t="inlineStr">
        <is>
          <t>Adding a permitted value is a data edit, never a code change (REQ-CAL-06).</t>
        </is>
      </c>
    </row>
    <row r="124">
      <c r="A124" s="5" t="inlineStr">
        <is>
          <t>Referential rules checked on import</t>
        </is>
      </c>
    </row>
    <row r="125" ht="28" customHeight="1">
      <c r="A125" s="7" t="inlineStr">
        <is>
          <t>ID</t>
        </is>
      </c>
      <c r="B125" s="7" t="inlineStr">
        <is>
          <t>Rule</t>
        </is>
      </c>
      <c r="C125" s="7" t="inlineStr">
        <is>
          <t>On failure</t>
        </is>
      </c>
    </row>
    <row r="126">
      <c r="A126" s="8" t="inlineStr">
        <is>
          <t>V-01</t>
        </is>
      </c>
      <c r="B126" s="9" t="inlineStr">
        <is>
          <t>Every Assignment.project_id exists in Project.</t>
        </is>
      </c>
      <c r="C126" s="9" t="inlineStr">
        <is>
          <t>Error - row rejected, reported with its row number.</t>
        </is>
      </c>
    </row>
    <row r="127">
      <c r="A127" s="10" t="inlineStr">
        <is>
          <t>V-02</t>
        </is>
      </c>
      <c r="B127" s="11" t="inlineStr">
        <is>
          <t>Every Assignment.person_id exists in Person.</t>
        </is>
      </c>
      <c r="C127" s="11" t="inlineStr">
        <is>
          <t>Error - row rejected.</t>
        </is>
      </c>
    </row>
    <row r="128">
      <c r="A128" s="18" t="inlineStr">
        <is>
          <t>V-03</t>
        </is>
      </c>
      <c r="B128" s="17" t="inlineStr">
        <is>
          <t>Every Assignment.role_name exists in RoleFactor FOR THAT PROJECT'S TYPE.</t>
        </is>
      </c>
      <c r="C128" s="17" t="inlineStr">
        <is>
          <t>Error - row rejected. Was a warning in v0.1; roles are now type-specific, so a mismatch is a real error.</t>
        </is>
      </c>
    </row>
    <row r="129">
      <c r="A129" s="10" t="inlineStr">
        <is>
          <t>V-04</t>
        </is>
      </c>
      <c r="B129" s="11" t="inlineStr">
        <is>
          <t>project_category is present when project_type = 'Clinical Trial'.</t>
        </is>
      </c>
      <c r="C129" s="11" t="inlineStr">
        <is>
          <t>Warning - shown as blank in the dashboard.</t>
        </is>
      </c>
    </row>
    <row r="130">
      <c r="A130" s="8" t="inlineStr">
        <is>
          <t>V-05</t>
        </is>
      </c>
      <c r="B130" s="9" t="inlineStr">
        <is>
          <t>end_date is on or after start_date, for projects, assignments and all weight periods.</t>
        </is>
      </c>
      <c r="C130" s="9" t="inlineStr">
        <is>
          <t>Error - row rejected.</t>
        </is>
      </c>
    </row>
    <row r="131">
      <c r="A131" s="10" t="inlineStr">
        <is>
          <t>V-06</t>
        </is>
      </c>
      <c r="B131" s="11" t="inlineStr">
        <is>
          <t>Periods within one project, and within one assignment, do not overlap.</t>
        </is>
      </c>
      <c r="C131" s="11" t="inlineStr">
        <is>
          <t>Error - overlapping pair reported.</t>
        </is>
      </c>
    </row>
    <row r="132">
      <c r="A132" s="8" t="inlineStr">
        <is>
          <t>V-07</t>
        </is>
      </c>
      <c r="B132" s="9" t="inlineStr">
        <is>
          <t>Assignment dates fall inside the project's own start and end dates.</t>
        </is>
      </c>
      <c r="C132" s="9" t="inlineStr">
        <is>
          <t>Warning - kept, but listed for review.</t>
        </is>
      </c>
    </row>
    <row r="133">
      <c r="A133" s="10" t="inlineStr">
        <is>
          <t>V-08</t>
        </is>
      </c>
      <c r="B133" s="11" t="inlineStr">
        <is>
          <t>project_id, person_id and assignment_id are unique in their sheet.</t>
        </is>
      </c>
      <c r="C133" s="11" t="inlineStr">
        <is>
          <t>Error - duplicate rejected.</t>
        </is>
      </c>
    </row>
    <row r="134">
      <c r="A134" s="8" t="inlineStr">
        <is>
          <t>V-09</t>
        </is>
      </c>
      <c r="B134" s="9" t="inlineStr">
        <is>
          <t>schema_version in Config matches the version the application expects.</t>
        </is>
      </c>
      <c r="C134" s="9" t="inlineStr">
        <is>
          <t>Warning - proceeds, banner shown.</t>
        </is>
      </c>
    </row>
    <row r="135">
      <c r="A135" s="20" t="inlineStr">
        <is>
          <t>V-10</t>
        </is>
      </c>
      <c r="B135" s="19" t="inlineStr">
        <is>
          <t>Clinical-trial projects carry clinical_phase and the four *_setup values.</t>
        </is>
      </c>
      <c r="C135" s="19" t="inlineStr">
        <is>
          <t>Warning - the project still simulates; the gap is listed.</t>
        </is>
      </c>
    </row>
    <row r="136">
      <c r="A136" s="20" t="inlineStr">
        <is>
          <t>V-11</t>
        </is>
      </c>
      <c r="B136" s="19" t="inlineStr">
        <is>
          <t>Every list-typed value appears in the Lists sheet for its list.</t>
        </is>
      </c>
      <c r="C136" s="19" t="inlineStr">
        <is>
          <t>Warning - value kept, reported as unrecognised.</t>
        </is>
      </c>
    </row>
    <row r="137">
      <c r="A137" s="20" t="inlineStr">
        <is>
          <t>V-12</t>
        </is>
      </c>
      <c r="B137" s="19" t="inlineStr">
        <is>
          <t>The four standard periods exist for every project and leave no gap in its timeline.</t>
        </is>
      </c>
      <c r="C137" s="19" t="inlineStr">
        <is>
          <t>Warning - months with no period use weight 1.00 and are listed.</t>
        </is>
      </c>
    </row>
    <row r="138">
      <c r="A138" s="20" t="inlineStr">
        <is>
          <t>V-13</t>
        </is>
      </c>
      <c r="B138" s="19" t="inlineStr">
        <is>
          <t>Denormalised project_name / person_name match their master row.</t>
        </is>
      </c>
      <c r="C138" s="19" t="inlineStr">
        <is>
          <t>Warning - the master value wins and the copy is refreshed.</t>
        </is>
      </c>
    </row>
    <row r="139">
      <c r="A139" s="20" t="inlineStr">
        <is>
          <t>V-14</t>
        </is>
      </c>
      <c r="B139" s="19" t="inlineStr">
        <is>
          <t>A milestone date falls inside its project's start..end window, and the standard milestones appear in chronological order.</t>
        </is>
      </c>
      <c r="C139" s="19" t="inlineStr">
        <is>
          <t>Warning - listed, since period derivation depends on it.</t>
        </is>
      </c>
    </row>
    <row r="141">
      <c r="A141" s="16" t="inlineStr">
        <is>
          <t>Import never stops at the first problem: it collects every finding and presents one report (REQ-IMP-02). Under REQ-IMP-09 the same rules run again on any value edited on screen.</t>
        </is>
      </c>
    </row>
    <row r="142">
      <c r="A142" s="3" t="inlineStr">
        <is>
          <t>Legend</t>
        </is>
      </c>
    </row>
    <row r="143">
      <c r="A143" s="12" t="inlineStr">
        <is>
          <t>Green = new in v0.2, added from your review answers.</t>
        </is>
      </c>
    </row>
    <row r="144">
      <c r="A144" s="13" t="inlineStr">
        <is>
          <t>Orange = changed in v0.2 as a consequence of your review.</t>
        </is>
      </c>
    </row>
    <row r="145">
      <c r="A145"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65"/>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identical for everyone holding it.</t>
        </is>
      </c>
    </row>
    <row r="15">
      <c r="A15" s="21" t="inlineStr">
        <is>
          <t xml:space="preserve">                       Roles are drawn from the list valid for the project's type.</t>
        </is>
      </c>
    </row>
    <row r="16">
      <c r="A16" s="6" t="inlineStr">
        <is>
          <t>person_weight          is how much this person works on this project, given per assignment;</t>
        </is>
      </c>
    </row>
    <row r="17">
      <c r="A17" s="21" t="inlineStr">
        <is>
          <t xml:space="preserve">                       a PersonPeriodWeight row replaces it for the months it covers.</t>
        </is>
      </c>
    </row>
    <row r="18">
      <c r="A18" s="6" t="inlineStr">
        <is>
          <t>coverage               = calendar days worked in the month / calendar days in the month.</t>
        </is>
      </c>
    </row>
    <row r="19">
      <c r="A19" s="21" t="inlineStr">
        <is>
          <t xml:space="preserve">                       1.00 for a full month, a fraction in the joining and leaving months.</t>
        </is>
      </c>
    </row>
    <row r="21">
      <c r="A21" s="16" t="inlineStr">
        <is>
          <t>Changed from v0.1: base_allocation is gone. Q-01 named three factors, and base_allocation was a fourth that would have silently scaled all of them. person_weight now carries that meaning alone.</t>
        </is>
      </c>
    </row>
    <row r="23">
      <c r="A23" s="5" t="inlineStr">
        <is>
          <t>Aggregation</t>
        </is>
      </c>
    </row>
    <row r="24" ht="28" customHeight="1">
      <c r="A24" s="7" t="inlineStr">
        <is>
          <t>Output</t>
        </is>
      </c>
      <c r="B24" s="7" t="inlineStr">
        <is>
          <t>How it is computed</t>
        </is>
      </c>
      <c r="C24" s="7" t="inlineStr">
        <is>
          <t>Where it appears</t>
        </is>
      </c>
      <c r="D24" s="7" t="inlineStr">
        <is>
          <t>REQ-ID</t>
        </is>
      </c>
    </row>
    <row r="25">
      <c r="A25" s="8" t="inlineStr">
        <is>
          <t>Per project, per month</t>
        </is>
      </c>
      <c r="B25" s="9" t="inlineStr">
        <is>
          <t>Sum of load over every assignment on that project.</t>
        </is>
      </c>
      <c r="C25" s="9" t="inlineStr">
        <is>
          <t>Overall tab, project table + stacked graph</t>
        </is>
      </c>
      <c r="D25" s="8" t="inlineStr">
        <is>
          <t>REQ-CAL-03</t>
        </is>
      </c>
    </row>
    <row r="26">
      <c r="A26" s="10" t="inlineStr">
        <is>
          <t>Per person, per month</t>
        </is>
      </c>
      <c r="B26" s="11" t="inlineStr">
        <is>
          <t>Sum of load over every assignment that person holds, across all projects.</t>
        </is>
      </c>
      <c r="C26" s="11" t="inlineStr">
        <is>
          <t>Overall tab, person table + graph</t>
        </is>
      </c>
      <c r="D26" s="10" t="inlineStr">
        <is>
          <t>REQ-CAL-03</t>
        </is>
      </c>
    </row>
    <row r="27">
      <c r="A27" s="8" t="inlineStr">
        <is>
          <t>Per person, per project, per month</t>
        </is>
      </c>
      <c r="B27" s="9" t="inlineStr">
        <is>
          <t>The individual load value.</t>
        </is>
      </c>
      <c r="C27" s="9" t="inlineStr">
        <is>
          <t>Drill-down when a person row is expanded</t>
        </is>
      </c>
      <c r="D27" s="8" t="inlineStr">
        <is>
          <t>REQ-CAL-03</t>
        </is>
      </c>
    </row>
    <row r="28">
      <c r="A28" s="18" t="inlineStr">
        <is>
          <t>Over-allocation flag</t>
        </is>
      </c>
      <c r="B28" s="17" t="inlineStr">
        <is>
          <t>Person-month total &gt; over_allocation_fte (1.50).</t>
        </is>
      </c>
      <c r="C28" s="17" t="inlineStr">
        <is>
          <t>Red cell + count in summary tiles</t>
        </is>
      </c>
      <c r="D28" s="18" t="inlineStr">
        <is>
          <t>REQ-CAL-04</t>
        </is>
      </c>
    </row>
    <row r="29">
      <c r="A29" s="20" t="inlineStr">
        <is>
          <t>Under-allocation run</t>
        </is>
      </c>
      <c r="B29" s="19" t="inlineStr">
        <is>
          <t>Person-month total &lt; under_allocation_fte (0.80) for &gt;= under_allocation_min_months (3) consecutive months. Reported as a run with its start month and length.</t>
        </is>
      </c>
      <c r="C29" s="19" t="inlineStr">
        <is>
          <t>Amber cells across the run + count in summary tiles</t>
        </is>
      </c>
      <c r="D29" s="20" t="inlineStr">
        <is>
          <t>REQ-CAL-07</t>
        </is>
      </c>
    </row>
    <row r="30">
      <c r="A30" s="20" t="inlineStr">
        <is>
          <t>Hours view</t>
        </is>
      </c>
      <c r="B30" s="19" t="inlineStr">
        <is>
          <t>load x fte_hours_per_month.</t>
        </is>
      </c>
      <c r="C30" s="19" t="inlineStr">
        <is>
          <t>Alternative display unit</t>
        </is>
      </c>
      <c r="D30" s="20" t="inlineStr">
        <is>
          <t>REQ-CAL-08</t>
        </is>
      </c>
    </row>
    <row r="31">
      <c r="A31" s="8" t="inlineStr">
        <is>
          <t>Head-count per project, per month</t>
        </is>
      </c>
      <c r="B31" s="9" t="inlineStr">
        <is>
          <t>Count of assignments with load &gt; 0 that month.</t>
        </is>
      </c>
      <c r="C31" s="9" t="inlineStr">
        <is>
          <t>Compared against planned_member_count</t>
        </is>
      </c>
      <c r="D31" s="8" t="inlineStr">
        <is>
          <t>REQ-PRJ-04</t>
        </is>
      </c>
    </row>
    <row r="33">
      <c r="A33" s="16" t="inlineStr">
        <is>
          <t>Under-allocation needs a rolling window, not a per-month test: a single quiet month is normal, three in a row is a signal. A run is reported once, at its start, rather than as three separate flags.</t>
        </is>
      </c>
    </row>
    <row r="35">
      <c r="A35" s="5" t="inlineStr">
        <is>
          <t>Worked example - the acceptance test for the calculation engine</t>
        </is>
      </c>
    </row>
    <row r="36" ht="28" customHeight="1">
      <c r="A36" s="7" t="inlineStr">
        <is>
          <t>Element</t>
        </is>
      </c>
      <c r="B36" s="7" t="inlineStr">
        <is>
          <t>Value</t>
        </is>
      </c>
      <c r="C36" s="7" t="inlineStr">
        <is>
          <t>Note</t>
        </is>
      </c>
    </row>
    <row r="37">
      <c r="A37" s="8" t="inlineStr">
        <is>
          <t>Assignment</t>
        </is>
      </c>
      <c r="B37" s="9" t="inlineStr">
        <is>
          <t>PSN-001 on PRJ-001 (Clinical Trial), role = Lead data manager</t>
        </is>
      </c>
      <c r="C37" s="9" t="inlineStr"/>
    </row>
    <row r="38">
      <c r="A38" s="10" t="inlineStr">
        <is>
          <t>person_weight</t>
        </is>
      </c>
      <c r="B38" s="11" t="inlineStr">
        <is>
          <t>0.40</t>
        </is>
      </c>
      <c r="C38" s="11" t="inlineStr">
        <is>
          <t>How much this person works on this project</t>
        </is>
      </c>
    </row>
    <row r="39">
      <c r="A39" s="8" t="inlineStr">
        <is>
          <t>Assignment window</t>
        </is>
      </c>
      <c r="B39" s="9" t="inlineStr">
        <is>
          <t>2026-03-10 to 2026-12-31</t>
        </is>
      </c>
      <c r="C39" s="9" t="inlineStr">
        <is>
          <t>Joins part-way through March</t>
        </is>
      </c>
    </row>
    <row r="40">
      <c r="A40" s="10" t="inlineStr">
        <is>
          <t>Project periods</t>
        </is>
      </c>
      <c r="B40" s="11" t="inlineStr">
        <is>
          <t>Start-up 2026-01-01..2026-06-30 weight 1.50; Conduct from 2026-07-01 weight 1.00</t>
        </is>
      </c>
      <c r="C40" s="11" t="inlineStr">
        <is>
          <t>Seeded from the project's category</t>
        </is>
      </c>
    </row>
    <row r="41">
      <c r="A41" s="8" t="inlineStr">
        <is>
          <t>role_factor</t>
        </is>
      </c>
      <c r="B41" s="9" t="inlineStr">
        <is>
          <t>1.20 for Lead data manager</t>
        </is>
      </c>
      <c r="C41" s="9" t="inlineStr">
        <is>
          <t>Illustrative - real values still needed (Q-17)</t>
        </is>
      </c>
    </row>
    <row r="42">
      <c r="A42" s="10" t="inlineStr">
        <is>
          <t>Coverage, March 2026</t>
        </is>
      </c>
      <c r="B42" s="11" t="inlineStr">
        <is>
          <t>22 / 31 = 0.7097</t>
        </is>
      </c>
      <c r="C42" s="11" t="inlineStr">
        <is>
          <t>10 Mar to 31 Mar inclusive = 22 days</t>
        </is>
      </c>
    </row>
    <row r="43">
      <c r="A43" s="8" t="inlineStr">
        <is>
          <t>Load, March 2026</t>
        </is>
      </c>
      <c r="B43" s="9" t="inlineStr">
        <is>
          <t>1.50 x 1.20 x 0.40 x 0.7097 = 0.511 FTE</t>
        </is>
      </c>
      <c r="C43" s="9" t="inlineStr">
        <is>
          <t>81.8 hours</t>
        </is>
      </c>
    </row>
    <row r="44">
      <c r="A44" s="10" t="inlineStr">
        <is>
          <t>Load, April 2026</t>
        </is>
      </c>
      <c r="B44" s="11" t="inlineStr">
        <is>
          <t>1.50 x 1.20 x 0.40 x 1.0000 = 0.720 FTE</t>
        </is>
      </c>
      <c r="C44" s="11" t="inlineStr">
        <is>
          <t>115.2 hours. Full month inside Start-up</t>
        </is>
      </c>
    </row>
    <row r="45">
      <c r="A45" s="8" t="inlineStr">
        <is>
          <t>Load, July 2026</t>
        </is>
      </c>
      <c r="B45" s="9" t="inlineStr">
        <is>
          <t>1.00 x 1.20 x 0.40 x 1.0000 = 0.480 FTE</t>
        </is>
      </c>
      <c r="C45" s="9" t="inlineStr">
        <is>
          <t>76.8 hours. Conduct weight applies</t>
        </is>
      </c>
    </row>
    <row r="46">
      <c r="A46" s="10" t="inlineStr">
        <is>
          <t>Over-allocated?</t>
        </is>
      </c>
      <c r="B46" s="11" t="inlineStr">
        <is>
          <t>No - 0.720 is below the 1.50 threshold</t>
        </is>
      </c>
      <c r="C46" s="11" t="inlineStr">
        <is>
          <t>This person would need other assignments to breach it</t>
        </is>
      </c>
    </row>
    <row r="47">
      <c r="A47" s="8" t="inlineStr">
        <is>
          <t>Under-allocated?</t>
        </is>
      </c>
      <c r="B47" s="9" t="inlineStr">
        <is>
          <t>Only if their total across ALL projects stays below 0.80 for 3 months running</t>
        </is>
      </c>
      <c r="C47" s="9" t="inlineStr">
        <is>
          <t>Judged on the person total, never on one assignment</t>
        </is>
      </c>
    </row>
    <row r="49">
      <c r="A49" s="16" t="inlineStr">
        <is>
          <t>Please confirm these numbers at Step 2. The role_factor of 1.20 is a placeholder: the arithmetic is the thing being agreed, not that particular value.</t>
        </is>
      </c>
    </row>
    <row r="51">
      <c r="A51" s="5" t="inlineStr">
        <is>
          <t>Design decisions inside the calculation</t>
        </is>
      </c>
    </row>
    <row r="52" ht="28" customHeight="1">
      <c r="A52" s="7" t="inlineStr">
        <is>
          <t>ID</t>
        </is>
      </c>
      <c r="B52" s="7" t="inlineStr">
        <is>
          <t>Decision</t>
        </is>
      </c>
      <c r="C52" s="7" t="inlineStr">
        <is>
          <t>Rationale</t>
        </is>
      </c>
      <c r="D52" s="7" t="inlineStr">
        <is>
          <t>Status</t>
        </is>
      </c>
    </row>
    <row r="53">
      <c r="A53" s="8" t="inlineStr">
        <is>
          <t>C-01</t>
        </is>
      </c>
      <c r="B53" s="9" t="inlineStr">
        <is>
          <t>Weights multiply rather than add.</t>
        </is>
      </c>
      <c r="C53" s="9" t="inlineStr">
        <is>
          <t>Confirmed at Q-01: project weight x role factor x person weight.</t>
        </is>
      </c>
      <c r="D53" s="8" t="inlineStr">
        <is>
          <t>CONFIRMED</t>
        </is>
      </c>
    </row>
    <row r="54">
      <c r="A54" s="10" t="inlineStr">
        <is>
          <t>C-02</t>
        </is>
      </c>
      <c r="B54" s="11" t="inlineStr">
        <is>
          <t>Partial months are pro-rated by calendar days.</t>
        </is>
      </c>
      <c r="C54" s="11" t="inlineStr">
        <is>
          <t>Confirmed at Q-02: work is expected in proportion to calendar days from the joined date to the end date.</t>
        </is>
      </c>
      <c r="D54" s="10" t="inlineStr">
        <is>
          <t>CONFIRMED</t>
        </is>
      </c>
    </row>
    <row r="55">
      <c r="A55" s="18" t="inlineStr">
        <is>
          <t>C-03</t>
        </is>
      </c>
      <c r="B55" s="17" t="inlineStr">
        <is>
          <t>A missing PersonPeriodWeight row means person_weight applies unchanged.</t>
        </is>
      </c>
      <c r="C55" s="17" t="inlineStr">
        <is>
          <t>Follows from the override semantics. No row is the normal case, not an exception.</t>
        </is>
      </c>
      <c r="D55" s="18" t="inlineStr">
        <is>
          <t>CONFIRMED</t>
        </is>
      </c>
    </row>
    <row r="56">
      <c r="A56" s="18" t="inlineStr">
        <is>
          <t>C-04</t>
        </is>
      </c>
      <c r="B56" s="17" t="inlineStr">
        <is>
          <t>Capacity is FTE. 1.00 FTE = 160 h/month.</t>
        </is>
      </c>
      <c r="C56" s="17" t="inlineStr">
        <is>
          <t>Confirmed at Q-08. Note the flag is NOT at 1.00 - over-allocation begins above 1.50.</t>
        </is>
      </c>
      <c r="D56" s="18" t="inlineStr">
        <is>
          <t>CONFIRMED</t>
        </is>
      </c>
    </row>
    <row r="57">
      <c r="A57" s="18" t="inlineStr">
        <is>
          <t>C-05</t>
        </is>
      </c>
      <c r="B57" s="17" t="inlineStr">
        <is>
          <t>The unit shown on screen is FTE, with hours available.</t>
        </is>
      </c>
      <c r="C57" s="17" t="inlineStr">
        <is>
          <t>Q-08 was expressed in FTE and hours, so FTE is now the default rather than percent.</t>
        </is>
      </c>
      <c r="D57" s="18" t="inlineStr">
        <is>
          <t>CONFIRMED</t>
        </is>
      </c>
    </row>
    <row r="58">
      <c r="A58" s="20" t="inlineStr">
        <is>
          <t>C-06</t>
        </is>
      </c>
      <c r="B58" s="19" t="inlineStr">
        <is>
          <t>Over- and under-allocation are judged on the person's total across all projects.</t>
        </is>
      </c>
      <c r="C58" s="19" t="inlineStr">
        <is>
          <t>The question 'is this person over-committed' is only meaningful across their whole workload.</t>
        </is>
      </c>
      <c r="D58" s="20" t="inlineStr">
        <is>
          <t>Confirm</t>
        </is>
      </c>
    </row>
    <row r="59">
      <c r="A59" s="20" t="inlineStr">
        <is>
          <t>C-07</t>
        </is>
      </c>
      <c r="B59" s="19" t="inlineStr">
        <is>
          <t>Period weights are seeded from the category standard, then editable per project.</t>
        </is>
      </c>
      <c r="C59" s="19" t="inlineStr">
        <is>
          <t>Q-01 ties weight to category; real projects still deviate. Seeding keeps them consistent without freezing them.</t>
        </is>
      </c>
      <c r="D59" s="20" t="inlineStr">
        <is>
          <t>Confirm</t>
        </is>
      </c>
    </row>
    <row r="60">
      <c r="A60" s="20" t="inlineStr">
        <is>
          <t>C-08</t>
        </is>
      </c>
      <c r="B60" s="19" t="inlineStr">
        <is>
          <t>A month is attributed to the period containing its first day.</t>
        </is>
      </c>
      <c r="C60" s="19" t="inlineStr">
        <is>
          <t>Avoids splitting a month across two weights. Simpler to explain and to check by hand.</t>
        </is>
      </c>
      <c r="D60" s="20" t="inlineStr">
        <is>
          <t>Confirm</t>
        </is>
      </c>
    </row>
    <row r="62">
      <c r="A62" s="3" t="inlineStr">
        <is>
          <t>Legend</t>
        </is>
      </c>
    </row>
    <row r="63">
      <c r="A63" s="12" t="inlineStr">
        <is>
          <t>Green = new in v0.2, added from your review answers.</t>
        </is>
      </c>
    </row>
    <row r="64">
      <c r="A64" s="13" t="inlineStr">
        <is>
          <t>Orange = changed in v0.2 as a consequence of your review.</t>
        </is>
      </c>
    </row>
    <row r="65">
      <c r="A65"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6"/>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Three tabs as specified. Detailed layout is fixed at the Step 3 UI review.</t>
        </is>
      </c>
    </row>
    <row r="4">
      <c r="A4" s="5" t="inlineStr">
        <is>
          <t>Tab 1 - Overall</t>
        </is>
      </c>
    </row>
    <row r="5" ht="28" customHeight="1">
      <c r="A5" s="7" t="inlineStr">
        <is>
          <t>Component</t>
        </is>
      </c>
      <c r="B5" s="7" t="inlineStr">
        <is>
          <t>Content</t>
        </is>
      </c>
      <c r="C5" s="7" t="inlineStr">
        <is>
          <t>REQ-ID</t>
        </is>
      </c>
    </row>
    <row r="6">
      <c r="A6" s="18" t="inlineStr">
        <is>
          <t>Control bar</t>
        </is>
      </c>
      <c r="B6" s="17" t="inlineStr">
        <is>
          <t>Horizon (default 24 months, one click to expand to the latest project end date), project type, project, person, role, department. Plus 'Load workbook', 'Export', unit toggle FTE/hours, and the loaded-file name and time.</t>
        </is>
      </c>
      <c r="C6" s="18" t="inlineStr">
        <is>
          <t>REQ-DSH-05, REQ-DSH-07</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18" t="inlineStr">
        <is>
          <t>Table B - resource by person</t>
        </is>
      </c>
      <c r="B8" s="17" t="inlineStr">
        <is>
          <t>Rows = person, columns = months, cells = FTE summed across projects. Over-allocated cells red, under-allocated runs amber. Expanding a person reveals their projects.</t>
        </is>
      </c>
      <c r="C8" s="18"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18" t="inlineStr">
        <is>
          <t>Graph 2 - grouped bar, by person</t>
        </is>
      </c>
      <c r="B10" s="17" t="inlineStr">
        <is>
          <t>Monthly FTE per person with reference lines at 1.50 and 0.80, so both thresholds are visible.</t>
        </is>
      </c>
      <c r="C10" s="18"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18" t="inlineStr">
        <is>
          <t>Summary tiles</t>
        </is>
      </c>
      <c r="B12" s="17" t="inlineStr">
        <is>
          <t>Active projects, people assigned, total FTE in the horizon, over-allocated person-months, under-allocated runs.</t>
        </is>
      </c>
      <c r="C12" s="18" t="inlineStr">
        <is>
          <t>REQ-DSH-08</t>
        </is>
      </c>
    </row>
    <row r="14">
      <c r="A14" s="5" t="inlineStr">
        <is>
          <t>Tab 2 - Source data (project)</t>
        </is>
      </c>
    </row>
    <row r="15" ht="28" customHeight="1">
      <c r="A15" s="7" t="inlineStr">
        <is>
          <t>Component</t>
        </is>
      </c>
      <c r="B15" s="7" t="inlineStr">
        <is>
          <t>Content</t>
        </is>
      </c>
      <c r="C15" s="7" t="inlineStr">
        <is>
          <t>REQ-ID</t>
        </is>
      </c>
    </row>
    <row r="16">
      <c r="A16" s="18" t="inlineStr">
        <is>
          <t>Project table</t>
        </is>
      </c>
      <c r="B16" s="17" t="inlineStr">
        <is>
          <t>Every Project column from sheet 04, sortable and filterable, with derived total period. Editable under REQ-IMP-07.</t>
        </is>
      </c>
      <c r="C16" s="18" t="inlineStr">
        <is>
          <t>REQ-DSH-03</t>
        </is>
      </c>
    </row>
    <row r="17">
      <c r="A17" s="10" t="inlineStr">
        <is>
          <t>Milestone sub-table</t>
        </is>
      </c>
      <c r="B17" s="11" t="inlineStr">
        <is>
          <t>Milestones of the selected project, in sequence.</t>
        </is>
      </c>
      <c r="C17" s="10" t="inlineStr">
        <is>
          <t>REQ-PRJ-05</t>
        </is>
      </c>
    </row>
    <row r="18">
      <c r="A18" s="18" t="inlineStr">
        <is>
          <t>Period sub-table</t>
        </is>
      </c>
      <c r="B18" s="17" t="inlineStr">
        <is>
          <t>The selected project's four periods, their derived dates and their weights.</t>
        </is>
      </c>
      <c r="C18" s="18"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18" t="inlineStr">
        <is>
          <t>Person table</t>
        </is>
      </c>
      <c r="B23" s="17" t="inlineStr">
        <is>
          <t>Every Person column from sheet 04, sortable and filterable. Editable under REQ-IMP-07.</t>
        </is>
      </c>
      <c r="C23" s="18" t="inlineStr">
        <is>
          <t>REQ-DSH-04</t>
        </is>
      </c>
    </row>
    <row r="24">
      <c r="A24" s="18" t="inlineStr">
        <is>
          <t>Assignment sub-table</t>
        </is>
      </c>
      <c r="B24" s="17" t="inlineStr">
        <is>
          <t>The selected person's assignments: project, role, start, end, person weight.</t>
        </is>
      </c>
      <c r="C24" s="18"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17" t="inlineStr">
        <is>
          <t>The v0.1 rule 'nothing on screen is editable' is withdrawn. Imported data can be edited in the application.</t>
        </is>
      </c>
      <c r="B30" s="18"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11" t="inlineStr">
        <is>
          <t>An edited value is validated exactly as an imported one would be; a rejected edit is refused at the point of entry, not at export.</t>
        </is>
      </c>
      <c r="B33" s="10" t="inlineStr">
        <is>
          <t>REQ-IMP-09</t>
        </is>
      </c>
    </row>
    <row r="34">
      <c r="A34" s="9" t="inlineStr">
        <is>
          <t>Export writes the edited data in the template layout, so the exported file can be re-imported unchanged.</t>
        </is>
      </c>
      <c r="B34" s="8" t="inlineStr">
        <is>
          <t>REQ-IMP-04, REQ-IMP-07</t>
        </is>
      </c>
    </row>
    <row r="35">
      <c r="A35" s="11" t="inlineStr">
        <is>
          <t>The application never writes to the workbook on disk by itself - export is always a deliberate act.</t>
        </is>
      </c>
      <c r="B35" s="10" t="inlineStr">
        <is>
          <t>Out of scope, sheet 02</t>
        </is>
      </c>
    </row>
    <row r="37">
      <c r="A37" s="5" t="inlineStr">
        <is>
          <t>Cross-cutting UI rules</t>
        </is>
      </c>
    </row>
    <row r="38" ht="28" customHeight="1">
      <c r="A38" s="7" t="inlineStr">
        <is>
          <t>Rule</t>
        </is>
      </c>
    </row>
    <row r="39">
      <c r="A39" s="9" t="inlineStr">
        <is>
          <t>A validation banner appears whenever the last import produced findings, and opens the full report on click.</t>
        </is>
      </c>
    </row>
    <row r="40">
      <c r="A40" s="11" t="inlineStr">
        <is>
          <t>Empty state: with nothing loaded, every tab shows the same clear 'Load your source workbook' panel and a link to download the blank template.</t>
        </is>
      </c>
    </row>
    <row r="41">
      <c r="A41" s="9" t="inlineStr">
        <is>
          <t>The application version and expected schema version are shown in the footer at all times (REQ-VC-02).</t>
        </is>
      </c>
    </row>
    <row r="43">
      <c r="A43" s="3" t="inlineStr">
        <is>
          <t>Legend</t>
        </is>
      </c>
    </row>
    <row r="44">
      <c r="A44" s="12" t="inlineStr">
        <is>
          <t>Green = new in v0.2, added from your review answers.</t>
        </is>
      </c>
    </row>
    <row r="45">
      <c r="A45" s="13" t="inlineStr">
        <is>
          <t>Orange = changed in v0.2 as a consequence of your review.</t>
        </is>
      </c>
    </row>
    <row r="46">
      <c r="A46"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V-01..V-14,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20" t="inlineStr">
        <is>
          <t>4. Edit buffer</t>
        </is>
      </c>
      <c r="B27" s="19" t="inlineStr">
        <is>
          <t>Holds on-screen changes, tracks which rows are dirty, re-runs validation per edit, and feeds export.</t>
        </is>
      </c>
      <c r="C27" s="19" t="inlineStr">
        <is>
          <t>Added for REQ-IMP-07. Keeping edits out of the model layer means the calculation never has to care whether a value came from the file or the screen.</t>
        </is>
      </c>
    </row>
    <row r="28">
      <c r="A28" s="18" t="inlineStr">
        <is>
          <t>5. Calculation layer</t>
        </is>
      </c>
      <c r="B28" s="17" t="inlineStr">
        <is>
          <t>The monthly engine above. Pure functions - no DOM, no file access.</t>
        </is>
      </c>
      <c r="C28" s="17" t="inlineStr">
        <is>
          <t>Directly unit-testable, and the piece most likely to be refined once you see real output.</t>
        </is>
      </c>
    </row>
    <row r="29">
      <c r="A29" s="18" t="inlineStr">
        <is>
          <t>6. Presentation layer</t>
        </is>
      </c>
      <c r="B29" s="17" t="inlineStr">
        <is>
          <t>Tabs, tables, graphs, filters, editing controls, export buttons.</t>
        </is>
      </c>
      <c r="C29" s="17"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17"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48"/>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 - issued for review</t>
        </is>
      </c>
    </row>
    <row r="8">
      <c r="A8" s="10" t="inlineStr">
        <is>
          <t>1</t>
        </is>
      </c>
      <c r="B8" s="10" t="inlineStr">
        <is>
          <t>1.4</t>
        </is>
      </c>
      <c r="C8" s="11" t="inlineStr">
        <is>
          <t>Answer the six follow-up questions Q-13..Q-18, chiefly the weight and role-factor values.</t>
        </is>
      </c>
      <c r="D8" s="11" t="inlineStr">
        <is>
          <t>Answers on sheet 11</t>
        </is>
      </c>
      <c r="E8" s="10" t="inlineStr">
        <is>
          <t>Pending you</t>
        </is>
      </c>
    </row>
    <row r="9">
      <c r="A9" s="8" t="inlineStr">
        <is>
          <t>1</t>
        </is>
      </c>
      <c r="B9" s="8" t="inlineStr">
        <is>
          <t>1.5</t>
        </is>
      </c>
      <c r="C9" s="9" t="inlineStr">
        <is>
          <t>Supply the '13_Templete_example' sheet referenced at Q-10 - it was not present in the returned file.</t>
        </is>
      </c>
      <c r="D9" s="9" t="inlineStr">
        <is>
          <t>Example data</t>
        </is>
      </c>
      <c r="E9" s="8" t="inlineStr">
        <is>
          <t>Pending you</t>
        </is>
      </c>
    </row>
    <row r="10">
      <c r="A10" s="10" t="inlineStr">
        <is>
          <t>1</t>
        </is>
      </c>
      <c r="B10" s="10" t="inlineStr">
        <is>
          <t>1.6</t>
        </is>
      </c>
      <c r="C10" s="11" t="inlineStr">
        <is>
          <t>Final plan issue incorporating the follow-up answers.</t>
        </is>
      </c>
      <c r="D10" s="11" t="inlineStr">
        <is>
          <t>PRAP_Development_Plan_v1.0.xlsx</t>
        </is>
      </c>
      <c r="E10" s="10" t="inlineStr">
        <is>
          <t>Not started</t>
        </is>
      </c>
    </row>
    <row r="11">
      <c r="A11" s="8" t="inlineStr">
        <is>
          <t>1</t>
        </is>
      </c>
      <c r="B11" s="8" t="inlineStr">
        <is>
          <t>G1</t>
        </is>
      </c>
      <c r="C11" s="9" t="inlineStr">
        <is>
          <t>GATE 1 - development plan approved.</t>
        </is>
      </c>
      <c r="D11" s="9" t="inlineStr">
        <is>
          <t>Approval recorded on 12_Review_Log</t>
        </is>
      </c>
      <c r="E11" s="8" t="inlineStr">
        <is>
          <t>Not started</t>
        </is>
      </c>
    </row>
    <row r="12">
      <c r="A12" s="10" t="inlineStr">
        <is>
          <t>2</t>
        </is>
      </c>
      <c r="B12" s="10" t="inlineStr">
        <is>
          <t>2.1</t>
        </is>
      </c>
      <c r="C12" s="11" t="inlineStr">
        <is>
          <t>Fix the source workbook schema: exact sheet names, column headers, types, value lists.</t>
        </is>
      </c>
      <c r="D12" s="11" t="inlineStr">
        <is>
          <t>Specification sheet 'Data schema'</t>
        </is>
      </c>
      <c r="E12" s="10" t="inlineStr">
        <is>
          <t>Not started</t>
        </is>
      </c>
    </row>
    <row r="13">
      <c r="A13" s="8" t="inlineStr">
        <is>
          <t>2</t>
        </is>
      </c>
      <c r="B13" s="8" t="inlineStr">
        <is>
          <t>2.2</t>
        </is>
      </c>
      <c r="C13" s="9" t="inlineStr">
        <is>
          <t>Specify the calculation engine as pseudocode plus the worked example as an acceptance test.</t>
        </is>
      </c>
      <c r="D13" s="9" t="inlineStr">
        <is>
          <t>Specification sheet 'Calculation'</t>
        </is>
      </c>
      <c r="E13" s="8" t="inlineStr">
        <is>
          <t>Not started</t>
        </is>
      </c>
    </row>
    <row r="14">
      <c r="A14" s="10" t="inlineStr">
        <is>
          <t>2</t>
        </is>
      </c>
      <c r="B14" s="10" t="inlineStr">
        <is>
          <t>2.3</t>
        </is>
      </c>
      <c r="C14" s="11" t="inlineStr">
        <is>
          <t>Specify period derivation from milestones, and the over/under-allocation detection.</t>
        </is>
      </c>
      <c r="D14" s="11" t="inlineStr">
        <is>
          <t>Specification sheet 'Calculation'</t>
        </is>
      </c>
      <c r="E14" s="10" t="inlineStr">
        <is>
          <t>Not started</t>
        </is>
      </c>
    </row>
    <row r="15">
      <c r="A15" s="8" t="inlineStr">
        <is>
          <t>2</t>
        </is>
      </c>
      <c r="B15" s="8" t="inlineStr">
        <is>
          <t>2.4</t>
        </is>
      </c>
      <c r="C15" s="9" t="inlineStr">
        <is>
          <t>Specify import validation rules V-01..V-14 and the findings report.</t>
        </is>
      </c>
      <c r="D15" s="9" t="inlineStr">
        <is>
          <t>Specification sheet 'Validation'</t>
        </is>
      </c>
      <c r="E15" s="8" t="inlineStr">
        <is>
          <t>Not started</t>
        </is>
      </c>
    </row>
    <row r="16">
      <c r="A16" s="10" t="inlineStr">
        <is>
          <t>2</t>
        </is>
      </c>
      <c r="B16" s="10" t="inlineStr">
        <is>
          <t>2.5</t>
        </is>
      </c>
      <c r="C16" s="11" t="inlineStr">
        <is>
          <t>Specify each dashboard tab: every table, column, graph, filter and interaction.</t>
        </is>
      </c>
      <c r="D16" s="11" t="inlineStr">
        <is>
          <t>Specification sheet 'UI spec'</t>
        </is>
      </c>
      <c r="E16" s="10" t="inlineStr">
        <is>
          <t>Not started</t>
        </is>
      </c>
    </row>
    <row r="17">
      <c r="A17" s="8" t="inlineStr">
        <is>
          <t>2</t>
        </is>
      </c>
      <c r="B17" s="8" t="inlineStr">
        <is>
          <t>2.6</t>
        </is>
      </c>
      <c r="C17" s="9" t="inlineStr">
        <is>
          <t>Specify on-screen editing, the dirty-state model and export round-tripping.</t>
        </is>
      </c>
      <c r="D17" s="9" t="inlineStr">
        <is>
          <t>Specification sheet 'Editing &amp; IO'</t>
        </is>
      </c>
      <c r="E17" s="8" t="inlineStr">
        <is>
          <t>Not started</t>
        </is>
      </c>
    </row>
    <row r="18">
      <c r="A18" s="10" t="inlineStr">
        <is>
          <t>2</t>
        </is>
      </c>
      <c r="B18" s="10" t="inlineStr">
        <is>
          <t>2.7</t>
        </is>
      </c>
      <c r="C18" s="11" t="inlineStr">
        <is>
          <t>Specify the version/compatibility check.</t>
        </is>
      </c>
      <c r="D18" s="11" t="inlineStr">
        <is>
          <t>Specification sheet 'IO &amp; versioning'</t>
        </is>
      </c>
      <c r="E18" s="10" t="inlineStr">
        <is>
          <t>Not started</t>
        </is>
      </c>
    </row>
    <row r="19">
      <c r="A19" s="8" t="inlineStr">
        <is>
          <t>2</t>
        </is>
      </c>
      <c r="B19" s="8" t="inlineStr">
        <is>
          <t>2.8</t>
        </is>
      </c>
      <c r="C19" s="9" t="inlineStr">
        <is>
          <t>Build the requirement-to-specification traceability matrix.</t>
        </is>
      </c>
      <c r="D19" s="9" t="inlineStr">
        <is>
          <t>Specification sheet 'Traceability'</t>
        </is>
      </c>
      <c r="E19" s="8" t="inlineStr">
        <is>
          <t>Not started</t>
        </is>
      </c>
    </row>
    <row r="20">
      <c r="A20" s="10" t="inlineStr">
        <is>
          <t>2</t>
        </is>
      </c>
      <c r="B20" s="10" t="inlineStr">
        <is>
          <t>G2</t>
        </is>
      </c>
      <c r="C20" s="11" t="inlineStr">
        <is>
          <t>GATE 2 - programming specification approved.</t>
        </is>
      </c>
      <c r="D20" s="11" t="inlineStr">
        <is>
          <t>PRAP_Programming_Specification_v1.0.xlsx</t>
        </is>
      </c>
      <c r="E20" s="10" t="inlineStr">
        <is>
          <t>Not started</t>
        </is>
      </c>
    </row>
    <row r="21">
      <c r="A21" s="8" t="inlineStr">
        <is>
          <t>3</t>
        </is>
      </c>
      <c r="B21" s="8" t="inlineStr">
        <is>
          <t>3.1</t>
        </is>
      </c>
      <c r="C21" s="9" t="inlineStr">
        <is>
          <t>High-level UI design: tab structure, page regions, navigation. No code behind it.</t>
        </is>
      </c>
      <c r="D21" s="9" t="inlineStr">
        <is>
          <t>Prototype HTML (UI only)</t>
        </is>
      </c>
      <c r="E21" s="8" t="inlineStr">
        <is>
          <t>Not started</t>
        </is>
      </c>
    </row>
    <row r="22">
      <c r="A22" s="10" t="inlineStr">
        <is>
          <t>3</t>
        </is>
      </c>
      <c r="B22" s="10" t="inlineStr">
        <is>
          <t>3.2</t>
        </is>
      </c>
      <c r="C22" s="11" t="inlineStr">
        <is>
          <t>Requester reviews the high-level component design.</t>
        </is>
      </c>
      <c r="D22" s="11" t="inlineStr">
        <is>
          <t>Review comments</t>
        </is>
      </c>
      <c r="E22" s="10" t="inlineStr">
        <is>
          <t>Not started</t>
        </is>
      </c>
    </row>
    <row r="23">
      <c r="A23" s="8" t="inlineStr">
        <is>
          <t>3</t>
        </is>
      </c>
      <c r="B23" s="8" t="inlineStr">
        <is>
          <t>3.3</t>
        </is>
      </c>
      <c r="C23" s="9" t="inlineStr">
        <is>
          <t>Final UI design with clear per-component requirements.</t>
        </is>
      </c>
      <c r="D23" s="9" t="inlineStr">
        <is>
          <t>Prototype HTML v1.0 + component list</t>
        </is>
      </c>
      <c r="E23" s="8" t="inlineStr">
        <is>
          <t>Not started</t>
        </is>
      </c>
    </row>
    <row r="24">
      <c r="A24" s="10" t="inlineStr">
        <is>
          <t>3</t>
        </is>
      </c>
      <c r="B24" s="10" t="inlineStr">
        <is>
          <t>G3</t>
        </is>
      </c>
      <c r="C24" s="11" t="inlineStr">
        <is>
          <t>GATE 3 - final design and component list approved. Code generation starts only for approved components.</t>
        </is>
      </c>
      <c r="D24" s="11" t="inlineStr">
        <is>
          <t>Approved component list</t>
        </is>
      </c>
      <c r="E24" s="10" t="inlineStr">
        <is>
          <t>Not started</t>
        </is>
      </c>
    </row>
    <row r="25">
      <c r="A25" s="8" t="inlineStr">
        <is>
          <t>4</t>
        </is>
      </c>
      <c r="B25" s="8" t="inlineStr">
        <is>
          <t>4.1</t>
        </is>
      </c>
      <c r="C25" s="9" t="inlineStr">
        <is>
          <t>IO layer: workbook load, sheet/column mapping, export.</t>
        </is>
      </c>
      <c r="D25" s="9" t="inlineStr">
        <is>
          <t>Application code</t>
        </is>
      </c>
      <c r="E25" s="8" t="inlineStr">
        <is>
          <t>Not started</t>
        </is>
      </c>
    </row>
    <row r="26">
      <c r="A26" s="10" t="inlineStr">
        <is>
          <t>4</t>
        </is>
      </c>
      <c r="B26" s="10" t="inlineStr">
        <is>
          <t>4.2</t>
        </is>
      </c>
      <c r="C26" s="11" t="inlineStr">
        <is>
          <t>Validation layer: rules V-01..V-14 and the findings report.</t>
        </is>
      </c>
      <c r="D26" s="11" t="inlineStr">
        <is>
          <t>Application code</t>
        </is>
      </c>
      <c r="E26" s="10" t="inlineStr">
        <is>
          <t>Not started</t>
        </is>
      </c>
    </row>
    <row r="27">
      <c r="A27" s="8" t="inlineStr">
        <is>
          <t>4</t>
        </is>
      </c>
      <c r="B27" s="8" t="inlineStr">
        <is>
          <t>4.3</t>
        </is>
      </c>
      <c r="C27" s="9" t="inlineStr">
        <is>
          <t>Model layer, Lists and Config handling.</t>
        </is>
      </c>
      <c r="D27" s="9" t="inlineStr">
        <is>
          <t>Application code</t>
        </is>
      </c>
      <c r="E27" s="8" t="inlineStr">
        <is>
          <t>Not started</t>
        </is>
      </c>
    </row>
    <row r="28">
      <c r="A28" s="10" t="inlineStr">
        <is>
          <t>4</t>
        </is>
      </c>
      <c r="B28" s="10" t="inlineStr">
        <is>
          <t>4.4</t>
        </is>
      </c>
      <c r="C28" s="11" t="inlineStr">
        <is>
          <t>Edit buffer: on-screen editing, dirty state, per-edit validation.</t>
        </is>
      </c>
      <c r="D28" s="11" t="inlineStr">
        <is>
          <t>Application code</t>
        </is>
      </c>
      <c r="E28" s="10" t="inlineStr">
        <is>
          <t>Not started</t>
        </is>
      </c>
    </row>
    <row r="29">
      <c r="A29" s="8" t="inlineStr">
        <is>
          <t>4</t>
        </is>
      </c>
      <c r="B29" s="8" t="inlineStr">
        <is>
          <t>4.5</t>
        </is>
      </c>
      <c r="C29" s="9" t="inlineStr">
        <is>
          <t>Calculation engine, verified against the worked example.</t>
        </is>
      </c>
      <c r="D29" s="9" t="inlineStr">
        <is>
          <t>Application code + test evidence</t>
        </is>
      </c>
      <c r="E29" s="8" t="inlineStr">
        <is>
          <t>Not started</t>
        </is>
      </c>
    </row>
    <row r="30">
      <c r="A30" s="10" t="inlineStr">
        <is>
          <t>4</t>
        </is>
      </c>
      <c r="B30" s="10" t="inlineStr">
        <is>
          <t>4.6</t>
        </is>
      </c>
      <c r="C30" s="11" t="inlineStr">
        <is>
          <t>Overall tab: tables, graphs, filters, over/under-allocation flagging.</t>
        </is>
      </c>
      <c r="D30" s="11" t="inlineStr">
        <is>
          <t>Application code</t>
        </is>
      </c>
      <c r="E30" s="10" t="inlineStr">
        <is>
          <t>Not started</t>
        </is>
      </c>
    </row>
    <row r="31">
      <c r="A31" s="8" t="inlineStr">
        <is>
          <t>4</t>
        </is>
      </c>
      <c r="B31" s="8" t="inlineStr">
        <is>
          <t>4.7</t>
        </is>
      </c>
      <c r="C31" s="9" t="inlineStr">
        <is>
          <t>Source data (project) and Source data (person) tabs.</t>
        </is>
      </c>
      <c r="D31" s="9" t="inlineStr">
        <is>
          <t>Application code</t>
        </is>
      </c>
      <c r="E31" s="8" t="inlineStr">
        <is>
          <t>Not started</t>
        </is>
      </c>
    </row>
    <row r="32">
      <c r="A32" s="10" t="inlineStr">
        <is>
          <t>4</t>
        </is>
      </c>
      <c r="B32" s="10" t="inlineStr">
        <is>
          <t>4.8</t>
        </is>
      </c>
      <c r="C32" s="11" t="inlineStr">
        <is>
          <t>Blank source workbook template with value lists and example rows.</t>
        </is>
      </c>
      <c r="D32" s="11" t="inlineStr">
        <is>
          <t>PRAP_SourceData template</t>
        </is>
      </c>
      <c r="E32" s="10" t="inlineStr">
        <is>
          <t>Not started</t>
        </is>
      </c>
    </row>
    <row r="33">
      <c r="A33" s="8" t="inlineStr">
        <is>
          <t>4</t>
        </is>
      </c>
      <c r="B33" s="8" t="inlineStr">
        <is>
          <t>4.9</t>
        </is>
      </c>
      <c r="C33" s="9" t="inlineStr">
        <is>
          <t>Requester reviews output against real data; refinements folded in.</t>
        </is>
      </c>
      <c r="D33" s="9" t="inlineStr">
        <is>
          <t>Updated code</t>
        </is>
      </c>
      <c r="E33" s="8" t="inlineStr">
        <is>
          <t>Not started</t>
        </is>
      </c>
    </row>
    <row r="34">
      <c r="A34" s="10" t="inlineStr">
        <is>
          <t>4</t>
        </is>
      </c>
      <c r="B34" s="10" t="inlineStr">
        <is>
          <t>G4</t>
        </is>
      </c>
      <c r="C34" s="11" t="inlineStr">
        <is>
          <t>GATE 4 - application functionally complete.</t>
        </is>
      </c>
      <c r="D34" s="11" t="inlineStr">
        <is>
          <t>PRAP_Application_v0.9.html</t>
        </is>
      </c>
      <c r="E34" s="10" t="inlineStr">
        <is>
          <t>Not started</t>
        </is>
      </c>
    </row>
    <row r="35">
      <c r="A35" s="8" t="inlineStr">
        <is>
          <t>5</t>
        </is>
      </c>
      <c r="B35" s="8" t="inlineStr">
        <is>
          <t>5.1</t>
        </is>
      </c>
      <c r="C35" s="9" t="inlineStr">
        <is>
          <t>Full pass over the traceability matrix: every Must requirement demonstrated.</t>
        </is>
      </c>
      <c r="D35" s="9" t="inlineStr">
        <is>
          <t>Completed traceability matrix</t>
        </is>
      </c>
      <c r="E35" s="8" t="inlineStr">
        <is>
          <t>Not started</t>
        </is>
      </c>
    </row>
    <row r="36">
      <c r="A36" s="10" t="inlineStr">
        <is>
          <t>5</t>
        </is>
      </c>
      <c r="B36" s="10" t="inlineStr">
        <is>
          <t>5.2</t>
        </is>
      </c>
      <c r="C36" s="11" t="inlineStr">
        <is>
          <t>Test on a clean Windows PC in Edge and Chrome, offline.</t>
        </is>
      </c>
      <c r="D36" s="11" t="inlineStr">
        <is>
          <t>Test evidence</t>
        </is>
      </c>
      <c r="E36" s="10" t="inlineStr">
        <is>
          <t>Not started</t>
        </is>
      </c>
    </row>
    <row r="37">
      <c r="A37" s="8" t="inlineStr">
        <is>
          <t>5</t>
        </is>
      </c>
      <c r="B37" s="8" t="inlineStr">
        <is>
          <t>5.3</t>
        </is>
      </c>
      <c r="C37" s="9" t="inlineStr">
        <is>
          <t>Write the user guide: folder layout, how to load, how to maintain source data.</t>
        </is>
      </c>
      <c r="D37" s="9" t="inlineStr">
        <is>
          <t>User guide</t>
        </is>
      </c>
      <c r="E37" s="8" t="inlineStr">
        <is>
          <t>Not started</t>
        </is>
      </c>
    </row>
    <row r="38">
      <c r="A38" s="10" t="inlineStr">
        <is>
          <t>5</t>
        </is>
      </c>
      <c r="B38" s="10" t="inlineStr">
        <is>
          <t>5.4</t>
        </is>
      </c>
      <c r="C38" s="11" t="inlineStr">
        <is>
          <t>Final version alignment across plan, specification and application.</t>
        </is>
      </c>
      <c r="D38" s="11" t="inlineStr">
        <is>
          <t>Version alignment table (sheet 09)</t>
        </is>
      </c>
      <c r="E38" s="10" t="inlineStr">
        <is>
          <t>Not started</t>
        </is>
      </c>
    </row>
    <row r="39">
      <c r="A39" s="8" t="inlineStr">
        <is>
          <t>5</t>
        </is>
      </c>
      <c r="B39" s="8" t="inlineStr">
        <is>
          <t>G5</t>
        </is>
      </c>
      <c r="C39" s="9" t="inlineStr">
        <is>
          <t>GATE 5 - release.</t>
        </is>
      </c>
      <c r="D39" s="9" t="inlineStr">
        <is>
          <t>PRAP_Application_v1.0.html</t>
        </is>
      </c>
      <c r="E39" s="8" t="inlineStr">
        <is>
          <t>Not started</t>
        </is>
      </c>
    </row>
    <row r="41">
      <c r="A41" s="5" t="inlineStr">
        <is>
          <t>Progress</t>
        </is>
      </c>
    </row>
    <row r="42" ht="28" customHeight="1">
      <c r="A42" s="7" t="inlineStr">
        <is>
          <t>Measure</t>
        </is>
      </c>
      <c r="B42" s="7" t="inlineStr">
        <is>
          <t>Count</t>
        </is>
      </c>
    </row>
    <row r="43">
      <c r="A43" s="8" t="inlineStr">
        <is>
          <t>Tasks total</t>
        </is>
      </c>
      <c r="B43" s="8">
        <f>COUNTA(B5:B39)</f>
        <v/>
      </c>
    </row>
    <row r="44">
      <c r="A44" s="10" t="inlineStr">
        <is>
          <t>Complete</t>
        </is>
      </c>
      <c r="B44" s="10">
        <f>COUNTIF(E5:E39,"Complete")+COUNTIF(E5:E39,"Complete - issued for review")</f>
        <v/>
      </c>
    </row>
    <row r="45">
      <c r="A45" s="8" t="inlineStr">
        <is>
          <t>Awaiting the requester</t>
        </is>
      </c>
      <c r="B45" s="8">
        <f>COUNTIF(E5:E39,"Pending you")</f>
        <v/>
      </c>
    </row>
    <row r="46">
      <c r="A46" s="10" t="inlineStr">
        <is>
          <t>Not started</t>
        </is>
      </c>
      <c r="B46" s="10">
        <f>COUNTIF(E5:E39,"Not started")</f>
        <v/>
      </c>
    </row>
    <row r="48">
      <c r="A48" s="16" t="inlineStr">
        <is>
          <t>No duration estimates: the pace is set by review turnaround at each gate, not by build effort.</t>
        </is>
      </c>
    </row>
  </sheetData>
  <dataValidations count="1">
    <dataValidation sqref="E5:E39"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3"/>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18" t="inlineStr">
        <is>
          <t>Source data template</t>
        </is>
      </c>
      <c r="B8" s="17" t="inlineStr">
        <is>
          <t>PRAP_SourceData_v&lt;ver&gt;.xlsx  (one workbook, was two)</t>
        </is>
      </c>
      <c r="C8" s="18" t="inlineStr">
        <is>
          <t>templates/</t>
        </is>
      </c>
      <c r="D8" s="17"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c r="B24" s="8" t="inlineStr"/>
      <c r="C24" s="8" t="inlineStr"/>
      <c r="D24" s="8" t="inlineStr"/>
      <c r="E24" s="8" t="inlineStr"/>
      <c r="F24" s="9" t="inlineStr"/>
    </row>
    <row r="26">
      <c r="A26" s="16" t="inlineStr">
        <is>
          <t>One row per release. Answers 'which specification produced this .html, and which source template does it expect?'.</t>
        </is>
      </c>
    </row>
    <row r="27">
      <c r="A27" s="5" t="inlineStr">
        <is>
          <t>Repository rules</t>
        </is>
      </c>
    </row>
    <row r="28" ht="28" customHeight="1">
      <c r="A28" s="7" t="inlineStr">
        <is>
          <t>Rule</t>
        </is>
      </c>
    </row>
    <row r="29">
      <c r="A29" s="9" t="inlineStr">
        <is>
          <t>All work is committed to branch claude/project-resource-assignment-app-1vjdzh.</t>
        </is>
      </c>
    </row>
    <row r="30">
      <c r="A30" s="11" t="inlineStr">
        <is>
          <t>Documents are generated from scripts in tools/ so their content is reviewable as a text diff, not only as a binary.</t>
        </is>
      </c>
    </row>
    <row r="31">
      <c r="A31" s="9" t="inlineStr">
        <is>
          <t>One commit per meaningful change, with a message naming the step and the affected REQ-IDs.</t>
        </is>
      </c>
    </row>
    <row r="32">
      <c r="A32" s="11" t="inlineStr">
        <is>
          <t>A released version is tagged, so any release can be reproduced exactly.</t>
        </is>
      </c>
    </row>
    <row r="33">
      <c r="A33" s="19"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1"/>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18" t="inlineStr">
        <is>
          <t>R-01</t>
        </is>
      </c>
      <c r="B5" s="17" t="inlineStr">
        <is>
          <t>The resource formula does not match how burden is actually judged, so output looks wrong.</t>
        </is>
      </c>
      <c r="C5" s="18" t="inlineStr">
        <is>
          <t>Medium</t>
        </is>
      </c>
      <c r="D5" s="18" t="inlineStr">
        <is>
          <t>High</t>
        </is>
      </c>
      <c r="E5" s="17"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18" t="inlineStr">
        <is>
          <t>R-03</t>
        </is>
      </c>
      <c r="B7" s="17" t="inlineStr">
        <is>
          <t>Corporate policy blocks local .html files or restricts the browser.</t>
        </is>
      </c>
      <c r="C7" s="18" t="inlineStr">
        <is>
          <t>-</t>
        </is>
      </c>
      <c r="D7" s="18" t="inlineStr">
        <is>
          <t>-</t>
        </is>
      </c>
      <c r="E7" s="17"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18" t="inlineStr">
        <is>
          <t>R-05</t>
        </is>
      </c>
      <c r="B9" s="17" t="inlineStr">
        <is>
          <t>Data volume grows beyond what a browser handles comfortably.</t>
        </is>
      </c>
      <c r="C9" s="18" t="inlineStr">
        <is>
          <t>Low</t>
        </is>
      </c>
      <c r="D9" s="18" t="inlineStr">
        <is>
          <t>Low</t>
        </is>
      </c>
      <c r="E9" s="17"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20" t="inlineStr">
        <is>
          <t>R-08</t>
        </is>
      </c>
      <c r="B12" s="19" t="inlineStr">
        <is>
          <t>On-screen edits are lost because the user closes the page without exporting.</t>
        </is>
      </c>
      <c r="C12" s="20" t="inlineStr">
        <is>
          <t>High</t>
        </is>
      </c>
      <c r="D12" s="20" t="inlineStr">
        <is>
          <t>High</t>
        </is>
      </c>
      <c r="E12" s="19" t="inlineStr">
        <is>
          <t>The direct cost of REQ-IMP-07. Mitigated by REQ-IMP-08: a visible unsaved-edit count and a warning before any action that discards them. The browser cache (REQ-IMP-06) becomes more valuable here as a second net.</t>
        </is>
      </c>
    </row>
    <row r="13">
      <c r="A13" s="20" t="inlineStr">
        <is>
          <t>R-09</t>
        </is>
      </c>
      <c r="B13" s="19" t="inlineStr">
        <is>
          <t>Milestone-derived periods break for a project with missing or out-of-order milestones.</t>
        </is>
      </c>
      <c r="C13" s="20" t="inlineStr">
        <is>
          <t>Medium</t>
        </is>
      </c>
      <c r="D13" s="20" t="inlineStr">
        <is>
          <t>Medium</t>
        </is>
      </c>
      <c r="E13" s="19" t="inlineStr">
        <is>
          <t>V-12 and V-14 report gaps and ordering problems; a month with no period falls back to weight 1.00 and is listed rather than silently dropped.</t>
        </is>
      </c>
    </row>
    <row r="14">
      <c r="A14" s="20" t="inlineStr">
        <is>
          <t>R-10</t>
        </is>
      </c>
      <c r="B14" s="19" t="inlineStr">
        <is>
          <t>The weight and role-factor values are still unknown, so the simulation cannot be validated against reality yet.</t>
        </is>
      </c>
      <c r="C14" s="20" t="inlineStr">
        <is>
          <t>High</t>
        </is>
      </c>
      <c r="D14" s="20" t="inlineStr">
        <is>
          <t>High</t>
        </is>
      </c>
      <c r="E14" s="19" t="inlineStr">
        <is>
          <t>Q-17 asks for them. Until they arrive the engine can be built and unit-tested with placeholders, but no output should be trusted as a planning input.</t>
        </is>
      </c>
    </row>
    <row r="16">
      <c r="A16" s="5" t="inlineStr">
        <is>
          <t>Assumptions</t>
        </is>
      </c>
    </row>
    <row r="17" ht="28" customHeight="1">
      <c r="A17" s="7" t="inlineStr">
        <is>
          <t>ID</t>
        </is>
      </c>
      <c r="B17" s="7" t="inlineStr">
        <is>
          <t>Assumption</t>
        </is>
      </c>
      <c r="C17" s="7" t="inlineStr">
        <is>
          <t>Status</t>
        </is>
      </c>
    </row>
    <row r="18">
      <c r="A18" s="18" t="inlineStr">
        <is>
          <t>A-01</t>
        </is>
      </c>
      <c r="B18" s="17" t="inlineStr">
        <is>
          <t>Data volume is under 20 projects and 30 people.</t>
        </is>
      </c>
      <c r="C18" s="18" t="inlineStr">
        <is>
          <t>CONFIRMED Q-06</t>
        </is>
      </c>
    </row>
    <row r="19">
      <c r="A19" s="18" t="inlineStr">
        <is>
          <t>A-02</t>
        </is>
      </c>
      <c r="B19" s="17" t="inlineStr">
        <is>
          <t>One person's capacity is 1.00 FTE = 160 hours per month; part-timers carry a lower capacity_fte.</t>
        </is>
      </c>
      <c r="C19" s="18" t="inlineStr">
        <is>
          <t>CONFIRMED Q-08</t>
        </is>
      </c>
    </row>
    <row r="20">
      <c r="A20" s="8" t="inlineStr">
        <is>
          <t>A-03</t>
        </is>
      </c>
      <c r="B20" s="9" t="inlineStr">
        <is>
          <t>Monthly granularity is sufficient; weekly or daily simulation is not required in v1.0.</t>
        </is>
      </c>
      <c r="C20" s="8" t="inlineStr">
        <is>
          <t>Standing</t>
        </is>
      </c>
    </row>
    <row r="21">
      <c r="A21" s="10" t="inlineStr">
        <is>
          <t>A-04</t>
        </is>
      </c>
      <c r="B21" s="11" t="inlineStr">
        <is>
          <t>The source workbook is maintained by hand, not generated by another system.</t>
        </is>
      </c>
      <c r="C21" s="10" t="inlineStr">
        <is>
          <t>Standing</t>
        </is>
      </c>
    </row>
    <row r="22">
      <c r="A22" s="18" t="inlineStr">
        <is>
          <t>A-05</t>
        </is>
      </c>
      <c r="B22" s="17" t="inlineStr">
        <is>
          <t>Windows 10 or 11 with Edge or Chrome, and local .html files open.</t>
        </is>
      </c>
      <c r="C22" s="18" t="inlineStr">
        <is>
          <t>CONFIRMED Q-05</t>
        </is>
      </c>
    </row>
    <row r="23">
      <c r="A23" s="10" t="inlineStr">
        <is>
          <t>A-06</t>
        </is>
      </c>
      <c r="B23" s="11" t="inlineStr">
        <is>
          <t>Only one person maintains the workbook at a time - no concurrent editing to reconcile.</t>
        </is>
      </c>
      <c r="C23" s="10" t="inlineStr">
        <is>
          <t>Standing</t>
        </is>
      </c>
    </row>
    <row r="24">
      <c r="A24" s="18" t="inlineStr">
        <is>
          <t>A-07</t>
        </is>
      </c>
      <c r="B24" s="17" t="inlineStr">
        <is>
          <t>Milestone dates now DRIVE period boundaries (REQ-CAL-09); they are no longer merely informational.</t>
        </is>
      </c>
      <c r="C24" s="18" t="inlineStr">
        <is>
          <t>Changed by Q-01/Q-04</t>
        </is>
      </c>
    </row>
    <row r="25">
      <c r="A25" s="20" t="inlineStr">
        <is>
          <t>A-08</t>
        </is>
      </c>
      <c r="B25" s="19" t="inlineStr">
        <is>
          <t>The four standard periods apply to both 'Clinical Trial' and 'Others' projects. Q-04 did not distinguish them.</t>
        </is>
      </c>
      <c r="C25" s="20" t="inlineStr">
        <is>
          <t>To confirm - Q-18</t>
        </is>
      </c>
    </row>
    <row r="26">
      <c r="A26" s="20" t="inlineStr">
        <is>
          <t>A-09</t>
        </is>
      </c>
      <c r="B26" s="19" t="inlineStr">
        <is>
          <t>'Category of project' in the Q-01 answer means the project's classification for weighting purposes. Q-17 asks which field that is.</t>
        </is>
      </c>
      <c r="C26" s="20" t="inlineStr">
        <is>
          <t>To confirm - Q-17</t>
        </is>
      </c>
    </row>
    <row r="28">
      <c r="A28" s="3" t="inlineStr">
        <is>
          <t>Legend</t>
        </is>
      </c>
    </row>
    <row r="29">
      <c r="A29" s="12" t="inlineStr">
        <is>
          <t>Green = new in v0.2, added from your review answers.</t>
        </is>
      </c>
    </row>
    <row r="30">
      <c r="A30" s="13" t="inlineStr">
        <is>
          <t>Orange = changed in v0.2 as a consequence of your review.</t>
        </is>
      </c>
    </row>
    <row r="31">
      <c r="A31"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0"/>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96" customWidth="1" min="3" max="3"/>
    <col width="13" customWidth="1" min="4" max="4"/>
    <col width="42" customWidth="1" min="5" max="5"/>
  </cols>
  <sheetData>
    <row r="1">
      <c r="A1" s="15" t="inlineStr">
        <is>
          <t>Open questions</t>
        </is>
      </c>
    </row>
    <row r="2">
      <c r="A2" s="16" t="inlineStr">
        <is>
          <t>Q-01..Q-12 were answered at the v0.11 review and are kept for the record. Q-13..Q-18 are new, and arise from those answers. Please answer in the YELLOW cells.</t>
        </is>
      </c>
    </row>
    <row r="4">
      <c r="A4" s="5" t="inlineStr">
        <is>
          <t>Answered at the v0.11 review</t>
        </is>
      </c>
    </row>
    <row r="5" ht="28" customHeight="1">
      <c r="A5" s="7" t="inlineStr">
        <is>
          <t>ID</t>
        </is>
      </c>
      <c r="B5" s="7" t="inlineStr">
        <is>
          <t>Topic</t>
        </is>
      </c>
      <c r="C5" s="7" t="inlineStr">
        <is>
          <t>Question (short)</t>
        </is>
      </c>
      <c r="D5" s="7" t="inlineStr">
        <is>
          <t>Your answer</t>
        </is>
      </c>
      <c r="E5" s="7" t="inlineStr">
        <is>
          <t>How it was applied in v0.2</t>
        </is>
      </c>
    </row>
    <row r="6">
      <c r="A6" s="8" t="inlineStr">
        <is>
          <t>Q-01</t>
        </is>
      </c>
      <c r="B6" s="8" t="inlineStr">
        <is>
          <t>Calculation</t>
        </is>
      </c>
      <c r="C6" s="9" t="inlineStr">
        <is>
          <t>Do weights multiply?</t>
        </is>
      </c>
      <c r="D6"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6" s="9" t="inlineStr">
        <is>
          <t>Applied - sheet 05. base_allocation removed; PersonPeriodWeight became an override.</t>
        </is>
      </c>
    </row>
    <row r="7">
      <c r="A7" s="10" t="inlineStr">
        <is>
          <t>Q-02</t>
        </is>
      </c>
      <c r="B7" s="10" t="inlineStr">
        <is>
          <t>Calculation</t>
        </is>
      </c>
      <c r="C7" s="11" t="inlineStr">
        <is>
          <t>Pro-rate partial months by calendar days?</t>
        </is>
      </c>
      <c r="D7" s="11" t="inlineStr">
        <is>
          <t>Yes - expected work follows the calendar days worked between the joined date and the end date.</t>
        </is>
      </c>
      <c r="E7" s="11" t="inlineStr">
        <is>
          <t>Applied - C-02 confirmed; REQ-CAL-05 raised to Must.</t>
        </is>
      </c>
    </row>
    <row r="8">
      <c r="A8" s="8" t="inlineStr">
        <is>
          <t>Q-03</t>
        </is>
      </c>
      <c r="B8" s="8" t="inlineStr">
        <is>
          <t>Roles</t>
        </is>
      </c>
      <c r="C8" s="9" t="inlineStr">
        <is>
          <t>Which roles, and do they differ in burden?</t>
        </is>
      </c>
      <c r="D8" s="9" t="inlineStr">
        <is>
          <t>Clinical Trial: Project oversight, Lead data manager, Clinical Data Associator, Clinical Database Programmer, Data Analyst. Others: Project lead, Main staff, Other staff.</t>
        </is>
      </c>
      <c r="E8" s="9" t="inlineStr">
        <is>
          <t>Applied - RoleFactor gains a project_type column; V-03 raised to an error.</t>
        </is>
      </c>
    </row>
    <row r="9">
      <c r="A9" s="10" t="inlineStr">
        <is>
          <t>Q-04</t>
        </is>
      </c>
      <c r="B9" s="10" t="inlineStr">
        <is>
          <t>Project periods</t>
        </is>
      </c>
      <c r="C9" s="11" t="inlineStr">
        <is>
          <t>Standard period names and weights?</t>
        </is>
      </c>
      <c r="D9" s="11" t="inlineStr">
        <is>
          <t>Before-Start-up, Start-up, Conduct, Close-out.</t>
        </is>
      </c>
      <c r="E9" s="11" t="inlineStr">
        <is>
          <t>Applied - sheet 04 ProjectPeriod. Weight VALUES still needed - Q-17.</t>
        </is>
      </c>
    </row>
    <row r="10">
      <c r="A10" s="8" t="inlineStr">
        <is>
          <t>Q-05</t>
        </is>
      </c>
      <c r="B10" s="8" t="inlineStr">
        <is>
          <t>Environment</t>
        </is>
      </c>
      <c r="C10" s="9" t="inlineStr">
        <is>
          <t>Can you open a local .html file?</t>
        </is>
      </c>
      <c r="D10" s="9" t="inlineStr">
        <is>
          <t>Yes.</t>
        </is>
      </c>
      <c r="E10" s="9" t="inlineStr">
        <is>
          <t>Applied - risk R-03 closed.</t>
        </is>
      </c>
    </row>
    <row r="11">
      <c r="A11" s="10" t="inlineStr">
        <is>
          <t>Q-06</t>
        </is>
      </c>
      <c r="B11" s="10" t="inlineStr">
        <is>
          <t>Data volume</t>
        </is>
      </c>
      <c r="C11" s="11" t="inlineStr">
        <is>
          <t>How many projects and people?</t>
        </is>
      </c>
      <c r="D11" s="11" t="inlineStr">
        <is>
          <t>Under 20 projects and 30 people.</t>
        </is>
      </c>
      <c r="E11" s="11" t="inlineStr">
        <is>
          <t>Applied - REQ-NFR-03 target reduced; R-05 downgraded.</t>
        </is>
      </c>
    </row>
    <row r="12">
      <c r="A12" s="8" t="inlineStr">
        <is>
          <t>Q-07</t>
        </is>
      </c>
      <c r="B12" s="8" t="inlineStr">
        <is>
          <t>Milestones</t>
        </is>
      </c>
      <c r="C12" s="9" t="inlineStr">
        <is>
          <t>Which milestones?</t>
        </is>
      </c>
      <c r="D12" s="9" t="inlineStr">
        <is>
          <t>CTA submission, FPI, LPI, DB lock cut-off, DB lock.</t>
        </is>
      </c>
      <c r="E12" s="9" t="inlineStr">
        <is>
          <t>Applied - Milestone list. Conflicts with the v0.11 mark-up in sheet 04 - see Q-15.</t>
        </is>
      </c>
    </row>
    <row r="13">
      <c r="A13" s="10" t="inlineStr">
        <is>
          <t>Q-08</t>
        </is>
      </c>
      <c r="B13" s="10" t="inlineStr">
        <is>
          <t>Capacity</t>
        </is>
      </c>
      <c r="C13" s="11" t="inlineStr">
        <is>
          <t>Capacity and thresholds?</t>
        </is>
      </c>
      <c r="D13" s="11" t="inlineStr">
        <is>
          <t>1 FTE = 160 h/month (8 h/day, 5 days/week, 20 days/month). Over-allocation: total above 1.5 FTE in a month. Under-allocation: below 0.8 FTE for 3 months or longer.</t>
        </is>
      </c>
      <c r="E13" s="11" t="inlineStr">
        <is>
          <t>Applied - REQ-CAL-04, REQ-CAL-07, REQ-CAL-08; Config parameters; sheet 06 flagging.</t>
        </is>
      </c>
    </row>
    <row r="14">
      <c r="A14" s="8" t="inlineStr">
        <is>
          <t>Q-09</t>
        </is>
      </c>
      <c r="B14" s="8" t="inlineStr">
        <is>
          <t>Source files</t>
        </is>
      </c>
      <c r="C14" s="9" t="inlineStr">
        <is>
          <t>One workbook or two?</t>
        </is>
      </c>
      <c r="D14" s="9" t="inlineStr">
        <is>
          <t>One single workbook with all sheets.</t>
        </is>
      </c>
      <c r="E14" s="9" t="inlineStr">
        <is>
          <t>Applied - sheet 04 restructured; REQ-OUT-03 reworded; architecture and deployment updated.</t>
        </is>
      </c>
    </row>
    <row r="15">
      <c r="A15" s="10" t="inlineStr">
        <is>
          <t>Q-10</t>
        </is>
      </c>
      <c r="B15" s="10" t="inlineStr">
        <is>
          <t>Existing data</t>
        </is>
      </c>
      <c r="C15" s="11" t="inlineStr">
        <is>
          <t>Existing spreadsheet structure?</t>
        </is>
      </c>
      <c r="D15" s="11" t="inlineStr">
        <is>
          <t>Refer to '13_Templete_example'.</t>
        </is>
      </c>
      <c r="E15" s="11" t="inlineStr">
        <is>
          <t>NOT APPLIED - that sheet is not in the returned file. See Q-13.</t>
        </is>
      </c>
    </row>
    <row r="16">
      <c r="A16" s="8" t="inlineStr">
        <is>
          <t>Q-11</t>
        </is>
      </c>
      <c r="B16" s="8" t="inlineStr">
        <is>
          <t>Horizon</t>
        </is>
      </c>
      <c r="C16" s="9" t="inlineStr">
        <is>
          <t>Planning horizon?</t>
        </is>
      </c>
      <c r="D16" s="9" t="inlineStr">
        <is>
          <t>24 months default, expandable to the latest project end date.</t>
        </is>
      </c>
      <c r="E16" s="9" t="inlineStr">
        <is>
          <t>Applied - REQ-CAL-01, REQ-DSH-07, Config default_horizon_months.</t>
        </is>
      </c>
    </row>
    <row r="17">
      <c r="A17" s="10" t="inlineStr">
        <is>
          <t>Q-12</t>
        </is>
      </c>
      <c r="B17" s="10" t="inlineStr">
        <is>
          <t>Scope check</t>
        </is>
      </c>
      <c r="C17" s="11" t="inlineStr">
        <is>
          <t>Anything wrongly out of scope?</t>
        </is>
      </c>
      <c r="D17" s="11" t="inlineStr">
        <is>
          <t>Fine.</t>
        </is>
      </c>
      <c r="E17" s="11" t="inlineStr">
        <is>
          <t>Applied - exclusions confirmed on sheet 02.</t>
        </is>
      </c>
    </row>
    <row r="19">
      <c r="A19" s="5" t="inlineStr">
        <is>
          <t>New questions raised by those answers</t>
        </is>
      </c>
    </row>
    <row r="20" ht="28" customHeight="1">
      <c r="A20" s="7" t="inlineStr">
        <is>
          <t>ID</t>
        </is>
      </c>
      <c r="B20" s="7" t="inlineStr">
        <is>
          <t>Topic</t>
        </is>
      </c>
      <c r="C20" s="7" t="inlineStr">
        <is>
          <t>Question</t>
        </is>
      </c>
      <c r="D20" s="7" t="inlineStr">
        <is>
          <t>Needed by step</t>
        </is>
      </c>
      <c r="E20" s="7" t="inlineStr">
        <is>
          <t>Your answer</t>
        </is>
      </c>
    </row>
    <row r="21">
      <c r="A21" s="8" t="inlineStr">
        <is>
          <t>Q-13</t>
        </is>
      </c>
      <c r="B21" s="8" t="inlineStr">
        <is>
          <t>Blocker</t>
        </is>
      </c>
      <c r="C21" s="9" t="inlineStr">
        <is>
          <t>The Q-10 answer points to a sheet named '13_Templete_example', but the returned workbook contains only sheets 00 to 12 - it is not there, hidden or otherwise. Could you re-send it? Until it arrives the template cannot be matched to what you already use, and Step 2 task 2.1 cannot close.</t>
        </is>
      </c>
      <c r="D21" s="8" t="inlineStr">
        <is>
          <t>1</t>
        </is>
      </c>
      <c r="E21" s="22" t="inlineStr"/>
    </row>
    <row r="22">
      <c r="A22" s="10" t="inlineStr">
        <is>
          <t>Q-14</t>
        </is>
      </c>
      <c r="B22" s="10" t="inlineStr">
        <is>
          <t>Data model</t>
        </is>
      </c>
      <c r="C22" s="11" t="inlineStr">
        <is>
          <t>The v0.11 outsourcing_type list reads 'Full outsourcing' / 'Partial outsourcing' / 'Full In-house' / 'Partial outsourcing' - 'Partial outsourcing' appears twice. Should the fourth be 'Partial In-house', or are there only three values?</t>
        </is>
      </c>
      <c r="D22" s="10" t="inlineStr">
        <is>
          <t>2</t>
        </is>
      </c>
      <c r="E22" s="22" t="inlineStr"/>
    </row>
    <row r="23">
      <c r="A23" s="8" t="inlineStr">
        <is>
          <t>Q-15</t>
        </is>
      </c>
      <c r="B23" s="8" t="inlineStr">
        <is>
          <t>Data model</t>
        </is>
      </c>
      <c r="C23" s="9" t="inlineStr">
        <is>
          <t>Q-07 gives five standard milestones (CTA submission, FPI, LPI, DB lock cut-off, DB lock), but your sheet-04 edit lists FPI, LPI, LPO, LPLV, interim DB Lock, final DB Lock, CSR. Which is the standard set? I can hold both - the extra names as optional additions - but period derivation needs to know which five define the boundaries.</t>
        </is>
      </c>
      <c r="D23" s="8" t="inlineStr">
        <is>
          <t>2</t>
        </is>
      </c>
      <c r="E23" s="22" t="inlineStr"/>
    </row>
    <row r="24">
      <c r="A24" s="10" t="inlineStr">
        <is>
          <t>Q-16</t>
        </is>
      </c>
      <c r="B24" s="10" t="inlineStr">
        <is>
          <t>Calculation</t>
        </is>
      </c>
      <c r="C24" s="11" t="inlineStr">
        <is>
          <t>Please confirm the milestone-to-period mapping proposed on sheet 04: Before-Start-up = start to CTA submission; Start-up = CTA submission to FPI; Conduct = FPI to DB lock cut-off; Close-out = DB lock cut-off to DB lock. This puts LPI inside Conduct as a marker rather than a boundary.</t>
        </is>
      </c>
      <c r="D24" s="10" t="inlineStr">
        <is>
          <t>2</t>
        </is>
      </c>
      <c r="E24" s="22" t="inlineStr"/>
    </row>
    <row r="25">
      <c r="A25" s="8" t="inlineStr">
        <is>
          <t>Q-17</t>
        </is>
      </c>
      <c r="B25" s="8" t="inlineStr">
        <is>
          <t>Calculation</t>
        </is>
      </c>
      <c r="C25" s="9" t="inlineStr">
        <is>
          <t>The actual NUMBERS are still missing, and nothing can be validated without them: (a) the weight for each of the four periods, per project category; (b) the role factor for each of the eight roles; (c) which field 'category of project' refers to - project_category (the product name), project_type, or clinical_phase.</t>
        </is>
      </c>
      <c r="D25" s="8" t="inlineStr">
        <is>
          <t>2</t>
        </is>
      </c>
      <c r="E25" s="22" t="inlineStr"/>
    </row>
    <row r="26">
      <c r="A26" s="10" t="inlineStr">
        <is>
          <t>Q-18</t>
        </is>
      </c>
      <c r="B26" s="10" t="inlineStr">
        <is>
          <t>Calculation</t>
        </is>
      </c>
      <c r="C26" s="11" t="inlineStr">
        <is>
          <t>Do the four standard periods and their weights apply to 'Others' projects too, or do those need their own period set? Q-04 gave one list without distinguishing.</t>
        </is>
      </c>
      <c r="D26" s="10" t="inlineStr">
        <is>
          <t>2</t>
        </is>
      </c>
      <c r="E26" s="22" t="inlineStr"/>
    </row>
    <row r="27">
      <c r="A27" s="8" t="inlineStr">
        <is>
          <t>Q-19</t>
        </is>
      </c>
      <c r="B27" s="8" t="inlineStr">
        <is>
          <t>Data model</t>
        </is>
      </c>
      <c r="C27" s="9" t="inlineStr">
        <is>
          <t>Retiring 'system_prepared_by' - the four *_setup columns you added say the same thing more precisely. Confirm it can be dropped, or say what it covers that they do not.</t>
        </is>
      </c>
      <c r="D27" s="8" t="inlineStr">
        <is>
          <t>2</t>
        </is>
      </c>
      <c r="E27" s="22" t="inlineStr"/>
    </row>
    <row r="28">
      <c r="A28" s="10" t="inlineStr">
        <is>
          <t>Q-20</t>
        </is>
      </c>
      <c r="B28" s="10" t="inlineStr">
        <is>
          <t>Editing</t>
        </is>
      </c>
      <c r="C28" s="11" t="inlineStr">
        <is>
          <t>REQ-IMP-07 lets data be edited on screen. Should EVERY field be editable, or only some - dates and weights, say - with identifiers and structural fields left read-only? Editable IDs make it easy to break the links between sheets.</t>
        </is>
      </c>
      <c r="D28" s="10" t="inlineStr">
        <is>
          <t>2</t>
        </is>
      </c>
      <c r="E28" s="22" t="inlineStr"/>
    </row>
    <row r="30">
      <c r="A30" s="16" t="inlineStr">
        <is>
          <t>Q-13 and Q-17 are the two that block real progress: without the example template and the actual weight values, the engine can be built but its output cannot be trusted or checked against reality.</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31"/>
  <sheetViews>
    <sheetView showGridLines="0" workbookViewId="0">
      <pane ySplit="4" topLeftCell="A5" activePane="bottomLeft" state="frozen"/>
      <selection pane="bottomLeft" activeCell="A1" sqref="A1"/>
    </sheetView>
  </sheetViews>
  <sheetFormatPr baseColWidth="8" defaultRowHeight="15"/>
  <cols>
    <col width="30" customWidth="1" min="1" max="1"/>
    <col width="26" customWidth="1" min="2" max="2"/>
    <col width="16" customWidth="1" min="3" max="3"/>
    <col width="46"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Kept as given, flagged as Q-14. Likely 'Partial In-house' was intended.</t>
        </is>
      </c>
      <c r="F8" s="10" t="inlineStr">
        <is>
          <t>Open</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because period derivation depends on it; raised as Q-15.</t>
        </is>
      </c>
      <c r="F9" s="8" t="inlineStr">
        <is>
          <t>Open</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proposed on sheet 04 and raised for confirmation as Q-16. Assumption A-07 changed: milestones now drive weights.</t>
        </is>
      </c>
      <c r="F14" s="10" t="inlineStr">
        <is>
          <t>Open</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and WBS task 1.5.</t>
        </is>
      </c>
      <c r="F16" s="10" t="inlineStr">
        <is>
          <t>Open</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t>
        </is>
      </c>
      <c r="E19" s="9" t="inlineStr">
        <is>
          <t>The single largest gap: the engine cannot be validated without them. Raised as Q-17 and risk R-10.</t>
        </is>
      </c>
      <c r="F19" s="8" t="inlineStr">
        <is>
          <t>Open</t>
        </is>
      </c>
    </row>
    <row r="21">
      <c r="A21" s="5" t="inlineStr">
        <is>
          <t>Disposition summary</t>
        </is>
      </c>
    </row>
    <row r="22" ht="28" customHeight="1">
      <c r="A22" s="7" t="inlineStr">
        <is>
          <t>Measure</t>
        </is>
      </c>
      <c r="B22" s="7" t="inlineStr">
        <is>
          <t>Count</t>
        </is>
      </c>
    </row>
    <row r="23">
      <c r="A23" s="8" t="inlineStr">
        <is>
          <t>Closed in v0.2</t>
        </is>
      </c>
      <c r="B23" s="8">
        <f>COUNTIF(F5:F19,"Closed")</f>
        <v/>
      </c>
    </row>
    <row r="24">
      <c r="A24" s="10" t="inlineStr">
        <is>
          <t>Open - awaiting your answer</t>
        </is>
      </c>
      <c r="B24" s="10">
        <f>COUNTIF(F5:F19,"Open")</f>
        <v/>
      </c>
    </row>
    <row r="25">
      <c r="A25" s="8" t="inlineStr">
        <is>
          <t>Total items</t>
        </is>
      </c>
      <c r="B25" s="8">
        <f>COUNTA(A5:A19)</f>
        <v/>
      </c>
    </row>
    <row r="27">
      <c r="A27" s="5" t="inlineStr">
        <is>
          <t>Approval - Gate 1</t>
        </is>
      </c>
    </row>
    <row r="28" ht="28" customHeight="1">
      <c r="A28" s="7" t="inlineStr">
        <is>
          <t>Document</t>
        </is>
      </c>
      <c r="B28" s="7" t="inlineStr">
        <is>
          <t>Approver</t>
        </is>
      </c>
      <c r="C28" s="7" t="inlineStr">
        <is>
          <t>Date</t>
        </is>
      </c>
      <c r="D28" s="7" t="inlineStr">
        <is>
          <t>Decision</t>
        </is>
      </c>
    </row>
    <row r="29">
      <c r="A29" s="8" t="inlineStr">
        <is>
          <t>Development plan v___</t>
        </is>
      </c>
      <c r="B29" s="23" t="inlineStr"/>
      <c r="C29" s="23" t="inlineStr"/>
      <c r="D29" s="22" t="inlineStr">
        <is>
          <t>Approved / Approved with comments / Not approved</t>
        </is>
      </c>
    </row>
    <row r="31">
      <c r="A31" s="16" t="inlineStr">
        <is>
          <t>Step 2 begins only once this gate is recorded as approved.</t>
        </is>
      </c>
    </row>
  </sheetData>
  <dataValidations count="1">
    <dataValidation sqref="F5:F19"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2026-07-31T14:07:01Z</dcterms:created>
  <dcterms:modified xsi:type="dcterms:W3CDTF">2026-07-31T14:07:01Z</dcterms:modified>
</cp:coreProperties>
</file>