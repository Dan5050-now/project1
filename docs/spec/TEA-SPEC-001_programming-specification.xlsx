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Definitions" sheetId="3" state="visible" r:id="rId3"/>
    <sheet name="Guideline_Profiles" sheetId="4" state="visible" r:id="rId4"/>
    <sheet name="Interpretations" sheetId="5" state="visible" r:id="rId5"/>
    <sheet name="Derivations" sheetId="6" state="visible" r:id="rId6"/>
    <sheet name="Pipeline" sheetId="7" state="visible" r:id="rId7"/>
    <sheet name="Rules" sheetId="8" state="visible" r:id="rId8"/>
    <sheet name="Rule_Messages" sheetId="9" state="visible" r:id="rId9"/>
    <sheet name="Confidence_Model" sheetId="10" state="visible" r:id="rId10"/>
    <sheet name="Query_Reconciliation" sheetId="11" state="visible" r:id="rId11"/>
    <sheet name="Prioritisation" sheetId="12" state="visible" r:id="rId12"/>
    <sheet name="Input_Contract" sheetId="13" state="visible" r:id="rId13"/>
    <sheet name="Finding_Contract" sheetId="14" state="visible" r:id="rId14"/>
    <sheet name="LLM_Integration" sheetId="15" state="visible" r:id="rId15"/>
    <sheet name="API" sheetId="16" state="visible" r:id="rId16"/>
    <sheet name="Testing" sheetId="17" state="visible" r:id="rId17"/>
    <sheet name="Extensibility" sheetId="18" state="visible" r:id="rId18"/>
    <sheet name="Open_Questions" sheetId="19" state="visible" r:id="rId19"/>
    <sheet name="Traceability" sheetId="20" state="visible" r:id="rId20"/>
    <sheet name="Review_Log" sheetId="21" state="visible" r:id="rId21"/>
  </sheets>
  <definedNames>
    <definedName name="_xlnm._FilterDatabase" localSheetId="2" hidden="1">'Definitions'!$A$3:$C$50</definedName>
    <definedName name="_xlnm._FilterDatabase" localSheetId="7" hidden="1">'Rules'!$A$3:$R$88</definedName>
    <definedName name="_xlnm._FilterDatabase" localSheetId="8" hidden="1">'Rule_Messages'!$A$3:$J$88</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E3EDE7"/>
      </patternFill>
    </fill>
    <fill>
      <patternFill patternType="solid">
        <fgColor rgb="00FBF0DC"/>
      </patternFill>
    </fill>
    <fill>
      <patternFill patternType="solid">
        <fgColor rgb="00EFF1EE"/>
      </patternFill>
    </fill>
    <fill>
      <patternFill patternType="solid">
        <fgColor rgb="00FFF9D6"/>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1" fillId="0" borderId="1" applyAlignment="1" pivotButton="0" quotePrefix="0" xfId="0">
      <alignment horizontal="center"/>
    </xf>
    <xf numFmtId="0" fontId="21"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7" borderId="1" applyAlignment="1" pivotButton="0" quotePrefix="0" xfId="0">
      <alignment vertical="top"/>
    </xf>
    <xf numFmtId="0" fontId="7" fillId="7" borderId="1" applyAlignment="1" pivotButton="0" quotePrefix="0" xfId="0">
      <alignment vertical="top" wrapText="1"/>
    </xf>
    <xf numFmtId="9" fontId="14"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xf>
    <xf numFmtId="0" fontId="17" fillId="0" borderId="1" applyAlignment="1" pivotButton="0" quotePrefix="0" xfId="0">
      <alignment vertical="top"/>
    </xf>
    <xf numFmtId="9" fontId="17" fillId="0" borderId="1" applyAlignment="1" pivotButton="0" quotePrefix="0" xfId="0">
      <alignment horizontal="center" vertical="top"/>
    </xf>
    <xf numFmtId="0" fontId="14" fillId="5" borderId="1" applyAlignment="1" pivotButton="0" quotePrefix="0" xfId="0">
      <alignment vertical="top"/>
    </xf>
    <xf numFmtId="0" fontId="4" fillId="0" borderId="1" applyAlignment="1" pivotButton="0" quotePrefix="0" xfId="0">
      <alignment vertical="top"/>
    </xf>
    <xf numFmtId="0" fontId="18" fillId="6" borderId="1" pivotButton="0" quotePrefix="0" xfId="0"/>
    <xf numFmtId="0" fontId="19" fillId="6" borderId="1" applyAlignment="1" pivotButton="0" quotePrefix="0" xfId="0">
      <alignment vertical="top"/>
    </xf>
    <xf numFmtId="0" fontId="19" fillId="6" borderId="1" applyAlignment="1" pivotButton="0" quotePrefix="0" xfId="0">
      <alignment vertical="top" wrapText="1"/>
    </xf>
    <xf numFmtId="0" fontId="4" fillId="6" borderId="1" applyAlignment="1" pivotButton="0" quotePrefix="0" xfId="0">
      <alignment vertical="top"/>
    </xf>
    <xf numFmtId="9" fontId="19" fillId="6" borderId="1" applyAlignment="1" pivotButton="0" quotePrefix="0" xfId="0">
      <alignment horizontal="center" vertical="top"/>
    </xf>
    <xf numFmtId="0" fontId="20"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7" fillId="6" borderId="1" applyAlignment="1" pivotButton="0" quotePrefix="0" xfId="0">
      <alignment vertical="top"/>
    </xf>
    <xf numFmtId="0" fontId="7" fillId="8"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7"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1.1.0 — Step 2 review, round 1 applied</t>
        </is>
      </c>
    </row>
    <row r="9">
      <c r="A9" s="4" t="inlineStr">
        <is>
          <t>Status</t>
        </is>
      </c>
      <c r="B9" s="5" t="inlineStr">
        <is>
          <t>DRAFT — round 2 review of the 14 amended rules</t>
        </is>
      </c>
    </row>
    <row r="10">
      <c r="A10" s="4" t="inlineStr">
        <is>
          <t>Issue date</t>
        </is>
      </c>
      <c r="B10" s="5" t="inlineStr">
        <is>
          <t>2026-08-19</t>
        </is>
      </c>
    </row>
    <row r="11">
      <c r="A11" s="4" t="inlineStr">
        <is>
          <t>Parent document</t>
        </is>
      </c>
      <c r="B11" s="5" t="inlineStr">
        <is>
          <t>TEA-PLAN-001 v1.0.0 (approved 2026-08-17)</t>
        </is>
      </c>
    </row>
    <row r="12">
      <c r="A12" s="4" t="inlineStr">
        <is>
          <t>Supersedes</t>
        </is>
      </c>
      <c r="B12" s="5" t="inlineStr">
        <is>
          <t>v1.0.0, issued 2026-08-17</t>
        </is>
      </c>
    </row>
    <row r="13">
      <c r="A13" s="4" t="inlineStr">
        <is>
          <t>Guidelines</t>
        </is>
      </c>
      <c r="B13" s="5" t="inlineStr">
        <is>
          <t>RECIST 1.1 and iRECIST</t>
        </is>
      </c>
    </row>
    <row r="14">
      <c r="A14" s="4" t="inlineStr">
        <is>
          <t>Rule catalog</t>
        </is>
      </c>
      <c r="B14" s="5" t="inlineStr">
        <is>
          <t>85 review points across 7 families — 83 live, 2 retired</t>
        </is>
      </c>
    </row>
    <row r="15">
      <c r="A15" s="4" t="inlineStr">
        <is>
          <t>Machine-readable catalog</t>
        </is>
      </c>
      <c r="B15" s="5" t="inlineStr">
        <is>
          <t>docs/spec/rule-catalog.yaml — maintained separately, drift-checked in CI</t>
        </is>
      </c>
    </row>
    <row r="16">
      <c r="A16" s="4" t="inlineStr">
        <is>
          <t>Review needed</t>
        </is>
      </c>
      <c r="B16" s="5" t="inlineStr">
        <is>
          <t>The 14 amended rules on Rules (R2 decision column), then Rule_Messages</t>
        </is>
      </c>
    </row>
    <row r="18">
      <c r="A18" s="6" t="inlineStr">
        <is>
          <t>HOW TO REVIEW THIS REVISION</t>
        </is>
      </c>
    </row>
    <row r="19" ht="26" customHeight="1">
      <c r="A19" s="7" t="inlineStr">
        <is>
          <t>•  Round 1 dispositioned all 85 rules: 70 Accept, 14 Discuss, 1 Reject. Every Discuss item is resolved on the Rules sheet.</t>
        </is>
      </c>
    </row>
    <row r="20" ht="26" customHeight="1">
      <c r="A20" s="7" t="inlineStr">
        <is>
          <t>•  Your round-1 decision and comment are preserved on each rule, next to a Response / action column saying what was done.</t>
        </is>
      </c>
    </row>
    <row r="21" ht="26" customHeight="1">
      <c r="A21" s="7" t="inlineStr">
        <is>
          <t>•  Only the amended rules need your attention now. Filter the Rules sheet on R1 decision to see them, and record your verdict in the yellow R2 decision column.</t>
        </is>
      </c>
    </row>
    <row r="22" ht="26" customHeight="1">
      <c r="A22" s="7" t="inlineStr">
        <is>
          <t>•  A new Rationale / source column states where each threshold comes from — and says plainly where no guideline source exists, rather than implying one.</t>
        </is>
      </c>
    </row>
    <row r="23" ht="26" customHeight="1">
      <c r="A23" s="7" t="inlineStr">
        <is>
          <t>•  Review_Log carries the same record as a narrative, in review order, for anyone who was not in the round-1 discussion.</t>
        </is>
      </c>
    </row>
    <row r="24" ht="26" customHeight="1">
      <c r="A24" s="7" t="inlineStr">
        <is>
          <t>•  Two rules are now RETIRED: TE-RS-010 (subsumed) and TE-RS-011 (rejected). Their ids are retained permanently and never reused.</t>
        </is>
      </c>
    </row>
    <row r="25" ht="26" customHeight="1"/>
    <row r="26" ht="26" customHeight="1">
      <c r="A26" s="6" t="inlineStr">
        <is>
          <t>WHAT CHANGED AT THIS REVISION</t>
        </is>
      </c>
    </row>
    <row r="27" ht="26" customHeight="1">
      <c r="A27" s="7" t="inlineStr">
        <is>
          <t>•  TE-RS-010 retired as subsumed by TE-RS-008, TE-RS-009 and TE-IR-001. TE-RS-011 retired as rejected.</t>
        </is>
      </c>
    </row>
    <row r="28" ht="26" customHeight="1">
      <c r="A28" s="7" t="inlineStr">
        <is>
          <t>•  TE-RS-003 gate widened as you suggested; the baseline comparison is now a message discriminator, not a condition.</t>
        </is>
      </c>
    </row>
    <row r="29" ht="26" customHeight="1">
      <c r="A29" s="7" t="inlineStr">
        <is>
          <t>•  TE-RS-007 severity lowered to INFO, which removes it from the default query worklist.</t>
        </is>
      </c>
    </row>
    <row r="30" ht="26" customHeight="1">
      <c r="A30" s="7" t="inlineStr">
        <is>
          <t>•  TE-RS-002 and TE-RS-003 declared cascade children of TE-RS-001; TE-RS-008 suppressed behind its component rules, so one visit yields one query.</t>
        </is>
      </c>
    </row>
    <row r="31" ht="26" customHeight="1">
      <c r="A31" s="7" t="inlineStr">
        <is>
          <t>•  TE-BL-011 and TE-FU-001 become CONDITIONAL on the sum being site-entered rather than system-derived. This answers SQ-08.</t>
        </is>
      </c>
    </row>
    <row r="32" ht="26" customHeight="1">
      <c r="A32" s="7" t="inlineStr">
        <is>
          <t>•  TE-FU-007 now takes a per-visit assessment schedule from the protocol intake instead of a single interval.</t>
        </is>
      </c>
    </row>
    <row r="33" ht="26" customHeight="1">
      <c r="A33" s="7" t="inlineStr">
        <is>
          <t>•  TE-FU-009 restricted to follow-up and excludes the too-small-to-measure state.</t>
        </is>
      </c>
    </row>
    <row r="34" ht="26" customHeight="1">
      <c r="A34" s="7" t="inlineStr">
        <is>
          <t>•  TE-ST-003 resolves nodal axis from the CRF specification where no axis-type field is collected.</t>
        </is>
      </c>
    </row>
    <row r="35" ht="26" customHeight="1">
      <c r="A35" s="7" t="inlineStr">
        <is>
          <t>•  Rationale added to TE-FU-004, TE-FU-005, TE-RS-014 and TE-XD-007; interpretations ID-05 and ID-06 amended.</t>
        </is>
      </c>
    </row>
  </sheetData>
  <mergeCells count="28">
    <mergeCell ref="B7:F7"/>
    <mergeCell ref="B16:F16"/>
    <mergeCell ref="A27:F27"/>
    <mergeCell ref="A26:F26"/>
    <mergeCell ref="A21:F21"/>
    <mergeCell ref="A33:F33"/>
    <mergeCell ref="B12:F12"/>
    <mergeCell ref="B11:F11"/>
    <mergeCell ref="A23:F23"/>
    <mergeCell ref="A32:F32"/>
    <mergeCell ref="A22:F22"/>
    <mergeCell ref="A35:F35"/>
    <mergeCell ref="B14:F14"/>
    <mergeCell ref="B8:F8"/>
    <mergeCell ref="A20:F20"/>
    <mergeCell ref="A29:F29"/>
    <mergeCell ref="B13:F13"/>
    <mergeCell ref="A28:F28"/>
    <mergeCell ref="A19:F19"/>
    <mergeCell ref="B10:F10"/>
    <mergeCell ref="A31:F31"/>
    <mergeCell ref="A34:F34"/>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v1.1.0 — Step 2 review round 1 applied; round 2 covers the amended rules and Rule_Messages.</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done</t>
        </is>
      </c>
      <c r="E7" s="15" t="inlineStr">
        <is>
          <t>ID-05 expanded, ID-06 amended</t>
        </is>
      </c>
    </row>
    <row r="8">
      <c r="A8" s="11" t="inlineStr">
        <is>
          <t>Review_Log</t>
        </is>
      </c>
      <c r="B8" s="12" t="inlineStr">
        <is>
          <t>Round-1 disposition and resolutions</t>
        </is>
      </c>
      <c r="C8" s="16">
        <f>COUNTA(Review_Log!A4:A21)</f>
        <v/>
      </c>
      <c r="D8" s="14" t="inlineStr"/>
      <c r="E8" s="15" t="inlineStr">
        <is>
          <t>18 items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round 2</t>
        </is>
      </c>
      <c r="E11" s="15" t="inlineStr">
        <is>
          <t>14 amended rules to confirm</t>
        </is>
      </c>
    </row>
    <row r="12">
      <c r="A12" s="11" t="inlineStr">
        <is>
          <t>Rule_Messages</t>
        </is>
      </c>
      <c r="B12" s="12" t="inlineStr">
        <is>
          <t>The five reviewer-facing elements per rule</t>
        </is>
      </c>
      <c r="C12" s="16">
        <f>COUNTA(Rule_Messages!A4:A88)</f>
        <v/>
      </c>
      <c r="D12" s="17" t="inlineStr">
        <is>
          <t>round 2</t>
        </is>
      </c>
      <c r="E12" s="15" t="inlineStr">
        <is>
          <t>not yet reviewed</t>
        </is>
      </c>
    </row>
    <row r="13">
      <c r="A13" s="11" t="inlineStr">
        <is>
          <t>Confidence_Model</t>
        </is>
      </c>
      <c r="B13" s="12" t="inlineStr">
        <is>
          <t>How the confidence rate is computed</t>
        </is>
      </c>
      <c r="C13" s="13" t="n"/>
      <c r="D13" s="17" t="inlineStr">
        <is>
          <t>yes</t>
        </is>
      </c>
      <c r="E13" s="15" t="inlineStr">
        <is>
          <t>NEW — 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COUNTA(Testing!A4:A13)</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yes</t>
        </is>
      </c>
      <c r="E22" s="15" t="inlineStr">
        <is>
          <t>SQ-02 and SQ-09 are new</t>
        </is>
      </c>
    </row>
    <row r="23">
      <c r="A23" s="11" t="inlineStr">
        <is>
          <t>Traceability</t>
        </is>
      </c>
      <c r="B23" s="12" t="inlineStr">
        <is>
          <t>Plan requirement to specification to tests</t>
        </is>
      </c>
      <c r="C23" s="16">
        <f>COUNTA(Traceability!A4:A23)</f>
        <v/>
      </c>
      <c r="D23" s="14" t="inlineStr"/>
      <c r="E23"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dataValidations coun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32" customWidth="1" min="18" max="18"/>
  </cols>
  <sheetData>
    <row r="1" ht="26" customHeight="1">
      <c r="A1" s="8" t="inlineStr">
        <is>
          <t>Rule catalog — 85 review points, 83 live</t>
        </is>
      </c>
    </row>
    <row r="2" ht="26" customHeight="1">
      <c r="A2" s="9" t="inlineStr">
        <is>
          <t>Round 1 of the Step 2 review is recorded here: your decision and comment, and what was done about it. Record round-2 verdicts in the yellow R2 decision column. Retired rules are greyed and keep their ids permanently.</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Reviewer</t>
        </is>
      </c>
      <c r="R3" s="10" t="inlineStr">
        <is>
          <t>Comment</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33" t="n"/>
      <c r="Q4" s="33" t="n"/>
      <c r="R4" s="34" t="n"/>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5" t="n">
        <v>0.72</v>
      </c>
      <c r="I5" s="12" t="inlineStr">
        <is>
          <t>The same anatomical lesion must not be recorded twice.</t>
        </is>
      </c>
      <c r="J5" s="12" t="inlineStr"/>
      <c r="K5" s="12" t="inlineStr"/>
      <c r="L5" s="29" t="inlineStr">
        <is>
          <t>group lesions by (subject, organ, laterality, normalised location_detail)
if group size &gt; 1 and both are TARGET or both NON_TARGET: raise finding</t>
        </is>
      </c>
      <c r="M5" s="23" t="inlineStr">
        <is>
          <t>Accept</t>
        </is>
      </c>
      <c r="N5" s="12" t="inlineStr"/>
      <c r="O5" s="12" t="inlineStr"/>
      <c r="P5" s="33" t="n"/>
      <c r="Q5" s="33" t="n"/>
      <c r="R5" s="34" t="n"/>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6"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3" t="n"/>
      <c r="Q6" s="33" t="n"/>
      <c r="R6" s="34" t="n"/>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33" t="n"/>
      <c r="Q7" s="33" t="n"/>
      <c r="R7" s="34" t="n"/>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33" t="n"/>
      <c r="Q8" s="33" t="n"/>
      <c r="R8" s="34" t="n"/>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33" t="n"/>
      <c r="Q9" s="33" t="n"/>
      <c r="R9" s="34" t="n"/>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33" t="n"/>
      <c r="Q10" s="33" t="n"/>
      <c r="R10" s="34" t="n"/>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33" t="n"/>
      <c r="Q11" s="33" t="n"/>
      <c r="R11" s="34" t="n"/>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33" t="n"/>
      <c r="Q12" s="33" t="n"/>
      <c r="R12" s="34" t="n"/>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33" t="n"/>
      <c r="Q13" s="33" t="n"/>
      <c r="R13" s="34" t="n"/>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5"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33" t="n"/>
      <c r="Q14" s="33" t="n"/>
      <c r="R14" s="34" t="n"/>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5"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33" t="n"/>
      <c r="Q15" s="33" t="n"/>
      <c r="R15" s="34" t="n"/>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5"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33" t="n"/>
      <c r="Q16" s="33" t="n"/>
      <c r="R16" s="34" t="n"/>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33" t="n"/>
      <c r="Q17" s="33" t="n"/>
      <c r="R17" s="34" t="n"/>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33" t="n"/>
      <c r="Q18" s="33" t="n"/>
      <c r="R18" s="34" t="n"/>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6"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3" t="n"/>
      <c r="Q19" s="33" t="n"/>
      <c r="R19" s="34" t="n"/>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39"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33" t="n"/>
      <c r="Q20" s="33" t="n"/>
      <c r="R20" s="34" t="n"/>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33" t="n"/>
      <c r="Q21" s="33" t="n"/>
      <c r="R21" s="34" t="n"/>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5" t="n">
        <v>0.55</v>
      </c>
      <c r="I22" s="12" t="inlineStr">
        <is>
          <t>The same lesion should be followed by the same modality throughout.</t>
        </is>
      </c>
      <c r="J22" s="12" t="inlineStr"/>
      <c r="K22" s="12" t="inlineStr"/>
      <c r="L22" s="29" t="inlineStr">
        <is>
          <t>for lesion, visits in measurements grouped by lesion:
    if distinct method_at_visit values &gt; 1: raise finding</t>
        </is>
      </c>
      <c r="M22" s="23" t="inlineStr">
        <is>
          <t>Accept</t>
        </is>
      </c>
      <c r="N22" s="12" t="inlineStr"/>
      <c r="O22" s="12" t="inlineStr"/>
      <c r="P22" s="33" t="n"/>
      <c r="Q22" s="33" t="n"/>
      <c r="R22" s="34" t="n"/>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5"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33" t="n"/>
      <c r="Q23" s="33" t="n"/>
      <c r="R23" s="34" t="n"/>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0" t="inlineStr">
        <is>
          <t>PROPOSED_OPTIONAL</t>
        </is>
      </c>
      <c r="H24" s="35"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33" t="n"/>
      <c r="Q24" s="33" t="n"/>
      <c r="R24" s="34" t="n"/>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33" t="n"/>
      <c r="Q25" s="33" t="n"/>
      <c r="R25" s="34" t="n"/>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6" t="inlineStr">
        <is>
          <t>AMENDED alongside TE-BL-011, which carries the identical condition. Accepted at round 1, but the same CRF-dependency applies at follow-up and the pair must move together.</t>
        </is>
      </c>
      <c r="P26" s="33" t="n"/>
      <c r="Q26" s="33" t="n"/>
      <c r="R26" s="34" t="n"/>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33" t="n"/>
      <c r="Q27" s="33" t="n"/>
      <c r="R27" s="34" t="n"/>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33" t="n"/>
      <c r="Q28" s="33" t="n"/>
      <c r="R28" s="34" t="n"/>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39"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6"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3" t="n"/>
      <c r="Q29" s="33" t="n"/>
      <c r="R29" s="34" t="n"/>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6" t="inlineStr">
        <is>
          <t>RATIONALE ADDED. This rule carries no numeric threshold; the parameter in it is the interpretation decision ID-01, which is a protocol question rather than a guideline constant.</t>
        </is>
      </c>
      <c r="P30" s="33" t="n"/>
      <c r="Q30" s="33" t="n"/>
      <c r="R30" s="34" t="n"/>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5"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33" t="n"/>
      <c r="Q31" s="33" t="n"/>
      <c r="R31" s="34" t="n"/>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6"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3" t="n"/>
      <c r="Q32" s="33" t="n"/>
      <c r="R32" s="34" t="n"/>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33" t="n"/>
      <c r="Q33" s="33" t="n"/>
      <c r="R33" s="34" t="n"/>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6"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3" t="n"/>
      <c r="Q34" s="33" t="n"/>
      <c r="R34" s="34" t="n"/>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33" t="n"/>
      <c r="Q35" s="33" t="n"/>
      <c r="R35" s="34" t="n"/>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0.92</v>
      </c>
      <c r="I36" s="12" t="inlineStr">
        <is>
          <t>Temporal plausibility against subject-level dates.</t>
        </is>
      </c>
      <c r="J36" s="12" t="inlineStr"/>
      <c r="K36" s="12" t="inlineStr">
        <is>
          <t>subjects.death_date or subjects.discontinuation_date</t>
        </is>
      </c>
      <c r="L36" s="29" t="inlineStr">
        <is>
          <t>if assessment_date &gt; death_date: raise CRITICAL
if assessment_date &gt; discontinuation_date + config.post_treatment_followup_days: raise MAJOR</t>
        </is>
      </c>
      <c r="M36" s="23" t="inlineStr">
        <is>
          <t>Accept</t>
        </is>
      </c>
      <c r="N36" s="12" t="inlineStr"/>
      <c r="O36" s="12" t="inlineStr"/>
      <c r="P36" s="33" t="n"/>
      <c r="Q36" s="33" t="n"/>
      <c r="R36" s="34" t="n"/>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33" t="n"/>
      <c r="Q37" s="33" t="n"/>
      <c r="R37" s="34" t="n"/>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5"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33" t="n"/>
      <c r="Q38" s="33" t="n"/>
      <c r="R38" s="34" t="n"/>
    </row>
    <row r="39" ht="96" customHeight="1">
      <c r="A39" s="11" t="inlineStr">
        <is>
          <t>TE-FU-014</t>
        </is>
      </c>
      <c r="B39" s="24" t="inlineStr">
        <is>
          <t>FU</t>
        </is>
      </c>
      <c r="C39" s="12" t="inlineStr">
        <is>
          <t>Identical measurements repeated across three or more consecutive visits</t>
        </is>
      </c>
      <c r="D39" s="24" t="inlineStr">
        <is>
          <t>RECIST 1.1 + iRECIST</t>
        </is>
      </c>
      <c r="E39" s="41" t="inlineStr">
        <is>
          <t>INFO</t>
        </is>
      </c>
      <c r="F39" s="24" t="inlineStr">
        <is>
          <t>DETERMINISTIC</t>
        </is>
      </c>
      <c r="G39" s="24" t="inlineStr">
        <is>
          <t>ACTIVE</t>
        </is>
      </c>
      <c r="H39" s="39" t="n">
        <v>0.3</v>
      </c>
      <c r="I39" s="12" t="inlineStr">
        <is>
          <t>Detect carried-forward values rather than genuine measurement.</t>
        </is>
      </c>
      <c r="J39" s="12" t="inlineStr"/>
      <c r="K39" s="12" t="inlineStr"/>
      <c r="L39" s="29" t="inlineStr">
        <is>
          <t>if a lesion has the identical value at &gt;= 3 consecutive assessments
   and the lesion is &gt; config.identical_value_min_mm (default 15): raise finding</t>
        </is>
      </c>
      <c r="M39" s="23" t="inlineStr">
        <is>
          <t>Accept</t>
        </is>
      </c>
      <c r="N39" s="12" t="inlineStr"/>
      <c r="O39" s="12" t="inlineStr"/>
      <c r="P39" s="33" t="n"/>
      <c r="Q39" s="33" t="n"/>
      <c r="R39" s="34" t="n"/>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33" t="n"/>
      <c r="Q40" s="33" t="n"/>
      <c r="R40" s="34" t="n"/>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6"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3" t="n"/>
      <c r="Q41" s="33" t="n"/>
      <c r="R41" s="34" t="n"/>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6"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3" t="n"/>
      <c r="Q42" s="33" t="n"/>
      <c r="R42" s="34" t="n"/>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33" t="n"/>
      <c r="Q43" s="33" t="n"/>
      <c r="R43" s="34" t="n"/>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33" t="n"/>
      <c r="Q44" s="33" t="n"/>
      <c r="R44" s="34" t="n"/>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33" t="n"/>
      <c r="Q45" s="33" t="n"/>
      <c r="R45" s="34" t="n"/>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1" t="inlineStr">
        <is>
          <t>INFO</t>
        </is>
      </c>
      <c r="F46" s="24" t="inlineStr">
        <is>
          <t>HYBRID</t>
        </is>
      </c>
      <c r="G46" s="24" t="inlineStr">
        <is>
          <t>ACTIVE</t>
        </is>
      </c>
      <c r="H46" s="39"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6"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3" t="n"/>
      <c r="Q46" s="33" t="n"/>
      <c r="R46" s="34" t="n"/>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6"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3" t="n"/>
      <c r="Q47" s="33" t="n"/>
      <c r="R47" s="34" t="n"/>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33" t="n"/>
      <c r="Q48" s="33" t="n"/>
      <c r="R48" s="34" t="n"/>
    </row>
    <row r="49" ht="96" customHeight="1">
      <c r="A49" s="42" t="inlineStr">
        <is>
          <t>TE-RS-010</t>
        </is>
      </c>
      <c r="B49" s="43" t="inlineStr">
        <is>
          <t>RS</t>
        </is>
      </c>
      <c r="C49" s="44" t="inlineStr">
        <is>
          <t>New lesion recorded but overall response is not progression</t>
        </is>
      </c>
      <c r="D49" s="43" t="inlineStr">
        <is>
          <t>RECIST 1.1 + iRECIST</t>
        </is>
      </c>
      <c r="E49" s="43" t="inlineStr">
        <is>
          <t>CRITICAL</t>
        </is>
      </c>
      <c r="F49" s="43" t="inlineStr">
        <is>
          <t>DETERMINISTIC</t>
        </is>
      </c>
      <c r="G49" s="45" t="inlineStr">
        <is>
          <t>RETIRED</t>
        </is>
      </c>
      <c r="H49" s="46" t="n">
        <v>0.9399999999999999</v>
      </c>
      <c r="I49" s="44" t="inlineStr">
        <is>
          <t>A confirmed new lesion always means progression under RECIST 1.1.</t>
        </is>
      </c>
      <c r="J49" s="44" t="inlineStr">
        <is>
          <t>Retired at the Step 2 review as fully subsumed by TE-RS-008 (overall response versus the component table), TE-RS-009 (flag versus recorded lesions) and TE-IR-001 (iUPD under iRECIST).</t>
        </is>
      </c>
      <c r="K49" s="44" t="inlineStr"/>
      <c r="L49" s="47" t="inlineStr">
        <is>
          <t>if new_lesion_flag == YES and reported_overall != PD: raise finding
   (under iRECIST the expected value is iUPD; see TE-IR-001)</t>
        </is>
      </c>
      <c r="M49" s="48" t="inlineStr">
        <is>
          <t>Discuss</t>
        </is>
      </c>
      <c r="N49" s="49" t="inlineStr">
        <is>
          <t>Check if this rule is duplicate, considering TE-RS-008.
If duplicate rule, I suggest remove this rule, instead, add only iRECIST condition to the TE-RS-008.</t>
        </is>
      </c>
      <c r="O49" s="49"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33" t="n"/>
      <c r="Q49" s="33" t="n"/>
      <c r="R49" s="34" t="n"/>
    </row>
    <row r="50" ht="96" customHeight="1">
      <c r="A50" s="42" t="inlineStr">
        <is>
          <t>TE-RS-011</t>
        </is>
      </c>
      <c r="B50" s="43" t="inlineStr">
        <is>
          <t>RS</t>
        </is>
      </c>
      <c r="C50" s="44" t="inlineStr">
        <is>
          <t>New lesion in an anatomical region not imaged at baseline</t>
        </is>
      </c>
      <c r="D50" s="43" t="inlineStr">
        <is>
          <t>RECIST 1.1 + iRECIST</t>
        </is>
      </c>
      <c r="E50" s="43" t="inlineStr">
        <is>
          <t>MAJOR</t>
        </is>
      </c>
      <c r="F50" s="43" t="inlineStr">
        <is>
          <t>HYBRID</t>
        </is>
      </c>
      <c r="G50" s="45" t="inlineStr">
        <is>
          <t>RETIRED</t>
        </is>
      </c>
      <c r="H50" s="46" t="n">
        <v>0.62</v>
      </c>
      <c r="I50" s="44" t="inlineStr">
        <is>
          <t>Ensure the region-not-imaged case was considered explicitly.</t>
        </is>
      </c>
      <c r="J50" s="44" t="inlineStr">
        <is>
          <t>Rejected at the Step 2 review. The premise does not hold: investigator-discretion imaging routinely covers regions absent from the baseline protocol imaging, so region coverage is not evidence of a data problem.</t>
        </is>
      </c>
      <c r="K50" s="44" t="inlineStr">
        <is>
          <t>imaging_metadata.regions_imaged (or inferred from baseline lesion organs and modality)</t>
        </is>
      </c>
      <c r="L50" s="47" t="inlineStr">
        <is>
          <t>if new lesion organ/region was not covered by the baseline imaging: raise finding</t>
        </is>
      </c>
      <c r="M50" s="50" t="inlineStr">
        <is>
          <t>Reject</t>
        </is>
      </c>
      <c r="N50" s="49" t="inlineStr">
        <is>
          <t>New lesion could be confirmed by other organ/region not covered by the baseline image, because of doing other image by investigator's discretion. Suggest not to run this rule.</t>
        </is>
      </c>
      <c r="O50" s="49"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33" t="n"/>
      <c r="Q50" s="33" t="n"/>
      <c r="R50" s="34" t="n"/>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5"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33" t="n"/>
      <c r="Q51" s="33" t="n"/>
      <c r="R51" s="34" t="n"/>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6"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3" t="n"/>
      <c r="Q52" s="33" t="n"/>
      <c r="R52" s="34" t="n"/>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6" t="inlineStr">
        <is>
          <t>RATIONALE ADDED, and this one does have a guideline source, unlike TE-FU-004.</t>
        </is>
      </c>
      <c r="P53" s="33" t="n"/>
      <c r="Q53" s="33" t="n"/>
      <c r="R53" s="34" t="n"/>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33" t="n"/>
      <c r="Q54" s="33" t="n"/>
      <c r="R54" s="34" t="n"/>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33" t="n"/>
      <c r="Q55" s="33" t="n"/>
      <c r="R55" s="34" t="n"/>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33" t="n"/>
      <c r="Q56" s="33" t="n"/>
      <c r="R56" s="34" t="n"/>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33" t="n"/>
      <c r="Q57" s="33" t="n"/>
      <c r="R57" s="34" t="n"/>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33" t="n"/>
      <c r="Q58" s="33" t="n"/>
      <c r="R58" s="34" t="n"/>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5" t="n">
        <v>0.5</v>
      </c>
      <c r="I59" s="12" t="inlineStr">
        <is>
          <t>Surface discordance where both streams exist.</t>
        </is>
      </c>
      <c r="J59" s="12" t="inlineStr"/>
      <c r="K59" s="12" t="inlineStr">
        <is>
          <t>protocol_config.bicr_collected = true</t>
        </is>
      </c>
      <c r="L59" s="29" t="inlineStr">
        <is>
          <t>for each assessment with both INVESTIGATOR and BICR responses:
    if responses differ, or progression dates differ by &gt; config.bicr_date_tolerance_days:
        raise finding (INFO by default when the difference does not cross a PD boundary)</t>
        </is>
      </c>
      <c r="M59" s="23" t="inlineStr">
        <is>
          <t>Accept</t>
        </is>
      </c>
      <c r="N59" s="12" t="inlineStr"/>
      <c r="O59" s="12" t="inlineStr"/>
      <c r="P59" s="33" t="n"/>
      <c r="Q59" s="33" t="n"/>
      <c r="R59" s="34" t="n"/>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33" t="n"/>
      <c r="Q60" s="33" t="n"/>
      <c r="R60" s="34" t="n"/>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33" t="n"/>
      <c r="Q61" s="33" t="n"/>
      <c r="R61" s="34" t="n"/>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33" t="n"/>
      <c r="Q62" s="33" t="n"/>
      <c r="R62" s="34" t="n"/>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33" t="n"/>
      <c r="Q63" s="33" t="n"/>
      <c r="R63" s="34" t="n"/>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33" t="n"/>
      <c r="Q64" s="33" t="n"/>
      <c r="R64" s="34" t="n"/>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33" t="n"/>
      <c r="Q65" s="33" t="n"/>
      <c r="R65" s="34" t="n"/>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33" t="n"/>
      <c r="Q66" s="33" t="n"/>
      <c r="R66" s="34" t="n"/>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0" t="inlineStr">
        <is>
          <t>PROPOSED_OPTIONAL</t>
        </is>
      </c>
      <c r="H67" s="39"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33" t="n"/>
      <c r="Q67" s="33" t="n"/>
      <c r="R67" s="34" t="n"/>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33" t="n"/>
      <c r="Q68" s="33" t="n"/>
      <c r="R68" s="34" t="n"/>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33" t="n"/>
      <c r="Q69" s="33" t="n"/>
      <c r="R69" s="34" t="n"/>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33" t="n"/>
      <c r="Q70" s="33" t="n"/>
      <c r="R70" s="34" t="n"/>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5"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33" t="n"/>
      <c r="Q71" s="33" t="n"/>
      <c r="R71" s="34" t="n"/>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5" t="n">
        <v>0.7</v>
      </c>
      <c r="I72" s="12" t="inlineStr"/>
      <c r="J72" s="12" t="inlineStr"/>
      <c r="K72" s="12" t="inlineStr">
        <is>
          <t>cross_domain.anticancer_therapy</t>
        </is>
      </c>
      <c r="L72" s="29" t="inlineStr">
        <is>
          <t>if a new systemic anticancer therapy starts before the recorded progression date
   (or before any recorded progression): raise finding</t>
        </is>
      </c>
      <c r="M72" s="23" t="inlineStr">
        <is>
          <t>Accept</t>
        </is>
      </c>
      <c r="N72" s="12" t="inlineStr"/>
      <c r="O72" s="12" t="inlineStr"/>
      <c r="P72" s="33" t="n"/>
      <c r="Q72" s="33" t="n"/>
      <c r="R72" s="34" t="n"/>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0.75</v>
      </c>
      <c r="I73" s="12" t="inlineStr"/>
      <c r="J73" s="12" t="inlineStr"/>
      <c r="K73" s="12" t="inlineStr">
        <is>
          <t>cross_domain.radiotherapy or procedures</t>
        </is>
      </c>
      <c r="L73" s="29" t="inlineStr">
        <is>
          <t>if radiotherapy, surgery or ablation is recorded at a site matching a target lesion
   after baseline: raise finding on all subsequent assessments of that lesion</t>
        </is>
      </c>
      <c r="M73" s="23" t="inlineStr">
        <is>
          <t>Accept</t>
        </is>
      </c>
      <c r="N73" s="12" t="inlineStr"/>
      <c r="O73" s="12" t="inlineStr"/>
      <c r="P73" s="33" t="n"/>
      <c r="Q73" s="33" t="n"/>
      <c r="R73" s="34" t="n"/>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5" t="n">
        <v>0.65</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t>
        </is>
      </c>
      <c r="M74" s="23" t="inlineStr">
        <is>
          <t>Accept</t>
        </is>
      </c>
      <c r="N74" s="12" t="inlineStr"/>
      <c r="O74" s="12" t="inlineStr"/>
      <c r="P74" s="33" t="n"/>
      <c r="Q74" s="33" t="n"/>
      <c r="R74" s="34" t="n"/>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33" t="n"/>
      <c r="Q75" s="33" t="n"/>
      <c r="R75" s="34" t="n"/>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5"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6" t="inlineStr">
        <is>
          <t>RATIONALE ADDED. The threshold is the laboratory's own upper limit of normal, not a value the agent chooses.</t>
        </is>
      </c>
      <c r="P76" s="33" t="n"/>
      <c r="Q76" s="33" t="n"/>
      <c r="R76" s="34" t="n"/>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5"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33" t="n"/>
      <c r="Q77" s="33" t="n"/>
      <c r="R77" s="34" t="n"/>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5"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33" t="n"/>
      <c r="Q78" s="33" t="n"/>
      <c r="R78" s="34" t="n"/>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33" t="n"/>
      <c r="Q79" s="33" t="n"/>
      <c r="R79" s="34" t="n"/>
    </row>
    <row r="80" ht="96" customHeight="1">
      <c r="A80" s="11" t="inlineStr">
        <is>
          <t>TE-XD-011</t>
        </is>
      </c>
      <c r="B80" s="24" t="inlineStr">
        <is>
          <t>XD</t>
        </is>
      </c>
      <c r="C80" s="12" t="inlineStr">
        <is>
          <t>Subject has no post-baseline assessment</t>
        </is>
      </c>
      <c r="D80" s="24" t="inlineStr">
        <is>
          <t>RECIST 1.1 + iRECIST</t>
        </is>
      </c>
      <c r="E80" s="41" t="inlineStr">
        <is>
          <t>INFO</t>
        </is>
      </c>
      <c r="F80" s="24" t="inlineStr">
        <is>
          <t>DETERMINISTIC</t>
        </is>
      </c>
      <c r="G80" s="24" t="inlineStr">
        <is>
          <t>ACTIVE</t>
        </is>
      </c>
      <c r="H80" s="35"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33" t="n"/>
      <c r="Q80" s="33" t="n"/>
      <c r="R80" s="34" t="n"/>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5"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33" t="n"/>
      <c r="Q81" s="33" t="n"/>
      <c r="R81" s="34" t="n"/>
    </row>
    <row r="82" ht="96" customHeight="1">
      <c r="A82" s="11" t="inlineStr">
        <is>
          <t>TE-QM-001</t>
        </is>
      </c>
      <c r="B82" s="24" t="inlineStr">
        <is>
          <t>QM</t>
        </is>
      </c>
      <c r="C82" s="12" t="inlineStr">
        <is>
          <t>Finding already covered by an open query</t>
        </is>
      </c>
      <c r="D82" s="24" t="inlineStr">
        <is>
          <t>RECIST 1.1 + iRECIST</t>
        </is>
      </c>
      <c r="E82" s="41"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33" t="n"/>
      <c r="Q82" s="33" t="n"/>
      <c r="R82" s="34" t="n"/>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33" t="n"/>
      <c r="Q83" s="33" t="n"/>
      <c r="R83" s="34" t="n"/>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33" t="n"/>
      <c r="Q84" s="33" t="n"/>
      <c r="R84" s="34" t="n"/>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33" t="n"/>
      <c r="Q85" s="33" t="n"/>
      <c r="R85" s="34" t="n"/>
    </row>
    <row r="86" ht="96" customHeight="1">
      <c r="A86" s="11" t="inlineStr">
        <is>
          <t>TE-QM-005</t>
        </is>
      </c>
      <c r="B86" s="24" t="inlineStr">
        <is>
          <t>QM</t>
        </is>
      </c>
      <c r="C86" s="12" t="inlineStr">
        <is>
          <t>Query answer does not address the question asked</t>
        </is>
      </c>
      <c r="D86" s="24" t="inlineStr">
        <is>
          <t>RECIST 1.1 + iRECIST</t>
        </is>
      </c>
      <c r="E86" s="41" t="inlineStr">
        <is>
          <t>INFO</t>
        </is>
      </c>
      <c r="F86" s="24" t="inlineStr">
        <is>
          <t>LLM_ADJUDICATED</t>
        </is>
      </c>
      <c r="G86" s="24" t="inlineStr">
        <is>
          <t>ACTIVE</t>
        </is>
      </c>
      <c r="H86" s="35"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33" t="n"/>
      <c r="Q86" s="33" t="n"/>
      <c r="R86" s="34" t="n"/>
    </row>
    <row r="87" ht="96" customHeight="1">
      <c r="A87" s="11" t="inlineStr">
        <is>
          <t>TE-QM-006</t>
        </is>
      </c>
      <c r="B87" s="24" t="inlineStr">
        <is>
          <t>QM</t>
        </is>
      </c>
      <c r="C87" s="12" t="inlineStr">
        <is>
          <t>Data changed after a query but a new inconsistency was introduced</t>
        </is>
      </c>
      <c r="D87" s="24" t="inlineStr">
        <is>
          <t>RECIST 1.1 + iRECIST</t>
        </is>
      </c>
      <c r="E87" s="41" t="inlineStr">
        <is>
          <t>INFO</t>
        </is>
      </c>
      <c r="F87" s="24" t="inlineStr">
        <is>
          <t>DETERMINISTIC</t>
        </is>
      </c>
      <c r="G87" s="24" t="inlineStr">
        <is>
          <t>ACTIVE</t>
        </is>
      </c>
      <c r="H87" s="35"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33" t="n"/>
      <c r="Q87" s="33" t="n"/>
      <c r="R87" s="34" t="n"/>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0" t="inlineStr">
        <is>
          <t>PROPOSED_OPTIONAL</t>
        </is>
      </c>
      <c r="H88" s="35"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33" t="n"/>
      <c r="Q88" s="33" t="n"/>
      <c r="R88" s="34" t="n"/>
    </row>
  </sheetData>
  <autoFilter ref="A3:R88"/>
  <mergeCells count="2">
    <mergeCell ref="A2:R2"/>
    <mergeCell ref="A1:R1"/>
  </mergeCells>
  <dataValidations count="1">
    <dataValidation sqref="P4:P88" showDropDown="0" showInputMessage="0" showErrorMessage="0" allowBlank="1" type="list">
      <formula1>"Accept,Amend,Reject,Discuss"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44" customWidth="1" min="3" max="3"/>
    <col width="52" customWidth="1" min="4" max="4"/>
    <col width="62" customWidth="1" min="5" max="5"/>
    <col width="62" customWidth="1" min="6" max="6"/>
    <col width="52" customWidth="1" min="7" max="7"/>
    <col width="11" customWidth="1" min="8" max="8"/>
    <col width="11" customWidth="1" min="9" max="9"/>
    <col width="30" customWidth="1" min="10" max="10"/>
  </cols>
  <sheetData>
    <row r="1" ht="26" customHeight="1">
      <c r="A1" s="8" t="inlineStr">
        <is>
          <t>Reviewer-facing message templates</t>
        </is>
      </c>
    </row>
    <row r="2" ht="26" customHeight="1">
      <c r="A2" s="9" t="inlineStr">
        <is>
          <t>The five elements presented for every finding. The Suggested query column is the text that reaches a site — review it as sponsor correspondence, not as documentation.</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Decision</t>
        </is>
      </c>
      <c r="I3" s="10" t="inlineStr">
        <is>
          <t>Reviewer</t>
        </is>
      </c>
      <c r="J3" s="10" t="inlineStr">
        <is>
          <t>Comment</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1"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33" t="n"/>
      <c r="I4" s="33" t="n"/>
      <c r="J4" s="34" t="n"/>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1"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33" t="n"/>
      <c r="I5" s="33" t="n"/>
      <c r="J5" s="34" t="n"/>
    </row>
    <row r="6" ht="108" customHeight="1">
      <c r="A6" s="23"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51" t="inlineStr">
        <is>
          <t>Lesion {lesion_id} is a lymph node. Please confirm the measurement recorded at {visit} is the short axis; if the longest diameter was recorded, please correct it.</t>
        </is>
      </c>
      <c r="G6" s="12" t="inlineStr">
        <is>
          <t>Nodal lesions were only formally distinguished from RECIST 1.0 onwards in version 1.1; sites experienced with older studies frequently record the long axis out of habit.</t>
        </is>
      </c>
      <c r="H6" s="33" t="n"/>
      <c r="I6" s="33" t="n"/>
      <c r="J6" s="34" t="n"/>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1"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33" t="n"/>
      <c r="I7" s="33" t="n"/>
      <c r="J7" s="34" t="n"/>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1"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33" t="n"/>
      <c r="I8" s="33" t="n"/>
      <c r="J8" s="34" t="n"/>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1"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33" t="n"/>
      <c r="I9" s="33" t="n"/>
      <c r="J9" s="34" t="n"/>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1"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33" t="n"/>
      <c r="I10" s="33" t="n"/>
      <c r="J10" s="34" t="n"/>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1"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33" t="n"/>
      <c r="I11" s="33" t="n"/>
      <c r="J11" s="34" t="n"/>
    </row>
    <row r="12" ht="108" customHeight="1">
      <c r="A12" s="23"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51" t="inlineStr">
        <is>
          <t>Nodal target lesion {lesion_id} has a baseline short axis of {value} mm. Please confirm the measurement; a node with short axis below 15 mm should be recorded as a non-target lesion (10 to &lt;15 mm) or not recorded (&lt;10 mm).</t>
        </is>
      </c>
      <c r="G12" s="12" t="inlineStr">
        <is>
          <t>This is one of the most frequent baseline errors. Verify that the recorded value is a short axis and not a longest diameter before concluding the selection was wrong.</t>
        </is>
      </c>
      <c r="H12" s="33" t="n"/>
      <c r="I12" s="33" t="n"/>
      <c r="J12" s="34" t="n"/>
    </row>
    <row r="13" ht="108" customHeight="1">
      <c r="A13" s="25"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51" t="inlineStr">
        <is>
          <t>Node {lesion_id} has a baseline short axis of {value} mm, below the 10 mm pathological threshold. Please confirm whether this node should be recorded as disease; if not, please remove it from the assessment.</t>
        </is>
      </c>
      <c r="G13" s="22" t="inlineStr">
        <is>
          <t>Where a node is clinically relevant despite being below threshold (for example biopsy-proven involvement), the site should document the rationale; consider accepting with a comment rather than a data change.</t>
        </is>
      </c>
      <c r="H13" s="33" t="n"/>
      <c r="I13" s="33" t="n"/>
      <c r="J13" s="34" t="n"/>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1"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33" t="n"/>
      <c r="I14" s="33" t="n"/>
      <c r="J14" s="34" t="n"/>
    </row>
    <row r="15" ht="108" customHeight="1">
      <c r="A15" s="25"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51" t="inlineStr">
        <is>
          <t>Target lesion {lesion_id} is described as "{location_detail}". This appears to represent non-measurable disease under RECIST. Please confirm the lesion selection and, if appropriate, re-classify it as a non-target lesion.</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33" t="n"/>
      <c r="I15" s="33" t="n"/>
      <c r="J15" s="34" t="n"/>
    </row>
    <row r="16" ht="108" customHeight="1">
      <c r="A16" s="23"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51" t="inlineStr">
        <is>
          <t>Target lesion {lesion_id} is located within a prior radiotherapy field. Please confirm whether progression of this lesion has been documented since radiotherapy; if not, the lesion should be recorded as non-target.</t>
        </is>
      </c>
      <c r="G16" s="12" t="inlineStr">
        <is>
          <t>Also relevant for lesions treated with ablation, embolisation or surgery during the study — see TE-XD-004 for on-study local therapy.</t>
        </is>
      </c>
      <c r="H16" s="33" t="n"/>
      <c r="I16" s="33" t="n"/>
      <c r="J16" s="34" t="n"/>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1"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33" t="n"/>
      <c r="I17" s="33" t="n"/>
      <c r="J17" s="34" t="n"/>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1"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33" t="n"/>
      <c r="I18" s="33" t="n"/>
      <c r="J18" s="34" t="n"/>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1"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33" t="n"/>
      <c r="I19" s="33" t="n"/>
      <c r="J19" s="34" t="n"/>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1"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33" t="n"/>
      <c r="I20" s="33" t="n"/>
      <c r="J20" s="34" t="n"/>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1"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33" t="n"/>
      <c r="I21" s="33" t="n"/>
      <c r="J21" s="34" t="n"/>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1"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33" t="n"/>
      <c r="I22" s="33" t="n"/>
      <c r="J22" s="34" t="n"/>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1"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33" t="n"/>
      <c r="I23" s="33" t="n"/>
      <c r="J23" s="34" t="n"/>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1"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33" t="n"/>
      <c r="I24" s="33" t="n"/>
      <c r="J24" s="34" t="n"/>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1"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33" t="n"/>
      <c r="I25" s="33" t="n"/>
      <c r="J25" s="34" t="n"/>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1"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33" t="n"/>
      <c r="I26" s="33" t="n"/>
      <c r="J26" s="34" t="n"/>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1"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33" t="n"/>
      <c r="I27" s="33" t="n"/>
      <c r="J27" s="34" t="n"/>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1"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33" t="n"/>
      <c r="I28" s="33" t="n"/>
      <c r="J28" s="34" t="n"/>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1"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33" t="n"/>
      <c r="I29" s="33" t="n"/>
      <c r="J29" s="34" t="n"/>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1"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33" t="n"/>
      <c r="I30" s="33" t="n"/>
      <c r="J30" s="34" t="n"/>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1"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33" t="n"/>
      <c r="I31" s="33" t="n"/>
      <c r="J31" s="34" t="n"/>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1"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33" t="n"/>
      <c r="I32" s="33" t="n"/>
      <c r="J32" s="34" t="n"/>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1"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33" t="n"/>
      <c r="I33" s="33" t="n"/>
      <c r="J33" s="34" t="n"/>
    </row>
    <row r="34" ht="108" customHeight="1">
      <c r="A34" s="23"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51" t="inlineStr">
        <is>
          <t>Nodal target lesion {lesion_id} is recorded as {state_or_zero} at {visit}. Lymph nodes should continue to be measured in short axis at every visit, including when they normalise. Please enter the measured short axis.</t>
        </is>
      </c>
      <c r="G34" s="12" t="inlineStr">
        <is>
          <t>This is the single most common nodal error and it usually reflects a well-intentioned attempt to make the arithmetic produce a complete response. Explain the rule to the site rather than only requesting the correction.</t>
        </is>
      </c>
      <c r="H34" s="33" t="n"/>
      <c r="I34" s="33" t="n"/>
      <c r="J34" s="34" t="n"/>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1"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33" t="n"/>
      <c r="I35" s="33" t="n"/>
      <c r="J35" s="34" t="n"/>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1"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33" t="n"/>
      <c r="I36" s="33" t="n"/>
      <c r="J36" s="34" t="n"/>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1"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33" t="n"/>
      <c r="I37" s="33" t="n"/>
      <c r="J37" s="34" t="n"/>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1"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33" t="n"/>
      <c r="I38" s="33" t="n"/>
      <c r="J38" s="34" t="n"/>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1"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33" t="n"/>
      <c r="I39" s="33" t="n"/>
      <c r="J39" s="34" t="n"/>
    </row>
    <row r="40" ht="108" customHeight="1">
      <c r="A40" s="23"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51"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G40" s="12" t="inlineStr">
        <is>
          <t>Before querying the response, confirm the measurements themselves: a response mismatch is frequently a symptom of a measurement or sum error already flagged for this subject. Check the linked findings for this subject first.</t>
        </is>
      </c>
      <c r="H40" s="33" t="n"/>
      <c r="I40" s="33" t="n"/>
      <c r="J40" s="34" t="n"/>
    </row>
    <row r="41" ht="108" customHeight="1">
      <c r="A41" s="25"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51"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33" t="n"/>
      <c r="I41" s="33" t="n"/>
      <c r="J41" s="34" t="n"/>
    </row>
    <row r="42" ht="108" customHeight="1">
      <c r="A42" s="23"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51" t="inlineStr">
        <is>
          <t>At {visit} the sum of diameters is {sum} mm compared with a nadir of {nadir_sum} mm at {nadir_visit}, a {pct_nadir}% increase of {abs_nadir} mm, which meets the RECIST criteria for progression. The recorded response is {reported}. Please review the response assessment.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33" t="n"/>
      <c r="I42" s="33" t="n"/>
      <c r="J42" s="34" t="n"/>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1"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33" t="n"/>
      <c r="I43" s="33" t="n"/>
      <c r="J43" s="34" t="n"/>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1"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33" t="n"/>
      <c r="I44" s="33" t="n"/>
      <c r="J44" s="34" t="n"/>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1"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33" t="n"/>
      <c r="I45" s="33" t="n"/>
      <c r="J45" s="34" t="n"/>
    </row>
    <row r="46" ht="108" customHeight="1">
      <c r="A46" s="23"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51"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33" t="n"/>
      <c r="I46" s="33" t="n"/>
      <c r="J46" s="34" t="n"/>
    </row>
    <row r="47" ht="108" customHeight="1">
      <c r="A47" s="25"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51" t="inlineStr">
        <is>
          <t>The overall response recorded at {visit} is {reported_overall}. Based on the recorded components — target lesion response {target}, non-target response {non_target}, new lesions {new_lesion} — the overall response should be {derived_overall}. Please review.</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33" t="n"/>
      <c r="I47" s="33" t="n"/>
      <c r="J47" s="34" t="n"/>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1"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33" t="n"/>
      <c r="I48" s="33" t="n"/>
      <c r="J48" s="34" t="n"/>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1"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33" t="n"/>
      <c r="I49" s="33" t="n"/>
      <c r="J49" s="34" t="n"/>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1"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33" t="n"/>
      <c r="I50" s="33" t="n"/>
      <c r="J50" s="34" t="n"/>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1"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33" t="n"/>
      <c r="I51" s="33" t="n"/>
      <c r="J51" s="34" t="n"/>
    </row>
    <row r="52" ht="108" customHeight="1">
      <c r="A52" s="23"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51" t="inlineStr">
        <is>
          <t>Lesion {lesion_id} was equivocal at {first_visit} and confirmed at {confirm_visit}. Please confirm the date of progression; per RECIST the progression date should be the date of the initial observation ({first_date}).</t>
        </is>
      </c>
      <c r="G52" s="12" t="inlineStr">
        <is>
          <t>Under iRECIST the handling differs — the iUPD and iCPD dates are both retained and the analysis convention is protocol-specific. Check which criteria govern before applying this rule.</t>
        </is>
      </c>
      <c r="H52" s="33" t="n"/>
      <c r="I52" s="33" t="n"/>
      <c r="J52" s="34" t="n"/>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1"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33" t="n"/>
      <c r="I53" s="33" t="n"/>
      <c r="J53" s="34" t="n"/>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1"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33" t="n"/>
      <c r="I54" s="33" t="n"/>
      <c r="J54" s="34" t="n"/>
    </row>
    <row r="55" ht="108" customHeight="1">
      <c r="A55" s="25"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51"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G55" s="22" t="inlineStr">
        <is>
          <t>Check first whether target lesions were in fact selected but failed to load — a missing target lesion record produces this finding spuriously. Look for a companion structural finding on this subject.</t>
        </is>
      </c>
      <c r="H55" s="33" t="n"/>
      <c r="I55" s="33" t="n"/>
      <c r="J55" s="34" t="n"/>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1"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33" t="n"/>
      <c r="I56" s="33" t="n"/>
      <c r="J56" s="34" t="n"/>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1"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33" t="n"/>
      <c r="I57" s="33" t="n"/>
      <c r="J57" s="34" t="n"/>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1"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33" t="n"/>
      <c r="I58" s="33" t="n"/>
      <c r="J58" s="34" t="n"/>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1"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33" t="n"/>
      <c r="I59" s="33" t="n"/>
      <c r="J59" s="34" t="n"/>
    </row>
    <row r="60" ht="108" customHeight="1">
      <c r="A60" s="23"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51"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33" t="n"/>
      <c r="I60" s="33" t="n"/>
      <c r="J60" s="34" t="n"/>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1"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33" t="n"/>
      <c r="I61" s="33" t="n"/>
      <c r="J61" s="34" t="n"/>
    </row>
    <row r="62" ht="108" customHeight="1">
      <c r="A62" s="23"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51" t="inlineStr">
        <is>
          <t>Confirmed progression is recorded at {visit}. The unconfirmed progression at {iupd_visit} was driven by {driver}, and the current assessment shows {confirmation_evidence}. Please review the confirmation of progression against the iRECIST criteria.</t>
        </is>
      </c>
      <c r="G62" s="12" t="inlineStr">
        <is>
          <t>Note the reference point: confirmation compares against the unconfirmed progression timepoint, not against the nadir. This differs from RECIST 1.1 and is a frequent source of confusion.</t>
        </is>
      </c>
      <c r="H62" s="33" t="n"/>
      <c r="I62" s="33" t="n"/>
      <c r="J62" s="34" t="n"/>
    </row>
    <row r="63" ht="108" customHeight="1">
      <c r="A63" s="25"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51" t="inlineStr">
        <is>
          <t>The sum of diameters at {visit} appears to include the measurements of new lesions. Under iRECIST new lesions are recorded and summed separately from the baseline target lesions. Please review the sum of diameters and the new lesion records.</t>
        </is>
      </c>
      <c r="G63" s="22" t="inlineStr">
        <is>
          <t>Confirm the eCRF design supports separate new lesion recording; where it does not, this is a study set-up issue affecting every iRECIST subject rather than a site error.</t>
        </is>
      </c>
      <c r="H63" s="33" t="n"/>
      <c r="I63" s="33" t="n"/>
      <c r="J63" s="34" t="n"/>
    </row>
    <row r="64" ht="108" customHeight="1">
      <c r="A64" s="23"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51"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G64" s="12" t="inlineStr">
        <is>
          <t>Multiple episodes of unconfirmed progression are permitted and are not an error. What is not permitted is treating the unconfirmed progression sum as the new reference.</t>
        </is>
      </c>
      <c r="H64" s="33" t="n"/>
      <c r="I64" s="33" t="n"/>
      <c r="J64" s="34" t="n"/>
    </row>
    <row r="65" ht="108" customHeight="1">
      <c r="A65" s="25"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51" t="inlineStr">
        <is>
          <t>{n} new measurable lesions are recorded for this subject. iRECIST permits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33" t="n"/>
      <c r="I65" s="33" t="n"/>
      <c r="J65" s="34" t="n"/>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1"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33" t="n"/>
      <c r="I66" s="33" t="n"/>
      <c r="J66" s="34" t="n"/>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1"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33" t="n"/>
      <c r="I67" s="33" t="n"/>
      <c r="J67" s="34" t="n"/>
    </row>
    <row r="68" ht="108" customHeight="1">
      <c r="A68" s="23"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51" t="inlineStr">
        <is>
          <t>The RECIST 1.1 and iRECIST responses recorded at {visit} are {r11_response} and {reported_irecist}. Based on the response history the iRECIST response would be expected to be {expected_irecist}. Please review.</t>
        </is>
      </c>
      <c r="G68" s="12" t="inlineStr">
        <is>
          <t>Where the two fields are on separate forms completed by different people, expect systematic divergence at a site; treat that as a training signal rather than a per-record query.</t>
        </is>
      </c>
      <c r="H68" s="33" t="n"/>
      <c r="I68" s="33" t="n"/>
      <c r="J68" s="34" t="n"/>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1"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33" t="n"/>
      <c r="I69" s="33" t="n"/>
      <c r="J69" s="34" t="n"/>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1"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33" t="n"/>
      <c r="I70" s="33" t="n"/>
      <c r="J70" s="34" t="n"/>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1"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33" t="n"/>
      <c r="I71" s="33" t="n"/>
      <c r="J71" s="34" t="n"/>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1"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33" t="n"/>
      <c r="I72" s="33" t="n"/>
      <c r="J72" s="34" t="n"/>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1"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33" t="n"/>
      <c r="I73" s="33" t="n"/>
      <c r="J73" s="34" t="n"/>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1"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33" t="n"/>
      <c r="I74" s="33" t="n"/>
      <c r="J74" s="34" t="n"/>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1" t="inlineStr">
        <is>
          <t>The date of death ({death_date}) precedes {conflicting_record} ({conflict_date}). Please verify both dates.</t>
        </is>
      </c>
      <c r="G75" s="22" t="inlineStr">
        <is>
          <t>Partial dates are a frequent cause; check whether an imputed date is being compared against a complete one.</t>
        </is>
      </c>
      <c r="H75" s="33" t="n"/>
      <c r="I75" s="33" t="n"/>
      <c r="J75" s="34" t="n"/>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1"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33" t="n"/>
      <c r="I76" s="33" t="n"/>
      <c r="J76" s="34" t="n"/>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1"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33" t="n"/>
      <c r="I77" s="33" t="n"/>
      <c r="J77" s="34" t="n"/>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1"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33" t="n"/>
      <c r="I78" s="33" t="n"/>
      <c r="J78" s="34" t="n"/>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1"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33" t="n"/>
      <c r="I79" s="33" t="n"/>
      <c r="J79" s="34" t="n"/>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1"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33" t="n"/>
      <c r="I80" s="33" t="n"/>
      <c r="J80" s="34" t="n"/>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1"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33" t="n"/>
      <c r="I81" s="33" t="n"/>
      <c r="J81" s="34" t="n"/>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1" t="inlineStr">
        <is>
          <t>Not applicable: no new query is required.</t>
        </is>
      </c>
      <c r="G82" s="12" t="inlineStr">
        <is>
          <t>If the outstanding query is materially different in scope from this finding, disposition the finding as NEW manually and issue a distinct query.</t>
        </is>
      </c>
      <c r="H82" s="33" t="n"/>
      <c r="I82" s="33" t="n"/>
      <c r="J82" s="34" t="n"/>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1"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33" t="n"/>
      <c r="I83" s="33" t="n"/>
      <c r="J83" s="34" t="n"/>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1"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33" t="n"/>
      <c r="I84" s="33" t="n"/>
      <c r="J84" s="34" t="n"/>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1" t="inlineStr">
        <is>
          <t>Not applicable: this finding is for the study team's query management rather than a new site query.</t>
        </is>
      </c>
      <c r="G85" s="22" t="inlineStr">
        <is>
          <t>Escalate through the monitoring team rather than by reissuing the query.</t>
        </is>
      </c>
      <c r="H85" s="33" t="n"/>
      <c r="I85" s="33" t="n"/>
      <c r="J85" s="34" t="n"/>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1"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33" t="n"/>
      <c r="I86" s="33" t="n"/>
      <c r="J86" s="34" t="n"/>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1"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33" t="n"/>
      <c r="I87" s="33" t="n"/>
      <c r="J87" s="34" t="n"/>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1"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33" t="n"/>
      <c r="I88" s="33" t="n"/>
      <c r="J88" s="34" t="n"/>
    </row>
  </sheetData>
  <autoFilter ref="A3:J88"/>
  <mergeCells count="2">
    <mergeCell ref="A1:J1"/>
    <mergeCell ref="A2:J2"/>
  </mergeCells>
  <dataValidations count="1">
    <dataValidation sqref="H4:H88"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52" t="n"/>
      <c r="C4" s="52" t="n"/>
      <c r="D4" s="52"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52" t="n"/>
      <c r="C4" s="52" t="n"/>
      <c r="D4" s="52"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52" t="n"/>
      <c r="C4" s="52" t="n"/>
      <c r="D4" s="52"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52" t="n"/>
      <c r="C7" s="52" t="n"/>
      <c r="D7" s="52" t="n"/>
    </row>
  </sheetData>
  <mergeCells count="3">
    <mergeCell ref="A1:D1"/>
    <mergeCell ref="A7:D7"/>
    <mergeCell ref="A4:D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53" t="inlineStr">
        <is>
          <t>study_id</t>
        </is>
      </c>
      <c r="C4" s="24" t="inlineStr">
        <is>
          <t>string</t>
        </is>
      </c>
      <c r="D4" s="24" t="inlineStr">
        <is>
          <t>yes</t>
        </is>
      </c>
      <c r="E4" s="12" t="inlineStr"/>
    </row>
    <row r="5">
      <c r="A5" s="20" t="inlineStr">
        <is>
          <t>study</t>
        </is>
      </c>
      <c r="B5" s="54" t="inlineStr">
        <is>
          <t>indication</t>
        </is>
      </c>
      <c r="C5" s="26" t="inlineStr">
        <is>
          <t>string</t>
        </is>
      </c>
      <c r="D5" s="26" t="inlineStr">
        <is>
          <t>no</t>
        </is>
      </c>
      <c r="E5" s="22" t="inlineStr">
        <is>
          <t>NSCLC or BREAST for release 1</t>
        </is>
      </c>
    </row>
    <row r="6">
      <c r="A6" s="18" t="inlineStr">
        <is>
          <t>study</t>
        </is>
      </c>
      <c r="B6" s="53" t="inlineStr">
        <is>
          <t>guideline_version</t>
        </is>
      </c>
      <c r="C6" s="24" t="inlineStr">
        <is>
          <t>enum</t>
        </is>
      </c>
      <c r="D6" s="24" t="inlineStr">
        <is>
          <t>yes</t>
        </is>
      </c>
      <c r="E6" s="12" t="inlineStr">
        <is>
          <t>RECIST_1_1 | RECIST_1_1_PLUS_iRECIST</t>
        </is>
      </c>
    </row>
    <row r="7">
      <c r="A7" s="20" t="inlineStr">
        <is>
          <t>protocol_config</t>
        </is>
      </c>
      <c r="B7" s="54" t="inlineStr">
        <is>
          <t>(28 parameters)</t>
        </is>
      </c>
      <c r="C7" s="26" t="inlineStr">
        <is>
          <t>object</t>
        </is>
      </c>
      <c r="D7" s="26" t="inlineStr">
        <is>
          <t>yes</t>
        </is>
      </c>
      <c r="E7" s="22" t="inlineStr">
        <is>
          <t>Confirmed at AC-11 intake; see Guideline_Profiles for defaults</t>
        </is>
      </c>
    </row>
    <row r="8">
      <c r="A8" s="18" t="inlineStr">
        <is>
          <t>subjects</t>
        </is>
      </c>
      <c r="B8" s="53" t="inlineStr">
        <is>
          <t>subject_id, site_id, first_dose_date, discontinuation_date, death_date, has_measurable_disease_at_baseline</t>
        </is>
      </c>
      <c r="C8" s="24" t="inlineStr">
        <is>
          <t>object[]</t>
        </is>
      </c>
      <c r="D8" s="24" t="inlineStr">
        <is>
          <t>yes</t>
        </is>
      </c>
      <c r="E8" s="12" t="inlineStr"/>
    </row>
    <row r="9">
      <c r="A9" s="20" t="inlineStr">
        <is>
          <t>lesions</t>
        </is>
      </c>
      <c r="B9" s="54"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53" t="inlineStr">
        <is>
          <t>assessment_id, visit_name, visit_number, assessment_date, scan_dates, is_baseline, evaluator</t>
        </is>
      </c>
      <c r="C10" s="24" t="inlineStr">
        <is>
          <t>object[]</t>
        </is>
      </c>
      <c r="D10" s="24" t="inlineStr">
        <is>
          <t>yes</t>
        </is>
      </c>
      <c r="E10" s="12" t="inlineStr"/>
    </row>
    <row r="11">
      <c r="A11" s="20" t="inlineStr">
        <is>
          <t>measurements</t>
        </is>
      </c>
      <c r="B11" s="54"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53"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54"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53"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54"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53"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54" t="inlineStr">
        <is>
          <t>{supports_unequivocal, magnitude_comment, confidence, rationale}</t>
        </is>
      </c>
    </row>
    <row r="7">
      <c r="A7" s="23" t="inlineStr">
        <is>
          <t>P-MATCH-QUERY</t>
        </is>
      </c>
      <c r="B7" s="24" t="inlineStr">
        <is>
          <t>match</t>
        </is>
      </c>
      <c r="C7" s="12" t="inlineStr">
        <is>
          <t>Candidate finding summary; historical queries for the subject</t>
        </is>
      </c>
      <c r="D7" s="53" t="inlineStr">
        <is>
          <t>{matches:[{query_id, relation, confidence}]}</t>
        </is>
      </c>
    </row>
    <row r="8">
      <c r="A8" s="25" t="inlineStr">
        <is>
          <t>P-ASSESS-ANSWER</t>
        </is>
      </c>
      <c r="B8" s="26" t="inlineStr">
        <is>
          <t>assess</t>
        </is>
      </c>
      <c r="C8" s="22" t="inlineStr">
        <is>
          <t>Query text, answer text, current values of the queried fields  (NEW at review)</t>
        </is>
      </c>
      <c r="D8" s="54"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53" t="inlineStr">
        <is>
          <t>{five narrative fields}</t>
        </is>
      </c>
    </row>
    <row r="10">
      <c r="A10" s="25" t="inlineStr">
        <is>
          <t>P-INTAKE-PROTOCOL</t>
        </is>
      </c>
      <c r="B10" s="26" t="inlineStr">
        <is>
          <t>summarise</t>
        </is>
      </c>
      <c r="C10" s="22" t="inlineStr">
        <is>
          <t>Protocol and imaging charter text  (NEW at review, AC-11)</t>
        </is>
      </c>
      <c r="D10" s="54"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Subject identifiers pseudonymised and free text scrubbed before any external call, per the study egress policy. The mapping stays inside the trust boundary.</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29"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52" t="n"/>
      <c r="C23" s="52" t="n"/>
      <c r="D23" s="52" t="n"/>
    </row>
  </sheetData>
  <mergeCells count="2">
    <mergeCell ref="A1:D1"/>
    <mergeCell ref="A23:D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6"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6" t="inlineStr">
        <is>
          <t>Step 6</t>
        </is>
      </c>
    </row>
  </sheetData>
  <mergeCells count="1">
    <mergeCell ref="A1: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96" customWidth="1" min="2" max="2"/>
    <col width="12" customWidth="1" min="3" max="3"/>
    <col width="12" customWidth="1" min="4" max="4"/>
    <col width="14" customWidth="1" min="5" max="5"/>
  </cols>
  <sheetData>
    <row r="1" ht="26" customHeight="1">
      <c r="A1" s="8" t="inlineStr">
        <is>
          <t>Open specification questions</t>
        </is>
      </c>
    </row>
    <row r="2" ht="26" customHeight="1">
      <c r="A2" s="9" t="inlineStr">
        <is>
          <t>For decision at the Step 2 gate.</t>
        </is>
      </c>
    </row>
    <row r="3" ht="30" customHeight="1">
      <c r="A3" s="10" t="inlineStr">
        <is>
          <t>ID</t>
        </is>
      </c>
      <c r="B3" s="10" t="inlineStr">
        <is>
          <t>Question</t>
        </is>
      </c>
      <c r="C3" s="10" t="inlineStr">
        <is>
          <t>Impact</t>
        </is>
      </c>
      <c r="D3" s="10" t="inlineStr">
        <is>
          <t>Decision</t>
        </is>
      </c>
      <c r="E3" s="10" t="inlineStr">
        <is>
          <t>Reviewer</t>
        </is>
      </c>
    </row>
    <row r="4">
      <c r="A4" s="23" t="inlineStr">
        <is>
          <t>SQ-01</t>
        </is>
      </c>
      <c r="B4" s="12" t="inlineStr">
        <is>
          <t>Confirm the severity assigned to each of the 84 rules against sponsor conventions. Severity drives prioritisation and the database-lock criteria.</t>
        </is>
      </c>
      <c r="C4" s="38" t="inlineStr">
        <is>
          <t>High</t>
        </is>
      </c>
      <c r="D4" s="33" t="n"/>
      <c r="E4" s="34" t="n"/>
    </row>
    <row r="5">
      <c r="A5" s="25" t="inlineStr">
        <is>
          <t>SQ-02</t>
        </is>
      </c>
      <c r="B5" s="22" t="inlineStr">
        <is>
          <t>Confirm the confidence base rate proposed for each rule (Open Item OI-02). These drive triage for every finding the agent produces.</t>
        </is>
      </c>
      <c r="C5" s="55" t="inlineStr">
        <is>
          <t>High</t>
        </is>
      </c>
      <c r="D5" s="33" t="n"/>
      <c r="E5" s="34" t="n"/>
    </row>
    <row r="6">
      <c r="A6" s="23" t="inlineStr">
        <is>
          <t>SQ-03</t>
        </is>
      </c>
      <c r="B6" s="12" t="inlineStr">
        <is>
          <t>Confirm the interpretation decisions ID-01 to ID-08, particularly the too-small-to-measure convention and the treatment of reappearing lesions.</t>
        </is>
      </c>
      <c r="C6" s="38" t="inlineStr">
        <is>
          <t>High</t>
        </is>
      </c>
      <c r="D6" s="33" t="n"/>
      <c r="E6" s="34" t="n"/>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33" t="n"/>
      <c r="E7" s="34" t="n"/>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33" t="n"/>
      <c r="E8" s="34" t="n"/>
    </row>
    <row r="9">
      <c r="A9" s="25" t="inlineStr">
        <is>
          <t>SQ-06</t>
        </is>
      </c>
      <c r="B9" s="22" t="inlineStr">
        <is>
          <t>Confirm tolerances: sum tolerance in mm, percentage tolerance, date tolerance for BICR comparison.</t>
        </is>
      </c>
      <c r="C9" s="27" t="inlineStr">
        <is>
          <t>Medium</t>
        </is>
      </c>
      <c r="D9" s="33" t="n"/>
      <c r="E9" s="34" t="n"/>
    </row>
    <row r="10">
      <c r="A10" s="23" t="inlineStr">
        <is>
          <t>SQ-07</t>
        </is>
      </c>
      <c r="B10" s="12" t="inlineStr">
        <is>
          <t>Confirm whether STUDY_TEAM findings (TE-RS-020, TE-IR-010, TE-XD-012, TE-QM-004) should be a separate class in the UI, since they are never issued as site queries.</t>
        </is>
      </c>
      <c r="C10" s="31" t="inlineStr">
        <is>
          <t>Medium</t>
        </is>
      </c>
      <c r="D10" s="33" t="n"/>
      <c r="E10" s="34" t="n"/>
    </row>
    <row r="11">
      <c r="A11" s="25" t="inlineStr">
        <is>
          <t>SQ-08</t>
        </is>
      </c>
      <c r="B11" s="22" t="inlineStr">
        <is>
          <t>Confirm whether the Veeva CRF collects a sum of diameters at all. If it is derived only, TE-BL-011 and TE-FU-001 do not apply and weight shifts onto TE-RS-001.</t>
        </is>
      </c>
      <c r="C11" s="55" t="inlineStr">
        <is>
          <t>High</t>
        </is>
      </c>
      <c r="D11" s="33" t="n"/>
      <c r="E11" s="34" t="n"/>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33" t="n"/>
      <c r="E12" s="34" t="n"/>
    </row>
  </sheetData>
  <mergeCells count="2">
    <mergeCell ref="A2:E2"/>
    <mergeCell ref="A1:E1"/>
  </mergeCells>
  <dataValidations count="1">
    <dataValidation sqref="D4:D12" showDropDown="0" showInputMessage="0" showErrorMessage="0" allowBlank="1" type="list">
      <formula1>"Accept,Amend,Reject,Discuss"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56" customWidth="1" min="3" max="3"/>
    <col width="78" customWidth="1" min="4" max="4"/>
    <col width="12" customWidth="1" min="5" max="5"/>
  </cols>
  <sheetData>
    <row r="1" ht="26" customHeight="1">
      <c r="A1" s="8" t="inlineStr">
        <is>
          <t>Step 2 review — round 1 disposition</t>
        </is>
      </c>
    </row>
    <row r="2" ht="26" customHeight="1">
      <c r="A2" s="9" t="inlineStr">
        <is>
          <t>Daniel, 2026-08-19. 85 rules and 8 interpretation decisions dispositioned. Everything raised is resolved below; nothing is left pending a later conversation.</t>
        </is>
      </c>
    </row>
    <row r="3" ht="30" customHeight="1">
      <c r="A3" s="10" t="inlineStr">
        <is>
          <t>Item</t>
        </is>
      </c>
      <c r="B3" s="10" t="inlineStr">
        <is>
          <t>Decision</t>
        </is>
      </c>
      <c r="C3" s="10" t="inlineStr">
        <is>
          <t>Raised</t>
        </is>
      </c>
      <c r="D3" s="10" t="inlineStr">
        <is>
          <t>Resolution</t>
        </is>
      </c>
      <c r="E3" s="10" t="inlineStr">
        <is>
          <t>Outcome</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Round 1 summary</t>
        </is>
      </c>
    </row>
    <row r="24" ht="44" customHeight="1">
      <c r="A24" s="30" t="inlineStr">
        <is>
          <t>Rules</t>
        </is>
      </c>
      <c r="B24" s="7" t="inlineStr">
        <is>
          <t>85 dispositioned — 70 Accept, 14 Discuss, 1 Reject. 12 rules amended, 2 retired, 1 unchanged with rationale added.</t>
        </is>
      </c>
    </row>
    <row r="25" ht="44" customHeight="1">
      <c r="A25" s="30" t="inlineStr">
        <is>
          <t>Interpretations</t>
        </is>
      </c>
      <c r="B25" s="7" t="inlineStr">
        <is>
          <t>8 dispositioned — 6 Accept, 1 Discuss (ID-05, expanded), 1 Amend (ID-06, applied).</t>
        </is>
      </c>
    </row>
    <row r="26" ht="44" customHeight="1">
      <c r="A26" s="30" t="inlineStr">
        <is>
          <t>Raised proactively</t>
        </is>
      </c>
      <c r="B26" s="7" t="inlineStr">
        <is>
          <t>TE-FU-001 was accepted at round 1 but carries the identical CRF dependency as TE-BL-011, so it was amended alongside it. Applying the guard at baseline but not at follow-up would be incoherent.</t>
        </is>
      </c>
    </row>
    <row r="27" ht="44" customHeight="1">
      <c r="A27" s="30" t="inlineStr">
        <is>
          <t>Answered</t>
        </is>
      </c>
      <c r="B27" s="7" t="inlineStr">
        <is>
          <t>SQ-08 is settled by the TE-BL-011 decision: the sum check is CONDITIONAL on the sum being site-entered, determined from the CRF specification at intake.</t>
        </is>
      </c>
    </row>
    <row r="28" ht="44" customHeight="1">
      <c r="A28" s="30" t="inlineStr">
        <is>
          <t>Still open</t>
        </is>
      </c>
      <c r="B28" s="7" t="inlineStr">
        <is>
          <t>SQ-01 to SQ-07 and SQ-09 remain for the Step 2 gate. Rule_Messages has not been reviewed yet — that is the round-2 surface alongside the 14 amended rules.</t>
        </is>
      </c>
    </row>
  </sheetData>
  <mergeCells count="7">
    <mergeCell ref="B26:E26"/>
    <mergeCell ref="B27:E27"/>
    <mergeCell ref="A2:E2"/>
    <mergeCell ref="A1:E1"/>
    <mergeCell ref="B25:E25"/>
    <mergeCell ref="B24:E24"/>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2026-08-19T15:58:10Z</dcterms:created>
  <dcterms:modified xsi:type="dcterms:W3CDTF">2026-08-19T15:58:10Z</dcterms:modified>
</cp:coreProperties>
</file>