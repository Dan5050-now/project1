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v2.43</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2.43</t>
        </is>
      </c>
      <c r="B22" s="17" t="inlineStr">
        <is>
          <t>2026-09-04</t>
        </is>
      </c>
      <c r="C22" s="17" t="inlineStr">
        <is>
          <t>Claude Code</t>
        </is>
      </c>
      <c r="D22" s="17" t="inlineStr">
        <is>
          <t>Pending</t>
        </is>
      </c>
      <c r="E22" s="18"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2" s="17" t="inlineStr">
        <is>
          <t>Issued for review</t>
        </is>
      </c>
    </row>
    <row r="23">
      <c r="A23" s="8" t="inlineStr">
        <is>
          <t>2.42</t>
        </is>
      </c>
      <c r="B23" s="8" t="inlineStr">
        <is>
          <t>2026-09-04</t>
        </is>
      </c>
      <c r="C23" s="8" t="inlineStr">
        <is>
          <t>Claude Code</t>
        </is>
      </c>
      <c r="D23" s="8" t="inlineStr">
        <is>
          <t>Pending</t>
        </is>
      </c>
      <c r="E23"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3" s="8" t="inlineStr">
        <is>
          <t>Superseded by v2.43</t>
        </is>
      </c>
    </row>
    <row r="24">
      <c r="A24" s="10" t="inlineStr">
        <is>
          <t>2.41</t>
        </is>
      </c>
      <c r="B24" s="10" t="inlineStr">
        <is>
          <t>2026-09-04</t>
        </is>
      </c>
      <c r="C24" s="10" t="inlineStr">
        <is>
          <t>Claude Code</t>
        </is>
      </c>
      <c r="D24" s="10" t="inlineStr">
        <is>
          <t>Pending</t>
        </is>
      </c>
      <c r="E24"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4" s="10" t="inlineStr">
        <is>
          <t>Issued for review</t>
        </is>
      </c>
    </row>
    <row r="25">
      <c r="A25" s="8" t="inlineStr">
        <is>
          <t>2.39</t>
        </is>
      </c>
      <c r="B25" s="8" t="inlineStr">
        <is>
          <t>2026-09-02</t>
        </is>
      </c>
      <c r="C25" s="8" t="inlineStr">
        <is>
          <t>Claude Code</t>
        </is>
      </c>
      <c r="D25" s="8" t="inlineStr">
        <is>
          <t>Pending</t>
        </is>
      </c>
      <c r="E25"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5" s="8" t="inlineStr">
        <is>
          <t>Issued for review</t>
        </is>
      </c>
    </row>
    <row r="26">
      <c r="A26" s="10" t="inlineStr">
        <is>
          <t>2.38</t>
        </is>
      </c>
      <c r="B26" s="10" t="inlineStr">
        <is>
          <t>2026-08-30</t>
        </is>
      </c>
      <c r="C26" s="10" t="inlineStr">
        <is>
          <t>Claude Code</t>
        </is>
      </c>
      <c r="D26" s="10" t="inlineStr">
        <is>
          <t>Pending</t>
        </is>
      </c>
      <c r="E26"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6" s="10" t="inlineStr">
        <is>
          <t>Issued for review</t>
        </is>
      </c>
    </row>
    <row r="27">
      <c r="A27" s="8" t="inlineStr">
        <is>
          <t>2.37</t>
        </is>
      </c>
      <c r="B27" s="8" t="inlineStr">
        <is>
          <t>2026-08-28</t>
        </is>
      </c>
      <c r="C27" s="8" t="inlineStr">
        <is>
          <t>Claude Code</t>
        </is>
      </c>
      <c r="D27" s="8" t="inlineStr">
        <is>
          <t>Pending</t>
        </is>
      </c>
      <c r="E27"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7" s="8" t="inlineStr">
        <is>
          <t>Issued for review</t>
        </is>
      </c>
    </row>
    <row r="28">
      <c r="A28" s="10" t="inlineStr">
        <is>
          <t>2.36</t>
        </is>
      </c>
      <c r="B28" s="10" t="inlineStr">
        <is>
          <t>2026-08-28</t>
        </is>
      </c>
      <c r="C28" s="10" t="inlineStr">
        <is>
          <t>Claude Code</t>
        </is>
      </c>
      <c r="D28" s="10" t="inlineStr">
        <is>
          <t>Pending</t>
        </is>
      </c>
      <c r="E28"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8" s="10" t="inlineStr">
        <is>
          <t>Issued for review</t>
        </is>
      </c>
    </row>
    <row r="29">
      <c r="A29" s="8" t="inlineStr">
        <is>
          <t>2.35</t>
        </is>
      </c>
      <c r="B29" s="8" t="inlineStr">
        <is>
          <t>2026-08-27</t>
        </is>
      </c>
      <c r="C29" s="8" t="inlineStr">
        <is>
          <t>Claude Code</t>
        </is>
      </c>
      <c r="D29" s="8" t="inlineStr">
        <is>
          <t>Pending</t>
        </is>
      </c>
      <c r="E29"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9" s="8" t="inlineStr">
        <is>
          <t>Issued for review</t>
        </is>
      </c>
    </row>
    <row r="30">
      <c r="A30" s="10" t="inlineStr">
        <is>
          <t>2.34</t>
        </is>
      </c>
      <c r="B30" s="10" t="inlineStr">
        <is>
          <t>2026-08-27</t>
        </is>
      </c>
      <c r="C30" s="10" t="inlineStr">
        <is>
          <t>Claude Code</t>
        </is>
      </c>
      <c r="D30" s="10" t="inlineStr">
        <is>
          <t>Pending</t>
        </is>
      </c>
      <c r="E30"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0" s="10" t="inlineStr">
        <is>
          <t>Issued for review</t>
        </is>
      </c>
    </row>
    <row r="31">
      <c r="A31" s="8" t="inlineStr">
        <is>
          <t>2.33</t>
        </is>
      </c>
      <c r="B31" s="8" t="inlineStr">
        <is>
          <t>2026-08-27</t>
        </is>
      </c>
      <c r="C31" s="8" t="inlineStr">
        <is>
          <t>Claude Code</t>
        </is>
      </c>
      <c r="D31" s="8" t="inlineStr">
        <is>
          <t>Pending</t>
        </is>
      </c>
      <c r="E31"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1" s="8" t="inlineStr">
        <is>
          <t>Issued for review</t>
        </is>
      </c>
    </row>
    <row r="32">
      <c r="A32" s="10" t="inlineStr">
        <is>
          <t>2.32</t>
        </is>
      </c>
      <c r="B32" s="10" t="inlineStr">
        <is>
          <t>2026-08-26</t>
        </is>
      </c>
      <c r="C32" s="10" t="inlineStr">
        <is>
          <t>Claude Code</t>
        </is>
      </c>
      <c r="D32" s="10" t="inlineStr">
        <is>
          <t>Pending</t>
        </is>
      </c>
      <c r="E32"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2" s="10" t="inlineStr">
        <is>
          <t>Issued for review</t>
        </is>
      </c>
    </row>
    <row r="33">
      <c r="A33" s="8" t="inlineStr">
        <is>
          <t>2.31</t>
        </is>
      </c>
      <c r="B33" s="8" t="inlineStr">
        <is>
          <t>2026-08-26</t>
        </is>
      </c>
      <c r="C33" s="8" t="inlineStr">
        <is>
          <t>Claude Code</t>
        </is>
      </c>
      <c r="D33" s="8" t="inlineStr">
        <is>
          <t>Pending</t>
        </is>
      </c>
      <c r="E33"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3" s="8" t="inlineStr">
        <is>
          <t>Issued for review</t>
        </is>
      </c>
    </row>
    <row r="34">
      <c r="A34" s="10" t="inlineStr">
        <is>
          <t>2.30</t>
        </is>
      </c>
      <c r="B34" s="10" t="inlineStr">
        <is>
          <t>2026-08-25</t>
        </is>
      </c>
      <c r="C34" s="10" t="inlineStr">
        <is>
          <t>Claude Code</t>
        </is>
      </c>
      <c r="D34" s="10" t="inlineStr">
        <is>
          <t>Pending</t>
        </is>
      </c>
      <c r="E34"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4" s="10" t="inlineStr">
        <is>
          <t>Issued for review</t>
        </is>
      </c>
    </row>
    <row r="35">
      <c r="A35" s="8" t="inlineStr">
        <is>
          <t>2.29</t>
        </is>
      </c>
      <c r="B35" s="8" t="inlineStr">
        <is>
          <t>2026-08-25</t>
        </is>
      </c>
      <c r="C35" s="8" t="inlineStr">
        <is>
          <t>Claude Code</t>
        </is>
      </c>
      <c r="D35" s="8" t="inlineStr">
        <is>
          <t>Pending</t>
        </is>
      </c>
      <c r="E35"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5" s="8" t="inlineStr">
        <is>
          <t>Issued for review</t>
        </is>
      </c>
    </row>
    <row r="36">
      <c r="A36" s="10" t="inlineStr">
        <is>
          <t>2.28</t>
        </is>
      </c>
      <c r="B36" s="10" t="inlineStr">
        <is>
          <t>2026-08-22</t>
        </is>
      </c>
      <c r="C36" s="10" t="inlineStr">
        <is>
          <t>Claude Code</t>
        </is>
      </c>
      <c r="D36" s="10" t="inlineStr">
        <is>
          <t>Pending</t>
        </is>
      </c>
      <c r="E36"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6" s="10" t="inlineStr">
        <is>
          <t>Issued for review</t>
        </is>
      </c>
    </row>
    <row r="37">
      <c r="A37" s="8" t="inlineStr">
        <is>
          <t>2.27</t>
        </is>
      </c>
      <c r="B37" s="8" t="inlineStr">
        <is>
          <t>2026-08-20</t>
        </is>
      </c>
      <c r="C37" s="8" t="inlineStr">
        <is>
          <t>Claude Code</t>
        </is>
      </c>
      <c r="D37" s="8" t="inlineStr">
        <is>
          <t>Pending</t>
        </is>
      </c>
      <c r="E37"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7" s="8" t="inlineStr">
        <is>
          <t>Issued for review</t>
        </is>
      </c>
    </row>
    <row r="38">
      <c r="A38" s="10" t="inlineStr">
        <is>
          <t>2.26</t>
        </is>
      </c>
      <c r="B38" s="10" t="inlineStr">
        <is>
          <t>2026-07-31</t>
        </is>
      </c>
      <c r="C38" s="10" t="inlineStr">
        <is>
          <t>Claude Code</t>
        </is>
      </c>
      <c r="D38" s="10" t="inlineStr">
        <is>
          <t>Pending</t>
        </is>
      </c>
      <c r="E38"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8" s="10" t="inlineStr">
        <is>
          <t>Issued for review</t>
        </is>
      </c>
    </row>
    <row r="39">
      <c r="A39" s="8" t="inlineStr">
        <is>
          <t>2.25</t>
        </is>
      </c>
      <c r="B39" s="8" t="inlineStr">
        <is>
          <t>2026-07-31</t>
        </is>
      </c>
      <c r="C39" s="8" t="inlineStr">
        <is>
          <t>Claude Code</t>
        </is>
      </c>
      <c r="D39" s="8" t="inlineStr">
        <is>
          <t>Pending</t>
        </is>
      </c>
      <c r="E39"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9" s="8" t="inlineStr">
        <is>
          <t>Superseded by v2.26</t>
        </is>
      </c>
    </row>
    <row r="40">
      <c r="A40" s="10" t="inlineStr">
        <is>
          <t>2.24</t>
        </is>
      </c>
      <c r="B40" s="10" t="inlineStr">
        <is>
          <t>2026-07-31</t>
        </is>
      </c>
      <c r="C40" s="10" t="inlineStr">
        <is>
          <t>Claude Code</t>
        </is>
      </c>
      <c r="D40" s="10" t="inlineStr">
        <is>
          <t>Pending</t>
        </is>
      </c>
      <c r="E40"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0" s="10" t="inlineStr">
        <is>
          <t>Superseded by v2.25</t>
        </is>
      </c>
    </row>
    <row r="41">
      <c r="A41" s="8" t="inlineStr">
        <is>
          <t>2.23</t>
        </is>
      </c>
      <c r="B41" s="8" t="inlineStr">
        <is>
          <t>2026-07-31</t>
        </is>
      </c>
      <c r="C41" s="8" t="inlineStr">
        <is>
          <t>Claude Code</t>
        </is>
      </c>
      <c r="D41" s="8" t="inlineStr">
        <is>
          <t>Pending</t>
        </is>
      </c>
      <c r="E41"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1" s="8" t="inlineStr">
        <is>
          <t>Superseded by v2.24</t>
        </is>
      </c>
    </row>
    <row r="42">
      <c r="A42" s="10" t="inlineStr">
        <is>
          <t>2.22</t>
        </is>
      </c>
      <c r="B42" s="10" t="inlineStr">
        <is>
          <t>2026-07-31</t>
        </is>
      </c>
      <c r="C42" s="10" t="inlineStr">
        <is>
          <t>Claude Code</t>
        </is>
      </c>
      <c r="D42" s="10" t="inlineStr">
        <is>
          <t>Pending</t>
        </is>
      </c>
      <c r="E42"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2" s="10" t="inlineStr">
        <is>
          <t>Superseded by v2.23</t>
        </is>
      </c>
    </row>
    <row r="43">
      <c r="A43" s="8" t="inlineStr">
        <is>
          <t>2.21</t>
        </is>
      </c>
      <c r="B43" s="8" t="inlineStr">
        <is>
          <t>2026-07-31</t>
        </is>
      </c>
      <c r="C43" s="8" t="inlineStr">
        <is>
          <t>Claude Code</t>
        </is>
      </c>
      <c r="D43" s="8" t="inlineStr">
        <is>
          <t>Pending</t>
        </is>
      </c>
      <c r="E43"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3" s="8" t="inlineStr">
        <is>
          <t>Superseded by v2.22</t>
        </is>
      </c>
    </row>
    <row r="44">
      <c r="A44" s="10" t="inlineStr">
        <is>
          <t>2.20</t>
        </is>
      </c>
      <c r="B44" s="10" t="inlineStr">
        <is>
          <t>2026-07-31</t>
        </is>
      </c>
      <c r="C44" s="10" t="inlineStr">
        <is>
          <t>Claude Code</t>
        </is>
      </c>
      <c r="D44" s="10" t="inlineStr">
        <is>
          <t>Pending</t>
        </is>
      </c>
      <c r="E44"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4" s="10" t="inlineStr">
        <is>
          <t>Superseded by v2.21</t>
        </is>
      </c>
    </row>
    <row r="45">
      <c r="A45" s="8" t="inlineStr">
        <is>
          <t>2.19</t>
        </is>
      </c>
      <c r="B45" s="8" t="inlineStr">
        <is>
          <t>2026-07-31</t>
        </is>
      </c>
      <c r="C45" s="8" t="inlineStr">
        <is>
          <t>Claude Code</t>
        </is>
      </c>
      <c r="D45" s="8" t="inlineStr">
        <is>
          <t>Pending</t>
        </is>
      </c>
      <c r="E45"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5" s="8" t="inlineStr">
        <is>
          <t>Superseded by v2.20</t>
        </is>
      </c>
    </row>
    <row r="46">
      <c r="A46" s="10" t="inlineStr">
        <is>
          <t>2.18</t>
        </is>
      </c>
      <c r="B46" s="10" t="inlineStr">
        <is>
          <t>2026-07-31</t>
        </is>
      </c>
      <c r="C46" s="10" t="inlineStr">
        <is>
          <t>Claude Code</t>
        </is>
      </c>
      <c r="D46" s="10" t="inlineStr">
        <is>
          <t>Pending</t>
        </is>
      </c>
      <c r="E46"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6" s="10" t="inlineStr">
        <is>
          <t>Superseded by v2.19</t>
        </is>
      </c>
    </row>
    <row r="47">
      <c r="A47" s="8" t="inlineStr">
        <is>
          <t>2.17</t>
        </is>
      </c>
      <c r="B47" s="8" t="inlineStr">
        <is>
          <t>2026-07-31</t>
        </is>
      </c>
      <c r="C47" s="8" t="inlineStr">
        <is>
          <t>Claude Code</t>
        </is>
      </c>
      <c r="D47" s="8" t="inlineStr">
        <is>
          <t>Pending</t>
        </is>
      </c>
      <c r="E47"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7" s="8" t="inlineStr">
        <is>
          <t>Superseded by v2.18</t>
        </is>
      </c>
    </row>
    <row r="48">
      <c r="A48" s="10" t="inlineStr">
        <is>
          <t>2.16</t>
        </is>
      </c>
      <c r="B48" s="10" t="inlineStr">
        <is>
          <t>2026-07-31</t>
        </is>
      </c>
      <c r="C48" s="10" t="inlineStr">
        <is>
          <t>Claude Code</t>
        </is>
      </c>
      <c r="D48" s="10" t="inlineStr">
        <is>
          <t>Pending</t>
        </is>
      </c>
      <c r="E48"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8" s="10" t="inlineStr">
        <is>
          <t>Superseded by v2.17</t>
        </is>
      </c>
    </row>
    <row r="49">
      <c r="A49" s="8" t="inlineStr">
        <is>
          <t>2.15</t>
        </is>
      </c>
      <c r="B49" s="8" t="inlineStr">
        <is>
          <t>2026-07-31</t>
        </is>
      </c>
      <c r="C49" s="8" t="inlineStr">
        <is>
          <t>Claude Code</t>
        </is>
      </c>
      <c r="D49" s="8" t="inlineStr">
        <is>
          <t>Pending</t>
        </is>
      </c>
      <c r="E49"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9" s="8" t="inlineStr">
        <is>
          <t>Superseded by v2.16</t>
        </is>
      </c>
    </row>
    <row r="50">
      <c r="A50" s="10" t="inlineStr">
        <is>
          <t>2.14</t>
        </is>
      </c>
      <c r="B50" s="10" t="inlineStr">
        <is>
          <t>2026-07-31</t>
        </is>
      </c>
      <c r="C50" s="10" t="inlineStr">
        <is>
          <t>Claude Code</t>
        </is>
      </c>
      <c r="D50" s="10" t="inlineStr">
        <is>
          <t>Pending</t>
        </is>
      </c>
      <c r="E50"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0" s="10" t="inlineStr">
        <is>
          <t>Issued for review</t>
        </is>
      </c>
    </row>
    <row r="51">
      <c r="A51" s="8" t="inlineStr">
        <is>
          <t>2.13</t>
        </is>
      </c>
      <c r="B51" s="8" t="inlineStr">
        <is>
          <t>2026-07-31</t>
        </is>
      </c>
      <c r="C51" s="8" t="inlineStr">
        <is>
          <t>Claude Code</t>
        </is>
      </c>
      <c r="D51" s="8" t="inlineStr">
        <is>
          <t>Pending</t>
        </is>
      </c>
      <c r="E51"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1" s="8" t="inlineStr">
        <is>
          <t>Superseded by v2.14</t>
        </is>
      </c>
    </row>
    <row r="52">
      <c r="A52" s="10" t="inlineStr">
        <is>
          <t>2.12</t>
        </is>
      </c>
      <c r="B52" s="10" t="inlineStr">
        <is>
          <t>2026-07-31</t>
        </is>
      </c>
      <c r="C52" s="10" t="inlineStr">
        <is>
          <t>Claude Code</t>
        </is>
      </c>
      <c r="D52" s="10" t="inlineStr">
        <is>
          <t>Pending</t>
        </is>
      </c>
      <c r="E52"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2" s="10" t="inlineStr">
        <is>
          <t>Superseded by v2.13</t>
        </is>
      </c>
    </row>
    <row r="53">
      <c r="A53" s="8" t="inlineStr">
        <is>
          <t>2.11</t>
        </is>
      </c>
      <c r="B53" s="8" t="inlineStr">
        <is>
          <t>2026-07-31</t>
        </is>
      </c>
      <c r="C53" s="8" t="inlineStr">
        <is>
          <t>Claude Code</t>
        </is>
      </c>
      <c r="D53" s="8" t="inlineStr">
        <is>
          <t>Pending</t>
        </is>
      </c>
      <c r="E53"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3" s="8" t="inlineStr">
        <is>
          <t>Issued for review</t>
        </is>
      </c>
    </row>
    <row r="54">
      <c r="A54" s="10" t="inlineStr">
        <is>
          <t>2.10</t>
        </is>
      </c>
      <c r="B54" s="10" t="inlineStr">
        <is>
          <t>2026-07-31</t>
        </is>
      </c>
      <c r="C54" s="10" t="inlineStr">
        <is>
          <t>Claude Code</t>
        </is>
      </c>
      <c r="D54" s="10" t="inlineStr">
        <is>
          <t>Pending</t>
        </is>
      </c>
      <c r="E54"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4" s="10" t="inlineStr">
        <is>
          <t>Superseded by v2.11</t>
        </is>
      </c>
    </row>
    <row r="55">
      <c r="A55" s="8" t="inlineStr">
        <is>
          <t>2.9</t>
        </is>
      </c>
      <c r="B55" s="8" t="inlineStr">
        <is>
          <t>2026-07-31</t>
        </is>
      </c>
      <c r="C55" s="8" t="inlineStr">
        <is>
          <t>Claude Code</t>
        </is>
      </c>
      <c r="D55" s="8" t="inlineStr">
        <is>
          <t>Pending</t>
        </is>
      </c>
      <c r="E55"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5" s="8" t="inlineStr">
        <is>
          <t>Superseded by v2.10</t>
        </is>
      </c>
    </row>
    <row r="56">
      <c r="A56" s="10" t="inlineStr">
        <is>
          <t>2.8</t>
        </is>
      </c>
      <c r="B56" s="10" t="inlineStr">
        <is>
          <t>2026-07-31</t>
        </is>
      </c>
      <c r="C56" s="10" t="inlineStr">
        <is>
          <t>Claude Code</t>
        </is>
      </c>
      <c r="D56" s="10" t="inlineStr">
        <is>
          <t>Pending</t>
        </is>
      </c>
      <c r="E56"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6" s="10" t="inlineStr">
        <is>
          <t>Superseded by v2.9</t>
        </is>
      </c>
    </row>
    <row r="57">
      <c r="A57" s="8" t="inlineStr">
        <is>
          <t>2.7</t>
        </is>
      </c>
      <c r="B57" s="8" t="inlineStr">
        <is>
          <t>2026-07-31</t>
        </is>
      </c>
      <c r="C57" s="8" t="inlineStr">
        <is>
          <t>Claude Code</t>
        </is>
      </c>
      <c r="D57" s="8" t="inlineStr">
        <is>
          <t>Pending</t>
        </is>
      </c>
      <c r="E57"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7" s="8" t="inlineStr">
        <is>
          <t>Superseded by v2.8</t>
        </is>
      </c>
    </row>
    <row r="58">
      <c r="A58" s="10" t="inlineStr">
        <is>
          <t>2.6</t>
        </is>
      </c>
      <c r="B58" s="10" t="inlineStr">
        <is>
          <t>2026-07-31</t>
        </is>
      </c>
      <c r="C58" s="10" t="inlineStr">
        <is>
          <t>Claude Code</t>
        </is>
      </c>
      <c r="D58" s="10" t="inlineStr">
        <is>
          <t>Pending</t>
        </is>
      </c>
      <c r="E58"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8" s="10" t="inlineStr">
        <is>
          <t>Superseded by v2.7</t>
        </is>
      </c>
    </row>
    <row r="59">
      <c r="A59" s="8" t="inlineStr">
        <is>
          <t>2.5</t>
        </is>
      </c>
      <c r="B59" s="8" t="inlineStr">
        <is>
          <t>2026-07-31</t>
        </is>
      </c>
      <c r="C59" s="8" t="inlineStr">
        <is>
          <t>Claude Code</t>
        </is>
      </c>
      <c r="D59" s="8" t="inlineStr">
        <is>
          <t>Pending</t>
        </is>
      </c>
      <c r="E59"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9" s="8" t="inlineStr">
        <is>
          <t>Issued for review</t>
        </is>
      </c>
    </row>
    <row r="60">
      <c r="A60" s="10" t="inlineStr">
        <is>
          <t>2.4</t>
        </is>
      </c>
      <c r="B60" s="10" t="inlineStr">
        <is>
          <t>2026-07-31</t>
        </is>
      </c>
      <c r="C60" s="10" t="inlineStr">
        <is>
          <t>Claude Code</t>
        </is>
      </c>
      <c r="D60" s="10" t="inlineStr">
        <is>
          <t>Pending</t>
        </is>
      </c>
      <c r="E60"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0" s="10" t="inlineStr">
        <is>
          <t>Issued for review</t>
        </is>
      </c>
    </row>
    <row r="61">
      <c r="A61" s="8" t="inlineStr">
        <is>
          <t>2.3</t>
        </is>
      </c>
      <c r="B61" s="8" t="inlineStr">
        <is>
          <t>2026-07-31</t>
        </is>
      </c>
      <c r="C61" s="8" t="inlineStr">
        <is>
          <t>Claude Code</t>
        </is>
      </c>
      <c r="D61" s="8" t="inlineStr">
        <is>
          <t>Pending</t>
        </is>
      </c>
      <c r="E61"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1" s="8" t="inlineStr">
        <is>
          <t>Issued for review</t>
        </is>
      </c>
    </row>
    <row r="62">
      <c r="A62" s="10" t="inlineStr">
        <is>
          <t>2.2</t>
        </is>
      </c>
      <c r="B62" s="10" t="inlineStr">
        <is>
          <t>2026-07-31</t>
        </is>
      </c>
      <c r="C62" s="10" t="inlineStr">
        <is>
          <t>Claude Code</t>
        </is>
      </c>
      <c r="D62" s="10" t="inlineStr">
        <is>
          <t>Pending</t>
        </is>
      </c>
      <c r="E6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2" s="10" t="inlineStr">
        <is>
          <t>Issued for review</t>
        </is>
      </c>
    </row>
    <row r="63">
      <c r="A63" s="8" t="inlineStr">
        <is>
          <t>2.1</t>
        </is>
      </c>
      <c r="B63" s="8" t="inlineStr">
        <is>
          <t>2026-07-31</t>
        </is>
      </c>
      <c r="C63" s="8" t="inlineStr">
        <is>
          <t>Claude Code</t>
        </is>
      </c>
      <c r="D63" s="8" t="inlineStr">
        <is>
          <t>Pending</t>
        </is>
      </c>
      <c r="E6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3" s="8" t="inlineStr">
        <is>
          <t>Issued for review</t>
        </is>
      </c>
    </row>
    <row r="64">
      <c r="A64" s="10" t="inlineStr">
        <is>
          <t>2.0</t>
        </is>
      </c>
      <c r="B64" s="10" t="inlineStr">
        <is>
          <t>2026-08-02</t>
        </is>
      </c>
      <c r="C64" s="10" t="inlineStr">
        <is>
          <t>Claude Code</t>
        </is>
      </c>
      <c r="D64" s="10" t="inlineStr">
        <is>
          <t>Dan</t>
        </is>
      </c>
      <c r="E6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4" s="10" t="inlineStr">
        <is>
          <t>APPROVED 2026-08-02 by Dan - BASELINE</t>
        </is>
      </c>
    </row>
    <row r="65">
      <c r="A65" s="8" t="inlineStr">
        <is>
          <t>1.10</t>
        </is>
      </c>
      <c r="B65" s="8" t="inlineStr">
        <is>
          <t>2026-07-31</t>
        </is>
      </c>
      <c r="C65" s="8" t="inlineStr">
        <is>
          <t>Claude Code</t>
        </is>
      </c>
      <c r="D65" s="8" t="inlineStr">
        <is>
          <t>Pending</t>
        </is>
      </c>
      <c r="E6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5" s="8" t="inlineStr">
        <is>
          <t>Issued for approval</t>
        </is>
      </c>
    </row>
    <row r="66">
      <c r="A66" s="10" t="inlineStr">
        <is>
          <t>1.9</t>
        </is>
      </c>
      <c r="B66" s="10" t="inlineStr">
        <is>
          <t>2026-07-31</t>
        </is>
      </c>
      <c r="C66" s="10" t="inlineStr">
        <is>
          <t>Claude Code</t>
        </is>
      </c>
      <c r="D66" s="10" t="inlineStr">
        <is>
          <t>Pending</t>
        </is>
      </c>
      <c r="E6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6" s="10" t="inlineStr">
        <is>
          <t>Issued for approval</t>
        </is>
      </c>
    </row>
    <row r="67">
      <c r="A67" s="8" t="inlineStr">
        <is>
          <t>1.8</t>
        </is>
      </c>
      <c r="B67" s="8" t="inlineStr">
        <is>
          <t>2026-07-31</t>
        </is>
      </c>
      <c r="C67" s="8" t="inlineStr">
        <is>
          <t>Claude Code</t>
        </is>
      </c>
      <c r="D67" s="8" t="inlineStr">
        <is>
          <t>Pending</t>
        </is>
      </c>
      <c r="E6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7" s="8" t="inlineStr">
        <is>
          <t>Superseded by v1.9</t>
        </is>
      </c>
    </row>
    <row r="68">
      <c r="A68" s="10" t="inlineStr">
        <is>
          <t>1.7</t>
        </is>
      </c>
      <c r="B68" s="10" t="inlineStr">
        <is>
          <t>2026-07-31</t>
        </is>
      </c>
      <c r="C68" s="10" t="inlineStr">
        <is>
          <t>Claude Code</t>
        </is>
      </c>
      <c r="D68" s="10" t="inlineStr">
        <is>
          <t>Pending</t>
        </is>
      </c>
      <c r="E6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8" s="10" t="inlineStr">
        <is>
          <t>Superseded by v1.8</t>
        </is>
      </c>
    </row>
    <row r="69">
      <c r="A69" s="8" t="inlineStr">
        <is>
          <t>1.6</t>
        </is>
      </c>
      <c r="B69" s="8" t="inlineStr">
        <is>
          <t>2026-07-31</t>
        </is>
      </c>
      <c r="C69" s="8" t="inlineStr">
        <is>
          <t>Claude Code</t>
        </is>
      </c>
      <c r="D69" s="8" t="inlineStr">
        <is>
          <t>Pending</t>
        </is>
      </c>
      <c r="E6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9" s="8" t="inlineStr">
        <is>
          <t>Issued for approval</t>
        </is>
      </c>
    </row>
    <row r="71">
      <c r="A7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REQ-CAL-19</t>
        </is>
      </c>
      <c r="B33" s="17" t="inlineStr">
        <is>
          <t>Calculation</t>
        </is>
      </c>
      <c r="C33"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3" s="17" t="inlineStr">
        <is>
          <t>Must</t>
        </is>
      </c>
      <c r="E33" s="17" t="inlineStr">
        <is>
          <t>R-31, R-32</t>
        </is>
      </c>
      <c r="F33" s="17" t="inlineStr">
        <is>
          <t>4</t>
        </is>
      </c>
    </row>
    <row r="34">
      <c r="A34" s="17" t="inlineStr">
        <is>
          <t>REQ-CAL-18</t>
        </is>
      </c>
      <c r="B34" s="17" t="inlineStr">
        <is>
          <t>Calculation</t>
        </is>
      </c>
      <c r="C3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4" s="17" t="inlineStr">
        <is>
          <t>Must</t>
        </is>
      </c>
      <c r="E34" s="17" t="inlineStr">
        <is>
          <t>R-30</t>
        </is>
      </c>
      <c r="F34" s="17" t="inlineStr">
        <is>
          <t>4</t>
        </is>
      </c>
    </row>
    <row r="35">
      <c r="A35" s="17" t="inlineStr">
        <is>
          <t>REQ-CAL-17</t>
        </is>
      </c>
      <c r="B35" s="17" t="inlineStr">
        <is>
          <t>Calculation</t>
        </is>
      </c>
      <c r="C3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5" s="17" t="inlineStr">
        <is>
          <t>Must</t>
        </is>
      </c>
      <c r="E35" s="17" t="inlineStr">
        <is>
          <t>R-20</t>
        </is>
      </c>
      <c r="F35" s="17" t="inlineStr">
        <is>
          <t>4</t>
        </is>
      </c>
    </row>
    <row r="36">
      <c r="A36" s="17" t="inlineStr">
        <is>
          <t>REQ-CAL-16</t>
        </is>
      </c>
      <c r="B36" s="17" t="inlineStr">
        <is>
          <t>Calculation</t>
        </is>
      </c>
      <c r="C3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6" s="17" t="inlineStr">
        <is>
          <t>Must</t>
        </is>
      </c>
      <c r="E36" s="17" t="inlineStr">
        <is>
          <t>R-17</t>
        </is>
      </c>
      <c r="F36" s="17" t="inlineStr">
        <is>
          <t>4</t>
        </is>
      </c>
    </row>
    <row r="37">
      <c r="A37" s="17" t="inlineStr">
        <is>
          <t>REQ-CAL-15</t>
        </is>
      </c>
      <c r="B37" s="17" t="inlineStr">
        <is>
          <t>Calculation</t>
        </is>
      </c>
      <c r="C3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7" s="17" t="inlineStr">
        <is>
          <t>Must</t>
        </is>
      </c>
      <c r="E37" s="17" t="inlineStr">
        <is>
          <t>R-15</t>
        </is>
      </c>
      <c r="F37" s="17" t="inlineStr">
        <is>
          <t>4</t>
        </is>
      </c>
    </row>
    <row r="38">
      <c r="A38" s="17" t="inlineStr">
        <is>
          <t>REQ-CAL-14</t>
        </is>
      </c>
      <c r="B38" s="17" t="inlineStr">
        <is>
          <t>Calculation</t>
        </is>
      </c>
      <c r="C3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8" s="17" t="inlineStr">
        <is>
          <t>Must</t>
        </is>
      </c>
      <c r="E38" s="17" t="inlineStr">
        <is>
          <t>R-13</t>
        </is>
      </c>
      <c r="F38" s="17" t="inlineStr">
        <is>
          <t>4</t>
        </is>
      </c>
    </row>
    <row r="39">
      <c r="A39" s="8" t="inlineStr">
        <is>
          <t>REQ-CAL-03</t>
        </is>
      </c>
      <c r="B39" s="8" t="inlineStr">
        <is>
          <t>Calculation</t>
        </is>
      </c>
      <c r="C39" s="9" t="inlineStr">
        <is>
          <t>Project monthly load is the sum of its assignments; person monthly load is the sum across all their projects.</t>
        </is>
      </c>
      <c r="D39" s="8" t="inlineStr">
        <is>
          <t>Must</t>
        </is>
      </c>
      <c r="E39" s="8" t="inlineStr">
        <is>
          <t>Requester</t>
        </is>
      </c>
      <c r="F39" s="8" t="inlineStr">
        <is>
          <t>4</t>
        </is>
      </c>
    </row>
    <row r="40">
      <c r="A40" s="20" t="inlineStr">
        <is>
          <t>REQ-CAL-04</t>
        </is>
      </c>
      <c r="B40" s="20" t="inlineStr">
        <is>
          <t>Calculation</t>
        </is>
      </c>
      <c r="C40" s="19" t="inlineStr">
        <is>
          <t>A person-month whose total exceeds the over-allocation threshold (default 1.50 FTE) is flagged as over-allocated. The threshold is absolute, not scaled by capacity (S2-01).</t>
        </is>
      </c>
      <c r="D40" s="20" t="inlineStr">
        <is>
          <t>Must</t>
        </is>
      </c>
      <c r="E40" s="20" t="inlineStr">
        <is>
          <t>Q-08, S2-01</t>
        </is>
      </c>
      <c r="F40" s="20" t="inlineStr">
        <is>
          <t>4</t>
        </is>
      </c>
    </row>
    <row r="41">
      <c r="A41" s="20" t="inlineStr">
        <is>
          <t>REQ-CAL-05</t>
        </is>
      </c>
      <c r="B41" s="20" t="inlineStr">
        <is>
          <t>Calculation</t>
        </is>
      </c>
      <c r="C41" s="19" t="inlineStr">
        <is>
          <t>A partial first or last month is pro-rated by calendar days worked, not counted as a whole month.</t>
        </is>
      </c>
      <c r="D41" s="20" t="inlineStr">
        <is>
          <t>Must</t>
        </is>
      </c>
      <c r="E41" s="20" t="inlineStr">
        <is>
          <t>Q-02</t>
        </is>
      </c>
      <c r="F41" s="20" t="inlineStr">
        <is>
          <t>4</t>
        </is>
      </c>
    </row>
    <row r="42">
      <c r="A42" s="10" t="inlineStr">
        <is>
          <t>REQ-CAL-06</t>
        </is>
      </c>
      <c r="B42" s="10" t="inlineStr">
        <is>
          <t>Calculation</t>
        </is>
      </c>
      <c r="C42" s="11" t="inlineStr">
        <is>
          <t>All weights, factors and thresholds are data, held in the source workbook, never hardcoded in the program.</t>
        </is>
      </c>
      <c r="D42" s="10" t="inlineStr">
        <is>
          <t>Must</t>
        </is>
      </c>
      <c r="E42" s="10" t="inlineStr">
        <is>
          <t>Derived</t>
        </is>
      </c>
      <c r="F42" s="10" t="inlineStr">
        <is>
          <t>4</t>
        </is>
      </c>
    </row>
    <row r="43">
      <c r="A43" s="20" t="inlineStr">
        <is>
          <t>REQ-CAL-07</t>
        </is>
      </c>
      <c r="B43" s="20" t="inlineStr">
        <is>
          <t>Calculation</t>
        </is>
      </c>
      <c r="C43" s="19" t="inlineStr">
        <is>
          <t>A person whose monthly total stays below the under-allocation threshold (default 0.60 FTE) for three or more consecutive months is flagged as under-allocated, with the run's start and length reported. The threshold is absolute, not scaled by capacity.</t>
        </is>
      </c>
      <c r="D43" s="20" t="inlineStr">
        <is>
          <t>Must</t>
        </is>
      </c>
      <c r="E43" s="20" t="inlineStr">
        <is>
          <t>Q-08, S2-01, S2-05</t>
        </is>
      </c>
      <c r="F43" s="20" t="inlineStr">
        <is>
          <t>4</t>
        </is>
      </c>
    </row>
    <row r="44">
      <c r="A44" s="17" t="inlineStr">
        <is>
          <t>REQ-CAL-08</t>
        </is>
      </c>
      <c r="B44" s="17" t="inlineStr">
        <is>
          <t>Calculation</t>
        </is>
      </c>
      <c r="C44" s="18" t="inlineStr">
        <is>
          <t>Load is expressed in FTE, where 1.00 FTE = 160 hours per month (8 h/day x 5 days/week x 20 days/month). Hours are shown alongside FTE where useful.</t>
        </is>
      </c>
      <c r="D44" s="17" t="inlineStr">
        <is>
          <t>Must</t>
        </is>
      </c>
      <c r="E44" s="17" t="inlineStr">
        <is>
          <t>Q-08</t>
        </is>
      </c>
      <c r="F44" s="17" t="inlineStr">
        <is>
          <t>4</t>
        </is>
      </c>
    </row>
    <row r="45">
      <c r="A45" s="20" t="inlineStr">
        <is>
          <t>REQ-CAL-09</t>
        </is>
      </c>
      <c r="B45" s="20" t="inlineStr">
        <is>
          <t>Calculation</t>
        </is>
      </c>
      <c r="C45"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5" s="20" t="inlineStr">
        <is>
          <t>Must</t>
        </is>
      </c>
      <c r="E45" s="20" t="inlineStr">
        <is>
          <t>Q-16, Q-22, Q-23, Q-25</t>
        </is>
      </c>
      <c r="F45" s="20" t="inlineStr">
        <is>
          <t>2,4</t>
        </is>
      </c>
    </row>
    <row r="46">
      <c r="A46" s="17" t="inlineStr">
        <is>
          <t>REQ-CAL-10</t>
        </is>
      </c>
      <c r="B46" s="17" t="inlineStr">
        <is>
          <t>Calculation</t>
        </is>
      </c>
      <c r="C46" s="18" t="inlineStr">
        <is>
          <t>Every month of a project's timeline falls in exactly one period. A month left uncovered by the derivation is reported and carries weight 1.00 rather than being dropped from the simulation.</t>
        </is>
      </c>
      <c r="D46" s="17" t="inlineStr">
        <is>
          <t>Must</t>
        </is>
      </c>
      <c r="E46" s="17" t="inlineStr">
        <is>
          <t>Derived from Q-16</t>
        </is>
      </c>
      <c r="F46" s="17" t="inlineStr">
        <is>
          <t>2,4</t>
        </is>
      </c>
    </row>
    <row r="47">
      <c r="A47" s="20" t="inlineStr">
        <is>
          <t>REQ-CAL-11</t>
        </is>
      </c>
      <c r="B47" s="20" t="inlineStr">
        <is>
          <t>Calculation</t>
        </is>
      </c>
      <c r="C47"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7" s="20" t="inlineStr">
        <is>
          <t>Must</t>
        </is>
      </c>
      <c r="E47" s="20" t="inlineStr">
        <is>
          <t>Q-23, R-11</t>
        </is>
      </c>
      <c r="F47" s="20" t="inlineStr">
        <is>
          <t>2,4</t>
        </is>
      </c>
    </row>
    <row r="48">
      <c r="A48" s="17" t="inlineStr">
        <is>
          <t>REQ-CAL-13</t>
        </is>
      </c>
      <c r="B48" s="17" t="inlineStr">
        <is>
          <t>Calculation</t>
        </is>
      </c>
      <c r="C48" s="18" t="inlineStr">
        <is>
          <t>Where a period boundary has both a milestone and a month-offset definition, a recorded milestone date wins. The offset is the fallback for a project that does not carry that milestone.</t>
        </is>
      </c>
      <c r="D48" s="17" t="inlineStr">
        <is>
          <t>Must</t>
        </is>
      </c>
      <c r="E48" s="17" t="inlineStr">
        <is>
          <t>R-02</t>
        </is>
      </c>
      <c r="F48" s="17" t="inlineStr">
        <is>
          <t>2,4</t>
        </is>
      </c>
    </row>
    <row r="49">
      <c r="A49" s="17" t="inlineStr">
        <is>
          <t>REQ-CAL-12</t>
        </is>
      </c>
      <c r="B49" s="17" t="inlineStr">
        <is>
          <t>Calculation</t>
        </is>
      </c>
      <c r="C49" s="18" t="inlineStr">
        <is>
          <t>Where a timeline squeezes a derived period to zero or negative length, that period is omitted and the omission reported. Boundaries are applied in order so the periods always stay contiguous.</t>
        </is>
      </c>
      <c r="D49" s="17" t="inlineStr">
        <is>
          <t>Must</t>
        </is>
      </c>
      <c r="E49" s="17" t="inlineStr">
        <is>
          <t>Derived from Q-22, Q-23</t>
        </is>
      </c>
      <c r="F49" s="17" t="inlineStr">
        <is>
          <t>2,4</t>
        </is>
      </c>
    </row>
    <row r="50">
      <c r="A50" s="10" t="inlineStr">
        <is>
          <t>REQ-DSH-01</t>
        </is>
      </c>
      <c r="B50" s="10" t="inlineStr">
        <is>
          <t>Dashboard</t>
        </is>
      </c>
      <c r="C50" s="11" t="inlineStr">
        <is>
          <t>Tab 'Overall' shows monthly resource simulation per project and per person as tables.</t>
        </is>
      </c>
      <c r="D50" s="10" t="inlineStr">
        <is>
          <t>Must</t>
        </is>
      </c>
      <c r="E50" s="10" t="inlineStr">
        <is>
          <t>Requester</t>
        </is>
      </c>
      <c r="F50" s="10" t="inlineStr">
        <is>
          <t>3,4</t>
        </is>
      </c>
    </row>
    <row r="51">
      <c r="A51" s="8" t="inlineStr">
        <is>
          <t>REQ-DSH-02</t>
        </is>
      </c>
      <c r="B51" s="8" t="inlineStr">
        <is>
          <t>Dashboard</t>
        </is>
      </c>
      <c r="C51" s="9" t="inlineStr">
        <is>
          <t>Tab 'Overall' shows appropriate graphs of the same simulation.</t>
        </is>
      </c>
      <c r="D51" s="8" t="inlineStr">
        <is>
          <t>Must</t>
        </is>
      </c>
      <c r="E51" s="8" t="inlineStr">
        <is>
          <t>Requester</t>
        </is>
      </c>
      <c r="F51" s="8" t="inlineStr">
        <is>
          <t>3,4</t>
        </is>
      </c>
    </row>
    <row r="52">
      <c r="A52" s="10" t="inlineStr">
        <is>
          <t>REQ-DSH-03</t>
        </is>
      </c>
      <c r="B52" s="10" t="inlineStr">
        <is>
          <t>Dashboard</t>
        </is>
      </c>
      <c r="C52" s="11" t="inlineStr">
        <is>
          <t>Tab 'Source data (project)' shows project information as a table.</t>
        </is>
      </c>
      <c r="D52" s="10" t="inlineStr">
        <is>
          <t>Must</t>
        </is>
      </c>
      <c r="E52" s="10" t="inlineStr">
        <is>
          <t>Requester</t>
        </is>
      </c>
      <c r="F52" s="10" t="inlineStr">
        <is>
          <t>3,4</t>
        </is>
      </c>
    </row>
    <row r="53">
      <c r="A53" s="8" t="inlineStr">
        <is>
          <t>REQ-DSH-04</t>
        </is>
      </c>
      <c r="B53" s="8" t="inlineStr">
        <is>
          <t>Dashboard</t>
        </is>
      </c>
      <c r="C53" s="9" t="inlineStr">
        <is>
          <t>Tab 'Source data (person)' shows person information as a table.</t>
        </is>
      </c>
      <c r="D53" s="8" t="inlineStr">
        <is>
          <t>Must</t>
        </is>
      </c>
      <c r="E53" s="8" t="inlineStr">
        <is>
          <t>Requester</t>
        </is>
      </c>
      <c r="F53" s="8" t="inlineStr">
        <is>
          <t>3,4</t>
        </is>
      </c>
    </row>
    <row r="54">
      <c r="A54" s="20" t="inlineStr">
        <is>
          <t>REQ-DSH-05</t>
        </is>
      </c>
      <c r="B54" s="20" t="inlineStr">
        <is>
          <t>Dashboard</t>
        </is>
      </c>
      <c r="C54" s="19" t="inlineStr">
        <is>
          <t>One filter set drives every tab: date horizon, project type, clinical phase, project, person, role and department, with a single action to clear them all. The display unit is a setting, not a filter - it changes how figures are written, not which are shown.</t>
        </is>
      </c>
      <c r="D54" s="20" t="inlineStr">
        <is>
          <t>Should</t>
        </is>
      </c>
      <c r="E54" s="20" t="inlineStr">
        <is>
          <t>Derived / O-03</t>
        </is>
      </c>
      <c r="F54" s="20" t="inlineStr">
        <is>
          <t>3,4</t>
        </is>
      </c>
    </row>
    <row r="55">
      <c r="A55" s="8" t="inlineStr">
        <is>
          <t>REQ-DSH-06</t>
        </is>
      </c>
      <c r="B55" s="8" t="inlineStr">
        <is>
          <t>Dashboard</t>
        </is>
      </c>
      <c r="C55" s="9" t="inlineStr">
        <is>
          <t>Any table on screen can be exported to Excel.</t>
        </is>
      </c>
      <c r="D55" s="8" t="inlineStr">
        <is>
          <t>Should</t>
        </is>
      </c>
      <c r="E55" s="8" t="inlineStr">
        <is>
          <t>Derived</t>
        </is>
      </c>
      <c r="F55" s="8" t="inlineStr">
        <is>
          <t>4</t>
        </is>
      </c>
    </row>
    <row r="56">
      <c r="A56" s="17" t="inlineStr">
        <is>
          <t>REQ-DSH-07</t>
        </is>
      </c>
      <c r="B56" s="17" t="inlineStr">
        <is>
          <t>Dashboard</t>
        </is>
      </c>
      <c r="C56" s="18" t="inlineStr">
        <is>
          <t>The horizon control offers 24 months by default and a one-click expansion to cover the latest project end date across all projects.</t>
        </is>
      </c>
      <c r="D56" s="17" t="inlineStr">
        <is>
          <t>Must</t>
        </is>
      </c>
      <c r="E56" s="17" t="inlineStr">
        <is>
          <t>Q-11</t>
        </is>
      </c>
      <c r="F56" s="17" t="inlineStr">
        <is>
          <t>3,4</t>
        </is>
      </c>
    </row>
    <row r="57">
      <c r="A57" s="17" t="inlineStr">
        <is>
          <t>REQ-DSH-08</t>
        </is>
      </c>
      <c r="B57" s="17" t="inlineStr">
        <is>
          <t>Dashboard</t>
        </is>
      </c>
      <c r="C57" s="18" t="inlineStr">
        <is>
          <t>Over-allocated and under-allocated person-months are distinguishable at a glance, and both are counted in the summary tiles.</t>
        </is>
      </c>
      <c r="D57" s="17" t="inlineStr">
        <is>
          <t>Must</t>
        </is>
      </c>
      <c r="E57" s="17" t="inlineStr">
        <is>
          <t>Q-08</t>
        </is>
      </c>
      <c r="F57" s="17" t="inlineStr">
        <is>
          <t>3,4</t>
        </is>
      </c>
    </row>
    <row r="58">
      <c r="A58" s="17" t="inlineStr">
        <is>
          <t>REQ-DSH-09</t>
        </is>
      </c>
      <c r="B58" s="17" t="inlineStr">
        <is>
          <t>Dashboard</t>
        </is>
      </c>
      <c r="C58" s="18" t="inlineStr">
        <is>
          <t>At the target volume a table taller than the viewport renders only the visible rows, and the per-person chart shows an aggregate or a ranked subset rather than one bar per person. A thousand bars is not a chart.</t>
        </is>
      </c>
      <c r="D58" s="17" t="inlineStr">
        <is>
          <t>Must</t>
        </is>
      </c>
      <c r="E58" s="17" t="inlineStr">
        <is>
          <t>S2-06</t>
        </is>
      </c>
      <c r="F58" s="17" t="inlineStr">
        <is>
          <t>3,4</t>
        </is>
      </c>
    </row>
    <row r="59">
      <c r="A59" s="20" t="inlineStr">
        <is>
          <t>REQ-DSH-10</t>
        </is>
      </c>
      <c r="B59" s="20" t="inlineStr">
        <is>
          <t>Dashboard</t>
        </is>
      </c>
      <c r="C59"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9" s="20" t="inlineStr">
        <is>
          <t>Must</t>
        </is>
      </c>
      <c r="E59" s="20" t="inlineStr">
        <is>
          <t>S2-04, R-11</t>
        </is>
      </c>
      <c r="F59" s="20" t="inlineStr">
        <is>
          <t>3,4</t>
        </is>
      </c>
    </row>
    <row r="60">
      <c r="A60" s="17" t="inlineStr">
        <is>
          <t>REQ-DSH-12</t>
        </is>
      </c>
      <c r="B60" s="17" t="inlineStr">
        <is>
          <t>Dashboard</t>
        </is>
      </c>
      <c r="C6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0" s="17" t="inlineStr">
        <is>
          <t>Should</t>
        </is>
      </c>
      <c r="E60" s="17" t="inlineStr">
        <is>
          <t>Reviewer v0.7</t>
        </is>
      </c>
      <c r="F60" s="17" t="inlineStr">
        <is>
          <t>3,4</t>
        </is>
      </c>
    </row>
    <row r="61">
      <c r="A61" s="17" t="inlineStr">
        <is>
          <t>REQ-DSH-11</t>
        </is>
      </c>
      <c r="B61" s="17" t="inlineStr">
        <is>
          <t>Dashboard</t>
        </is>
      </c>
      <c r="C61" s="18" t="inlineStr">
        <is>
          <t>The standing assumptions the simulation multiplies by - standard period weights, role factors, configuration and value lists - are presented on their own tab, so a reader can see what every figure was derived from without opening the workbook.</t>
        </is>
      </c>
      <c r="D61" s="17" t="inlineStr">
        <is>
          <t>Must</t>
        </is>
      </c>
      <c r="E61" s="17" t="inlineStr">
        <is>
          <t>G-07</t>
        </is>
      </c>
      <c r="F61" s="17" t="inlineStr">
        <is>
          <t>3,4</t>
        </is>
      </c>
    </row>
    <row r="62">
      <c r="A62" s="20" t="inlineStr">
        <is>
          <t>REQ-IMP-01</t>
        </is>
      </c>
      <c r="B62" s="20" t="inlineStr">
        <is>
          <t>Import/Export</t>
        </is>
      </c>
      <c r="C62" s="19" t="inlineStr">
        <is>
          <t>The user loads the source workbook through a file picker or drag-and-drop, chosen because a local HTML page cannot open a file from disk unaided.</t>
        </is>
      </c>
      <c r="D62" s="20" t="inlineStr">
        <is>
          <t>Must</t>
        </is>
      </c>
      <c r="E62" s="20" t="inlineStr">
        <is>
          <t>Decision D-01</t>
        </is>
      </c>
      <c r="F62" s="20" t="inlineStr">
        <is>
          <t>4</t>
        </is>
      </c>
    </row>
    <row r="63">
      <c r="A63" s="8" t="inlineStr">
        <is>
          <t>REQ-IMP-02</t>
        </is>
      </c>
      <c r="B63" s="8" t="inlineStr">
        <is>
          <t>Import/Export</t>
        </is>
      </c>
      <c r="C63" s="9" t="inlineStr">
        <is>
          <t>Loading validates the workbook and reports every problem found - missing sheet, missing column, bad date, unknown project reference - without stopping at the first one.</t>
        </is>
      </c>
      <c r="D63" s="8" t="inlineStr">
        <is>
          <t>Must</t>
        </is>
      </c>
      <c r="E63" s="8" t="inlineStr">
        <is>
          <t>Derived</t>
        </is>
      </c>
      <c r="F63" s="8" t="inlineStr">
        <is>
          <t>4</t>
        </is>
      </c>
    </row>
    <row r="64">
      <c r="A64" s="20" t="inlineStr">
        <is>
          <t>REQ-IMP-03</t>
        </is>
      </c>
      <c r="B64" s="20" t="inlineStr">
        <is>
          <t>Import/Export</t>
        </is>
      </c>
      <c r="C64" s="19" t="inlineStr">
        <is>
          <t>A blank source workbook template with correct sheet names, headers, value lists and one example row is delivered with the application.</t>
        </is>
      </c>
      <c r="D64" s="20" t="inlineStr">
        <is>
          <t>Must</t>
        </is>
      </c>
      <c r="E64" s="20" t="inlineStr">
        <is>
          <t>Derived</t>
        </is>
      </c>
      <c r="F64" s="20" t="inlineStr">
        <is>
          <t>4</t>
        </is>
      </c>
    </row>
    <row r="65">
      <c r="A65" s="8" t="inlineStr">
        <is>
          <t>REQ-IMP-04</t>
        </is>
      </c>
      <c r="B65" s="8" t="inlineStr">
        <is>
          <t>Import/Export</t>
        </is>
      </c>
      <c r="C65" s="9" t="inlineStr">
        <is>
          <t>The user can export current data back to .xlsx, preserving the template layout so the export can be re-imported.</t>
        </is>
      </c>
      <c r="D65" s="8" t="inlineStr">
        <is>
          <t>Must</t>
        </is>
      </c>
      <c r="E65" s="8" t="inlineStr">
        <is>
          <t>Derived</t>
        </is>
      </c>
      <c r="F65" s="8" t="inlineStr">
        <is>
          <t>4</t>
        </is>
      </c>
    </row>
    <row r="66">
      <c r="A66" s="20" t="inlineStr">
        <is>
          <t>REQ-IMP-05</t>
        </is>
      </c>
      <c r="B66" s="20" t="inlineStr">
        <is>
          <t>Import/Export</t>
        </is>
      </c>
      <c r="C66" s="19" t="inlineStr">
        <is>
          <t>The application records which file was loaded and when, and shows it on screen with its time zone - a bare timestamp is ambiguous to anyone reading it from another country.</t>
        </is>
      </c>
      <c r="D66" s="20" t="inlineStr">
        <is>
          <t>Should</t>
        </is>
      </c>
      <c r="E66" s="20" t="inlineStr">
        <is>
          <t>Derived / G-02</t>
        </is>
      </c>
      <c r="F66" s="20" t="inlineStr">
        <is>
          <t>4</t>
        </is>
      </c>
    </row>
    <row r="67">
      <c r="A67" s="8" t="inlineStr">
        <is>
          <t>REQ-IMP-06</t>
        </is>
      </c>
      <c r="B67" s="8" t="inlineStr">
        <is>
          <t>Import/Export</t>
        </is>
      </c>
      <c r="C67" s="9" t="inlineStr">
        <is>
          <t>Loaded data may be cached in the browser so re-opening the page does not force a re-import; the cache never replaces the workbook as the record.</t>
        </is>
      </c>
      <c r="D67" s="8" t="inlineStr">
        <is>
          <t>Could</t>
        </is>
      </c>
      <c r="E67" s="8" t="inlineStr">
        <is>
          <t>Derived</t>
        </is>
      </c>
      <c r="F67" s="8" t="inlineStr">
        <is>
          <t>4</t>
        </is>
      </c>
    </row>
    <row r="68">
      <c r="A68" s="17" t="inlineStr">
        <is>
          <t>REQ-IMP-07</t>
        </is>
      </c>
      <c r="B68" s="17" t="inlineStr">
        <is>
          <t>Import/Export</t>
        </is>
      </c>
      <c r="C68" s="18" t="inlineStr">
        <is>
          <t>After import, the application lets the user update the data on screen, and those updates are carried into the file produced on export.</t>
        </is>
      </c>
      <c r="D68" s="17" t="inlineStr">
        <is>
          <t>Must</t>
        </is>
      </c>
      <c r="E68" s="17" t="inlineStr">
        <is>
          <t>Reviewer v0.11</t>
        </is>
      </c>
      <c r="F68" s="17" t="inlineStr">
        <is>
          <t>4</t>
        </is>
      </c>
    </row>
    <row r="69">
      <c r="A69" s="17" t="inlineStr">
        <is>
          <t>REQ-IMP-08</t>
        </is>
      </c>
      <c r="B69" s="17" t="inlineStr">
        <is>
          <t>Import/Export</t>
        </is>
      </c>
      <c r="C69" s="18" t="inlineStr">
        <is>
          <t>Unsaved edits are visible as such, and the user is warned before any action that would discard them (closing the page, loading another file).</t>
        </is>
      </c>
      <c r="D69" s="17" t="inlineStr">
        <is>
          <t>Must</t>
        </is>
      </c>
      <c r="E69" s="17" t="inlineStr">
        <is>
          <t>Derived from REQ-IMP-07</t>
        </is>
      </c>
      <c r="F69" s="17" t="inlineStr">
        <is>
          <t>4</t>
        </is>
      </c>
    </row>
    <row r="70">
      <c r="A70" s="20" t="inlineStr">
        <is>
          <t>REQ-IMP-09</t>
        </is>
      </c>
      <c r="B70" s="20" t="inlineStr">
        <is>
          <t>Import/Export</t>
        </is>
      </c>
      <c r="C70" s="19" t="inlineStr">
        <is>
          <t>Every field is editable, including identifiers. An on-screen edit is re-validated against the same rules as an imported value, so editing cannot introduce data the import would have rejected.</t>
        </is>
      </c>
      <c r="D70" s="20" t="inlineStr">
        <is>
          <t>Must</t>
        </is>
      </c>
      <c r="E70" s="20" t="inlineStr">
        <is>
          <t>Q-20</t>
        </is>
      </c>
      <c r="F70" s="20" t="inlineStr">
        <is>
          <t>4</t>
        </is>
      </c>
    </row>
    <row r="71">
      <c r="A71" s="17" t="inlineStr">
        <is>
          <t>REQ-IMP-10</t>
        </is>
      </c>
      <c r="B71" s="17" t="inlineStr">
        <is>
          <t>Import/Export</t>
        </is>
      </c>
      <c r="C71" s="18" t="inlineStr">
        <is>
          <t>Editing an identifier that other sheets reference cascades to every referencing row, after showing how many rows will change. Deleting a referenced row is refused, naming what still points at it.</t>
        </is>
      </c>
      <c r="D71" s="17" t="inlineStr">
        <is>
          <t>Must</t>
        </is>
      </c>
      <c r="E71" s="17" t="inlineStr">
        <is>
          <t>Q-20</t>
        </is>
      </c>
      <c r="F71" s="17" t="inlineStr">
        <is>
          <t>4</t>
        </is>
      </c>
    </row>
    <row r="72">
      <c r="A72" s="17" t="inlineStr">
        <is>
          <t>REQ-IMP-14</t>
        </is>
      </c>
      <c r="B72" s="17" t="inlineStr">
        <is>
          <t>Import/Export</t>
        </is>
      </c>
      <c r="C7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2" s="17" t="inlineStr">
        <is>
          <t>Must</t>
        </is>
      </c>
      <c r="E72" s="17" t="inlineStr">
        <is>
          <t>R-28</t>
        </is>
      </c>
      <c r="F72" s="17" t="inlineStr">
        <is>
          <t>4</t>
        </is>
      </c>
    </row>
    <row r="73">
      <c r="A73" s="17" t="inlineStr">
        <is>
          <t>REQ-OUT-06</t>
        </is>
      </c>
      <c r="B73" s="17" t="inlineStr">
        <is>
          <t>Output</t>
        </is>
      </c>
      <c r="C7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3" s="17" t="inlineStr">
        <is>
          <t>Must</t>
        </is>
      </c>
      <c r="E73" s="17" t="inlineStr">
        <is>
          <t>R-29</t>
        </is>
      </c>
      <c r="F73" s="17" t="inlineStr">
        <is>
          <t>4</t>
        </is>
      </c>
    </row>
    <row r="74">
      <c r="A74" s="17" t="inlineStr">
        <is>
          <t>REQ-IMP-12</t>
        </is>
      </c>
      <c r="B74" s="17" t="inlineStr">
        <is>
          <t>Import/Export</t>
        </is>
      </c>
      <c r="C7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4" s="17" t="inlineStr">
        <is>
          <t>Should</t>
        </is>
      </c>
      <c r="E74" s="17" t="inlineStr">
        <is>
          <t>R-21</t>
        </is>
      </c>
      <c r="F74" s="17" t="inlineStr">
        <is>
          <t>4</t>
        </is>
      </c>
    </row>
    <row r="75">
      <c r="A75" s="17" t="inlineStr">
        <is>
          <t>REQ-IMP-13</t>
        </is>
      </c>
      <c r="B75" s="17" t="inlineStr">
        <is>
          <t>Import/Export</t>
        </is>
      </c>
      <c r="C7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5" s="17" t="inlineStr">
        <is>
          <t>Must</t>
        </is>
      </c>
      <c r="E75" s="17" t="inlineStr">
        <is>
          <t>R-25</t>
        </is>
      </c>
      <c r="F75" s="17" t="inlineStr">
        <is>
          <t>4</t>
        </is>
      </c>
    </row>
    <row r="76">
      <c r="A76" s="17" t="inlineStr">
        <is>
          <t>REQ-IMP-11</t>
        </is>
      </c>
      <c r="B76" s="17" t="inlineStr">
        <is>
          <t>Import/Export</t>
        </is>
      </c>
      <c r="C76" s="18" t="inlineStr">
        <is>
          <t>A new row can be inserted into any editable table, positioned immediately below the row the user acts on rather than appended at the end, and validated on entry like any other edit.</t>
        </is>
      </c>
      <c r="D76" s="17" t="inlineStr">
        <is>
          <t>Must</t>
        </is>
      </c>
      <c r="E76" s="17" t="inlineStr">
        <is>
          <t>P-01, S-01</t>
        </is>
      </c>
      <c r="F76" s="17" t="inlineStr">
        <is>
          <t>4</t>
        </is>
      </c>
    </row>
    <row r="77">
      <c r="A77" s="8" t="inlineStr">
        <is>
          <t>REQ-VC-01</t>
        </is>
      </c>
      <c r="B77" s="8" t="inlineStr">
        <is>
          <t>Version control</t>
        </is>
      </c>
      <c r="C77" s="9" t="inlineStr">
        <is>
          <t>Development plan, programming specification and output files are version-controlled together and their versions are cross-referenced.</t>
        </is>
      </c>
      <c r="D77" s="8" t="inlineStr">
        <is>
          <t>Must</t>
        </is>
      </c>
      <c r="E77" s="8" t="inlineStr">
        <is>
          <t>Requester</t>
        </is>
      </c>
      <c r="F77" s="8" t="inlineStr">
        <is>
          <t>1-5</t>
        </is>
      </c>
    </row>
    <row r="78">
      <c r="A78" s="10" t="inlineStr">
        <is>
          <t>REQ-VC-02</t>
        </is>
      </c>
      <c r="B78" s="10" t="inlineStr">
        <is>
          <t>Version control</t>
        </is>
      </c>
      <c r="C78" s="11" t="inlineStr">
        <is>
          <t>The application displays its own version, and the version of the source data schema it expects.</t>
        </is>
      </c>
      <c r="D78" s="10" t="inlineStr">
        <is>
          <t>Must</t>
        </is>
      </c>
      <c r="E78" s="10" t="inlineStr">
        <is>
          <t>Requester</t>
        </is>
      </c>
      <c r="F78" s="10" t="inlineStr">
        <is>
          <t>4</t>
        </is>
      </c>
    </row>
    <row r="79">
      <c r="A79" s="8" t="inlineStr">
        <is>
          <t>REQ-VC-03</t>
        </is>
      </c>
      <c r="B79" s="8" t="inlineStr">
        <is>
          <t>Version control</t>
        </is>
      </c>
      <c r="C79" s="9" t="inlineStr">
        <is>
          <t>Loading a source file whose schema version is newer or older than the application expects produces a clear warning.</t>
        </is>
      </c>
      <c r="D79" s="8" t="inlineStr">
        <is>
          <t>Should</t>
        </is>
      </c>
      <c r="E79" s="8" t="inlineStr">
        <is>
          <t>Derived</t>
        </is>
      </c>
      <c r="F79" s="8" t="inlineStr">
        <is>
          <t>4</t>
        </is>
      </c>
    </row>
    <row r="80">
      <c r="A80" s="10" t="inlineStr">
        <is>
          <t>REQ-VC-04</t>
        </is>
      </c>
      <c r="B80" s="10" t="inlineStr">
        <is>
          <t>Version control</t>
        </is>
      </c>
      <c r="C80" s="11" t="inlineStr">
        <is>
          <t>Every document re-issue adds a version-history row stating what changed and why.</t>
        </is>
      </c>
      <c r="D80" s="10" t="inlineStr">
        <is>
          <t>Must</t>
        </is>
      </c>
      <c r="E80" s="10" t="inlineStr">
        <is>
          <t>Requester</t>
        </is>
      </c>
      <c r="F80" s="10" t="inlineStr">
        <is>
          <t>1-5</t>
        </is>
      </c>
    </row>
    <row r="81">
      <c r="A81" s="8" t="inlineStr">
        <is>
          <t>REQ-NFR-01</t>
        </is>
      </c>
      <c r="B81" s="8" t="inlineStr">
        <is>
          <t>Non-functional</t>
        </is>
      </c>
      <c r="C81" s="9" t="inlineStr">
        <is>
          <t>The application is built so later requirements can be added without restructuring: parsing, calculation and presentation are separated.</t>
        </is>
      </c>
      <c r="D81" s="8" t="inlineStr">
        <is>
          <t>Must</t>
        </is>
      </c>
      <c r="E81" s="8" t="inlineStr">
        <is>
          <t>Requester</t>
        </is>
      </c>
      <c r="F81" s="8" t="inlineStr">
        <is>
          <t>4</t>
        </is>
      </c>
    </row>
    <row r="82">
      <c r="A82" s="10" t="inlineStr">
        <is>
          <t>REQ-NFR-02</t>
        </is>
      </c>
      <c r="B82" s="10" t="inlineStr">
        <is>
          <t>Non-functional</t>
        </is>
      </c>
      <c r="C82" s="11" t="inlineStr">
        <is>
          <t>Works in Microsoft Edge and Google Chrome on Windows 10/11, offline.</t>
        </is>
      </c>
      <c r="D82" s="10" t="inlineStr">
        <is>
          <t>Must</t>
        </is>
      </c>
      <c r="E82" s="10" t="inlineStr">
        <is>
          <t>Q-05</t>
        </is>
      </c>
      <c r="F82" s="10" t="inlineStr">
        <is>
          <t>4</t>
        </is>
      </c>
    </row>
    <row r="83">
      <c r="A83" s="20" t="inlineStr">
        <is>
          <t>REQ-NFR-03</t>
        </is>
      </c>
      <c r="B83" s="20" t="inlineStr">
        <is>
          <t>Non-functional</t>
        </is>
      </c>
      <c r="C83" s="19" t="inlineStr">
        <is>
          <t>Handles 100 projects and 1,000 people, with the assignments that implies (order 8,000) over a 60-month horizon. Tables of that height are virtualised and the per-person chart aggregates rather than drawing a bar each - see REQ-DSH-09.</t>
        </is>
      </c>
      <c r="D83" s="20" t="inlineStr">
        <is>
          <t>Must</t>
        </is>
      </c>
      <c r="E83" s="20" t="inlineStr">
        <is>
          <t>S2-06</t>
        </is>
      </c>
      <c r="F83" s="20" t="inlineStr">
        <is>
          <t>4</t>
        </is>
      </c>
    </row>
    <row r="84">
      <c r="A84" s="10" t="inlineStr">
        <is>
          <t>REQ-NFR-04</t>
        </is>
      </c>
      <c r="B84" s="10" t="inlineStr">
        <is>
          <t>Non-functional</t>
        </is>
      </c>
      <c r="C84" s="11" t="inlineStr">
        <is>
          <t>No data leaves the PC: no network calls, no external CDN, no telemetry.</t>
        </is>
      </c>
      <c r="D84" s="10" t="inlineStr">
        <is>
          <t>Must</t>
        </is>
      </c>
      <c r="E84" s="10" t="inlineStr">
        <is>
          <t>Derived</t>
        </is>
      </c>
      <c r="F84" s="10" t="inlineStr">
        <is>
          <t>4</t>
        </is>
      </c>
    </row>
    <row r="85">
      <c r="A85" s="8" t="inlineStr">
        <is>
          <t>REQ-NFR-05</t>
        </is>
      </c>
      <c r="B85" s="8" t="inlineStr">
        <is>
          <t>Non-functional</t>
        </is>
      </c>
      <c r="C85" s="9" t="inlineStr">
        <is>
          <t>Dates are handled unambiguously (ISO yyyy-mm-dd internally) regardless of Windows regional settings.</t>
        </is>
      </c>
      <c r="D85" s="8" t="inlineStr">
        <is>
          <t>Must</t>
        </is>
      </c>
      <c r="E85" s="8" t="inlineStr">
        <is>
          <t>Derived</t>
        </is>
      </c>
      <c r="F85" s="8" t="inlineStr">
        <is>
          <t>4</t>
        </is>
      </c>
    </row>
    <row r="87">
      <c r="A87" s="5" t="inlineStr">
        <is>
          <t>Requirement count by priority</t>
        </is>
      </c>
    </row>
    <row r="88" ht="28" customHeight="1">
      <c r="A88" s="7" t="inlineStr">
        <is>
          <t>Priority</t>
        </is>
      </c>
      <c r="B88" s="7" t="inlineStr">
        <is>
          <t>Count</t>
        </is>
      </c>
    </row>
    <row r="89">
      <c r="A89" s="8" t="inlineStr">
        <is>
          <t>Must</t>
        </is>
      </c>
      <c r="B89" s="8">
        <f>COUNTIF(D5:D85,"Must")</f>
        <v/>
      </c>
    </row>
    <row r="90">
      <c r="A90" s="10" t="inlineStr">
        <is>
          <t>Should</t>
        </is>
      </c>
      <c r="B90" s="10">
        <f>COUNTIF(D5:D85,"Should")</f>
        <v/>
      </c>
    </row>
    <row r="91">
      <c r="A91" s="8" t="inlineStr">
        <is>
          <t>Could</t>
        </is>
      </c>
      <c r="B91" s="8">
        <f>COUNTIF(D5:D85,"Could")</f>
        <v/>
      </c>
    </row>
    <row r="92">
      <c r="A92" s="10" t="inlineStr">
        <is>
          <t>Total</t>
        </is>
      </c>
      <c r="B92" s="10">
        <f>COUNTA(A5:A85)</f>
        <v/>
      </c>
    </row>
    <row r="94">
      <c r="A94" s="16" t="inlineStr">
        <is>
          <t>47 requirements at v0.1, 58 at v0.2, 61 at v0.3, 63 at v0.4 and v1.0. v1.1 adds 2 and rewords 3, as a change against the approved baseline.</t>
        </is>
      </c>
    </row>
    <row r="95">
      <c r="A95" s="16" t="inlineStr">
        <is>
          <t>'Source' = Requester (in the original request), a Q-number (answered at v0.11 review), 'Reviewer v0.11' (added by the reviewer directly), Derived (engineering consequence), or a Decision ID from 07_Architecture.</t>
        </is>
      </c>
    </row>
    <row r="96">
      <c r="A96" s="3" t="inlineStr">
        <is>
          <t>Legend</t>
        </is>
      </c>
    </row>
    <row r="97">
      <c r="A97" s="12" t="inlineStr">
        <is>
          <t>Green = new in v0.2, added from your review answers.</t>
        </is>
      </c>
    </row>
    <row r="98">
      <c r="A98" s="13" t="inlineStr">
        <is>
          <t>Orange = changed in v0.2 as a consequence of your review.</t>
        </is>
      </c>
    </row>
    <row r="99">
      <c r="A99" s="14" t="inlineStr">
        <is>
          <t>Yellow = still needs your input.</t>
        </is>
      </c>
    </row>
  </sheetData>
  <dataValidations count="1">
    <dataValidation sqref="D5: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PeriodFTEStandard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2026-09-04T13:34:59Z</dcterms:created>
  <dcterms:modified xmlns:dcterms="http://purl.org/dc/terms/" xmlns:xsi="http://www.w3.org/2001/XMLSchema-instance" xsi:type="dcterms:W3CDTF">2026-09-04T13:34:59Z</dcterms:modified>
</cp:coreProperties>
</file>