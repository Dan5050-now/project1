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v0.4</t>
        </is>
      </c>
    </row>
    <row r="7" ht="30" customHeight="1">
      <c r="A7" s="3" t="inlineStr">
        <is>
          <t>Status</t>
        </is>
      </c>
      <c r="B7" s="4" t="inlineStr">
        <is>
          <t>DRAFT - issued for review round 4. Step 1 of 5. Windows-only, non-installed, shareable from a network folder, and single-writer: one editor at a time, everyone else reading. Nothing is built until Gate N1 is passed.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rounds 1 to 3 answered 2026-08-13; round 4 pending</t>
        </is>
      </c>
    </row>
    <row r="11" ht="30" customHeight="1">
      <c r="A11" s="3" t="inlineStr">
        <is>
          <t>Sharing model</t>
        </is>
      </c>
      <c r="B11"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2" ht="30" customHeight="1">
      <c r="A12" s="3" t="inlineStr">
        <is>
          <t>Fixed constraints</t>
        </is>
      </c>
      <c r="B12"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3" ht="30" customHeight="1">
      <c r="A13" s="3" t="inlineStr">
        <is>
          <t>Under consideration</t>
        </is>
      </c>
      <c r="B13" s="4" t="inlineStr">
        <is>
          <t>The application folder MAY sit on a SHARED NETWORK FOLDER (Q-N12, round 2). Planned for as though it will: several people running one copy is designed for on sheet 05, and it is what makes workspace locking (NR-STO-10) necessary rather than optional.</t>
        </is>
      </c>
    </row>
    <row r="14" ht="30" customHeight="1">
      <c r="A14" s="3" t="inlineStr">
        <is>
          <t>Relationship to the web application</t>
        </is>
      </c>
      <c r="B14" s="4" t="inlineStr">
        <is>
          <t>PARALLEL, NOT SUCCESSOR. The web application and its documents are complete and stay in service. This plan does not supersede, amend or retire any of them.</t>
        </is>
      </c>
    </row>
    <row r="15" ht="30" customHeight="1">
      <c r="A15" s="3" t="inlineStr">
        <is>
          <t>Governs</t>
        </is>
      </c>
      <c r="B15" s="4" t="inlineStr">
        <is>
          <t>A packaged desktop application built on the same calculation engine</t>
        </is>
      </c>
    </row>
    <row r="16" ht="30" customHeight="1">
      <c r="A16" s="3" t="inlineStr">
        <is>
          <t>Does NOT govern</t>
        </is>
      </c>
      <c r="B16" s="4" t="inlineStr">
        <is>
          <t>app/PRAP.html (application v1.24), which remains under PRAP_Development_Plan_v2.26.xlsx</t>
        </is>
      </c>
    </row>
    <row r="17" ht="30" customHeight="1">
      <c r="A17" s="3" t="inlineStr">
        <is>
          <t>Repository</t>
        </is>
      </c>
      <c r="B17" s="4" t="inlineStr">
        <is>
          <t>Dan5050-now/project1</t>
        </is>
      </c>
    </row>
    <row r="18" ht="30" customHeight="1">
      <c r="A18" s="3" t="inlineStr">
        <is>
          <t>Branch</t>
        </is>
      </c>
      <c r="B18" s="4" t="inlineStr">
        <is>
          <t>claude/project-resource-assignment-app-1vjdzh</t>
        </is>
      </c>
    </row>
    <row r="19" ht="30" customHeight="1">
      <c r="A19" s="3" t="inlineStr">
        <is>
          <t>Supersedes</t>
        </is>
      </c>
      <c r="B19" s="4" t="inlineStr">
        <is>
          <t>Nothing. This is a new document line, numbered from v0.1</t>
        </is>
      </c>
    </row>
    <row r="21">
      <c r="A21" s="5" t="inlineStr">
        <is>
          <t>Why a second plan rather than a new version of the first</t>
        </is>
      </c>
    </row>
    <row r="22">
      <c r="A22" s="6" t="inlineStr">
        <is>
          <t>The web application is finished, verified and about to be used. Folding a desktop rewrite into its plan would</t>
        </is>
      </c>
    </row>
    <row r="23">
      <c r="A23" s="6" t="inlineStr">
        <is>
          <t>put a completed, approved document back into draft, and would make it impossible to tell which requirements</t>
        </is>
      </c>
    </row>
    <row r="24">
      <c r="A24" s="6" t="inlineStr">
        <is>
          <t>the finished tool actually satisfies. Two plans keep both answers clean:</t>
        </is>
      </c>
    </row>
    <row r="25">
      <c r="A25" s="6" t="inlineStr"/>
    </row>
    <row r="26">
      <c r="A26" s="7" t="inlineStr">
        <is>
          <t xml:space="preserve">    PRAP_Development_Plan_v2.26.xlsx          the web application - CLOSED at Gate 4, going to Gate 5</t>
        </is>
      </c>
    </row>
    <row r="27">
      <c r="A27" s="7" t="inlineStr">
        <is>
          <t xml:space="preserve">    PRAP_NewApp_Development_Plan_v0.4.xlsx      the desktop application - OPEN at Step 1</t>
        </is>
      </c>
    </row>
    <row r="28">
      <c r="A28" s="6" t="inlineStr"/>
    </row>
    <row r="29">
      <c r="A29" s="6" t="inlineStr">
        <is>
          <t>They share one calculation engine and one data contract, and sheet 02 states exactly how that sharing is</t>
        </is>
      </c>
    </row>
    <row r="30">
      <c r="A30" s="6" t="inlineStr">
        <is>
          <t>kept honest. Everything else about them is independent: their own versions, their own gates, their own</t>
        </is>
      </c>
    </row>
    <row r="31">
      <c r="A31" s="6" t="inlineStr">
        <is>
          <t>approvals, their own release cycles.</t>
        </is>
      </c>
    </row>
    <row r="33">
      <c r="A33"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0.4</t>
        </is>
      </c>
      <c r="B5" s="11" t="inlineStr">
        <is>
          <t>2026-08-13</t>
        </is>
      </c>
      <c r="C5" s="11" t="inlineStr">
        <is>
          <t>Claude Code</t>
        </is>
      </c>
      <c r="D5" s="11" t="inlineStr">
        <is>
          <t>Pending</t>
        </is>
      </c>
      <c r="E5" s="12"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6">
      <c r="A6" s="13" t="inlineStr">
        <is>
          <t>0.3</t>
        </is>
      </c>
      <c r="B6" s="13" t="inlineStr">
        <is>
          <t>2026-08-13</t>
        </is>
      </c>
      <c r="C6" s="13" t="inlineStr">
        <is>
          <t>Claude Code</t>
        </is>
      </c>
      <c r="D6" s="13" t="inlineStr">
        <is>
          <t>Superseded</t>
        </is>
      </c>
      <c r="E6"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7">
      <c r="A7" s="15" t="inlineStr">
        <is>
          <t>0.2</t>
        </is>
      </c>
      <c r="B7" s="15" t="inlineStr">
        <is>
          <t>2026-08-13</t>
        </is>
      </c>
      <c r="C7" s="15" t="inlineStr">
        <is>
          <t>Claude Code</t>
        </is>
      </c>
      <c r="D7" s="15" t="inlineStr">
        <is>
          <t>Superseded</t>
        </is>
      </c>
      <c r="E7"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8">
      <c r="A8" s="13" t="inlineStr">
        <is>
          <t>0.1</t>
        </is>
      </c>
      <c r="B8" s="13" t="inlineStr">
        <is>
          <t>2026-08-13</t>
        </is>
      </c>
      <c r="C8" s="13" t="inlineStr">
        <is>
          <t>Claude Code</t>
        </is>
      </c>
      <c r="D8" s="13" t="inlineStr">
        <is>
          <t>Superseded</t>
        </is>
      </c>
      <c r="E8"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0">
      <c r="A10" s="5" t="inlineStr">
        <is>
          <t>Numbering rules for this document line</t>
        </is>
      </c>
    </row>
    <row r="11" ht="28" customHeight="1">
      <c r="A11" s="10" t="inlineStr">
        <is>
          <t>Version</t>
        </is>
      </c>
      <c r="B11" s="10" t="inlineStr">
        <is>
          <t>Meaning</t>
        </is>
      </c>
    </row>
    <row r="12">
      <c r="A12" s="15" t="inlineStr">
        <is>
          <t>v0.x</t>
        </is>
      </c>
      <c r="B12" s="16" t="inlineStr">
        <is>
          <t>Draft issues during Step 1 review rounds.</t>
        </is>
      </c>
    </row>
    <row r="13">
      <c r="A13" s="13" t="inlineStr">
        <is>
          <t>v1.0</t>
        </is>
      </c>
      <c r="B13" s="14" t="inlineStr">
        <is>
          <t>The approved baseline, set at Gate N1.</t>
        </is>
      </c>
    </row>
    <row r="14">
      <c r="A14" s="15" t="inlineStr">
        <is>
          <t>v1.x</t>
        </is>
      </c>
      <c r="B14" s="16" t="inlineStr">
        <is>
          <t>Approved changes against that baseline, each separately approved.</t>
        </is>
      </c>
    </row>
    <row r="15">
      <c r="A15" s="13" t="inlineStr">
        <is>
          <t>v2.0</t>
        </is>
      </c>
      <c r="B15" s="14" t="inlineStr">
        <is>
          <t>Reserved for a structural change, on the same rule the web plan used.</t>
        </is>
      </c>
    </row>
    <row r="17">
      <c r="A17" s="8" t="inlineStr">
        <is>
          <t>Gate prefixes are N1..N5 throughout this document, so a reference such as 'G4' can never be confused between the two plans.</t>
        </is>
      </c>
    </row>
    <row r="18">
      <c r="A18" s="3" t="inlineStr">
        <is>
          <t>Legend</t>
        </is>
      </c>
    </row>
    <row r="19">
      <c r="A19" s="17" t="inlineStr">
        <is>
          <t>Green = new to the desktop application; nothing in the web application corresponds to it.</t>
        </is>
      </c>
    </row>
    <row r="20">
      <c r="A20" s="18" t="inlineStr">
        <is>
          <t>Orange = inherited from the web application but deliberately changed here.</t>
        </is>
      </c>
    </row>
    <row r="21">
      <c r="A21"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NR-STO-01</t>
        </is>
      </c>
      <c r="B18" s="11" t="inlineStr">
        <is>
          <t>Storage</t>
        </is>
      </c>
      <c r="C18" s="12" t="inlineStr">
        <is>
          <t>Imported and hand-entered data survives closing the application. Reopening shows the same plan, with the same figures, without re-importing anything.</t>
        </is>
      </c>
      <c r="D18" s="11" t="inlineStr">
        <is>
          <t>Must</t>
        </is>
      </c>
      <c r="E18" s="12" t="inlineStr">
        <is>
          <t>Your instruction</t>
        </is>
      </c>
      <c r="F18" s="11" t="inlineStr">
        <is>
          <t>N4</t>
        </is>
      </c>
    </row>
    <row r="19">
      <c r="A19" s="11" t="inlineStr">
        <is>
          <t>NR-STO-02</t>
        </is>
      </c>
      <c r="B19" s="11" t="inlineStr">
        <is>
          <t>Storage</t>
        </is>
      </c>
      <c r="C19" s="12" t="inlineStr">
        <is>
          <t>The application owns a workspace file on disk. That file, not the source Excel workbook, is the working store from the moment data is imported into it.</t>
        </is>
      </c>
      <c r="D19" s="11" t="inlineStr">
        <is>
          <t>Must</t>
        </is>
      </c>
      <c r="E19" s="12" t="inlineStr">
        <is>
          <t>Derived from NR-STO-01</t>
        </is>
      </c>
      <c r="F19" s="11" t="inlineStr">
        <is>
          <t>N4</t>
        </is>
      </c>
    </row>
    <row r="20">
      <c r="A20" s="11" t="inlineStr">
        <is>
          <t>NR-STO-03</t>
        </is>
      </c>
      <c r="B20" s="11" t="inlineStr">
        <is>
          <t>Storage</t>
        </is>
      </c>
      <c r="C20" s="12" t="inlineStr">
        <is>
          <t>The workspace file is prap-source-data JSON - the same format the AI agent guide already documents - so a workspace can be read, written or generated by an AI agent with no new contract.</t>
        </is>
      </c>
      <c r="D20" s="11" t="inlineStr">
        <is>
          <t>Must</t>
        </is>
      </c>
      <c r="E20" s="12" t="inlineStr">
        <is>
          <t>Interoperability</t>
        </is>
      </c>
      <c r="F20" s="11" t="inlineStr">
        <is>
          <t>N4</t>
        </is>
      </c>
    </row>
    <row r="21">
      <c r="A21" s="11" t="inlineStr">
        <is>
          <t>NR-STO-04</t>
        </is>
      </c>
      <c r="B21" s="11" t="inlineStr">
        <is>
          <t>Storage</t>
        </is>
      </c>
      <c r="C21" s="12" t="inlineStr">
        <is>
          <t>A committed Save is written to disk before the application reports it as saved. A save that did not reach the disk is never reported as done.</t>
        </is>
      </c>
      <c r="D21" s="11" t="inlineStr">
        <is>
          <t>Must</t>
        </is>
      </c>
      <c r="E21" s="12" t="inlineStr">
        <is>
          <t>Data safety</t>
        </is>
      </c>
      <c r="F21" s="11" t="inlineStr">
        <is>
          <t>N4</t>
        </is>
      </c>
    </row>
    <row r="22">
      <c r="A22" s="11" t="inlineStr">
        <is>
          <t>NR-STO-05</t>
        </is>
      </c>
      <c r="B22" s="11" t="inlineStr">
        <is>
          <t>Storage</t>
        </is>
      </c>
      <c r="C22" s="12" t="inlineStr">
        <is>
          <t>Workspace writes are atomic: an interrupted write can never leave a workspace file that is neither the old contents nor the new.</t>
        </is>
      </c>
      <c r="D22" s="11" t="inlineStr">
        <is>
          <t>Must</t>
        </is>
      </c>
      <c r="E22" s="12" t="inlineStr">
        <is>
          <t>Data safety</t>
        </is>
      </c>
      <c r="F22" s="11" t="inlineStr">
        <is>
          <t>N4</t>
        </is>
      </c>
    </row>
    <row r="23">
      <c r="A23" s="11" t="inlineStr">
        <is>
          <t>NR-STO-06</t>
        </is>
      </c>
      <c r="B23" s="11" t="inlineStr">
        <is>
          <t>Storage</t>
        </is>
      </c>
      <c r="C23" s="12" t="inlineStr">
        <is>
          <t>The last N committed versions of a workspace are retained and can be restored from within the application. N is a setting, default 10.</t>
        </is>
      </c>
      <c r="D23" s="11" t="inlineStr">
        <is>
          <t>Should</t>
        </is>
      </c>
      <c r="E23" s="12" t="inlineStr">
        <is>
          <t>Data safety</t>
        </is>
      </c>
      <c r="F23" s="11" t="inlineStr">
        <is>
          <t>N4</t>
        </is>
      </c>
    </row>
    <row r="24">
      <c r="A24" s="11" t="inlineStr">
        <is>
          <t>NR-STO-07</t>
        </is>
      </c>
      <c r="B24" s="11" t="inlineStr">
        <is>
          <t>Storage</t>
        </is>
      </c>
      <c r="C24" s="12" t="inlineStr">
        <is>
          <t>Edits pending at the moment of a crash or power loss are recovered on the next launch, and the user is asked whether to keep or discard them.</t>
        </is>
      </c>
      <c r="D24" s="11" t="inlineStr">
        <is>
          <t>Should</t>
        </is>
      </c>
      <c r="E24" s="12" t="inlineStr">
        <is>
          <t>Data safety</t>
        </is>
      </c>
      <c r="F24" s="11" t="inlineStr">
        <is>
          <t>N4</t>
        </is>
      </c>
    </row>
    <row r="25">
      <c r="A25" s="11" t="inlineStr">
        <is>
          <t>NR-STO-08</t>
        </is>
      </c>
      <c r="B25" s="11" t="inlineStr">
        <is>
          <t>Storage</t>
        </is>
      </c>
      <c r="C25" s="12" t="inlineStr">
        <is>
          <t>Several workspaces may exist. The user chooses which to open, and may create a new empty one at any time.</t>
        </is>
      </c>
      <c r="D25" s="11" t="inlineStr">
        <is>
          <t>Must</t>
        </is>
      </c>
      <c r="E25" s="12" t="inlineStr">
        <is>
          <t>Scenario planning</t>
        </is>
      </c>
      <c r="F25" s="11" t="inlineStr">
        <is>
          <t>N4</t>
        </is>
      </c>
    </row>
    <row r="26">
      <c r="A26" s="11" t="inlineStr">
        <is>
          <t>NR-STO-09</t>
        </is>
      </c>
      <c r="B26" s="11" t="inlineStr">
        <is>
          <t>Storage</t>
        </is>
      </c>
      <c r="C26" s="12" t="inlineStr">
        <is>
          <t>A workspace records which source file it was imported from, when, and by which application version.</t>
        </is>
      </c>
      <c r="D26" s="11" t="inlineStr">
        <is>
          <t>Should</t>
        </is>
      </c>
      <c r="E26" s="12" t="inlineStr">
        <is>
          <t>Traceability</t>
        </is>
      </c>
      <c r="F26" s="11" t="inlineStr">
        <is>
          <t>N4</t>
        </is>
      </c>
    </row>
    <row r="27">
      <c r="A27" s="20" t="inlineStr">
        <is>
          <t>NR-STO-10</t>
        </is>
      </c>
      <c r="B27" s="20" t="inlineStr">
        <is>
          <t>Storage</t>
        </is>
      </c>
      <c r="C27" s="21" t="inlineStr">
        <is>
          <t>While one session is editing a workspace, no other session may update it. The claim is made when the FIRST EDIT is attempted - not when the workspace is opened - so that reading is never blocked.</t>
        </is>
      </c>
      <c r="D27" s="20" t="inlineStr">
        <is>
          <t>Must</t>
        </is>
      </c>
      <c r="E27" s="21" t="inlineStr">
        <is>
          <t>Your instruction, round 3</t>
        </is>
      </c>
      <c r="F27" s="20" t="inlineStr">
        <is>
          <t>N4</t>
        </is>
      </c>
    </row>
    <row r="28">
      <c r="A28" s="20" t="inlineStr">
        <is>
          <t>NR-STO-11</t>
        </is>
      </c>
      <c r="B28" s="20" t="inlineStr">
        <is>
          <t>Storage</t>
        </is>
      </c>
      <c r="C28" s="21" t="inlineStr">
        <is>
          <t>Reading is a full working mode, not a refusal: every figure, table, graph, filter and export is available to a session that does not hold the claim. Only writing to that workspace is withheld.</t>
        </is>
      </c>
      <c r="D28" s="20" t="inlineStr">
        <is>
          <t>Must</t>
        </is>
      </c>
      <c r="E28" s="21" t="inlineStr">
        <is>
          <t>Consequence of NR-STO-10</t>
        </is>
      </c>
      <c r="F28" s="20" t="inlineStr">
        <is>
          <t>N4</t>
        </is>
      </c>
    </row>
    <row r="29">
      <c r="A29" s="11" t="inlineStr">
        <is>
          <t>NR-STO-12</t>
        </is>
      </c>
      <c r="B29" s="11" t="inlineStr">
        <is>
          <t>Storage</t>
        </is>
      </c>
      <c r="C29" s="12" t="inlineStr">
        <is>
          <t>A session refused the claim is told WHO holds it, on which machine, and since when - never merely that the file is locked.</t>
        </is>
      </c>
      <c r="D29" s="11" t="inlineStr">
        <is>
          <t>Must</t>
        </is>
      </c>
      <c r="E29" s="12" t="inlineStr">
        <is>
          <t>Consequence of NR-STO-10</t>
        </is>
      </c>
      <c r="F29" s="11" t="inlineStr">
        <is>
          <t>N4</t>
        </is>
      </c>
    </row>
    <row r="30">
      <c r="A30" s="11" t="inlineStr">
        <is>
          <t>NR-STO-13</t>
        </is>
      </c>
      <c r="B30" s="11" t="inlineStr">
        <is>
          <t>Storage</t>
        </is>
      </c>
      <c r="C30" s="12" t="inlineStr">
        <is>
          <t>The claim is made by an operation that cannot be won by two sessions at once, even when they attempt it in the same instant and even across a network share.</t>
        </is>
      </c>
      <c r="D30" s="11" t="inlineStr">
        <is>
          <t>Must</t>
        </is>
      </c>
      <c r="E30" s="12" t="inlineStr">
        <is>
          <t>Correctness</t>
        </is>
      </c>
      <c r="F30" s="11" t="inlineStr">
        <is>
          <t>N4</t>
        </is>
      </c>
    </row>
    <row r="31">
      <c r="A31" s="11" t="inlineStr">
        <is>
          <t>NR-STO-14</t>
        </is>
      </c>
      <c r="B31" s="11" t="inlineStr">
        <is>
          <t>Storage</t>
        </is>
      </c>
      <c r="C31" s="12" t="inlineStr">
        <is>
          <t>A holding session refreshes its claim while it lives. A claim left by a session that has died is detectable as such, and may be taken over without anybody deleting a file by hand.</t>
        </is>
      </c>
      <c r="D31" s="11" t="inlineStr">
        <is>
          <t>Must</t>
        </is>
      </c>
      <c r="E31" s="12" t="inlineStr">
        <is>
          <t>Consequence of NR-STO-10</t>
        </is>
      </c>
      <c r="F31" s="11" t="inlineStr">
        <is>
          <t>N4</t>
        </is>
      </c>
    </row>
    <row r="32">
      <c r="A32" s="11" t="inlineStr">
        <is>
          <t>NR-STO-15</t>
        </is>
      </c>
      <c r="B32" s="11" t="inlineStr">
        <is>
          <t>Storage</t>
        </is>
      </c>
      <c r="C32" s="12" t="inlineStr">
        <is>
          <t>The claim ends when the holder saves and closes, discards their edits, or closes the application - and a session waiting to edit is offered it without having to reopen the workspace.</t>
        </is>
      </c>
      <c r="D32" s="11" t="inlineStr">
        <is>
          <t>Must</t>
        </is>
      </c>
      <c r="E32" s="12" t="inlineStr">
        <is>
          <t>Usability</t>
        </is>
      </c>
      <c r="F32" s="11" t="inlineStr">
        <is>
          <t>N4</t>
        </is>
      </c>
    </row>
    <row r="33">
      <c r="A33" s="11" t="inlineStr">
        <is>
          <t>NR-STO-16</t>
        </is>
      </c>
      <c r="B33" s="11" t="inlineStr">
        <is>
          <t>Storage</t>
        </is>
      </c>
      <c r="C33" s="12" t="inlineStr">
        <is>
          <t>A reading session notices when the workspace has changed on disk beneath it, says so, and offers to reload. It never presents figures it knows to be superseded as though they were current.</t>
        </is>
      </c>
      <c r="D33" s="11" t="inlineStr">
        <is>
          <t>Must</t>
        </is>
      </c>
      <c r="E33" s="12" t="inlineStr">
        <is>
          <t>Consequence of many readers</t>
        </is>
      </c>
      <c r="F33" s="11" t="inlineStr">
        <is>
          <t>N4</t>
        </is>
      </c>
    </row>
    <row r="34">
      <c r="A34" s="11" t="inlineStr">
        <is>
          <t>NR-STO-17</t>
        </is>
      </c>
      <c r="B34" s="11" t="inlineStr">
        <is>
          <t>Storage</t>
        </is>
      </c>
      <c r="C34" s="12" t="inlineStr">
        <is>
          <t>A session that cannot claim the workspace may still Save As a copy of its own, and may still export. Being unable to edit a shared plan never means being unable to work.</t>
        </is>
      </c>
      <c r="D34" s="11" t="inlineStr">
        <is>
          <t>Must</t>
        </is>
      </c>
      <c r="E34" s="12" t="inlineStr">
        <is>
          <t>Usability</t>
        </is>
      </c>
      <c r="F34" s="11" t="inlineStr">
        <is>
          <t>N4</t>
        </is>
      </c>
    </row>
    <row r="35">
      <c r="A35" s="11" t="inlineStr">
        <is>
          <t>NR-STO-18</t>
        </is>
      </c>
      <c r="B35" s="11" t="inlineStr">
        <is>
          <t>Storage</t>
        </is>
      </c>
      <c r="C35" s="12" t="inlineStr">
        <is>
          <t>Importing into a workspace is an edit and takes the claim like any other. It is the largest change the application can make, so it cannot be the one that bypasses the rule.</t>
        </is>
      </c>
      <c r="D35" s="11" t="inlineStr">
        <is>
          <t>Must</t>
        </is>
      </c>
      <c r="E35" s="12" t="inlineStr">
        <is>
          <t>Correctness</t>
        </is>
      </c>
      <c r="F35" s="11" t="inlineStr">
        <is>
          <t>N4</t>
        </is>
      </c>
    </row>
    <row r="36">
      <c r="A36" s="20" t="inlineStr">
        <is>
          <t>NR-IMP-01</t>
        </is>
      </c>
      <c r="B36" s="20" t="inlineStr">
        <is>
          <t>Import / export</t>
        </is>
      </c>
      <c r="C36" s="21" t="inlineStr">
        <is>
          <t>Import reads the Excel source workbook and prap-source-data JSON exactly as the web application does, using the same reader and reporting the same findings.</t>
        </is>
      </c>
      <c r="D36" s="20" t="inlineStr">
        <is>
          <t>Must</t>
        </is>
      </c>
      <c r="E36" s="21" t="inlineStr">
        <is>
          <t>Replaces nothing - REQ-IMP-01 inherited</t>
        </is>
      </c>
      <c r="F36" s="20" t="inlineStr">
        <is>
          <t>N4</t>
        </is>
      </c>
    </row>
    <row r="37">
      <c r="A37" s="20" t="inlineStr">
        <is>
          <t>NR-IMP-02</t>
        </is>
      </c>
      <c r="B37" s="20" t="inlineStr">
        <is>
          <t>Import / export</t>
        </is>
      </c>
      <c r="C37" s="21" t="inlineStr">
        <is>
          <t>Importing into a workspace that already holds data presents the differences and lets the user decide, per sheet, whether to replace, merge or skip. It never overwrites silently.</t>
        </is>
      </c>
      <c r="D37" s="20" t="inlineStr">
        <is>
          <t>Must</t>
        </is>
      </c>
      <c r="E37" s="21" t="inlineStr">
        <is>
          <t>New consequence of NR-STO-02</t>
        </is>
      </c>
      <c r="F37" s="20" t="inlineStr">
        <is>
          <t>N4</t>
        </is>
      </c>
    </row>
    <row r="38">
      <c r="A38" s="20" t="inlineStr">
        <is>
          <t>NR-IMP-03</t>
        </is>
      </c>
      <c r="B38" s="20" t="inlineStr">
        <is>
          <t>Import / export</t>
        </is>
      </c>
      <c r="C38" s="21" t="inlineStr">
        <is>
          <t>Export to Excel and to JSON produces byte-for-byte the same content the web application would produce from the same data.</t>
        </is>
      </c>
      <c r="D38" s="20" t="inlineStr">
        <is>
          <t>Must</t>
        </is>
      </c>
      <c r="E38" s="21" t="inlineStr">
        <is>
          <t>Parity</t>
        </is>
      </c>
      <c r="F38" s="20" t="inlineStr">
        <is>
          <t>N4</t>
        </is>
      </c>
    </row>
    <row r="39">
      <c r="A39" s="20" t="inlineStr">
        <is>
          <t>NR-IMP-04</t>
        </is>
      </c>
      <c r="B39" s="20" t="inlineStr">
        <is>
          <t>Import / export</t>
        </is>
      </c>
      <c r="C39" s="21" t="inlineStr">
        <is>
          <t>A workspace can be opened by dragging it onto the running application's window. Double-clicking a workspace file in Explorer does NOT open it, because a file association would require a registry entry that NR-DEP-06 forbids.</t>
        </is>
      </c>
      <c r="D39" s="20" t="inlineStr">
        <is>
          <t>Could</t>
        </is>
      </c>
      <c r="E39" s="21" t="inlineStr">
        <is>
          <t>Reduced by the non-installed rule</t>
        </is>
      </c>
      <c r="F39" s="20" t="inlineStr">
        <is>
          <t>N4</t>
        </is>
      </c>
    </row>
    <row r="40">
      <c r="A40" s="11" t="inlineStr">
        <is>
          <t>NR-PAR-01</t>
        </is>
      </c>
      <c r="B40" s="11" t="inlineStr">
        <is>
          <t>Parity</t>
        </is>
      </c>
      <c r="C40" s="12" t="inlineStr">
        <is>
          <t>The calculation engine, the validation rules and the period derivation are ONE implementation shared by both applications, not two copies kept in step by hand.</t>
        </is>
      </c>
      <c r="D40" s="11" t="inlineStr">
        <is>
          <t>Must</t>
        </is>
      </c>
      <c r="E40" s="12" t="inlineStr">
        <is>
          <t>Your instruction to keep both</t>
        </is>
      </c>
      <c r="F40" s="11" t="inlineStr">
        <is>
          <t>N2</t>
        </is>
      </c>
    </row>
    <row r="41">
      <c r="A41" s="11" t="inlineStr">
        <is>
          <t>NR-PAR-02</t>
        </is>
      </c>
      <c r="B41" s="11" t="inlineStr">
        <is>
          <t>Parity</t>
        </is>
      </c>
      <c r="C41" s="12" t="inlineStr">
        <is>
          <t>Given identical input, both applications produce identical figures, identical findings and identical exports. This is proven by an automated test, not asserted.</t>
        </is>
      </c>
      <c r="D41" s="11" t="inlineStr">
        <is>
          <t>Must</t>
        </is>
      </c>
      <c r="E41" s="12" t="inlineStr">
        <is>
          <t>Derived from NR-PAR-01</t>
        </is>
      </c>
      <c r="F41" s="11" t="inlineStr">
        <is>
          <t>N4</t>
        </is>
      </c>
    </row>
    <row r="42">
      <c r="A42" s="11" t="inlineStr">
        <is>
          <t>NR-PAR-03</t>
        </is>
      </c>
      <c r="B42" s="11" t="inlineStr">
        <is>
          <t>Parity</t>
        </is>
      </c>
      <c r="C42" s="12" t="inlineStr">
        <is>
          <t>The HTML application continues to be built from the shared engine and its behaviour is unchanged by the refactor, proven by the existing 13 suites passing unmodified.</t>
        </is>
      </c>
      <c r="D42" s="11" t="inlineStr">
        <is>
          <t>Must</t>
        </is>
      </c>
      <c r="E42" s="12" t="inlineStr">
        <is>
          <t>Protects the finished product</t>
        </is>
      </c>
      <c r="F42" s="11" t="inlineStr">
        <is>
          <t>N2</t>
        </is>
      </c>
    </row>
    <row r="43">
      <c r="A43" s="11" t="inlineStr">
        <is>
          <t>NR-PAR-04</t>
        </is>
      </c>
      <c r="B43" s="11" t="inlineStr">
        <is>
          <t>Parity</t>
        </is>
      </c>
      <c r="C43" s="12" t="inlineStr">
        <is>
          <t>Screen layout, wording and interaction match the web application except where a desktop convention requires otherwise, and every such difference is listed.</t>
        </is>
      </c>
      <c r="D43" s="11" t="inlineStr">
        <is>
          <t>Should</t>
        </is>
      </c>
      <c r="E43" s="12" t="inlineStr">
        <is>
          <t>Two tools, one habit</t>
        </is>
      </c>
      <c r="F43" s="11" t="inlineStr">
        <is>
          <t>N3</t>
        </is>
      </c>
    </row>
    <row r="44">
      <c r="A44" s="20" t="inlineStr">
        <is>
          <t>NR-DEP-01</t>
        </is>
      </c>
      <c r="B44" s="20" t="inlineStr">
        <is>
          <t>Deployment</t>
        </is>
      </c>
      <c r="C44" s="21" t="inlineStr">
        <is>
          <t>The application runs on Windows 10 and Windows 11, 64-bit. No other operating system is supported or tested.</t>
        </is>
      </c>
      <c r="D44" s="20" t="inlineStr">
        <is>
          <t>Must</t>
        </is>
      </c>
      <c r="E44" s="21" t="inlineStr">
        <is>
          <t>Your instruction</t>
        </is>
      </c>
      <c r="F44" s="20" t="inlineStr">
        <is>
          <t>N5</t>
        </is>
      </c>
    </row>
    <row r="45">
      <c r="A45" s="20" t="inlineStr">
        <is>
          <t>NR-DEP-02</t>
        </is>
      </c>
      <c r="B45" s="20" t="inlineStr">
        <is>
          <t>Deployment</t>
        </is>
      </c>
      <c r="C45" s="21" t="inlineStr">
        <is>
          <t>There is NO INSTALLER. The application is a folder that is copied to wherever the user wants it and run from there. It requires no administrator rights, at any point, for any purpose.</t>
        </is>
      </c>
      <c r="D45" s="20" t="inlineStr">
        <is>
          <t>Must</t>
        </is>
      </c>
      <c r="E45" s="21" t="inlineStr">
        <is>
          <t>Your instruction</t>
        </is>
      </c>
      <c r="F45" s="20" t="inlineStr">
        <is>
          <t>N5</t>
        </is>
      </c>
    </row>
    <row r="46">
      <c r="A46" s="20" t="inlineStr">
        <is>
          <t>NR-DEP-03</t>
        </is>
      </c>
      <c r="B46" s="20" t="inlineStr">
        <is>
          <t>Deployment</t>
        </is>
      </c>
      <c r="C46" s="21" t="inlineStr">
        <is>
          <t>Updating means replacing the application files inside that folder. No workspace, setting or recent-file entry is touched by an update, and a workspace written by an older version opens in a newer one.</t>
        </is>
      </c>
      <c r="D46" s="20" t="inlineStr">
        <is>
          <t>Must</t>
        </is>
      </c>
      <c r="E46" s="21" t="inlineStr">
        <is>
          <t>Data safety</t>
        </is>
      </c>
      <c r="F46" s="20" t="inlineStr">
        <is>
          <t>N5</t>
        </is>
      </c>
    </row>
    <row r="47">
      <c r="A47" s="11" t="inlineStr">
        <is>
          <t>NR-DEP-04</t>
        </is>
      </c>
      <c r="B47" s="11" t="inlineStr">
        <is>
          <t>Deployment</t>
        </is>
      </c>
      <c r="C47" s="12" t="inlineStr">
        <is>
          <t>A workspace written by a NEWER version than the running one is refused with a clear message rather than partially read.</t>
        </is>
      </c>
      <c r="D47" s="11" t="inlineStr">
        <is>
          <t>Must</t>
        </is>
      </c>
      <c r="E47" s="12" t="inlineStr">
        <is>
          <t>Data safety</t>
        </is>
      </c>
      <c r="F47" s="11" t="inlineStr">
        <is>
          <t>N4</t>
        </is>
      </c>
    </row>
    <row r="48">
      <c r="A48" s="11" t="inlineStr">
        <is>
          <t>NR-DEP-05</t>
        </is>
      </c>
      <c r="B48" s="11" t="inlineStr">
        <is>
          <t>Deployment</t>
        </is>
      </c>
      <c r="C48" s="12" t="inlineStr">
        <is>
          <t>The application folder is self-contained: it carries its own browser engine and every other dependency, and requires nothing to be present on the machine beyond Windows itself. Package size is not constrained.</t>
        </is>
      </c>
      <c r="D48" s="11" t="inlineStr">
        <is>
          <t>Must</t>
        </is>
      </c>
      <c r="E48" s="12" t="inlineStr">
        <is>
          <t>Your instruction</t>
        </is>
      </c>
      <c r="F48" s="11" t="inlineStr">
        <is>
          <t>N5</t>
        </is>
      </c>
    </row>
    <row r="49">
      <c r="A49" s="20" t="inlineStr">
        <is>
          <t>NR-DEP-06</t>
        </is>
      </c>
      <c r="B49" s="20" t="inlineStr">
        <is>
          <t>Deployment</t>
        </is>
      </c>
      <c r="C49"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49" s="20" t="inlineStr">
        <is>
          <t>Must</t>
        </is>
      </c>
      <c r="E49" s="21" t="inlineStr">
        <is>
          <t>Non-installed rule, amended for the shared folder</t>
        </is>
      </c>
      <c r="F49" s="20" t="inlineStr">
        <is>
          <t>N5</t>
        </is>
      </c>
    </row>
    <row r="50">
      <c r="A50" s="11" t="inlineStr">
        <is>
          <t>NR-DEP-07</t>
        </is>
      </c>
      <c r="B50" s="11" t="inlineStr">
        <is>
          <t>Deployment</t>
        </is>
      </c>
      <c r="C50" s="12" t="inlineStr">
        <is>
          <t>Deleting the folder removes the application completely, leaving no trace on the machine.</t>
        </is>
      </c>
      <c r="D50" s="11" t="inlineStr">
        <is>
          <t>Must</t>
        </is>
      </c>
      <c r="E50" s="12" t="inlineStr">
        <is>
          <t>Non-installed rule</t>
        </is>
      </c>
      <c r="F50" s="11" t="inlineStr">
        <is>
          <t>N5</t>
        </is>
      </c>
    </row>
    <row r="51">
      <c r="A51" s="11" t="inlineStr">
        <is>
          <t>NR-DEP-08</t>
        </is>
      </c>
      <c r="B51" s="11" t="inlineStr">
        <is>
          <t>Deployment</t>
        </is>
      </c>
      <c r="C51"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51" s="11" t="inlineStr">
        <is>
          <t>Must</t>
        </is>
      </c>
      <c r="E51" s="12" t="inlineStr">
        <is>
          <t>Non-installed rule</t>
        </is>
      </c>
      <c r="F51" s="11" t="inlineStr">
        <is>
          <t>N5</t>
        </is>
      </c>
    </row>
    <row r="52">
      <c r="A52" s="20" t="inlineStr">
        <is>
          <t>NR-DEP-09</t>
        </is>
      </c>
      <c r="B52" s="20" t="inlineStr">
        <is>
          <t>Deployment</t>
        </is>
      </c>
      <c r="C52" s="21" t="inlineStr">
        <is>
          <t>Where the application folder is read-only or shared - typically on a network folder - the application still runs, tells the user plainly that it cannot keep data beside itself, and keeps that data in a folder the user chooses instead.</t>
        </is>
      </c>
      <c r="D52" s="20" t="inlineStr">
        <is>
          <t>Must</t>
        </is>
      </c>
      <c r="E52" s="21" t="inlineStr">
        <is>
          <t>Raised from Should at round 2 - Q-N12</t>
        </is>
      </c>
      <c r="F52" s="20" t="inlineStr">
        <is>
          <t>N4</t>
        </is>
      </c>
    </row>
    <row r="53">
      <c r="A53" s="11" t="inlineStr">
        <is>
          <t>NR-DEP-10</t>
        </is>
      </c>
      <c r="B53" s="11" t="inlineStr">
        <is>
          <t>Deployment</t>
        </is>
      </c>
      <c r="C53"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53" s="11" t="inlineStr">
        <is>
          <t>Must</t>
        </is>
      </c>
      <c r="E53" s="12" t="inlineStr">
        <is>
          <t>Q-N12</t>
        </is>
      </c>
      <c r="F53" s="11" t="inlineStr">
        <is>
          <t>N4</t>
        </is>
      </c>
    </row>
    <row r="54">
      <c r="A54" s="11" t="inlineStr">
        <is>
          <t>NR-DEP-11</t>
        </is>
      </c>
      <c r="B54" s="11" t="inlineStr">
        <is>
          <t>Deployment</t>
        </is>
      </c>
      <c r="C54" s="12" t="inlineStr">
        <is>
          <t>Where several people run one shared copy, each has their own settings, recent list, backups and default workspace folder. No user can see, overwrite or lock out another through the application.</t>
        </is>
      </c>
      <c r="D54" s="11" t="inlineStr">
        <is>
          <t>Must</t>
        </is>
      </c>
      <c r="E54" s="12" t="inlineStr">
        <is>
          <t>Q-N12</t>
        </is>
      </c>
      <c r="F54" s="11" t="inlineStr">
        <is>
          <t>N4</t>
        </is>
      </c>
    </row>
    <row r="55">
      <c r="A55" s="11" t="inlineStr">
        <is>
          <t>NR-DEP-12</t>
        </is>
      </c>
      <c r="B55" s="11" t="inlineStr">
        <is>
          <t>Deployment</t>
        </is>
      </c>
      <c r="C55" s="12" t="inlineStr">
        <is>
          <t>The application can create a personal desktop shortcut, at the user's request, that carries their own --data path. This is how a shared copy is used day to day without being asked anything at launch.</t>
        </is>
      </c>
      <c r="D55" s="11" t="inlineStr">
        <is>
          <t>Should</t>
        </is>
      </c>
      <c r="E55" s="12" t="inlineStr">
        <is>
          <t>Q-N12</t>
        </is>
      </c>
      <c r="F55" s="11" t="inlineStr">
        <is>
          <t>N4</t>
        </is>
      </c>
    </row>
    <row r="56">
      <c r="A56" s="11" t="inlineStr">
        <is>
          <t>NR-DEP-13</t>
        </is>
      </c>
      <c r="B56" s="11" t="inlineStr">
        <is>
          <t>Deployment</t>
        </is>
      </c>
      <c r="C56" s="12" t="inlineStr">
        <is>
          <t>The application runs correctly when launched from a UNC path (\\server\share\PRAP) as well as from a mapped drive letter.</t>
        </is>
      </c>
      <c r="D56" s="11" t="inlineStr">
        <is>
          <t>Must</t>
        </is>
      </c>
      <c r="E56" s="12" t="inlineStr">
        <is>
          <t>Q-N12</t>
        </is>
      </c>
      <c r="F56" s="11" t="inlineStr">
        <is>
          <t>N5</t>
        </is>
      </c>
    </row>
    <row r="57">
      <c r="A57" s="11" t="inlineStr">
        <is>
          <t>NR-SEC-01</t>
        </is>
      </c>
      <c r="B57" s="11" t="inlineStr">
        <is>
          <t>Security</t>
        </is>
      </c>
      <c r="C57" s="12" t="inlineStr">
        <is>
          <t>No telemetry, no crash reporting to any server, no automatic update check, no font or script loaded from a remote host. Verified by observing that the packaged application opens no socket.</t>
        </is>
      </c>
      <c r="D57" s="11" t="inlineStr">
        <is>
          <t>Must</t>
        </is>
      </c>
      <c r="E57" s="12" t="inlineStr">
        <is>
          <t>Offline by requirement</t>
        </is>
      </c>
      <c r="F57" s="11" t="inlineStr">
        <is>
          <t>N5</t>
        </is>
      </c>
    </row>
    <row r="58">
      <c r="A58" s="11" t="inlineStr">
        <is>
          <t>NR-SEC-02</t>
        </is>
      </c>
      <c r="B58" s="11" t="inlineStr">
        <is>
          <t>Security</t>
        </is>
      </c>
      <c r="C58" s="12" t="inlineStr">
        <is>
          <t>The embedded browser engine runs with remote content disabled and Node integration off in the renderer, so a crafted workspace file cannot execute code.</t>
        </is>
      </c>
      <c r="D58" s="11" t="inlineStr">
        <is>
          <t>Must</t>
        </is>
      </c>
      <c r="E58" s="12" t="inlineStr">
        <is>
          <t>Standard hardening</t>
        </is>
      </c>
      <c r="F58" s="11" t="inlineStr">
        <is>
          <t>N4</t>
        </is>
      </c>
    </row>
    <row r="59">
      <c r="A59" s="11" t="inlineStr">
        <is>
          <t>NR-SEC-03</t>
        </is>
      </c>
      <c r="B59" s="11" t="inlineStr">
        <is>
          <t>Security</t>
        </is>
      </c>
      <c r="C59" s="12" t="inlineStr">
        <is>
          <t>Workspace files contain business data only - no credentials, no connection strings, nothing that would be sensitive if the file were mailed to a colleague.</t>
        </is>
      </c>
      <c r="D59" s="11" t="inlineStr">
        <is>
          <t>Must</t>
        </is>
      </c>
      <c r="E59" s="12" t="inlineStr">
        <is>
          <t>Data hygiene</t>
        </is>
      </c>
      <c r="F59" s="11" t="inlineStr">
        <is>
          <t>N2</t>
        </is>
      </c>
    </row>
    <row r="60">
      <c r="A60" s="20" t="inlineStr">
        <is>
          <t>NR-NFR-01</t>
        </is>
      </c>
      <c r="B60" s="20" t="inlineStr">
        <is>
          <t>Performance</t>
        </is>
      </c>
      <c r="C60" s="21" t="inlineStr">
        <is>
          <t>Launch to a usable window in under 5 seconds from a local disk, and reopening the last workspace adds no more than 2 seconds on the volumes in A-N01. Launch from a network folder is measured and stated rather than promised - see R-N12.</t>
        </is>
      </c>
      <c r="D60" s="20" t="inlineStr">
        <is>
          <t>Should</t>
        </is>
      </c>
      <c r="E60" s="21" t="inlineStr">
        <is>
          <t>Usability</t>
        </is>
      </c>
      <c r="F60" s="20" t="inlineStr">
        <is>
          <t>N4</t>
        </is>
      </c>
    </row>
    <row r="61">
      <c r="A61" s="11" t="inlineStr">
        <is>
          <t>NR-NFR-02</t>
        </is>
      </c>
      <c r="B61" s="11" t="inlineStr">
        <is>
          <t>Performance</t>
        </is>
      </c>
      <c r="C61" s="12" t="inlineStr">
        <is>
          <t>A Save completes in under 1 second at those volumes, so autosave is never felt.</t>
        </is>
      </c>
      <c r="D61" s="11" t="inlineStr">
        <is>
          <t>Should</t>
        </is>
      </c>
      <c r="E61" s="12" t="inlineStr">
        <is>
          <t>Usability</t>
        </is>
      </c>
      <c r="F61" s="11" t="inlineStr">
        <is>
          <t>N4</t>
        </is>
      </c>
    </row>
    <row r="63">
      <c r="A63" s="5" t="inlineStr">
        <is>
          <t>Count</t>
        </is>
      </c>
    </row>
    <row r="64" ht="28" customHeight="1">
      <c r="A64" s="10" t="inlineStr">
        <is>
          <t>Measure</t>
        </is>
      </c>
      <c r="B64" s="10" t="inlineStr">
        <is>
          <t>Count</t>
        </is>
      </c>
    </row>
    <row r="65">
      <c r="A65" s="15" t="inlineStr">
        <is>
          <t>Total requirements</t>
        </is>
      </c>
      <c r="B65" s="15">
        <f>COUNTA(A11:A61)</f>
        <v/>
      </c>
    </row>
    <row r="66">
      <c r="A66" s="13" t="inlineStr">
        <is>
          <t>Must</t>
        </is>
      </c>
      <c r="B66" s="13">
        <f>COUNTIF(D11:D61,"Must")</f>
        <v/>
      </c>
    </row>
    <row r="67">
      <c r="A67" s="15" t="inlineStr">
        <is>
          <t>Should</t>
        </is>
      </c>
      <c r="B67" s="15">
        <f>COUNTIF(D11:D61,"Should")</f>
        <v/>
      </c>
    </row>
    <row r="68">
      <c r="A68" s="13" t="inlineStr">
        <is>
          <t>Could</t>
        </is>
      </c>
      <c r="B68" s="13">
        <f>COUNTIF(D11:D61,"Could")</f>
        <v/>
      </c>
    </row>
    <row r="70">
      <c r="A70" s="8" t="inlineStr">
        <is>
          <t>Please mark any requirement you disagree with in the Priority column, or strike it out. The register is the contract for Steps 2 to 5, exactly as sheet 03 of the web plan was.</t>
        </is>
      </c>
    </row>
    <row r="71">
      <c r="A71" s="3" t="inlineStr">
        <is>
          <t>Legend</t>
        </is>
      </c>
    </row>
    <row r="72">
      <c r="A72" s="17" t="inlineStr">
        <is>
          <t>Green = new to the desktop application; nothing in the web application corresponds to it.</t>
        </is>
      </c>
    </row>
    <row r="73">
      <c r="A73" s="18" t="inlineStr">
        <is>
          <t>Orange = inherited from the web application but deliberately changed here.</t>
        </is>
      </c>
    </row>
    <row r="74">
      <c r="A74" s="19" t="inlineStr">
        <is>
          <t>Yellow = needs your decision before the work can proceed.</t>
        </is>
      </c>
    </row>
  </sheetData>
  <dataValidations count="1">
    <dataValidation sqref="D11:D61"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PRAP Desktop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6"/>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PRAP\                        &lt;- copy THIS folder anywhere; delete it to remove the application</t>
        </is>
      </c>
    </row>
    <row r="31">
      <c r="A31" s="7" t="inlineStr">
        <is>
          <t xml:space="preserve">      PRAP.exe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settings.json             &lt;- window state, recent workspaces, preferences</t>
        </is>
      </c>
    </row>
    <row r="36">
      <c r="A36" s="7" t="inlineStr">
        <is>
          <t xml:space="preserve">        workspaces\               &lt;- the default home for .prap files</t>
        </is>
      </c>
    </row>
    <row r="37">
      <c r="A37" s="7" t="inlineStr">
        <is>
          <t xml:space="preserve">        backups\                  &lt;- the retained previous versions (NR-STO-06)</t>
        </is>
      </c>
    </row>
    <row r="39" ht="28" customHeight="1">
      <c r="A39" s="10" t="inlineStr">
        <is>
          <t>Rule</t>
        </is>
      </c>
      <c r="B39" s="10" t="inlineStr">
        <is>
          <t>How it is upheld</t>
        </is>
      </c>
    </row>
    <row r="40">
      <c r="A40" s="16" t="inlineStr">
        <is>
          <t>An update replaces the application files and leaves data\ alone.</t>
        </is>
      </c>
      <c r="B40" s="16" t="inlineStr">
        <is>
          <t>Stated as a rule in the user guide AND enforced by the updater instructions: the delivered zip contains no data\ folder, so extracting it over an existing installation cannot overwrite one.</t>
        </is>
      </c>
    </row>
    <row r="41">
      <c r="A41" s="14" t="inlineStr">
        <is>
          <t>Workspaces default into data\workspaces\ but are not confined there.</t>
        </is>
      </c>
      <c r="B41" s="14" t="inlineStr">
        <is>
          <t>The user may save a workspace anywhere - a project folder, a network drive. The default simply means the application always has somewhere sensible to put one.</t>
        </is>
      </c>
    </row>
    <row r="42">
      <c r="A42" s="16" t="inlineStr">
        <is>
          <t>Paths in settings.json are relative wherever they can be.</t>
        </is>
      </c>
      <c r="B42" s="16" t="inlineStr">
        <is>
          <t>So copying the folder to another PC, or to a different drive letter, does not break the recent list (NR-DEP-08).</t>
        </is>
      </c>
    </row>
    <row r="43">
      <c r="A43" s="14" t="inlineStr">
        <is>
          <t>If the application folder is read-only, data\ cannot be created.</t>
        </is>
      </c>
      <c r="B43" s="14" t="inlineStr">
        <is>
          <t>The application says so plainly at first launch and asks the user where to keep data instead, remembering the answer next to nothing else - see R-N11 and NR-DEP-09.</t>
        </is>
      </c>
    </row>
    <row r="45">
      <c r="A45"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7">
      <c r="A47" s="5" t="inlineStr">
        <is>
          <t>When the folder is shared   [round 2: Q-N12]</t>
        </is>
      </c>
    </row>
    <row r="48">
      <c r="A48" s="6" t="inlineStr">
        <is>
          <t>One copy on a network folder, several people running it, is a sensible way to distribute a portable</t>
        </is>
      </c>
    </row>
    <row r="49">
      <c r="A49" s="6" t="inlineStr">
        <is>
          <t>application - and it breaks the simple layout above in two places. Both are cheap to solve now and</t>
        </is>
      </c>
    </row>
    <row r="50">
      <c r="A50" s="6" t="inlineStr">
        <is>
          <t>expensive to solve after somebody has lost an afternoon's work.</t>
        </is>
      </c>
    </row>
    <row r="51">
      <c r="A51" s="6" t="inlineStr"/>
    </row>
    <row r="52">
      <c r="A52" s="6" t="inlineStr">
        <is>
          <t xml:space="preserve">    1. SETTINGS COLLIDE.  One data\settings.json cannot hold two people's window sizes and recent lists.</t>
        </is>
      </c>
    </row>
    <row r="53">
      <c r="A53" s="6" t="inlineStr">
        <is>
          <t xml:space="preserve">    2. TWO WRITERS.       Two people open the same .prap file; the second Save silently discards the first.</t>
        </is>
      </c>
    </row>
    <row r="55">
      <c r="A55" s="8" t="inlineStr">
        <is>
          <t>Note that problem 2 exists as soon as workspaces are reachable by two people - which a shared folder makes likely even if the application itself is copied locally. So it is solved unconditionally, not only in the shared case.</t>
        </is>
      </c>
    </row>
    <row r="57">
      <c r="A57" s="5" t="inlineStr">
        <is>
          <t>Where the data folder is - resolved in one fixed order   [NR-DEP-10]</t>
        </is>
      </c>
    </row>
    <row r="58" ht="28" customHeight="1">
      <c r="A58" s="10" t="inlineStr">
        <is>
          <t>Order</t>
        </is>
      </c>
      <c r="B58" s="10" t="inlineStr">
        <is>
          <t>Source</t>
        </is>
      </c>
      <c r="C58" s="10" t="inlineStr">
        <is>
          <t>Why it is there</t>
        </is>
      </c>
      <c r="D58" s="10" t="inlineStr">
        <is>
          <t>Applies</t>
        </is>
      </c>
    </row>
    <row r="59">
      <c r="A59" s="15" t="inlineStr">
        <is>
          <t>1</t>
        </is>
      </c>
      <c r="B59" s="15" t="inlineStr">
        <is>
          <t>--data=&lt;path&gt; on the command line</t>
        </is>
      </c>
      <c r="C59" s="16" t="inlineStr">
        <is>
          <t>How a personal shortcut carries it. Explicit, visible, and belongs to the user rather than to the application.</t>
        </is>
      </c>
      <c r="D59" s="15" t="inlineStr">
        <is>
          <t>Always wins</t>
        </is>
      </c>
    </row>
    <row r="60">
      <c r="A60" s="13" t="inlineStr">
        <is>
          <t>2</t>
        </is>
      </c>
      <c r="B60" s="13" t="inlineStr">
        <is>
          <t>The PRAP_DATA environment variable</t>
        </is>
      </c>
      <c r="C60" s="14" t="inlineStr">
        <is>
          <t>For a site that wants to set it centrally, by login script or group policy.</t>
        </is>
      </c>
      <c r="D60" s="13" t="inlineStr">
        <is>
          <t>If no argument</t>
        </is>
      </c>
    </row>
    <row r="61">
      <c r="A61" s="15" t="inlineStr">
        <is>
          <t>3</t>
        </is>
      </c>
      <c r="B61" s="15" t="inlineStr">
        <is>
          <t>data\ beside the application</t>
        </is>
      </c>
      <c r="C61" s="16" t="inlineStr">
        <is>
          <t>The ordinary single-user case, and the reason a copied folder simply works.</t>
        </is>
      </c>
      <c r="D61" s="15" t="inlineStr">
        <is>
          <t>If writable, and not shared</t>
        </is>
      </c>
    </row>
    <row r="62">
      <c r="A62" s="13" t="inlineStr">
        <is>
          <t>4</t>
        </is>
      </c>
      <c r="B62" s="13" t="inlineStr">
        <is>
          <t>Ask the user, once</t>
        </is>
      </c>
      <c r="C62" s="14" t="inlineStr">
        <is>
          <t>The shared or read-only case. The answer is not written to a hidden file - the application offers to create a desktop shortcut carrying --data, so the choice lives somewhere the user can see, move and delete.</t>
        </is>
      </c>
      <c r="D62" s="13" t="inlineStr">
        <is>
          <t>Last resort</t>
        </is>
      </c>
    </row>
    <row r="64">
      <c r="A64"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6">
      <c r="A66" s="5" t="inlineStr">
        <is>
          <t>Two people, one workspace</t>
        </is>
      </c>
    </row>
    <row r="67">
      <c r="A67" s="8" t="inlineStr">
        <is>
          <t>Settled at review round 3 as SINGLE WRITER, MANY READERS, and given its own sheet: see 05a.</t>
        </is>
      </c>
    </row>
    <row r="69">
      <c r="A69" s="5" t="inlineStr">
        <is>
          <t>Writing safely</t>
        </is>
      </c>
    </row>
    <row r="70" ht="28" customHeight="1">
      <c r="A70" s="10" t="inlineStr">
        <is>
          <t>Step</t>
        </is>
      </c>
      <c r="B70" s="10" t="inlineStr">
        <is>
          <t>Action</t>
        </is>
      </c>
      <c r="C70" s="10" t="inlineStr">
        <is>
          <t>Why</t>
        </is>
      </c>
    </row>
    <row r="71">
      <c r="A71" s="15" t="inlineStr">
        <is>
          <t>1</t>
        </is>
      </c>
      <c r="B71" s="16" t="inlineStr">
        <is>
          <t>Serialise the committed model to JSON in memory.</t>
        </is>
      </c>
      <c r="C71" s="16" t="inlineStr">
        <is>
          <t>Nothing has touched the disk yet.</t>
        </is>
      </c>
    </row>
    <row r="72">
      <c r="A72" s="13" t="inlineStr">
        <is>
          <t>2</t>
        </is>
      </c>
      <c r="B72" s="14" t="inlineStr">
        <is>
          <t>Write it to a temporary file in the same directory, and flush it to the physical disk.</t>
        </is>
      </c>
      <c r="C72" s="14" t="inlineStr">
        <is>
          <t>Same directory, so the rename in step 4 cannot cross a filesystem boundary.</t>
        </is>
      </c>
    </row>
    <row r="73">
      <c r="A73" s="15" t="inlineStr">
        <is>
          <t>3</t>
        </is>
      </c>
      <c r="B73" s="16" t="inlineStr">
        <is>
          <t>Roll the current workspace file into the version history.</t>
        </is>
      </c>
      <c r="C73" s="16" t="inlineStr">
        <is>
          <t>This is what NR-STO-06 restores from.</t>
        </is>
      </c>
    </row>
    <row r="74">
      <c r="A74" s="13" t="inlineStr">
        <is>
          <t>4</t>
        </is>
      </c>
      <c r="B74" s="14" t="inlineStr">
        <is>
          <t>Rename the temporary file over the workspace file.</t>
        </is>
      </c>
      <c r="C74" s="14" t="inlineStr">
        <is>
          <t>A rename is atomic. The file is either wholly the old contents or wholly the new - never half of each (NR-STO-05).</t>
        </is>
      </c>
    </row>
    <row r="75">
      <c r="A75" s="15" t="inlineStr">
        <is>
          <t>5</t>
        </is>
      </c>
      <c r="B75" s="16" t="inlineStr">
        <is>
          <t>Only now report the save as done.</t>
        </is>
      </c>
      <c r="C75" s="16" t="inlineStr">
        <is>
          <t>NR-STO-04. Reporting a save that has not reached the disk is the one failure that would destroy trust in the whole feature.</t>
        </is>
      </c>
    </row>
    <row r="78">
      <c r="A78" s="8" t="inlineStr">
        <is>
          <t>Power loss at any point leaves a readable workspace: before step 4 the old one, after it the new one. A stray temporary file is detected and removed at the next launch.</t>
        </is>
      </c>
    </row>
    <row r="80">
      <c r="A80" s="5" t="inlineStr">
        <is>
          <t>How this meets the existing edit model</t>
        </is>
      </c>
    </row>
    <row r="81" ht="28" customHeight="1">
      <c r="A81" s="10" t="inlineStr">
        <is>
          <t>Event</t>
        </is>
      </c>
      <c r="B81" s="10" t="inlineStr">
        <is>
          <t>Behaviour</t>
        </is>
      </c>
      <c r="C81" s="10" t="inlineStr">
        <is>
          <t>Note</t>
        </is>
      </c>
    </row>
    <row r="82">
      <c r="A82" s="15" t="inlineStr">
        <is>
          <t>A pending edit</t>
        </is>
      </c>
      <c r="B82" s="16" t="inlineStr">
        <is>
          <t>Held exactly as today - snapshot taken before the first change.</t>
        </is>
      </c>
      <c r="C82" s="16" t="inlineStr">
        <is>
          <t>Nothing written to the workspace.</t>
        </is>
      </c>
    </row>
    <row r="83">
      <c r="A83" s="13" t="inlineStr">
        <is>
          <t>Save</t>
        </is>
      </c>
      <c r="B83" s="14" t="inlineStr">
        <is>
          <t>Commits as today, then writes the workspace.</t>
        </is>
      </c>
      <c r="C83" s="14" t="inlineStr">
        <is>
          <t>The existing Save is already the commit point, so persistence attaches to it with no new state.</t>
        </is>
      </c>
    </row>
    <row r="84">
      <c r="A84" s="15" t="inlineStr">
        <is>
          <t>Leave without change</t>
        </is>
      </c>
      <c r="B84" s="16" t="inlineStr">
        <is>
          <t>Reverts as today.</t>
        </is>
      </c>
      <c r="C84" s="16" t="inlineStr">
        <is>
          <t>Nothing is written, so nothing needs undoing on disk.</t>
        </is>
      </c>
    </row>
    <row r="85">
      <c r="A85" s="11" t="inlineStr">
        <is>
          <t>Autosave of PENDING edits</t>
        </is>
      </c>
      <c r="B85" s="12" t="inlineStr">
        <is>
          <t>Pending edits are journalled separately, not into the workspace.</t>
        </is>
      </c>
      <c r="C85" s="12" t="inlineStr">
        <is>
          <t>So an unexpected close can offer them back (NR-STO-07) without a half-finished edit ever becoming committed data.</t>
        </is>
      </c>
    </row>
    <row r="86">
      <c r="A86" s="11" t="inlineStr">
        <is>
          <t>Recovery</t>
        </is>
      </c>
      <c r="B86" s="12" t="inlineStr">
        <is>
          <t>At launch, a journal newer than the workspace prompts: keep these edits, or discard them.</t>
        </is>
      </c>
      <c r="C86" s="12" t="inlineStr">
        <is>
          <t>The user decides. Silently applying recovered edits would be worse than losing them.</t>
        </is>
      </c>
    </row>
    <row r="89">
      <c r="A89" s="8" t="inlineStr">
        <is>
          <t>The provisional-edit model built for the web application - snapshot, commit on Save, revert on Leave without change - turns out to be exactly the seam persistence needs. No part of it changes.</t>
        </is>
      </c>
    </row>
    <row r="91">
      <c r="A91" s="5" t="inlineStr">
        <is>
          <t>Re-importing over a workspace that already holds data</t>
        </is>
      </c>
    </row>
    <row r="92">
      <c r="A92" s="6" t="inlineStr">
        <is>
          <t>This is the one genuinely new decision the change forces, and it is the one most likely to lose somebody's</t>
        </is>
      </c>
    </row>
    <row r="93">
      <c r="A93" s="6" t="inlineStr">
        <is>
          <t>work if it is decided carelessly. Somebody else maintains the source workbook; you will have hand-entered</t>
        </is>
      </c>
    </row>
    <row r="94">
      <c r="A94" s="6" t="inlineStr">
        <is>
          <t>assignments in the workspace. A silent replace destroys them, and a silent merge hides that it happened.</t>
        </is>
      </c>
    </row>
    <row r="96" ht="28" customHeight="1">
      <c r="A96" s="10" t="inlineStr">
        <is>
          <t>Option</t>
        </is>
      </c>
      <c r="B96" s="10" t="inlineStr">
        <is>
          <t>For</t>
        </is>
      </c>
      <c r="C96" s="10" t="inlineStr">
        <is>
          <t>Against</t>
        </is>
      </c>
      <c r="D96" s="10" t="inlineStr">
        <is>
          <t>Status</t>
        </is>
      </c>
    </row>
    <row r="97">
      <c r="A97" s="15" t="inlineStr">
        <is>
          <t>Replace everything</t>
        </is>
      </c>
      <c r="B97" s="16" t="inlineStr">
        <is>
          <t>Simple.</t>
        </is>
      </c>
      <c r="C97" s="16" t="inlineStr">
        <is>
          <t>Destroys hand-entered data with no warning.</t>
        </is>
      </c>
      <c r="D97" s="15" t="inlineStr">
        <is>
          <t>Rejected</t>
        </is>
      </c>
    </row>
    <row r="98">
      <c r="A98" s="13" t="inlineStr">
        <is>
          <t>Merge by key, source wins</t>
        </is>
      </c>
      <c r="B98" s="14" t="inlineStr">
        <is>
          <t>Keeps rows the import does not mention.</t>
        </is>
      </c>
      <c r="C98" s="14" t="inlineStr">
        <is>
          <t>Silently changes rows you edited deliberately.</t>
        </is>
      </c>
      <c r="D98" s="13" t="inlineStr">
        <is>
          <t>Rejected</t>
        </is>
      </c>
    </row>
    <row r="99">
      <c r="A99" s="11" t="inlineStr">
        <is>
          <t>Show the differences, decide per sheet</t>
        </is>
      </c>
      <c r="B99" s="12" t="inlineStr">
        <is>
          <t>Nothing is lost without being seen. The user keeps authority over their own data.</t>
        </is>
      </c>
      <c r="C99" s="12" t="inlineStr">
        <is>
          <t>One more dialog to build and to pass through.</t>
        </is>
      </c>
      <c r="D99" s="11" t="inlineStr">
        <is>
          <t>PROPOSED - NR-IMP-02, decision N-07</t>
        </is>
      </c>
    </row>
    <row r="100">
      <c r="A100" s="13" t="inlineStr">
        <is>
          <t>Refuse; require a new workspace</t>
        </is>
      </c>
      <c r="B100" s="14" t="inlineStr">
        <is>
          <t>Impossible to lose anything.</t>
        </is>
      </c>
      <c r="C100" s="14" t="inlineStr">
        <is>
          <t>Makes the ordinary case - refreshed project dates - painful.</t>
        </is>
      </c>
      <c r="D100" s="13" t="inlineStr">
        <is>
          <t>Rejected</t>
        </is>
      </c>
    </row>
    <row r="102">
      <c r="A102" s="8" t="inlineStr">
        <is>
          <t>Q-N05 asks you to confirm this. It is worth a moment's thought: it is the one place in the design where the wrong choice quietly loses work.</t>
        </is>
      </c>
    </row>
    <row r="103">
      <c r="A103" s="3" t="inlineStr">
        <is>
          <t>Legend</t>
        </is>
      </c>
    </row>
    <row r="104">
      <c r="A104" s="17" t="inlineStr">
        <is>
          <t>Green = new to the desktop application; nothing in the web application corresponds to it.</t>
        </is>
      </c>
    </row>
    <row r="105">
      <c r="A105" s="18" t="inlineStr">
        <is>
          <t>Orange = inherited from the web application but deliberately changed here.</t>
        </is>
      </c>
    </row>
    <row r="106">
      <c r="A106"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5"/>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7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three intervals is presumed dead and may be taken over.</t>
        </is>
      </c>
      <c r="C31" s="14" t="inlineStr">
        <is>
          <t>Recovers from a crash, a power cut or a dropped network with nobody deleting a file by hand. The taking-over session says whose claim it is displacing.</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How a claim ends   [NR-STO-15]</t>
        </is>
      </c>
    </row>
    <row r="36" ht="28" customHeight="1">
      <c r="A36" s="10" t="inlineStr">
        <is>
          <t>Event</t>
        </is>
      </c>
      <c r="B36" s="10" t="inlineStr">
        <is>
          <t>What happens</t>
        </is>
      </c>
    </row>
    <row r="37">
      <c r="A37" s="16" t="inlineStr">
        <is>
          <t>The holder saves and closes the workspace.</t>
        </is>
      </c>
      <c r="B37" s="16" t="inlineStr">
        <is>
          <t>Released immediately. A waiting session is offered it without reopening anything.</t>
        </is>
      </c>
    </row>
    <row r="38">
      <c r="A38" s="14" t="inlineStr">
        <is>
          <t>The holder discards their edits (Leave without change).</t>
        </is>
      </c>
      <c r="B38" s="14" t="inlineStr">
        <is>
          <t>Released immediately - there is nothing to protect any more.</t>
        </is>
      </c>
    </row>
    <row r="39">
      <c r="A39" s="16" t="inlineStr">
        <is>
          <t>The holder closes the application.</t>
        </is>
      </c>
      <c r="B39" s="16" t="inlineStr">
        <is>
          <t>Released on the way out, including on an unexpected close where the application still gets to run.</t>
        </is>
      </c>
    </row>
    <row r="40">
      <c r="A40" s="14" t="inlineStr">
        <is>
          <t>The holder's session dies without warning.</t>
        </is>
      </c>
      <c r="B40" s="14" t="inlineStr">
        <is>
          <t>The heartbeat stops; after three missed intervals anybody may take it over.</t>
        </is>
      </c>
    </row>
    <row r="42">
      <c r="A42" s="8" t="inlineStr">
        <is>
          <t>The holder is NOT released merely by saving and continuing to work - that would hand the plan to somebody else mid-task. Saving keeps the claim; closing gives it up.</t>
        </is>
      </c>
    </row>
    <row r="44">
      <c r="A44" s="5" t="inlineStr">
        <is>
          <t>What this deliberately is not</t>
        </is>
      </c>
    </row>
    <row r="45" ht="28" customHeight="1">
      <c r="A45" s="10" t="inlineStr">
        <is>
          <t>Not this</t>
        </is>
      </c>
      <c r="B45" s="10" t="inlineStr">
        <is>
          <t>Why not</t>
        </is>
      </c>
    </row>
    <row r="46">
      <c r="A46" s="16" t="inlineStr">
        <is>
          <t>Row-level or section-level locking.</t>
        </is>
      </c>
      <c r="B46" s="16" t="inlineStr">
        <is>
          <t>Two people editing different parts of one plan at the same time is a different product, and it needs a merge model the storage format does not have. The claim covers the whole workspace (N-20).</t>
        </is>
      </c>
    </row>
    <row r="47">
      <c r="A47" s="14" t="inlineStr">
        <is>
          <t>Merging two people's changes.</t>
        </is>
      </c>
      <c r="B47" s="14" t="inlineStr">
        <is>
          <t>Out of scope, and it would change the file format. What is in scope is that no change is lost silently.</t>
        </is>
      </c>
    </row>
    <row r="48">
      <c r="A48" s="16" t="inlineStr">
        <is>
          <t>A queue of waiting editors.</t>
        </is>
      </c>
      <c r="B48" s="16" t="inlineStr">
        <is>
          <t>One waiting session is offered the claim when it frees. Beyond that, people can talk to each other.</t>
        </is>
      </c>
    </row>
    <row r="49">
      <c r="A49" s="14" t="inlineStr">
        <is>
          <t>An operating-system lock.</t>
        </is>
      </c>
      <c r="B49" s="14" t="inlineStr">
        <is>
          <t>A share may not honour one, and a lock left by a crash can need IT to clear it. The claim file plus a heartbeat fails softer and recovers by itself (N-21).</t>
        </is>
      </c>
    </row>
    <row r="51">
      <c r="A51" s="8" t="inlineStr">
        <is>
          <t>The requirement you gave - block other sessions from updating while somebody is editing - is met in full by the whole-workspace claim. Everything above that line would be building a collaborative editor, which is a different tool.</t>
        </is>
      </c>
    </row>
    <row r="52">
      <c r="A52" s="3" t="inlineStr">
        <is>
          <t>Legend</t>
        </is>
      </c>
    </row>
    <row r="53">
      <c r="A53" s="17" t="inlineStr">
        <is>
          <t>Green = new to the desktop application; nothing in the web application corresponds to it.</t>
        </is>
      </c>
    </row>
    <row r="54">
      <c r="A54" s="18" t="inlineStr">
        <is>
          <t>Orange = inherited from the web application but deliberately changed here.</t>
        </is>
      </c>
    </row>
    <row r="55">
      <c r="A55"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22" t="inlineStr">
        <is>
          <t>CONFIRM</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22" t="inlineStr">
        <is>
          <t>CONFIRM</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22" t="inlineStr">
        <is>
          <t>CONFIRM</t>
        </is>
      </c>
    </row>
    <row r="8">
      <c r="A8" s="13" t="inlineStr">
        <is>
          <t>N-04</t>
        </is>
      </c>
      <c r="B8" s="14" t="inlineStr">
        <is>
          <t>Many workspaces, chosen by the user, with a recent list.</t>
        </is>
      </c>
      <c r="C8" s="14" t="inlineStr">
        <is>
          <t>You plan scenarios. A single implicit workspace would force overwriting one plan to explore another.</t>
        </is>
      </c>
      <c r="D8" s="22" t="inlineStr">
        <is>
          <t>CONFIRM</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22" t="inlineStr">
        <is>
          <t>CONFIRM</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22" t="inlineStr">
        <is>
          <t>CONFIRM</t>
        </is>
      </c>
    </row>
    <row r="11">
      <c r="A11" s="15" t="inlineStr">
        <is>
          <t>N-07</t>
        </is>
      </c>
      <c r="B11" s="16" t="inlineStr">
        <is>
          <t>Re-import shows a difference and lets the user decide per sheet.</t>
        </is>
      </c>
      <c r="C11" s="16" t="inlineStr">
        <is>
          <t>The only option that cannot silently lose hand-entered work. See sheet 05.</t>
        </is>
      </c>
      <c r="D11" s="22" t="inlineStr">
        <is>
          <t>CONFIRM</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22" t="inlineStr">
        <is>
          <t>CONFIRM</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22" t="inlineStr">
        <is>
          <t>CONFIRM</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22" t="inlineStr">
        <is>
          <t>CONFIRM</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22" t="inlineStr">
        <is>
          <t>CONFIRM</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22" t="inlineStr">
        <is>
          <t>CONFIRM</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22" t="inlineStr">
        <is>
          <t>CONFIRM</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22" t="inlineStr">
        <is>
          <t>CONFIRM</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22" t="inlineStr">
        <is>
          <t>CONFIRM</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22" t="inlineStr">
        <is>
          <t>CONFIRM</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22" t="inlineStr">
        <is>
          <t>CONFIRM</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22" t="inlineStr">
        <is>
          <t>CONFIRM</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22" t="inlineStr">
        <is>
          <t>CONFIRM</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22" t="inlineStr">
        <is>
          <t>CONFIRM</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22" t="inlineStr">
        <is>
          <t>CONFIRM</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22" t="inlineStr">
        <is>
          <t>CONFIRM</t>
        </is>
      </c>
    </row>
    <row r="28">
      <c r="A28" s="8" t="inlineStr">
        <is>
          <t>Each of these is a decision I have taken provisionally so that Step 1 has something concrete to review. Change any of them in the Status column and the plan follows - none is expensive to reverse at this stage, and N-01 and N-02 become expensive after Gate N2.</t>
        </is>
      </c>
    </row>
    <row r="30">
      <c r="A30" s="5" t="inlineStr">
        <is>
          <t>Inherited and unchanged</t>
        </is>
      </c>
    </row>
    <row r="31">
      <c r="A3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2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PRAP_NewApp_Development_Plan_v0.4.xlsx</t>
        </is>
      </c>
      <c r="E5" s="15" t="inlineStr">
        <is>
          <t>Complete - issued for review</t>
        </is>
      </c>
    </row>
    <row r="6">
      <c r="A6" s="13" t="inlineStr">
        <is>
          <t>N1</t>
        </is>
      </c>
      <c r="B6" s="13" t="inlineStr">
        <is>
          <t>N1.2</t>
        </is>
      </c>
      <c r="C6" s="14" t="inlineStr">
        <is>
          <t>Requester reviews; answers Q-N01..Q-N11; confirms or changes decisions N-01..N-12.</t>
        </is>
      </c>
      <c r="D6" s="14" t="inlineStr">
        <is>
          <t>Reviewed mark-up</t>
        </is>
      </c>
      <c r="E6" s="13" t="inlineStr">
        <is>
          <t>Pending you</t>
        </is>
      </c>
    </row>
    <row r="7">
      <c r="A7" s="15" t="inlineStr">
        <is>
          <t>N1</t>
        </is>
      </c>
      <c r="B7" s="15" t="inlineStr">
        <is>
          <t>N1.3</t>
        </is>
      </c>
      <c r="C7" s="16" t="inlineStr">
        <is>
          <t>Apply the answers and re-issue.</t>
        </is>
      </c>
      <c r="D7" s="16" t="inlineStr">
        <is>
          <t>Plan v0.2</t>
        </is>
      </c>
      <c r="E7" s="15" t="inlineStr">
        <is>
          <t>Not started</t>
        </is>
      </c>
    </row>
    <row r="8">
      <c r="A8" s="13" t="inlineStr">
        <is>
          <t>N1</t>
        </is>
      </c>
      <c r="B8" s="13" t="inlineStr">
        <is>
          <t>GN1</t>
        </is>
      </c>
      <c r="C8" s="14" t="inlineStr">
        <is>
          <t>GATE N1 - development plan approved as the baseline.</t>
        </is>
      </c>
      <c r="D8" s="14" t="inlineStr">
        <is>
          <t>Plan v1.0</t>
        </is>
      </c>
      <c r="E8" s="13" t="inlineStr">
        <is>
          <t>Not started</t>
        </is>
      </c>
    </row>
    <row r="9">
      <c r="A9" s="15" t="inlineStr">
        <is>
          <t>N2</t>
        </is>
      </c>
      <c r="B9" s="15" t="inlineStr">
        <is>
          <t>N2.1</t>
        </is>
      </c>
      <c r="C9" s="16" t="inlineStr">
        <is>
          <t>Split the source into core / ui / storage / shell-web, with a build step that re-emits app/PRAP.html. NO behaviour change.</t>
        </is>
      </c>
      <c r="D9" s="16" t="inlineStr">
        <is>
          <t>Source tree + rebuilt PRAP.html</t>
        </is>
      </c>
      <c r="E9" s="15" t="inlineStr">
        <is>
          <t>Not started</t>
        </is>
      </c>
    </row>
    <row r="10">
      <c r="A10" s="13" t="inlineStr">
        <is>
          <t>N2</t>
        </is>
      </c>
      <c r="B10" s="13" t="inlineStr">
        <is>
          <t>N2.2</t>
        </is>
      </c>
      <c r="C10" s="14" t="inlineStr">
        <is>
          <t>Prove the refactor changed nothing: all 13 existing suites pass against the rebuilt HTML file, unmodified.</t>
        </is>
      </c>
      <c r="D10" s="14" t="inlineStr">
        <is>
          <t>Test evidence</t>
        </is>
      </c>
      <c r="E10" s="13" t="inlineStr">
        <is>
          <t>Not started</t>
        </is>
      </c>
    </row>
    <row r="11">
      <c r="A11" s="15" t="inlineStr">
        <is>
          <t>N2</t>
        </is>
      </c>
      <c r="B11" s="15" t="inlineStr">
        <is>
          <t>N2.3</t>
        </is>
      </c>
      <c r="C11" s="16" t="inlineStr">
        <is>
          <t>Specify the storage interface and the workspace file format.</t>
        </is>
      </c>
      <c r="D11" s="16" t="inlineStr">
        <is>
          <t>Specification sheet 'Storage'</t>
        </is>
      </c>
      <c r="E11" s="15" t="inlineStr">
        <is>
          <t>Not started</t>
        </is>
      </c>
    </row>
    <row r="12">
      <c r="A12" s="13" t="inlineStr">
        <is>
          <t>N2</t>
        </is>
      </c>
      <c r="B12" s="13" t="inlineStr">
        <is>
          <t>N2.4</t>
        </is>
      </c>
      <c r="C12" s="14" t="inlineStr">
        <is>
          <t>Specify the desktop shell: window, menus, dialogs, recent files, drag-and-drop, About.</t>
        </is>
      </c>
      <c r="D12" s="14" t="inlineStr">
        <is>
          <t>Specification sheet 'Shell'</t>
        </is>
      </c>
      <c r="E12" s="13" t="inlineStr">
        <is>
          <t>Not started</t>
        </is>
      </c>
    </row>
    <row r="13">
      <c r="A13" s="15" t="inlineStr">
        <is>
          <t>N2</t>
        </is>
      </c>
      <c r="B13" s="15" t="inlineStr">
        <is>
          <t>N2.5</t>
        </is>
      </c>
      <c r="C13" s="16" t="inlineStr">
        <is>
          <t>Specify save safety, version retention, journalling and recovery.</t>
        </is>
      </c>
      <c r="D13" s="16" t="inlineStr">
        <is>
          <t>Specification sheet 'Persistence'</t>
        </is>
      </c>
      <c r="E13" s="15" t="inlineStr">
        <is>
          <t>Not started</t>
        </is>
      </c>
    </row>
    <row r="14">
      <c r="A14" s="13" t="inlineStr">
        <is>
          <t>N2</t>
        </is>
      </c>
      <c r="B14" s="13" t="inlineStr">
        <is>
          <t>N2.6</t>
        </is>
      </c>
      <c r="C14" s="14" t="inlineStr">
        <is>
          <t>Specify the re-import difference dialog.</t>
        </is>
      </c>
      <c r="D14" s="14" t="inlineStr">
        <is>
          <t>Specification sheet 'Import'</t>
        </is>
      </c>
      <c r="E14" s="13" t="inlineStr">
        <is>
          <t>Not started</t>
        </is>
      </c>
    </row>
    <row r="15">
      <c r="A15" s="15" t="inlineStr">
        <is>
          <t>N2</t>
        </is>
      </c>
      <c r="B15" s="15" t="inlineStr">
        <is>
          <t>N2.7</t>
        </is>
      </c>
      <c r="C15" s="16" t="inlineStr">
        <is>
          <t>Specify packaging, deployment and update.</t>
        </is>
      </c>
      <c r="D15" s="16" t="inlineStr">
        <is>
          <t>Specification sheet 'Deployment'</t>
        </is>
      </c>
      <c r="E15" s="15" t="inlineStr">
        <is>
          <t>Not started</t>
        </is>
      </c>
    </row>
    <row r="16">
      <c r="A16" s="13" t="inlineStr">
        <is>
          <t>N2</t>
        </is>
      </c>
      <c r="B16" s="13" t="inlineStr">
        <is>
          <t>N2.8</t>
        </is>
      </c>
      <c r="C16" s="14" t="inlineStr">
        <is>
          <t>Traceability matrix: every NR-id to a specification section.</t>
        </is>
      </c>
      <c r="D16" s="14" t="inlineStr">
        <is>
          <t>Specification sheet 'Traceability'</t>
        </is>
      </c>
      <c r="E16" s="13" t="inlineStr">
        <is>
          <t>Not started</t>
        </is>
      </c>
    </row>
    <row r="17">
      <c r="A17" s="15" t="inlineStr">
        <is>
          <t>N2</t>
        </is>
      </c>
      <c r="B17" s="15" t="inlineStr">
        <is>
          <t>GN2</t>
        </is>
      </c>
      <c r="C17" s="16" t="inlineStr">
        <is>
          <t>GATE N2 - programming specification approved.</t>
        </is>
      </c>
      <c r="D17" s="16" t="inlineStr">
        <is>
          <t>PRAP_NewApp_Specification_v1.0.xlsx</t>
        </is>
      </c>
      <c r="E17" s="15" t="inlineStr">
        <is>
          <t>Not started</t>
        </is>
      </c>
    </row>
    <row r="18">
      <c r="A18" s="13" t="inlineStr">
        <is>
          <t>N3</t>
        </is>
      </c>
      <c r="B18" s="13" t="inlineStr">
        <is>
          <t>N3.1</t>
        </is>
      </c>
      <c r="C18" s="14" t="inlineStr">
        <is>
          <t>Desktop-specific UI design: menu structure, dialogs, the workspace-open screen, the recovery prompt, the difference view.</t>
        </is>
      </c>
      <c r="D18" s="14" t="inlineStr">
        <is>
          <t>Component list draft</t>
        </is>
      </c>
      <c r="E18" s="13" t="inlineStr">
        <is>
          <t>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N4.5</t>
        </is>
      </c>
      <c r="C29" s="16" t="inlineStr">
        <is>
          <t>Import into an occupied workspace: the difference view and the per-sheet decision.</t>
        </is>
      </c>
      <c r="D29" s="16" t="inlineStr">
        <is>
          <t>ui/</t>
        </is>
      </c>
      <c r="E29" s="15" t="inlineStr">
        <is>
          <t>Not started</t>
        </is>
      </c>
    </row>
    <row r="30">
      <c r="A30" s="13" t="inlineStr">
        <is>
          <t>N4</t>
        </is>
      </c>
      <c r="B30" s="13" t="inlineStr">
        <is>
          <t>N4.6</t>
        </is>
      </c>
      <c r="C30" s="14" t="inlineStr">
        <is>
          <t>Parity suite: identical input through both applications, identical figures, findings and exports.</t>
        </is>
      </c>
      <c r="D30" s="14" t="inlineStr">
        <is>
          <t>tools/test_parity.py</t>
        </is>
      </c>
      <c r="E30" s="13" t="inlineStr">
        <is>
          <t>Not started</t>
        </is>
      </c>
    </row>
    <row r="31">
      <c r="A31" s="15" t="inlineStr">
        <is>
          <t>N4</t>
        </is>
      </c>
      <c r="B31" s="15" t="inlineStr">
        <is>
          <t>N4.7</t>
        </is>
      </c>
      <c r="C31" s="16" t="inlineStr">
        <is>
          <t>Persistence suite: save, close, relaunch, verify; kill mid-write, verify; recover pending edits.</t>
        </is>
      </c>
      <c r="D31" s="16" t="inlineStr">
        <is>
          <t>tools/test_persist.py</t>
        </is>
      </c>
      <c r="E31" s="15" t="inlineStr">
        <is>
          <t>Not started</t>
        </is>
      </c>
    </row>
    <row r="32">
      <c r="A32" s="13" t="inlineStr">
        <is>
          <t>N4</t>
        </is>
      </c>
      <c r="B32" s="13" t="inlineStr">
        <is>
          <t>N4.8</t>
        </is>
      </c>
      <c r="C32" s="14" t="inlineStr">
        <is>
          <t>Requester reviews against real data; refinements folded in.</t>
        </is>
      </c>
      <c r="D32" s="14" t="inlineStr">
        <is>
          <t>Updated code</t>
        </is>
      </c>
      <c r="E32" s="13" t="inlineStr">
        <is>
          <t>Not started</t>
        </is>
      </c>
    </row>
    <row r="33">
      <c r="A33" s="15" t="inlineStr">
        <is>
          <t>N4</t>
        </is>
      </c>
      <c r="B33" s="15" t="inlineStr">
        <is>
          <t>GN4</t>
        </is>
      </c>
      <c r="C33" s="16" t="inlineStr">
        <is>
          <t>GATE N4 - application functionally complete.</t>
        </is>
      </c>
      <c r="D33" s="16" t="inlineStr">
        <is>
          <t>PRAP Desktop v0.9</t>
        </is>
      </c>
      <c r="E33" s="15" t="inlineStr">
        <is>
          <t>Not started</t>
        </is>
      </c>
    </row>
    <row r="34">
      <c r="A34" s="13" t="inlineStr">
        <is>
          <t>N5</t>
        </is>
      </c>
      <c r="B34" s="13" t="inlineStr">
        <is>
          <t>N5.1</t>
        </is>
      </c>
      <c r="C34" s="14" t="inlineStr">
        <is>
          <t>Package as a plain Windows folder delivered in a zip; verify it launches with no installation and no administrator rights.</t>
        </is>
      </c>
      <c r="D34" s="14" t="inlineStr">
        <is>
          <t>PRAP_Desktop_v&lt;ver&gt;.zip</t>
        </is>
      </c>
      <c r="E34" s="13" t="inlineStr">
        <is>
          <t>Not started</t>
        </is>
      </c>
    </row>
    <row r="35">
      <c r="A35" s="15" t="inlineStr">
        <is>
          <t>N5</t>
        </is>
      </c>
      <c r="B35" s="15" t="inlineStr">
        <is>
          <t>N5.2</t>
        </is>
      </c>
      <c r="C35" s="16" t="inlineStr">
        <is>
          <t>Verify no socket is opened, offline, for a full session (NR-SEC-01).</t>
        </is>
      </c>
      <c r="D35" s="16" t="inlineStr">
        <is>
          <t>Test evidence</t>
        </is>
      </c>
      <c r="E35" s="15" t="inlineStr">
        <is>
          <t>Not started</t>
        </is>
      </c>
    </row>
    <row r="36">
      <c r="A36" s="13" t="inlineStr">
        <is>
          <t>N5</t>
        </is>
      </c>
      <c r="B36" s="13" t="inlineStr">
        <is>
          <t>N5.3</t>
        </is>
      </c>
      <c r="C36" s="14" t="inlineStr">
        <is>
          <t>Portability suite: run the folder, then copy it to another path and another PC and run it again; verify the recent list and settings survive (NR-DEP-08).</t>
        </is>
      </c>
      <c r="D36" s="14" t="inlineStr">
        <is>
          <t>tools/test_portable.py</t>
        </is>
      </c>
      <c r="E36" s="13" t="inlineStr">
        <is>
          <t>Not started</t>
        </is>
      </c>
    </row>
    <row r="37">
      <c r="A37" s="15" t="inlineStr">
        <is>
          <t>N5</t>
        </is>
      </c>
      <c r="B37" s="15" t="inlineStr">
        <is>
          <t>N5.4</t>
        </is>
      </c>
      <c r="C37" s="16" t="inlineStr">
        <is>
          <t>Cleanliness check: record every file and registry key touched during a full session; verify nothing outside the application folder is written, and that deleting the folder leaves nothing behind (NR-DEP-06, NR-DEP-07).</t>
        </is>
      </c>
      <c r="D37" s="16" t="inlineStr">
        <is>
          <t>Test evidence</t>
        </is>
      </c>
      <c r="E37" s="15" t="inlineStr">
        <is>
          <t>Not started</t>
        </is>
      </c>
    </row>
    <row r="38">
      <c r="A38" s="13" t="inlineStr">
        <is>
          <t>N5</t>
        </is>
      </c>
      <c r="B38" s="13" t="inlineStr">
        <is>
          <t>N5.5</t>
        </is>
      </c>
      <c r="C38" s="14" t="inlineStr">
        <is>
          <t>Update check: extract a newer zip over an existing folder; verify workspaces, backups and settings are untouched (NR-DEP-03).</t>
        </is>
      </c>
      <c r="D38" s="14" t="inlineStr">
        <is>
          <t>Test evidence</t>
        </is>
      </c>
      <c r="E38" s="13" t="inlineStr">
        <is>
          <t>Not started</t>
        </is>
      </c>
    </row>
    <row r="39">
      <c r="A39" s="15" t="inlineStr">
        <is>
          <t>N5</t>
        </is>
      </c>
      <c r="B39" s="15" t="inlineStr">
        <is>
          <t>N5.6</t>
        </is>
      </c>
      <c r="C39" s="16" t="inlineStr">
        <is>
          <t>Awkward-location tests: a deeply nested path (R-N10), a read-only network folder (R-N11), and a UNC path (NR-DEP-13).</t>
        </is>
      </c>
      <c r="D39" s="16" t="inlineStr">
        <is>
          <t>Test evidence</t>
        </is>
      </c>
      <c r="E39" s="15" t="inlineStr">
        <is>
          <t>Not started</t>
        </is>
      </c>
    </row>
    <row r="40">
      <c r="A40" s="13" t="inlineStr">
        <is>
          <t>N5</t>
        </is>
      </c>
      <c r="B40" s="13" t="inlineStr">
        <is>
          <t>N5.6b</t>
        </is>
      </c>
      <c r="C40" s="14"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0" s="14" t="inlineStr">
        <is>
          <t>tools/test_shared.py</t>
        </is>
      </c>
      <c r="E40" s="13" t="inlineStr">
        <is>
          <t>Not started</t>
        </is>
      </c>
    </row>
    <row r="41">
      <c r="A41" s="15" t="inlineStr">
        <is>
          <t>N5</t>
        </is>
      </c>
      <c r="B41" s="15" t="inlineStr">
        <is>
          <t>N5.6c</t>
        </is>
      </c>
      <c r="C41" s="16" t="inlineStr">
        <is>
          <t>Measure launch time from a local disk and from a network folder, and state both in the user guide rather than promising one.</t>
        </is>
      </c>
      <c r="D41" s="16" t="inlineStr">
        <is>
          <t>Test evidence</t>
        </is>
      </c>
      <c r="E41" s="15" t="inlineStr">
        <is>
          <t>Not started</t>
        </is>
      </c>
    </row>
    <row r="42">
      <c r="A42" s="13" t="inlineStr">
        <is>
          <t>N5</t>
        </is>
      </c>
      <c r="B42" s="13" t="inlineStr">
        <is>
          <t>N5.7</t>
        </is>
      </c>
      <c r="C42" s="14" t="inlineStr">
        <is>
          <t>Run on a real company PC - the only place execution policy, SmartScreen and anti-virus can be judged.</t>
        </is>
      </c>
      <c r="D42" s="14" t="inlineStr">
        <is>
          <t>Test evidence</t>
        </is>
      </c>
      <c r="E42" s="13" t="inlineStr">
        <is>
          <t>Pending you</t>
        </is>
      </c>
    </row>
    <row r="43">
      <c r="A43" s="15" t="inlineStr">
        <is>
          <t>N5</t>
        </is>
      </c>
      <c r="B43" s="15" t="inlineStr">
        <is>
          <t>N5.8</t>
        </is>
      </c>
      <c r="C43" s="16" t="inlineStr">
        <is>
          <t>User guide: where to extract it, first launch and the SmartScreen prompt, workspaces, import and export, backup, updating, and what to do if it will not start.</t>
        </is>
      </c>
      <c r="D43" s="16" t="inlineStr">
        <is>
          <t>User guide</t>
        </is>
      </c>
      <c r="E43" s="15" t="inlineStr">
        <is>
          <t>Not started</t>
        </is>
      </c>
    </row>
    <row r="44">
      <c r="A44" s="13" t="inlineStr">
        <is>
          <t>N5</t>
        </is>
      </c>
      <c r="B44" s="13" t="inlineStr">
        <is>
          <t>N5.9</t>
        </is>
      </c>
      <c r="C44" s="14" t="inlineStr">
        <is>
          <t>Full pass over the traceability matrix; version alignment across both product lines.</t>
        </is>
      </c>
      <c r="D44" s="14" t="inlineStr">
        <is>
          <t>Traceability matrix</t>
        </is>
      </c>
      <c r="E44" s="13" t="inlineStr">
        <is>
          <t>Not started</t>
        </is>
      </c>
    </row>
    <row r="45">
      <c r="A45" s="15" t="inlineStr">
        <is>
          <t>N5</t>
        </is>
      </c>
      <c r="B45" s="15" t="inlineStr">
        <is>
          <t>GN5</t>
        </is>
      </c>
      <c r="C45" s="16" t="inlineStr">
        <is>
          <t>GATE N5 - release.</t>
        </is>
      </c>
      <c r="D45" s="16" t="inlineStr">
        <is>
          <t>PRAP Desktop v1.0</t>
        </is>
      </c>
      <c r="E45" s="15" t="inlineStr">
        <is>
          <t>Not started</t>
        </is>
      </c>
    </row>
    <row r="47">
      <c r="A47" s="5" t="inlineStr">
        <is>
          <t>Progress</t>
        </is>
      </c>
    </row>
    <row r="48" ht="28" customHeight="1">
      <c r="A48" s="10" t="inlineStr">
        <is>
          <t>Measure</t>
        </is>
      </c>
      <c r="B48" s="10" t="inlineStr">
        <is>
          <t>Count</t>
        </is>
      </c>
    </row>
    <row r="49">
      <c r="A49" s="15" t="inlineStr">
        <is>
          <t>Tasks total</t>
        </is>
      </c>
      <c r="B49" s="15">
        <f>COUNTA(B5:B45)</f>
        <v/>
      </c>
    </row>
    <row r="50">
      <c r="A50" s="13" t="inlineStr">
        <is>
          <t>Complete</t>
        </is>
      </c>
      <c r="B50" s="13">
        <f>COUNTIF(E5:E45,"Complete")+COUNTIF(E5:E45,"Complete - issued for review")</f>
        <v/>
      </c>
    </row>
    <row r="51">
      <c r="A51" s="15" t="inlineStr">
        <is>
          <t>Awaiting the requester</t>
        </is>
      </c>
      <c r="B51" s="15">
        <f>COUNTIF(E5:E45,"Pending you")</f>
        <v/>
      </c>
    </row>
    <row r="52">
      <c r="A52" s="13" t="inlineStr">
        <is>
          <t>Not started</t>
        </is>
      </c>
      <c r="B52" s="13">
        <f>COUNTIF(E5:E45,"Not started")</f>
        <v/>
      </c>
    </row>
    <row r="55">
      <c r="A55"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5"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1"/>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13 existing suites, unmodified, against the rebuilt app/PRAP.html.</t>
        </is>
      </c>
      <c r="C5" s="15" t="inlineStr">
        <is>
          <t>NR-PAR-03</t>
        </is>
      </c>
      <c r="D5" s="16" t="inlineStr">
        <is>
          <t>Automated, in this repository</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its claim expires on the heartbeat and another session can take it over, naming whose claim it displaced.</t>
        </is>
      </c>
      <c r="C20" s="20" t="inlineStr">
        <is>
          <t>NR-STO-14, R-N13</t>
        </is>
      </c>
      <c r="D20" s="21" t="inlineStr">
        <is>
          <t>Automated, at N5.6b</t>
        </is>
      </c>
    </row>
    <row r="21">
      <c r="A21" s="11" t="inlineStr">
        <is>
          <t>Nobody reads superseded figures unknowingly</t>
        </is>
      </c>
      <c r="B21" s="12" t="inlineStr">
        <is>
          <t>Save from one session; verify the other notices, says so, and offers the reload rather than continuing to show the old numbers.</t>
        </is>
      </c>
      <c r="C21" s="11" t="inlineStr">
        <is>
          <t>NR-STO-16</t>
        </is>
      </c>
      <c r="D21" s="12" t="inlineStr">
        <is>
          <t>Automated, at N5.6b</t>
        </is>
      </c>
    </row>
    <row r="22">
      <c r="A22" s="11" t="inlineStr">
        <is>
          <t>The share itself behaves</t>
        </is>
      </c>
      <c r="B22" s="12" t="inlineStr">
        <is>
          <t>Repeat the claim, heartbeat and staleness tests against the real network share, not a local folder.</t>
        </is>
      </c>
      <c r="C22" s="11" t="inlineStr">
        <is>
          <t>R-N14</t>
        </is>
      </c>
      <c r="D22" s="12" t="inlineStr">
        <is>
          <t>ONLY provable on your share, at N5.6b</t>
        </is>
      </c>
    </row>
    <row r="23">
      <c r="A23" s="11" t="inlineStr">
        <is>
          <t>It is allowed to run at all</t>
        </is>
      </c>
      <c r="B23" s="12" t="inlineStr">
        <is>
          <t>Launch it on a company-managed PC and see whether execution policy, SmartScreen or anti-virus stops it.</t>
        </is>
      </c>
      <c r="C23" s="11" t="inlineStr">
        <is>
          <t>R-N01, R-N09</t>
        </is>
      </c>
      <c r="D23" s="12" t="inlineStr">
        <is>
          <t>ONLY provable by you - see the risk sheet</t>
        </is>
      </c>
    </row>
    <row r="24">
      <c r="A24" s="13" t="inlineStr">
        <is>
          <t>The figures are right</t>
        </is>
      </c>
      <c r="B24" s="14" t="inlineStr">
        <is>
          <t>Inherited: the engine is already proven against the Python reference on all 1,225 person-months of the large dataset and 433 of the 10x10 dataset.</t>
        </is>
      </c>
      <c r="C24" s="13" t="inlineStr">
        <is>
          <t>Inherited</t>
        </is>
      </c>
      <c r="D24" s="14" t="inlineStr">
        <is>
          <t>Already done, and re-run by the parity suite</t>
        </is>
      </c>
    </row>
    <row r="27">
      <c r="A27"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28">
      <c r="A28" s="3" t="inlineStr">
        <is>
          <t>Legend</t>
        </is>
      </c>
    </row>
    <row r="29">
      <c r="A29" s="17" t="inlineStr">
        <is>
          <t>Green = new to the desktop application; nothing in the web application corresponds to it.</t>
        </is>
      </c>
    </row>
    <row r="30">
      <c r="A30" s="18" t="inlineStr">
        <is>
          <t>Orange = inherited from the web application but deliberately changed here.</t>
        </is>
      </c>
    </row>
    <row r="31">
      <c r="A31"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PRAP_Desktop_v&lt;ver&gt;.zip, extracting to a PRAP\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and still untestable from here. Being non-installed removes the administrator-rights half of this risk entirely, but not the execution-policy half: an allow-list judges what is being run, not how it got there. Q-N02 asks you to check with IT BEFORE Gate N1. If it happens,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1" t="inlineStr">
        <is>
          <t>R-N15</t>
        </is>
      </c>
      <c r="B19" s="12" t="inlineStr">
        <is>
          <t>A blocked user takes a Save As copy, works in it, and the plan quietly forks in two.</t>
        </is>
      </c>
      <c r="C19" s="11" t="inlineStr">
        <is>
          <t>Medium</t>
        </is>
      </c>
      <c r="D19" s="11" t="inlineStr">
        <is>
          <t>Medium</t>
        </is>
      </c>
      <c r="E19"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1">
      <c r="A21" s="5" t="inlineStr">
        <is>
          <t>Assumptions</t>
        </is>
      </c>
    </row>
    <row r="22" ht="28" customHeight="1">
      <c r="A22" s="10" t="inlineStr">
        <is>
          <t>ID</t>
        </is>
      </c>
      <c r="B22" s="10" t="inlineStr">
        <is>
          <t>Assumption</t>
        </is>
      </c>
      <c r="C22" s="10" t="inlineStr">
        <is>
          <t>Status</t>
        </is>
      </c>
    </row>
    <row r="23">
      <c r="A23" s="15" t="inlineStr">
        <is>
          <t>A-N01</t>
        </is>
      </c>
      <c r="B23" s="16" t="inlineStr">
        <is>
          <t>Data volume stays as assumed by the web plan - up to about 100 projects and 1,000 people.</t>
        </is>
      </c>
      <c r="C23" s="15" t="inlineStr">
        <is>
          <t>Inherited, standing</t>
        </is>
      </c>
    </row>
    <row r="24">
      <c r="A24" s="20" t="inlineStr">
        <is>
          <t>A-N02</t>
        </is>
      </c>
      <c r="B24" s="21" t="inlineStr">
        <is>
          <t>Windows 10 or 11, 64-bit, is the only target. macOS and Linux are out of scope.</t>
        </is>
      </c>
      <c r="C24" s="20" t="inlineStr">
        <is>
          <t>CONFIRMED at review round 1</t>
        </is>
      </c>
    </row>
    <row r="25">
      <c r="A25" s="11" t="inlineStr">
        <is>
          <t>A-N08</t>
        </is>
      </c>
      <c r="B25" s="12" t="inlineStr">
        <is>
          <t>The application is never installed: it is copied as a folder and run in place, and the machine is unchanged by its presence.</t>
        </is>
      </c>
      <c r="C25" s="11" t="inlineStr">
        <is>
          <t>CONFIRMED at review round 1</t>
        </is>
      </c>
    </row>
    <row r="26">
      <c r="A26" s="11" t="inlineStr">
        <is>
          <t>A-N09</t>
        </is>
      </c>
      <c r="B26" s="12" t="inlineStr">
        <is>
          <t>The user can extract a zip and run an executable from their own folder - i.e. no application allow-listing stands in the way.</t>
        </is>
      </c>
      <c r="C26" s="11" t="inlineStr">
        <is>
          <t>To confirm - Q-N02. The one assumption that could invalidate the whole approach</t>
        </is>
      </c>
    </row>
    <row r="27">
      <c r="A27" s="11" t="inlineStr">
        <is>
          <t>A-N10</t>
        </is>
      </c>
      <c r="B27" s="12" t="inlineStr">
        <is>
          <t>If a shared network folder is used, it is reachable whenever the application is needed. A plan kept only on an unreachable share cannot be opened.</t>
        </is>
      </c>
      <c r="C27" s="11" t="inlineStr">
        <is>
          <t>Standing - the user guide will recommend keeping working copies locally</t>
        </is>
      </c>
    </row>
    <row r="28">
      <c r="A28" s="20" t="inlineStr">
        <is>
          <t>A-N03</t>
        </is>
      </c>
      <c r="B28" s="21" t="inlineStr">
        <is>
          <t>One person works on a given workspace at a time - but the application no longer RELIES on it, because a shared folder makes it unsafe to assume.</t>
        </is>
      </c>
      <c r="C28" s="20" t="inlineStr">
        <is>
          <t>WITHDRAWN as an assumption at round 2; enforced by NR-STO-10 instead</t>
        </is>
      </c>
    </row>
    <row r="29">
      <c r="A29" s="15" t="inlineStr">
        <is>
          <t>A-N04</t>
        </is>
      </c>
      <c r="B29" s="16" t="inlineStr">
        <is>
          <t>Package size is unconstrained.</t>
        </is>
      </c>
      <c r="C29" s="15" t="inlineStr">
        <is>
          <t>CONFIRMED by your instruction, 2026-08-13</t>
        </is>
      </c>
    </row>
    <row r="30">
      <c r="A30" s="13" t="inlineStr">
        <is>
          <t>A-N05</t>
        </is>
      </c>
      <c r="B30" s="14" t="inlineStr">
        <is>
          <t>Both applications remain in service indefinitely; neither is a migration path away from the other.</t>
        </is>
      </c>
      <c r="C30" s="13" t="inlineStr">
        <is>
          <t>CONFIRMED by your instruction, 2026-08-13</t>
        </is>
      </c>
    </row>
    <row r="31">
      <c r="A31" s="15" t="inlineStr">
        <is>
          <t>A-N06</t>
        </is>
      </c>
      <c r="B31" s="16" t="inlineStr">
        <is>
          <t>The source Excel workbook continues to be maintained by hand, by someone other than the tool.</t>
        </is>
      </c>
      <c r="C31" s="15" t="inlineStr">
        <is>
          <t>Inherited A-04, standing</t>
        </is>
      </c>
    </row>
    <row r="32">
      <c r="A32" s="13" t="inlineStr">
        <is>
          <t>A-N07</t>
        </is>
      </c>
      <c r="B32" s="14" t="inlineStr">
        <is>
          <t>The user can copy a package into their own profile or a network share and run it from there.</t>
        </is>
      </c>
      <c r="C32" s="13" t="inlineStr">
        <is>
          <t>To confirm - Q-N02</t>
        </is>
      </c>
    </row>
    <row r="34">
      <c r="A34" s="3" t="inlineStr">
        <is>
          <t>Legend</t>
        </is>
      </c>
    </row>
    <row r="35">
      <c r="A35" s="17" t="inlineStr">
        <is>
          <t>Green = new to the desktop application; nothing in the web application corresponds to it.</t>
        </is>
      </c>
    </row>
    <row r="36">
      <c r="A36" s="18" t="inlineStr">
        <is>
          <t>Orange = inherited from the web application but deliberately changed here.</t>
        </is>
      </c>
    </row>
    <row r="37">
      <c r="A37"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3" t="inlineStr">
        <is>
          <t>Windows. CLOSED</t>
        </is>
      </c>
    </row>
    <row r="6">
      <c r="A6" s="20" t="inlineStr">
        <is>
          <t>Q-N02</t>
        </is>
      </c>
      <c r="B6" s="20" t="inlineStr">
        <is>
          <t>Deployment</t>
        </is>
      </c>
      <c r="C6" s="21" t="inlineStr">
        <is>
          <t>Can you extract a zip into your own folder and run the .exe inside it? Specifically: is there application allow-listing, and will anti-virus or SmartScreen let an unsigned executable run after a one-time warning? Worth asking IT rather than assuming.</t>
        </is>
      </c>
      <c r="D6" s="21" t="inlineStr">
        <is>
          <t>STILL THE HIGHEST-VALUE QUESTION, and narrowed by your instruction. Non-installed removes the administrator-rights half of the problem completely - nothing is written to Program Files or the registry. What remains is whether the machine will EXECUTE it. See R-N01 and R-N09.</t>
        </is>
      </c>
      <c r="E6" s="23" t="inlineStr"/>
    </row>
    <row r="7">
      <c r="A7" s="15" t="inlineStr">
        <is>
          <t>Q-N03</t>
        </is>
      </c>
      <c r="B7" s="15" t="inlineStr">
        <is>
          <t>Deployment</t>
        </is>
      </c>
      <c r="C7" s="16" t="inlineStr">
        <is>
          <t>If signing IS required, is a company code-signing certificate obtainable, and by whom?</t>
        </is>
      </c>
      <c r="D7" s="16" t="inlineStr">
        <is>
          <t>An IT purchase with a lead time, not a development task. Better known now than at Gate N5.</t>
        </is>
      </c>
      <c r="E7" s="23" t="inlineStr"/>
    </row>
    <row r="8">
      <c r="A8" s="13" t="inlineStr">
        <is>
          <t>Q-N04</t>
        </is>
      </c>
      <c r="B8" s="13" t="inlineStr">
        <is>
          <t>Storage</t>
        </is>
      </c>
      <c r="C8" s="14" t="inlineStr">
        <is>
          <t>Where should workspaces live by default - your user profile, or a shared network drive?</t>
        </is>
      </c>
      <c r="D8" s="14" t="inlineStr">
        <is>
          <t>A network drive raises file-locking and latency questions that are cheap to design for now and expensive later.</t>
        </is>
      </c>
      <c r="E8" s="23" t="inlineStr"/>
    </row>
    <row r="9">
      <c r="A9" s="15" t="inlineStr">
        <is>
          <t>Q-N05</t>
        </is>
      </c>
      <c r="B9" s="15" t="inlineStr">
        <is>
          <t>Storage</t>
        </is>
      </c>
      <c r="C9" s="16" t="inlineStr">
        <is>
          <t>When you re-import a source workbook over a workspace that already holds your hand-entered data, what should happen? The proposal is to show the differences and let you decide per sheet.</t>
        </is>
      </c>
      <c r="D9" s="16" t="inlineStr">
        <is>
          <t>The one design choice that can silently lose work. See sheet 05.</t>
        </is>
      </c>
      <c r="E9" s="23" t="inlineStr"/>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3" t="inlineStr">
        <is>
          <t>Superseded - no longer needs an answer</t>
        </is>
      </c>
    </row>
    <row r="11">
      <c r="A11" s="15" t="inlineStr">
        <is>
          <t>Q-N07</t>
        </is>
      </c>
      <c r="B11" s="15" t="inlineStr">
        <is>
          <t>Storage</t>
        </is>
      </c>
      <c r="C11" s="16" t="inlineStr">
        <is>
          <t>How many previous versions of a workspace should be retained, and for how long?</t>
        </is>
      </c>
      <c r="D11" s="16" t="inlineStr">
        <is>
          <t>Default proposed: the last 10. Retention costs only disk space.</t>
        </is>
      </c>
      <c r="E11" s="23" t="inlineStr"/>
    </row>
    <row r="12">
      <c r="A12" s="13" t="inlineStr">
        <is>
          <t>Q-N08</t>
        </is>
      </c>
      <c r="B12" s="13" t="inlineStr">
        <is>
          <t>Deployment</t>
        </is>
      </c>
      <c r="C12" s="14" t="inlineStr">
        <is>
          <t>How will updates reach you - a file you copy, a shared folder, or a software-distribution system?</t>
        </is>
      </c>
      <c r="D12" s="14" t="inlineStr">
        <is>
          <t>Decides whether the package needs to be distribution-system friendly, which affects how it is built.</t>
        </is>
      </c>
      <c r="E12" s="23" t="inlineStr"/>
    </row>
    <row r="13">
      <c r="A13" s="15" t="inlineStr">
        <is>
          <t>Q-N09</t>
        </is>
      </c>
      <c r="B13" s="15" t="inlineStr">
        <is>
          <t>Governance</t>
        </is>
      </c>
      <c r="C13" s="16" t="inlineStr">
        <is>
          <t>Does this tool fall under any internal validation or record-keeping obligation, given that it will now HOLD data rather than only display it?</t>
        </is>
      </c>
      <c r="D13" s="16" t="inlineStr">
        <is>
          <t>Holding data can change how a tool is treated in a regulated company. Cheaper to know at Step 1 than at release.</t>
        </is>
      </c>
      <c r="E13" s="23" t="inlineStr"/>
    </row>
    <row r="14">
      <c r="A14" s="13" t="inlineStr">
        <is>
          <t>Q-N10</t>
        </is>
      </c>
      <c r="B14" s="13" t="inlineStr">
        <is>
          <t>Scope</t>
        </is>
      </c>
      <c r="C14" s="14" t="inlineStr">
        <is>
          <t>Should the desktop application be able to open the same source workbook read-only, as the web application does, for a quick look without creating a workspace?</t>
        </is>
      </c>
      <c r="D14" s="14" t="inlineStr">
        <is>
          <t>A small feature, but it decides whether the workspace is mandatory or optional.</t>
        </is>
      </c>
      <c r="E14" s="23" t="inlineStr"/>
    </row>
    <row r="15">
      <c r="A15" s="20" t="inlineStr">
        <is>
          <t>Q-N11</t>
        </is>
      </c>
      <c r="B15" s="20" t="inlineStr">
        <is>
          <t>Naming</t>
        </is>
      </c>
      <c r="C15" s="21" t="inlineStr">
        <is>
          <t>What should the application be called on screen? 'PRAP' or something else?</t>
        </is>
      </c>
      <c r="D15" s="21" t="inlineStr">
        <is>
          <t>Cosmetic, but it appears in the folder name, the executable name and the window title. No longer affects a Start-menu entry or a file association, since the non-installed rule removes both.</t>
        </is>
      </c>
      <c r="E15" s="23" t="inlineStr"/>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3"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3" t="inlineStr">
        <is>
          <t>Not needed. CLOSED</t>
        </is>
      </c>
    </row>
    <row r="18">
      <c r="A18" s="11" t="inlineStr">
        <is>
          <t>Q-N14</t>
        </is>
      </c>
      <c r="B18" s="11" t="inlineStr">
        <is>
          <t>Deployment</t>
        </is>
      </c>
      <c r="C18" s="12" t="inlineStr">
        <is>
          <t>If the folder goes on a share, is that share where people RUN it from, or where they copy it from once and then run it locally?</t>
        </is>
      </c>
      <c r="D18" s="12" t="inlineStr">
        <is>
          <t>Decides how hard the launch-time problem is. Running from the share means pulling the whole application across the network at every launch (R-N12); copying it once means the share is simply distribution, and everything is fast. The plan supports both; the user guide should recommend the one you actually intend.</t>
        </is>
      </c>
      <c r="E18" s="23" t="inlineStr"/>
    </row>
    <row r="19">
      <c r="A19" s="11" t="inlineStr">
        <is>
          <t>Q-N15</t>
        </is>
      </c>
      <c r="B19" s="11" t="inlineStr">
        <is>
          <t>Deployment</t>
        </is>
      </c>
      <c r="C19" s="12" t="inlineStr">
        <is>
          <t>Would that share be writable by the people using it, or read-only?</t>
        </is>
      </c>
      <c r="D19" s="12" t="inlineStr">
        <is>
          <t>If writable, each user's data can sit in a per-user folder on the share and nothing else is needed. If read-only, every user needs their own data folder elsewhere and the shortcut in NR-DEP-12 becomes the normal way to launch, not an extra.</t>
        </is>
      </c>
      <c r="E19" s="23" t="inlineStr"/>
    </row>
    <row r="20">
      <c r="A20" s="11" t="inlineStr">
        <is>
          <t>Q-N16</t>
        </is>
      </c>
      <c r="B20" s="11" t="inlineStr">
        <is>
          <t>Sharing</t>
        </is>
      </c>
      <c r="C20" s="12" t="inlineStr">
        <is>
          <t>How long should a silent session hold a plan before others may take it over? The proposal is 90 seconds - three missed 30-second heartbeats.</t>
        </is>
      </c>
      <c r="D20" s="12" t="inlineStr">
        <is>
          <t>Too short and a slow network momentarily strands a working editor; too long and a crashed session blocks the team for a coffee break. 90 seconds is a starting point, not a conviction, and it is a setting rather than a constant.</t>
        </is>
      </c>
      <c r="E20" s="23" t="inlineStr"/>
    </row>
    <row r="21">
      <c r="A21" s="11" t="inlineStr">
        <is>
          <t>Q-N17</t>
        </is>
      </c>
      <c r="B21" s="11" t="inlineStr">
        <is>
          <t>Sharing</t>
        </is>
      </c>
      <c r="C21" s="12" t="inlineStr">
        <is>
          <t>When someone is blocked, should the application be able to tell the holder that another person is waiting?</t>
        </is>
      </c>
      <c r="D21" s="12" t="inlineStr">
        <is>
          <t>It is a small addition - a line in the claim file the holder's window reads - and it turns 'I cannot edit this' into 'they know I am waiting'. Left out of v0.4 because it is the first feature that treats the tool as a messaging channel, and that is your call rather than mine.</t>
        </is>
      </c>
      <c r="E21" s="23" t="inlineStr"/>
    </row>
    <row r="23">
      <c r="A23" s="8" t="inlineStr">
        <is>
          <t>Nothing here blocks drafting the specification except Q-N02, Q-N05 and Q-N06 - those three change the design rather than fill it in. The rest can be answered while Step 2 proceeds.</t>
        </is>
      </c>
    </row>
    <row r="24">
      <c r="A24" s="3" t="inlineStr">
        <is>
          <t>Legend</t>
        </is>
      </c>
    </row>
    <row r="25">
      <c r="A25" s="17" t="inlineStr">
        <is>
          <t>Green = new to the desktop application; nothing in the web application corresponds to it.</t>
        </is>
      </c>
    </row>
    <row r="26">
      <c r="A26" s="18" t="inlineStr">
        <is>
          <t>Orange = inherited from the web application but deliberately changed here.</t>
        </is>
      </c>
    </row>
    <row r="27">
      <c r="A27"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Open</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Open</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Open</t>
        </is>
      </c>
    </row>
    <row r="25">
      <c r="A25" s="5" t="inlineStr">
        <is>
          <t>Approval - Gate N1</t>
        </is>
      </c>
    </row>
    <row r="26" ht="28" customHeight="1">
      <c r="A26" s="10" t="inlineStr">
        <is>
          <t>Document</t>
        </is>
      </c>
      <c r="B26" s="10" t="inlineStr">
        <is>
          <t>Approver</t>
        </is>
      </c>
      <c r="C26" s="10" t="inlineStr">
        <is>
          <t>Date</t>
        </is>
      </c>
      <c r="D26" s="10" t="inlineStr">
        <is>
          <t>Decision</t>
        </is>
      </c>
    </row>
    <row r="27">
      <c r="A27" s="15" t="inlineStr">
        <is>
          <t>PRAP NewApp Development Plan v0.4</t>
        </is>
      </c>
      <c r="B27" s="22" t="inlineStr"/>
      <c r="C27" s="22" t="inlineStr"/>
      <c r="D27" s="16" t="inlineStr">
        <is>
          <t>Awaiting review. To approve: answer Q-N01..Q-N11 on sheet 11, confirm or change decisions N-01..N-12 on sheet 06, and mark any requirement on sheet 03 you disagree with.</t>
        </is>
      </c>
    </row>
    <row r="29">
      <c r="A29" s="8" t="inlineStr">
        <is>
          <t>STEP N1 IS OPEN. Nothing is built until this plan is approved - including the refactor, which touches the finished web application and therefore waits for the same gate as everything else.</t>
        </is>
      </c>
    </row>
  </sheetData>
  <dataValidations count="1">
    <dataValidation sqref="F5:F23"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2026-08-13T09:47:06Z</dcterms:created>
  <dcterms:modified xsi:type="dcterms:W3CDTF">2026-08-13T09:47:06Z</dcterms:modified>
</cp:coreProperties>
</file>