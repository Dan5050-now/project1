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Architecture" sheetId="5" state="visible" r:id="rId5"/>
    <sheet xmlns:r="http://schemas.openxmlformats.org/officeDocument/2006/relationships" name="05_Data_Flow" sheetId="6" state="visible" r:id="rId6"/>
    <sheet xmlns:r="http://schemas.openxmlformats.org/officeDocument/2006/relationships" name="05a_Sharing" sheetId="7" state="visible" r:id="rId7"/>
    <sheet xmlns:r="http://schemas.openxmlformats.org/officeDocument/2006/relationships" name="06_Decisions" sheetId="8" state="visible" r:id="rId8"/>
    <sheet xmlns:r="http://schemas.openxmlformats.org/officeDocument/2006/relationships" name="07_WBS_Schedule" sheetId="9" state="visible" r:id="rId9"/>
    <sheet xmlns:r="http://schemas.openxmlformats.org/officeDocument/2006/relationships" name="08_Verification" sheetId="10" state="visible" r:id="rId10"/>
    <sheet xmlns:r="http://schemas.openxmlformats.org/officeDocument/2006/relationships" name="09_Version_Control" sheetId="11" state="visible" r:id="rId11"/>
    <sheet xmlns:r="http://schemas.openxmlformats.org/officeDocument/2006/relationships" name="10_Risks" sheetId="12" state="visible" r:id="rId12"/>
    <sheet xmlns:r="http://schemas.openxmlformats.org/officeDocument/2006/relationships" name="10a_Delivery" sheetId="13" state="visible" r:id="rId13"/>
    <sheet xmlns:r="http://schemas.openxmlformats.org/officeDocument/2006/relationships" name="11_Open_Questions" sheetId="14" state="visible" r:id="rId14"/>
    <sheet xmlns:r="http://schemas.openxmlformats.org/officeDocument/2006/relationships"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v1.13</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PRAP_NewApp_Development_Plan_v1.13.xlsx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1.12</t>
        </is>
      </c>
      <c r="B5" s="11" t="inlineStr">
        <is>
          <t>2026-08-25</t>
        </is>
      </c>
      <c r="C5" s="11" t="inlineStr">
        <is>
          <t>Claude Code</t>
        </is>
      </c>
      <c r="D5" s="11" t="inlineStr">
        <is>
          <t>-</t>
        </is>
      </c>
      <c r="E5" s="12" t="inlineStr">
        <is>
          <t>THE DIFFERENCE REPORT IS BUILT - task N4.5, NR-IMP-02, and the last unbuilt piece of the approved specification. Importing a revised workbook over a plan somebody has been working in used to REPLACE it. Now it asks first, then shows what would change - rows to add, rows to change with the columns and both values, and rows the plan has that the file does not - and the user accepts or skips per sheet. The whole thing lands as PENDING EDITS, so it is undone by Leave without change and kept by Save, like every other change. The behaviour that mattered most is the one S-N04 named: an accepted sheet ADDS and CHANGES but never DELETES, so a row somebody typed by hand survives an import of a file that never heard of it. The engine is shared (src/core/06a_diff.js, pure); the SCREEN is in the Python shell alone, because the web application is feature-frozen at N-06 and has no workspace to merge into. Specification v1.4 records the six decisions inside it that could each have gone another way. Step N4 is now complete but for N4.4d and N4.4e, which the Python shell largely covers already.</t>
        </is>
      </c>
    </row>
    <row r="6">
      <c r="A6" s="13" t="inlineStr">
        <is>
          <t>1.11</t>
        </is>
      </c>
      <c r="B6" s="13" t="inlineStr">
        <is>
          <t>2026-08-22</t>
        </is>
      </c>
      <c r="C6" s="13" t="inlineStr">
        <is>
          <t>Claude Code</t>
        </is>
      </c>
      <c r="D6" s="13" t="inlineStr">
        <is>
          <t>-</t>
        </is>
      </c>
      <c r="E6" s="14"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7">
      <c r="A7" s="15" t="inlineStr">
        <is>
          <t>1.10</t>
        </is>
      </c>
      <c r="B7" s="15" t="inlineStr">
        <is>
          <t>2026-08-22</t>
        </is>
      </c>
      <c r="C7" s="15" t="inlineStr">
        <is>
          <t>Claude Code</t>
        </is>
      </c>
      <c r="D7" s="15" t="inlineStr">
        <is>
          <t>-</t>
        </is>
      </c>
      <c r="E7" s="16"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8">
      <c r="A8" s="13" t="inlineStr">
        <is>
          <t>1.9</t>
        </is>
      </c>
      <c r="B8" s="13" t="inlineStr">
        <is>
          <t>2026-08-18</t>
        </is>
      </c>
      <c r="C8" s="13" t="inlineStr">
        <is>
          <t>Claude Code</t>
        </is>
      </c>
      <c r="D8" s="13" t="inlineStr">
        <is>
          <t>-</t>
        </is>
      </c>
      <c r="E8" s="14"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9">
      <c r="A9" s="15" t="inlineStr">
        <is>
          <t>1.8</t>
        </is>
      </c>
      <c r="B9" s="15" t="inlineStr">
        <is>
          <t>2026-08-18</t>
        </is>
      </c>
      <c r="C9" s="15" t="inlineStr">
        <is>
          <t>Claude Code</t>
        </is>
      </c>
      <c r="D9" s="15" t="inlineStr">
        <is>
          <t>-</t>
        </is>
      </c>
      <c r="E9" s="16"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10">
      <c r="A10" s="13" t="inlineStr">
        <is>
          <t>1.7</t>
        </is>
      </c>
      <c r="B10" s="13" t="inlineStr">
        <is>
          <t>2026-08-15</t>
        </is>
      </c>
      <c r="C10" s="13" t="inlineStr">
        <is>
          <t>Claude Code</t>
        </is>
      </c>
      <c r="D10" s="13" t="inlineStr">
        <is>
          <t>-</t>
        </is>
      </c>
      <c r="E10" s="14"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1">
      <c r="A11" s="15" t="inlineStr">
        <is>
          <t>1.6</t>
        </is>
      </c>
      <c r="B11" s="15" t="inlineStr">
        <is>
          <t>2026-08-15</t>
        </is>
      </c>
      <c r="C11" s="15" t="inlineStr">
        <is>
          <t>Claude Code</t>
        </is>
      </c>
      <c r="D11" s="15" t="inlineStr">
        <is>
          <t>-</t>
        </is>
      </c>
      <c r="E11" s="16"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2">
      <c r="A12" s="13" t="inlineStr">
        <is>
          <t>1.5</t>
        </is>
      </c>
      <c r="B12" s="13" t="inlineStr">
        <is>
          <t>2026-08-13</t>
        </is>
      </c>
      <c r="C12" s="13" t="inlineStr">
        <is>
          <t>Claude Code</t>
        </is>
      </c>
      <c r="D12" s="13" t="inlineStr">
        <is>
          <t>-</t>
        </is>
      </c>
      <c r="E12" s="14"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3">
      <c r="A13" s="15" t="inlineStr">
        <is>
          <t>1.4</t>
        </is>
      </c>
      <c r="B13" s="15" t="inlineStr">
        <is>
          <t>2026-08-13</t>
        </is>
      </c>
      <c r="C13" s="15" t="inlineStr">
        <is>
          <t>Claude Code</t>
        </is>
      </c>
      <c r="D13" s="15" t="inlineStr">
        <is>
          <t>APPROVED</t>
        </is>
      </c>
      <c r="E13" s="16"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4">
      <c r="A14" s="13" t="inlineStr">
        <is>
          <t>1.3</t>
        </is>
      </c>
      <c r="B14" s="13" t="inlineStr">
        <is>
          <t>2026-08-13</t>
        </is>
      </c>
      <c r="C14" s="13" t="inlineStr">
        <is>
          <t>Claude Code</t>
        </is>
      </c>
      <c r="D14" s="13" t="inlineStr">
        <is>
          <t>Superseded</t>
        </is>
      </c>
      <c r="E14" s="14"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5">
      <c r="A15" s="15" t="inlineStr">
        <is>
          <t>1.2</t>
        </is>
      </c>
      <c r="B15" s="15" t="inlineStr">
        <is>
          <t>2026-08-13</t>
        </is>
      </c>
      <c r="C15" s="15" t="inlineStr">
        <is>
          <t>Claude Code</t>
        </is>
      </c>
      <c r="D15" s="15" t="inlineStr">
        <is>
          <t>-</t>
        </is>
      </c>
      <c r="E15" s="16"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6">
      <c r="A16" s="13" t="inlineStr">
        <is>
          <t>1.1</t>
        </is>
      </c>
      <c r="B16" s="13" t="inlineStr">
        <is>
          <t>2026-08-13</t>
        </is>
      </c>
      <c r="C16" s="13" t="inlineStr">
        <is>
          <t>Claude Code</t>
        </is>
      </c>
      <c r="D16" s="13" t="inlineStr">
        <is>
          <t>-</t>
        </is>
      </c>
      <c r="E16" s="14"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7">
      <c r="A17" s="15" t="inlineStr">
        <is>
          <t>1.0</t>
        </is>
      </c>
      <c r="B17" s="15" t="inlineStr">
        <is>
          <t>2026-08-13</t>
        </is>
      </c>
      <c r="C17" s="15" t="inlineStr">
        <is>
          <t>Claude Code</t>
        </is>
      </c>
      <c r="D17" s="15" t="inlineStr">
        <is>
          <t>APPROVED</t>
        </is>
      </c>
      <c r="E17" s="16"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8">
      <c r="A18" s="13" t="inlineStr">
        <is>
          <t>0.7</t>
        </is>
      </c>
      <c r="B18" s="13" t="inlineStr">
        <is>
          <t>2026-08-13</t>
        </is>
      </c>
      <c r="C18" s="13" t="inlineStr">
        <is>
          <t>Claude Code</t>
        </is>
      </c>
      <c r="D18" s="13" t="inlineStr">
        <is>
          <t>Superseded</t>
        </is>
      </c>
      <c r="E18" s="14"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9">
      <c r="A19" s="15" t="inlineStr">
        <is>
          <t>0.6</t>
        </is>
      </c>
      <c r="B19" s="15" t="inlineStr">
        <is>
          <t>2026-08-13</t>
        </is>
      </c>
      <c r="C19" s="15" t="inlineStr">
        <is>
          <t>Claude Code</t>
        </is>
      </c>
      <c r="D19" s="15" t="inlineStr">
        <is>
          <t>Superseded</t>
        </is>
      </c>
      <c r="E19" s="16"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20">
      <c r="A20" s="13" t="inlineStr">
        <is>
          <t>0.5</t>
        </is>
      </c>
      <c r="B20" s="13" t="inlineStr">
        <is>
          <t>2026-08-13</t>
        </is>
      </c>
      <c r="C20" s="13" t="inlineStr">
        <is>
          <t>Claude Code</t>
        </is>
      </c>
      <c r="D20" s="13" t="inlineStr">
        <is>
          <t>Superseded</t>
        </is>
      </c>
      <c r="E20" s="14"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1">
      <c r="A21" s="15" t="inlineStr">
        <is>
          <t>0.4</t>
        </is>
      </c>
      <c r="B21" s="15" t="inlineStr">
        <is>
          <t>2026-08-13</t>
        </is>
      </c>
      <c r="C21" s="15" t="inlineStr">
        <is>
          <t>Claude Code</t>
        </is>
      </c>
      <c r="D21" s="15" t="inlineStr">
        <is>
          <t>Superseded</t>
        </is>
      </c>
      <c r="E21" s="16"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2">
      <c r="A22" s="13" t="inlineStr">
        <is>
          <t>0.3</t>
        </is>
      </c>
      <c r="B22" s="13" t="inlineStr">
        <is>
          <t>2026-08-13</t>
        </is>
      </c>
      <c r="C22" s="13" t="inlineStr">
        <is>
          <t>Claude Code</t>
        </is>
      </c>
      <c r="D22" s="13" t="inlineStr">
        <is>
          <t>Superseded</t>
        </is>
      </c>
      <c r="E22" s="14"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3">
      <c r="A23" s="15" t="inlineStr">
        <is>
          <t>0.2</t>
        </is>
      </c>
      <c r="B23" s="15" t="inlineStr">
        <is>
          <t>2026-08-13</t>
        </is>
      </c>
      <c r="C23" s="15" t="inlineStr">
        <is>
          <t>Claude Code</t>
        </is>
      </c>
      <c r="D23" s="15" t="inlineStr">
        <is>
          <t>Superseded</t>
        </is>
      </c>
      <c r="E23" s="16"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4">
      <c r="A24" s="13" t="inlineStr">
        <is>
          <t>0.1</t>
        </is>
      </c>
      <c r="B24" s="13" t="inlineStr">
        <is>
          <t>2026-08-13</t>
        </is>
      </c>
      <c r="C24" s="13" t="inlineStr">
        <is>
          <t>Claude Code</t>
        </is>
      </c>
      <c r="D24" s="13" t="inlineStr">
        <is>
          <t>Superseded</t>
        </is>
      </c>
      <c r="E24" s="14"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6">
      <c r="A26" s="5" t="inlineStr">
        <is>
          <t>Numbering rules for this document line</t>
        </is>
      </c>
    </row>
    <row r="27" ht="28" customHeight="1">
      <c r="A27" s="10" t="inlineStr">
        <is>
          <t>Version</t>
        </is>
      </c>
      <c r="B27" s="10" t="inlineStr">
        <is>
          <t>Meaning</t>
        </is>
      </c>
    </row>
    <row r="28">
      <c r="A28" s="15" t="inlineStr">
        <is>
          <t>v0.x</t>
        </is>
      </c>
      <c r="B28" s="16" t="inlineStr">
        <is>
          <t>Draft issues during Step 1 review rounds.</t>
        </is>
      </c>
    </row>
    <row r="29">
      <c r="A29" s="13" t="inlineStr">
        <is>
          <t>v1.0</t>
        </is>
      </c>
      <c r="B29" s="14" t="inlineStr">
        <is>
          <t>The approved baseline, set at Gate N1.</t>
        </is>
      </c>
    </row>
    <row r="30">
      <c r="A30" s="15" t="inlineStr">
        <is>
          <t>v1.x</t>
        </is>
      </c>
      <c r="B30" s="16" t="inlineStr">
        <is>
          <t>Approved changes against that baseline, each separately approved.</t>
        </is>
      </c>
    </row>
    <row r="31">
      <c r="A31" s="13" t="inlineStr">
        <is>
          <t>v2.0</t>
        </is>
      </c>
      <c r="B31" s="14" t="inlineStr">
        <is>
          <t>Reserved for a structural change, on the same rule the web plan used.</t>
        </is>
      </c>
    </row>
    <row r="33">
      <c r="A33" s="8" t="inlineStr">
        <is>
          <t>Gate prefixes are N1..N5 throughout this document, so a reference such as 'G4' can never be confused between the two plans.</t>
        </is>
      </c>
    </row>
    <row r="34">
      <c r="A34" s="3" t="inlineStr">
        <is>
          <t>Legend</t>
        </is>
      </c>
    </row>
    <row r="35">
      <c r="A35" s="17" t="inlineStr">
        <is>
          <t>Green = new to the desktop application; nothing in the web application corresponds to it.</t>
        </is>
      </c>
    </row>
    <row r="36">
      <c r="A36" s="18" t="inlineStr">
        <is>
          <t>Orange = inherited from the web application but deliberately changed here.</t>
        </is>
      </c>
    </row>
    <row r="37">
      <c r="A37"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NR-DEP-17</t>
        </is>
      </c>
      <c r="B45" s="11" t="inlineStr">
        <is>
          <t>Deployment</t>
        </is>
      </c>
      <c r="C45" s="12" t="inlineStr">
        <is>
          <t>THE WINDOW AND THE APPLICATION GO TOGETHER. Closing the last page of the desktop shell stops the application - the console window closes by itself, within a few seconds. The console IS the application and the browser page is its window, and a console left running after the window has gone owns a port, a claim on a plan nobody has open and a data folder the next run then has to argue with, while the only way to be rid of it is to know it is there. FOUR THINGS IT MUST NOT DO, each of which is a way of losing somebody's work or their patience. NOT BEFORE A PAGE HAS EVER CONNECTED: a slow browser, or an address somebody is about to paste in, is not a countdown. NOT ON A RELOAD: the close signal fires on a reload exactly as it does on a close, so it is not believed until a grace period has passed with nobody saying hello again - otherwise refreshing the page would be a way of losing the plan in it. NOT WHILE ANOTHER PAGE IS OPEN: two windows, close one, it carries on. NOT WHILE SOMEBODY IS STILL SIGNING IN: liveness is registered before the start-up sequence, because part of that sequence waits on a person typing their name, and 'open it, look at it, close it again' is exactly the case this exists for. THE BACKSTOP IS DELIBERATELY SLOW. Where no close signal arrives at all - the browser was killed, the machine slept - a heartbeat gives up only after fifteen minutes, because a browser throttles and even freezes the timers of a tab nobody is looking at; anything brisk would shut the application down on somebody who had left it open in a background tab, which is worse than a console outliving its window on the rare occasion a browser dies without a word. AND IT CAN BE TURNED OFF, with --keep-running, for a headless run or for somebody who wants to shut one browser window and open another.</t>
        </is>
      </c>
      <c r="D45" s="11" t="inlineStr">
        <is>
          <t>Must</t>
        </is>
      </c>
      <c r="E45" s="12" t="inlineStr">
        <is>
          <t>R-N24</t>
        </is>
      </c>
      <c r="F45" s="11" t="inlineStr">
        <is>
          <t>N3</t>
        </is>
      </c>
    </row>
    <row r="46">
      <c r="A46" s="11" t="inlineStr">
        <is>
          <t>NR-DEP-16</t>
        </is>
      </c>
      <c r="B46" s="11" t="inlineStr">
        <is>
          <t>Deployment</t>
        </is>
      </c>
      <c r="C46" s="12" t="inlineStr">
        <is>
          <t>The Python shell needs a Python 3.9 or newer interpreter and NOTHING else: standard library only, no pip install, no download, no administrator rights. What is delivered is readable source text, so it can be reviewed before it is run.</t>
        </is>
      </c>
      <c r="D46" s="11" t="inlineStr">
        <is>
          <t>Must</t>
        </is>
      </c>
      <c r="E46" s="12" t="inlineStr">
        <is>
          <t>R-N20, C-N02</t>
        </is>
      </c>
      <c r="F46" s="11" t="inlineStr">
        <is>
          <t>N4</t>
        </is>
      </c>
    </row>
    <row r="47">
      <c r="A47" s="11" t="inlineStr">
        <is>
          <t>NR-IMP-08</t>
        </is>
      </c>
      <c r="B47" s="11" t="inlineStr">
        <is>
          <t>Import / export</t>
        </is>
      </c>
      <c r="C47"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7" s="11" t="inlineStr">
        <is>
          <t>Must</t>
        </is>
      </c>
      <c r="E47" s="12" t="inlineStr">
        <is>
          <t>Gate N3 review - C-N01</t>
        </is>
      </c>
      <c r="F47" s="11" t="inlineStr">
        <is>
          <t>N4</t>
        </is>
      </c>
    </row>
    <row r="48">
      <c r="A48" s="20" t="inlineStr">
        <is>
          <t>NR-IMP-04</t>
        </is>
      </c>
      <c r="B48" s="20" t="inlineStr">
        <is>
          <t>Import / export</t>
        </is>
      </c>
      <c r="C48" s="21" t="inlineStr">
        <is>
          <t>A workspace can be opened by dragging it onto the running application's window. Double-clicking a workspace file in Explorer does NOT open it, because a file association would require a registry entry that NR-DEP-06 forbids.</t>
        </is>
      </c>
      <c r="D48" s="20" t="inlineStr">
        <is>
          <t>Could</t>
        </is>
      </c>
      <c r="E48" s="21" t="inlineStr">
        <is>
          <t>Reduced by the non-installed rule</t>
        </is>
      </c>
      <c r="F48" s="20" t="inlineStr">
        <is>
          <t>N4</t>
        </is>
      </c>
    </row>
    <row r="49">
      <c r="A49" s="11" t="inlineStr">
        <is>
          <t>NR-USR-01</t>
        </is>
      </c>
      <c r="B49" s="11" t="inlineStr">
        <is>
          <t>User identity</t>
        </is>
      </c>
      <c r="C49" s="12" t="inlineStr">
        <is>
          <t>The application asks who the user is when it starts, before any workspace is opened, and carries that identity for the session.</t>
        </is>
      </c>
      <c r="D49" s="11" t="inlineStr">
        <is>
          <t>Must</t>
        </is>
      </c>
      <c r="E49" s="12" t="inlineStr">
        <is>
          <t>Q-N17</t>
        </is>
      </c>
      <c r="F49" s="11" t="inlineStr">
        <is>
          <t>N4</t>
        </is>
      </c>
    </row>
    <row r="50">
      <c r="A50" s="11" t="inlineStr">
        <is>
          <t>NR-USR-02</t>
        </is>
      </c>
      <c r="B50" s="11" t="inlineStr">
        <is>
          <t>User identity</t>
        </is>
      </c>
      <c r="C50" s="12" t="inlineStr">
        <is>
          <t>It asks in full only the first time. Afterwards it shows what it remembers, pre-filled, for the user to confirm with one click - and offers 'not me' for a shared PC.</t>
        </is>
      </c>
      <c r="D50" s="11" t="inlineStr">
        <is>
          <t>Must</t>
        </is>
      </c>
      <c r="E50" s="12" t="inlineStr">
        <is>
          <t>Q-N17, usability</t>
        </is>
      </c>
      <c r="F50" s="11" t="inlineStr">
        <is>
          <t>N4</t>
        </is>
      </c>
    </row>
    <row r="51">
      <c r="A51" s="11" t="inlineStr">
        <is>
          <t>NR-USR-03</t>
        </is>
      </c>
      <c r="B51" s="11" t="inlineStr">
        <is>
          <t>User identity</t>
        </is>
      </c>
      <c r="C51" s="12" t="inlineStr">
        <is>
          <t>The name is pre-filled from the Windows account name the first time, so the common case is confirming rather than typing. It stays editable - a Windows account name is often not how colleagues know each other.</t>
        </is>
      </c>
      <c r="D51" s="11" t="inlineStr">
        <is>
          <t>Should</t>
        </is>
      </c>
      <c r="E51" s="12" t="inlineStr">
        <is>
          <t>Q-N17</t>
        </is>
      </c>
      <c r="F51" s="11" t="inlineStr">
        <is>
          <t>N4</t>
        </is>
      </c>
    </row>
    <row r="52">
      <c r="A52" s="20" t="inlineStr">
        <is>
          <t>NR-USR-04</t>
        </is>
      </c>
      <c r="B52" s="20" t="inlineStr">
        <is>
          <t>User identity</t>
        </is>
      </c>
      <c r="C52" s="21" t="inlineStr">
        <is>
          <t>An identity is a name and a DEPARTMENT. Both are recorded; no e-mail, telephone or other field is collected. A name and a department are what a colleague needs to find somebody in the company directory.</t>
        </is>
      </c>
      <c r="D52" s="20" t="inlineStr">
        <is>
          <t>Must</t>
        </is>
      </c>
      <c r="E52" s="21" t="inlineStr">
        <is>
          <t>Q-N18</t>
        </is>
      </c>
      <c r="F52" s="20" t="inlineStr">
        <is>
          <t>N4</t>
        </is>
      </c>
    </row>
    <row r="53">
      <c r="A53" s="11" t="inlineStr">
        <is>
          <t>NR-USR-05</t>
        </is>
      </c>
      <c r="B53" s="11" t="inlineStr">
        <is>
          <t>User identity</t>
        </is>
      </c>
      <c r="C53" s="12" t="inlineStr">
        <is>
          <t>A claim carries the holder's name and contact details, so the message a blocked colleague sees can be acted on rather than merely read. Those details are removed with the claim.</t>
        </is>
      </c>
      <c r="D53" s="11" t="inlineStr">
        <is>
          <t>Must</t>
        </is>
      </c>
      <c r="E53" s="12" t="inlineStr">
        <is>
          <t>Q-N17 - contact</t>
        </is>
      </c>
      <c r="F53" s="11" t="inlineStr">
        <is>
          <t>N4</t>
        </is>
      </c>
    </row>
    <row r="54">
      <c r="A54" s="20" t="inlineStr">
        <is>
          <t>NR-USR-06</t>
        </is>
      </c>
      <c r="B54" s="20" t="inlineStr">
        <is>
          <t>User identity</t>
        </is>
      </c>
      <c r="C54" s="21" t="inlineStr">
        <is>
          <t>The blocked message shows the holder's name and department together, and offers to copy them, so a colleague can look them up or ask their department without writing anything down.</t>
        </is>
      </c>
      <c r="D54" s="20" t="inlineStr">
        <is>
          <t>Should</t>
        </is>
      </c>
      <c r="E54" s="21" t="inlineStr">
        <is>
          <t>Q-N18</t>
        </is>
      </c>
      <c r="F54" s="20" t="inlineStr">
        <is>
          <t>N4</t>
        </is>
      </c>
    </row>
    <row r="55">
      <c r="A55" s="20" t="inlineStr">
        <is>
          <t>NR-USR-07</t>
        </is>
      </c>
      <c r="B55" s="20" t="inlineStr">
        <is>
          <t>User identity</t>
        </is>
      </c>
      <c r="C55" s="21" t="inlineStr">
        <is>
          <t>A workspace records who last saved it - name and department - and when, shown when it is opened. On a shared plan, knowing whose figures these are matters as much as knowing when they were made.</t>
        </is>
      </c>
      <c r="D55" s="20" t="inlineStr">
        <is>
          <t>Should</t>
        </is>
      </c>
      <c r="E55" s="21" t="inlineStr">
        <is>
          <t>Follows from having identities</t>
        </is>
      </c>
      <c r="F55" s="20" t="inlineStr">
        <is>
          <t>N4</t>
        </is>
      </c>
    </row>
    <row r="56">
      <c r="A56" s="11" t="inlineStr">
        <is>
          <t>NR-USR-08</t>
        </is>
      </c>
      <c r="B56" s="11" t="inlineStr">
        <is>
          <t>User identity</t>
        </is>
      </c>
      <c r="C56" s="12" t="inlineStr">
        <is>
          <t>This identity is DECLARED, not verified. The application states as much where it is entered, and nothing in it is treated as proof of who acted.</t>
        </is>
      </c>
      <c r="D56" s="11" t="inlineStr">
        <is>
          <t>Must</t>
        </is>
      </c>
      <c r="E56" s="12" t="inlineStr">
        <is>
          <t>Honesty about what it is</t>
        </is>
      </c>
      <c r="F56" s="11" t="inlineStr">
        <is>
          <t>N2</t>
        </is>
      </c>
    </row>
    <row r="57">
      <c r="A57" s="11" t="inlineStr">
        <is>
          <t>NR-USR-09</t>
        </is>
      </c>
      <c r="B57" s="11" t="inlineStr">
        <is>
          <t>User identity</t>
        </is>
      </c>
      <c r="C57" s="12" t="inlineStr">
        <is>
          <t>Identity is held per user in their own data folder, never in the shared application folder, so two people on one copy do not overwrite each other's details.</t>
        </is>
      </c>
      <c r="D57" s="11" t="inlineStr">
        <is>
          <t>Must</t>
        </is>
      </c>
      <c r="E57" s="12" t="inlineStr">
        <is>
          <t>NR-DEP-11</t>
        </is>
      </c>
      <c r="F57" s="11" t="inlineStr">
        <is>
          <t>N4</t>
        </is>
      </c>
    </row>
    <row r="58">
      <c r="A58" s="11" t="inlineStr">
        <is>
          <t>NR-USR-10</t>
        </is>
      </c>
      <c r="B58" s="11" t="inlineStr">
        <is>
          <t>User identity</t>
        </is>
      </c>
      <c r="C58"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8" s="11" t="inlineStr">
        <is>
          <t>Should</t>
        </is>
      </c>
      <c r="E58" s="12" t="inlineStr">
        <is>
          <t>Q-N18, Person.department</t>
        </is>
      </c>
      <c r="F58" s="11" t="inlineStr">
        <is>
          <t>N4</t>
        </is>
      </c>
    </row>
    <row r="59">
      <c r="A59" s="11" t="inlineStr">
        <is>
          <t>NR-USR-11</t>
        </is>
      </c>
      <c r="B59" s="11" t="inlineStr">
        <is>
          <t>User identity</t>
        </is>
      </c>
      <c r="C59" s="12" t="inlineStr">
        <is>
          <t>Where the declared name matches a person in the open workspace, that person's department is offered first. The user is usually one of the people in the plan, so their own record is the best answer available.</t>
        </is>
      </c>
      <c r="D59" s="11" t="inlineStr">
        <is>
          <t>Could</t>
        </is>
      </c>
      <c r="E59" s="12" t="inlineStr">
        <is>
          <t>Q-N18</t>
        </is>
      </c>
      <c r="F59" s="11" t="inlineStr">
        <is>
          <t>N4</t>
        </is>
      </c>
    </row>
    <row r="60">
      <c r="A60" s="11" t="inlineStr">
        <is>
          <t>NR-PAR-01</t>
        </is>
      </c>
      <c r="B60" s="11" t="inlineStr">
        <is>
          <t>Parity</t>
        </is>
      </c>
      <c r="C60" s="12" t="inlineStr">
        <is>
          <t>The calculation engine, the validation rules and the period derivation are ONE implementation shared by both applications, not two copies kept in step by hand.</t>
        </is>
      </c>
      <c r="D60" s="11" t="inlineStr">
        <is>
          <t>Must</t>
        </is>
      </c>
      <c r="E60" s="12" t="inlineStr">
        <is>
          <t>Your instruction to keep both</t>
        </is>
      </c>
      <c r="F60" s="11" t="inlineStr">
        <is>
          <t>N2</t>
        </is>
      </c>
    </row>
    <row r="61">
      <c r="A61" s="11" t="inlineStr">
        <is>
          <t>NR-PAR-02</t>
        </is>
      </c>
      <c r="B61" s="11" t="inlineStr">
        <is>
          <t>Parity</t>
        </is>
      </c>
      <c r="C61" s="12" t="inlineStr">
        <is>
          <t>Given identical input, both applications produce identical figures, identical findings and identical exports. This is proven by an automated test, not asserted.</t>
        </is>
      </c>
      <c r="D61" s="11" t="inlineStr">
        <is>
          <t>Must</t>
        </is>
      </c>
      <c r="E61" s="12" t="inlineStr">
        <is>
          <t>Derived from NR-PAR-01</t>
        </is>
      </c>
      <c r="F61" s="11" t="inlineStr">
        <is>
          <t>N4</t>
        </is>
      </c>
    </row>
    <row r="62">
      <c r="A62" s="11" t="inlineStr">
        <is>
          <t>NR-PAR-03</t>
        </is>
      </c>
      <c r="B62" s="11" t="inlineStr">
        <is>
          <t>Parity</t>
        </is>
      </c>
      <c r="C62" s="12" t="inlineStr">
        <is>
          <t>The HTML application continues to be built from the shared engine and its behaviour is unchanged by the refactor, proven by the existing 13 suites passing unmodified.</t>
        </is>
      </c>
      <c r="D62" s="11" t="inlineStr">
        <is>
          <t>Must</t>
        </is>
      </c>
      <c r="E62" s="12" t="inlineStr">
        <is>
          <t>Protects the finished product</t>
        </is>
      </c>
      <c r="F62" s="11" t="inlineStr">
        <is>
          <t>N2</t>
        </is>
      </c>
    </row>
    <row r="63">
      <c r="A63" s="11" t="inlineStr">
        <is>
          <t>NR-PAR-04</t>
        </is>
      </c>
      <c r="B63" s="11" t="inlineStr">
        <is>
          <t>Parity</t>
        </is>
      </c>
      <c r="C63" s="12" t="inlineStr">
        <is>
          <t>Screen layout, wording and interaction match the web application except where a desktop convention requires otherwise, and every such difference is listed.</t>
        </is>
      </c>
      <c r="D63" s="11" t="inlineStr">
        <is>
          <t>Should</t>
        </is>
      </c>
      <c r="E63" s="12" t="inlineStr">
        <is>
          <t>Two tools, one habit</t>
        </is>
      </c>
      <c r="F63" s="11" t="inlineStr">
        <is>
          <t>N3</t>
        </is>
      </c>
    </row>
    <row r="64">
      <c r="A64" s="20" t="inlineStr">
        <is>
          <t>NR-DEP-01</t>
        </is>
      </c>
      <c r="B64" s="20" t="inlineStr">
        <is>
          <t>Deployment</t>
        </is>
      </c>
      <c r="C64" s="21" t="inlineStr">
        <is>
          <t>The application runs on Windows 10 and Windows 11, 64-bit. No other operating system is supported or tested.</t>
        </is>
      </c>
      <c r="D64" s="20" t="inlineStr">
        <is>
          <t>Must</t>
        </is>
      </c>
      <c r="E64" s="21" t="inlineStr">
        <is>
          <t>Your instruction</t>
        </is>
      </c>
      <c r="F64" s="20" t="inlineStr">
        <is>
          <t>N5</t>
        </is>
      </c>
    </row>
    <row r="65">
      <c r="A65" s="20" t="inlineStr">
        <is>
          <t>NR-DEP-02</t>
        </is>
      </c>
      <c r="B65" s="20" t="inlineStr">
        <is>
          <t>Deployment</t>
        </is>
      </c>
      <c r="C65" s="21" t="inlineStr">
        <is>
          <t>There is NO INSTALLER. The application is a folder that is copied to wherever the user wants it and run from there. It requires no administrator rights, at any point, for any purpose.</t>
        </is>
      </c>
      <c r="D65" s="20" t="inlineStr">
        <is>
          <t>Must</t>
        </is>
      </c>
      <c r="E65" s="21" t="inlineStr">
        <is>
          <t>Your instruction</t>
        </is>
      </c>
      <c r="F65" s="20" t="inlineStr">
        <is>
          <t>N5</t>
        </is>
      </c>
    </row>
    <row r="66">
      <c r="A66" s="20" t="inlineStr">
        <is>
          <t>NR-DEP-03</t>
        </is>
      </c>
      <c r="B66" s="20" t="inlineStr">
        <is>
          <t>Deployment</t>
        </is>
      </c>
      <c r="C66" s="21" t="inlineStr">
        <is>
          <t>Updating means replacing the application files inside that folder. No workspace, setting or recent-file entry is touched by an update, and a workspace written by an older version opens in a newer one.</t>
        </is>
      </c>
      <c r="D66" s="20" t="inlineStr">
        <is>
          <t>Must</t>
        </is>
      </c>
      <c r="E66" s="21" t="inlineStr">
        <is>
          <t>Data safety</t>
        </is>
      </c>
      <c r="F66" s="20" t="inlineStr">
        <is>
          <t>N5</t>
        </is>
      </c>
    </row>
    <row r="67">
      <c r="A67" s="11" t="inlineStr">
        <is>
          <t>NR-DEP-04</t>
        </is>
      </c>
      <c r="B67" s="11" t="inlineStr">
        <is>
          <t>Deployment</t>
        </is>
      </c>
      <c r="C67" s="12" t="inlineStr">
        <is>
          <t>A workspace written by a NEWER version than the running one is refused with a clear message rather than partially read.</t>
        </is>
      </c>
      <c r="D67" s="11" t="inlineStr">
        <is>
          <t>Must</t>
        </is>
      </c>
      <c r="E67" s="12" t="inlineStr">
        <is>
          <t>Data safety</t>
        </is>
      </c>
      <c r="F67" s="11" t="inlineStr">
        <is>
          <t>N4</t>
        </is>
      </c>
    </row>
    <row r="68">
      <c r="A68" s="11" t="inlineStr">
        <is>
          <t>NR-DEP-05</t>
        </is>
      </c>
      <c r="B68" s="11" t="inlineStr">
        <is>
          <t>Deployment</t>
        </is>
      </c>
      <c r="C68" s="12" t="inlineStr">
        <is>
          <t>The application folder is self-contained: it carries its own browser engine and every other dependency, and requires nothing to be present on the machine beyond Windows itself. Package size is not constrained.</t>
        </is>
      </c>
      <c r="D68" s="11" t="inlineStr">
        <is>
          <t>Must</t>
        </is>
      </c>
      <c r="E68" s="12" t="inlineStr">
        <is>
          <t>Your instruction</t>
        </is>
      </c>
      <c r="F68" s="11" t="inlineStr">
        <is>
          <t>N5</t>
        </is>
      </c>
    </row>
    <row r="69">
      <c r="A69" s="20" t="inlineStr">
        <is>
          <t>NR-DEP-06</t>
        </is>
      </c>
      <c r="B69" s="20" t="inlineStr">
        <is>
          <t>Deployment</t>
        </is>
      </c>
      <c r="C69"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9" s="20" t="inlineStr">
        <is>
          <t>Must</t>
        </is>
      </c>
      <c r="E69" s="21" t="inlineStr">
        <is>
          <t>Non-installed rule, amended for the shared folder</t>
        </is>
      </c>
      <c r="F69" s="20" t="inlineStr">
        <is>
          <t>N5</t>
        </is>
      </c>
    </row>
    <row r="70">
      <c r="A70" s="11" t="inlineStr">
        <is>
          <t>NR-DEP-07</t>
        </is>
      </c>
      <c r="B70" s="11" t="inlineStr">
        <is>
          <t>Deployment</t>
        </is>
      </c>
      <c r="C70" s="12" t="inlineStr">
        <is>
          <t>Deleting the folder removes the application completely, leaving no trace on the machine.</t>
        </is>
      </c>
      <c r="D70" s="11" t="inlineStr">
        <is>
          <t>Must</t>
        </is>
      </c>
      <c r="E70" s="12" t="inlineStr">
        <is>
          <t>Non-installed rule</t>
        </is>
      </c>
      <c r="F70" s="11" t="inlineStr">
        <is>
          <t>N5</t>
        </is>
      </c>
    </row>
    <row r="71">
      <c r="A71" s="11" t="inlineStr">
        <is>
          <t>NR-DEP-08</t>
        </is>
      </c>
      <c r="B71" s="11" t="inlineStr">
        <is>
          <t>Deployment</t>
        </is>
      </c>
      <c r="C71"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1" s="11" t="inlineStr">
        <is>
          <t>Must</t>
        </is>
      </c>
      <c r="E71" s="12" t="inlineStr">
        <is>
          <t>Non-installed rule</t>
        </is>
      </c>
      <c r="F71" s="11" t="inlineStr">
        <is>
          <t>N5</t>
        </is>
      </c>
    </row>
    <row r="72">
      <c r="A72" s="20" t="inlineStr">
        <is>
          <t>NR-DEP-09</t>
        </is>
      </c>
      <c r="B72" s="20" t="inlineStr">
        <is>
          <t>Deployment</t>
        </is>
      </c>
      <c r="C72" s="21" t="inlineStr">
        <is>
          <t>Where the application folder is read-only or shared - typically on a network folder - the application still runs, tells the user plainly that it cannot keep data beside itself, and keeps that data in a folder the user chooses instead.</t>
        </is>
      </c>
      <c r="D72" s="20" t="inlineStr">
        <is>
          <t>Must</t>
        </is>
      </c>
      <c r="E72" s="21" t="inlineStr">
        <is>
          <t>Raised from Should at round 2 - Q-N12</t>
        </is>
      </c>
      <c r="F72" s="20" t="inlineStr">
        <is>
          <t>N4</t>
        </is>
      </c>
    </row>
    <row r="73">
      <c r="A73" s="11" t="inlineStr">
        <is>
          <t>NR-DEP-10</t>
        </is>
      </c>
      <c r="B73" s="11" t="inlineStr">
        <is>
          <t>Deployment</t>
        </is>
      </c>
      <c r="C73"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3" s="11" t="inlineStr">
        <is>
          <t>Must</t>
        </is>
      </c>
      <c r="E73" s="12" t="inlineStr">
        <is>
          <t>Q-N12</t>
        </is>
      </c>
      <c r="F73" s="11" t="inlineStr">
        <is>
          <t>N4</t>
        </is>
      </c>
    </row>
    <row r="74">
      <c r="A74" s="11" t="inlineStr">
        <is>
          <t>NR-DEP-11</t>
        </is>
      </c>
      <c r="B74" s="11" t="inlineStr">
        <is>
          <t>Deployment</t>
        </is>
      </c>
      <c r="C74" s="12" t="inlineStr">
        <is>
          <t>Where several people run one shared copy, each has their own settings, recent list, backups and default workspace folder. No user can see, overwrite or lock out another through the application.</t>
        </is>
      </c>
      <c r="D74" s="11" t="inlineStr">
        <is>
          <t>Must</t>
        </is>
      </c>
      <c r="E74" s="12" t="inlineStr">
        <is>
          <t>Q-N12</t>
        </is>
      </c>
      <c r="F74" s="11" t="inlineStr">
        <is>
          <t>N4</t>
        </is>
      </c>
    </row>
    <row r="75">
      <c r="A75" s="11" t="inlineStr">
        <is>
          <t>NR-DEP-12</t>
        </is>
      </c>
      <c r="B75" s="11" t="inlineStr">
        <is>
          <t>Deployment</t>
        </is>
      </c>
      <c r="C75" s="12" t="inlineStr">
        <is>
          <t>The application can create a personal desktop shortcut, at the user's request, that carries their own --data path. This is how a shared copy is used day to day without being asked anything at launch.</t>
        </is>
      </c>
      <c r="D75" s="11" t="inlineStr">
        <is>
          <t>Should</t>
        </is>
      </c>
      <c r="E75" s="12" t="inlineStr">
        <is>
          <t>Q-N12</t>
        </is>
      </c>
      <c r="F75" s="11" t="inlineStr">
        <is>
          <t>N4</t>
        </is>
      </c>
    </row>
    <row r="76">
      <c r="A76" s="20" t="inlineStr">
        <is>
          <t>NR-DEP-13</t>
        </is>
      </c>
      <c r="B76" s="20" t="inlineStr">
        <is>
          <t>Deployment</t>
        </is>
      </c>
      <c r="C76" s="21" t="inlineStr">
        <is>
          <t>The application runs correctly when launched from a UNC path (\\server\share\PM_APP) as well as from a mapped drive letter.</t>
        </is>
      </c>
      <c r="D76" s="20" t="inlineStr">
        <is>
          <t>Must</t>
        </is>
      </c>
      <c r="E76" s="21" t="inlineStr">
        <is>
          <t>Q-N12</t>
        </is>
      </c>
      <c r="F76" s="20" t="inlineStr">
        <is>
          <t>N5</t>
        </is>
      </c>
    </row>
    <row r="77">
      <c r="A77" s="11" t="inlineStr">
        <is>
          <t>NR-DEP-14</t>
        </is>
      </c>
      <c r="B77" s="11" t="inlineStr">
        <is>
          <t>Deployment</t>
        </is>
      </c>
      <c r="C77" s="12" t="inlineStr">
        <is>
          <t>Both arrangements are supported and both are tested: run in place from the shared folder, and copied from it to a local folder and run there. Neither is a second-class case, and the user guide states what each costs in launch time.</t>
        </is>
      </c>
      <c r="D77" s="11" t="inlineStr">
        <is>
          <t>Must</t>
        </is>
      </c>
      <c r="E77" s="12" t="inlineStr">
        <is>
          <t>Q-N14</t>
        </is>
      </c>
      <c r="F77" s="11" t="inlineStr">
        <is>
          <t>N5</t>
        </is>
      </c>
    </row>
    <row r="78">
      <c r="A78" s="11" t="inlineStr">
        <is>
          <t>NR-DEP-15</t>
        </is>
      </c>
      <c r="B78" s="11" t="inlineStr">
        <is>
          <t>Deployment</t>
        </is>
      </c>
      <c r="C78" s="12" t="inlineStr">
        <is>
          <t>On a writable shared folder, each person's data folder sits under the application's own data folder, one per user. Nobody has to choose a location, and nobody's settings meet anybody else's.</t>
        </is>
      </c>
      <c r="D78" s="11" t="inlineStr">
        <is>
          <t>Should</t>
        </is>
      </c>
      <c r="E78" s="12" t="inlineStr">
        <is>
          <t>Q-N15</t>
        </is>
      </c>
      <c r="F78" s="11" t="inlineStr">
        <is>
          <t>N4</t>
        </is>
      </c>
    </row>
    <row r="79">
      <c r="A79" s="20" t="inlineStr">
        <is>
          <t>NR-SEC-01</t>
        </is>
      </c>
      <c r="B79" s="20" t="inlineStr">
        <is>
          <t>Security</t>
        </is>
      </c>
      <c r="C79" s="21"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9" s="20" t="inlineStr">
        <is>
          <t>Must</t>
        </is>
      </c>
      <c r="E79" s="21" t="inlineStr">
        <is>
          <t>Offline by requirement; C-N02</t>
        </is>
      </c>
      <c r="F79" s="20" t="inlineStr">
        <is>
          <t>N5</t>
        </is>
      </c>
    </row>
    <row r="80">
      <c r="A80" s="11" t="inlineStr">
        <is>
          <t>NR-SEC-02</t>
        </is>
      </c>
      <c r="B80" s="11" t="inlineStr">
        <is>
          <t>Security</t>
        </is>
      </c>
      <c r="C80" s="12" t="inlineStr">
        <is>
          <t>The embedded browser engine runs with remote content disabled and Node integration off in the renderer, so a crafted workspace file cannot execute code.</t>
        </is>
      </c>
      <c r="D80" s="11" t="inlineStr">
        <is>
          <t>Must</t>
        </is>
      </c>
      <c r="E80" s="12" t="inlineStr">
        <is>
          <t>Standard hardening</t>
        </is>
      </c>
      <c r="F80" s="11" t="inlineStr">
        <is>
          <t>N4</t>
        </is>
      </c>
    </row>
    <row r="81">
      <c r="A81" s="11" t="inlineStr">
        <is>
          <t>NR-SEC-03</t>
        </is>
      </c>
      <c r="B81" s="11" t="inlineStr">
        <is>
          <t>Security</t>
        </is>
      </c>
      <c r="C81" s="12" t="inlineStr">
        <is>
          <t>Workspace files contain business data only - no credentials, no connection strings, nothing that would be sensitive if the file were mailed to a colleague.</t>
        </is>
      </c>
      <c r="D81" s="11" t="inlineStr">
        <is>
          <t>Must</t>
        </is>
      </c>
      <c r="E81" s="12" t="inlineStr">
        <is>
          <t>Data hygiene</t>
        </is>
      </c>
      <c r="F81" s="11" t="inlineStr">
        <is>
          <t>N2</t>
        </is>
      </c>
    </row>
    <row r="82">
      <c r="A82" s="11" t="inlineStr">
        <is>
          <t>NR-SEC-04</t>
        </is>
      </c>
      <c r="B82" s="11" t="inlineStr">
        <is>
          <t>Security</t>
        </is>
      </c>
      <c r="C82" s="12" t="inlineStr">
        <is>
          <t>Where a shell listens, it binds 127.0.0.1 only - never the network interface - on a port the operating system chooses at start. Nothing outside the machine can reach it, nothing is reserved, and Windows Firewall is never asked to allow anything.</t>
        </is>
      </c>
      <c r="D82" s="11" t="inlineStr">
        <is>
          <t>Must</t>
        </is>
      </c>
      <c r="E82" s="12" t="inlineStr">
        <is>
          <t>C-N02</t>
        </is>
      </c>
      <c r="F82" s="11" t="inlineStr">
        <is>
          <t>N4</t>
        </is>
      </c>
    </row>
    <row r="83">
      <c r="A83" s="11" t="inlineStr">
        <is>
          <t>NR-SEC-05</t>
        </is>
      </c>
      <c r="B83" s="11" t="inlineStr">
        <is>
          <t>Security</t>
        </is>
      </c>
      <c r="C83"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3" s="11" t="inlineStr">
        <is>
          <t>Must</t>
        </is>
      </c>
      <c r="E83" s="12" t="inlineStr">
        <is>
          <t>C-N02</t>
        </is>
      </c>
      <c r="F83" s="11" t="inlineStr">
        <is>
          <t>N4</t>
        </is>
      </c>
    </row>
    <row r="84">
      <c r="A84" s="11" t="inlineStr">
        <is>
          <t>NR-SEC-06</t>
        </is>
      </c>
      <c r="B84" s="11" t="inlineStr">
        <is>
          <t>Security</t>
        </is>
      </c>
      <c r="C84" s="12" t="inlineStr">
        <is>
          <t>The listener serves one page and one operation list. No URL is ever mapped onto a path on disk, so there is no directory to escape from.</t>
        </is>
      </c>
      <c r="D84" s="11" t="inlineStr">
        <is>
          <t>Must</t>
        </is>
      </c>
      <c r="E84" s="12" t="inlineStr">
        <is>
          <t>C-N02</t>
        </is>
      </c>
      <c r="F84" s="11" t="inlineStr">
        <is>
          <t>N4</t>
        </is>
      </c>
    </row>
    <row r="85">
      <c r="A85" s="20" t="inlineStr">
        <is>
          <t>NR-NFR-01</t>
        </is>
      </c>
      <c r="B85" s="20" t="inlineStr">
        <is>
          <t>Performance</t>
        </is>
      </c>
      <c r="C85" s="21" t="inlineStr">
        <is>
          <t>Launch to a usable window in under 5 seconds from a local disk, and reopening the last workspace adds no more than 2 seconds on the volumes in A-N01. Launch from a network folder is measured and stated rather than promised - see R-N12.</t>
        </is>
      </c>
      <c r="D85" s="20" t="inlineStr">
        <is>
          <t>Should</t>
        </is>
      </c>
      <c r="E85" s="21" t="inlineStr">
        <is>
          <t>Usability</t>
        </is>
      </c>
      <c r="F85" s="20" t="inlineStr">
        <is>
          <t>N4</t>
        </is>
      </c>
    </row>
    <row r="86">
      <c r="A86" s="11" t="inlineStr">
        <is>
          <t>NR-NFR-02</t>
        </is>
      </c>
      <c r="B86" s="11" t="inlineStr">
        <is>
          <t>Performance</t>
        </is>
      </c>
      <c r="C86" s="12" t="inlineStr">
        <is>
          <t>A Save completes in under 1 second at those volumes, so autosave is never felt.</t>
        </is>
      </c>
      <c r="D86" s="11" t="inlineStr">
        <is>
          <t>Should</t>
        </is>
      </c>
      <c r="E86" s="12" t="inlineStr">
        <is>
          <t>Usability</t>
        </is>
      </c>
      <c r="F86" s="11" t="inlineStr">
        <is>
          <t>N4</t>
        </is>
      </c>
    </row>
    <row r="88">
      <c r="A88" s="5" t="inlineStr">
        <is>
          <t>Count</t>
        </is>
      </c>
    </row>
    <row r="89" ht="28" customHeight="1">
      <c r="A89" s="10" t="inlineStr">
        <is>
          <t>Measure</t>
        </is>
      </c>
      <c r="B89" s="10" t="inlineStr">
        <is>
          <t>Count</t>
        </is>
      </c>
    </row>
    <row r="90">
      <c r="A90" s="15" t="inlineStr">
        <is>
          <t>Total requirements</t>
        </is>
      </c>
      <c r="B90" s="15">
        <f>COUNTA(A11:A86)</f>
        <v/>
      </c>
    </row>
    <row r="91">
      <c r="A91" s="13" t="inlineStr">
        <is>
          <t>Must</t>
        </is>
      </c>
      <c r="B91" s="13">
        <f>COUNTIF(D11:D86,"Must")</f>
        <v/>
      </c>
    </row>
    <row r="92">
      <c r="A92" s="15" t="inlineStr">
        <is>
          <t>Should</t>
        </is>
      </c>
      <c r="B92" s="15">
        <f>COUNTIF(D11:D86,"Should")</f>
        <v/>
      </c>
    </row>
    <row r="93">
      <c r="A93" s="13" t="inlineStr">
        <is>
          <t>Could</t>
        </is>
      </c>
      <c r="B93" s="13">
        <f>COUNTIF(D11:D86,"Could")</f>
        <v/>
      </c>
    </row>
    <row r="95">
      <c r="A95" s="8" t="inlineStr">
        <is>
          <t>Please mark any requirement you disagree with in the Priority column, or strike it out. The register is the contract for Steps 2 to 5, exactly as sheet 03 of the web plan was.</t>
        </is>
      </c>
    </row>
    <row r="96">
      <c r="A96" s="3" t="inlineStr">
        <is>
          <t>Legend</t>
        </is>
      </c>
    </row>
    <row r="97">
      <c r="A97" s="17" t="inlineStr">
        <is>
          <t>Green = new to the desktop application; nothing in the web application corresponds to it.</t>
        </is>
      </c>
    </row>
    <row r="98">
      <c r="A98" s="18" t="inlineStr">
        <is>
          <t>Orange = inherited from the web application but deliberately changed here.</t>
        </is>
      </c>
    </row>
    <row r="99">
      <c r="A99" s="19" t="inlineStr">
        <is>
          <t>Yellow = needs your decision before the work can proceed.</t>
        </is>
      </c>
    </row>
  </sheetData>
  <dataValidations count="1">
    <dataValidation sqref="D11:D8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PRAP_NewApp_Development_Plan_v1.13.xlsx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src/core/06a_diff.js + src/shell/python/importdiff.js</t>
        </is>
      </c>
      <c r="E30" s="13" t="inlineStr">
        <is>
          <t>Complete - 24 checks, including that a hand-typed row survives an import that never heard of it</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N4a</t>
        </is>
      </c>
      <c r="B35" s="15" t="inlineStr">
        <is>
          <t>N4a.1</t>
        </is>
      </c>
      <c r="C35" s="16" t="inlineStr">
        <is>
          <t>Port the storage layer to Python: workspaces, atomic save, versions, journal, the write claim.</t>
        </is>
      </c>
      <c r="D35" s="16" t="inlineStr">
        <is>
          <t>src/storage/python/</t>
        </is>
      </c>
      <c r="E35" s="15" t="inlineStr">
        <is>
          <t>Complete - 80 checks, including 12 kills mid-save and 8 processes racing for one claim</t>
        </is>
      </c>
    </row>
    <row r="36">
      <c r="A36" s="13" t="inlineStr">
        <is>
          <t>N4a</t>
        </is>
      </c>
      <c r="B36" s="13" t="inlineStr">
        <is>
          <t>N4a.2</t>
        </is>
      </c>
      <c r="C36" s="14" t="inlineStr">
        <is>
          <t>The local server that replaces Electron's main process, with the six controls NR-SEC-04..06 require.</t>
        </is>
      </c>
      <c r="D36" s="14" t="inlineStr">
        <is>
          <t>src/shell/python/server.py</t>
        </is>
      </c>
      <c r="E36" s="13" t="inlineStr">
        <is>
          <t>Complete - 11 of the 42 end-to-end checks are the security ones</t>
        </is>
      </c>
    </row>
    <row r="37">
      <c r="A37" s="15" t="inlineStr">
        <is>
          <t>N4a</t>
        </is>
      </c>
      <c r="B37" s="15" t="inlineStr">
        <is>
          <t>N4a.3</t>
        </is>
      </c>
      <c r="C37" s="16" t="inlineStr">
        <is>
          <t>Choosing a file WITHOUT the browser: a native dialog where tkinter exists, a folder listing in the page where it does not.</t>
        </is>
      </c>
      <c r="D37" s="16" t="inlineStr">
        <is>
          <t>src/shell/python/files.py, bridge.js</t>
        </is>
      </c>
      <c r="E37" s="15" t="inlineStr">
        <is>
          <t>Complete - and the page carries no file input at all (NR-IMP-09)</t>
        </is>
      </c>
    </row>
    <row r="38">
      <c r="A38" s="13" t="inlineStr">
        <is>
          <t>N4a</t>
        </is>
      </c>
      <c r="B38" s="13" t="inlineStr">
        <is>
          <t>N4a.4</t>
        </is>
      </c>
      <c r="C38" s="14" t="inlineStr">
        <is>
          <t>The window chrome the Electron menu bar used to provide, drawn in the page.</t>
        </is>
      </c>
      <c r="D38" s="14" t="inlineStr">
        <is>
          <t>src/shell/python/chrome.html, chrome.css</t>
        </is>
      </c>
      <c r="E38" s="13" t="inlineStr">
        <is>
          <t>Complete</t>
        </is>
      </c>
    </row>
    <row r="39">
      <c r="A39" s="15" t="inlineStr">
        <is>
          <t>N4a</t>
        </is>
      </c>
      <c r="B39" s="15" t="inlineStr">
        <is>
          <t>N4a.5</t>
        </is>
      </c>
      <c r="C39" s="16" t="inlineStr">
        <is>
          <t>Build and package: one command, 107 KB of readable Python text.</t>
        </is>
      </c>
      <c r="D39" s="16" t="inlineStr">
        <is>
          <t>tools/build_python_app.py</t>
        </is>
      </c>
      <c r="E39" s="15" t="inlineStr">
        <is>
          <t>Complete - dist/PM_APP_python_v0.2.zip</t>
        </is>
      </c>
    </row>
    <row r="40">
      <c r="A40" s="13" t="inlineStr">
        <is>
          <t>N4a</t>
        </is>
      </c>
      <c r="B40" s="13" t="inlineStr">
        <is>
          <t>N4a.6</t>
        </is>
      </c>
      <c r="C40" s="14" t="inlineStr">
        <is>
          <t>Prove it is the same application: 1,225 person-months compared against the independent Python reference on every run.</t>
        </is>
      </c>
      <c r="D40" s="14" t="inlineStr">
        <is>
          <t>tools/test_python_app.py</t>
        </is>
      </c>
      <c r="E40" s="13" t="inlineStr">
        <is>
          <t>Complete - worst difference 0.00e+00</t>
        </is>
      </c>
    </row>
    <row r="41">
      <c r="A41" s="15" t="inlineStr">
        <is>
          <t>N4a</t>
        </is>
      </c>
      <c r="B41" s="15" t="inlineStr">
        <is>
          <t>N4a.7</t>
        </is>
      </c>
      <c r="C41" s="16" t="inlineStr">
        <is>
          <t>Requester runs it on the company laptop and reports what happened.</t>
        </is>
      </c>
      <c r="D41" s="16" t="inlineStr">
        <is>
          <t>Your result, 2026-08-22</t>
        </is>
      </c>
      <c r="E41" s="15" t="inlineStr">
        <is>
          <t>COMPLETE - it arrived, it ran, it imported and it exported</t>
        </is>
      </c>
    </row>
    <row r="42">
      <c r="A42" s="13" t="inlineStr">
        <is>
          <t>N4a</t>
        </is>
      </c>
      <c r="B42" s="13" t="inlineStr">
        <is>
          <t>GN4a</t>
        </is>
      </c>
      <c r="C42" s="14" t="inlineStr">
        <is>
          <t>GATE N4a - the Python shell arrives, starts, and reads a workbook on the target machine.</t>
        </is>
      </c>
      <c r="D42" s="14" t="inlineStr">
        <is>
          <t>PM_APP Python v0.4</t>
        </is>
      </c>
      <c r="E42" s="13" t="inlineStr">
        <is>
          <t>CLOSED 2026-08-22</t>
        </is>
      </c>
    </row>
    <row r="43">
      <c r="A43" s="15" t="inlineStr">
        <is>
          <t>N5</t>
        </is>
      </c>
      <c r="B43" s="15" t="inlineStr">
        <is>
          <t>N5.1</t>
        </is>
      </c>
      <c r="C43" s="16" t="inlineStr">
        <is>
          <t>Package as a plain Windows folder delivered in a zip; verify it launches with no installation and no administrator rights.</t>
        </is>
      </c>
      <c r="D43" s="16" t="inlineStr">
        <is>
          <t>PM_APP_v&lt;ver&gt;.zip</t>
        </is>
      </c>
      <c r="E43" s="15" t="inlineStr">
        <is>
          <t>Not started</t>
        </is>
      </c>
    </row>
    <row r="44">
      <c r="A44" s="13" t="inlineStr">
        <is>
          <t>N5</t>
        </is>
      </c>
      <c r="B44" s="13" t="inlineStr">
        <is>
          <t>N5.2</t>
        </is>
      </c>
      <c r="C44" s="14" t="inlineStr">
        <is>
          <t>Verify no socket is opened, offline, for a full session (NR-SEC-01).</t>
        </is>
      </c>
      <c r="D44" s="14" t="inlineStr">
        <is>
          <t>Test evidence</t>
        </is>
      </c>
      <c r="E44" s="13" t="inlineStr">
        <is>
          <t>Not started</t>
        </is>
      </c>
    </row>
    <row r="45">
      <c r="A45" s="15" t="inlineStr">
        <is>
          <t>N5</t>
        </is>
      </c>
      <c r="B45" s="15" t="inlineStr">
        <is>
          <t>N5.3</t>
        </is>
      </c>
      <c r="C45" s="16" t="inlineStr">
        <is>
          <t>Portability suite: run the folder, then copy it to another path and another PC and run it again; verify the recent list and settings survive (NR-DEP-08).</t>
        </is>
      </c>
      <c r="D45" s="16" t="inlineStr">
        <is>
          <t>tools/test_portable.py</t>
        </is>
      </c>
      <c r="E45" s="15" t="inlineStr">
        <is>
          <t>Not started</t>
        </is>
      </c>
    </row>
    <row r="46">
      <c r="A46" s="13" t="inlineStr">
        <is>
          <t>N5</t>
        </is>
      </c>
      <c r="B46" s="13" t="inlineStr">
        <is>
          <t>N5.4</t>
        </is>
      </c>
      <c r="C46" s="14" t="inlineStr">
        <is>
          <t>Cleanliness check: record every file and registry key touched during a full session; verify nothing outside the application folder is written, and that deleting the folder leaves nothing behind (NR-DEP-06, NR-DEP-07).</t>
        </is>
      </c>
      <c r="D46" s="14" t="inlineStr">
        <is>
          <t>Test evidence</t>
        </is>
      </c>
      <c r="E46" s="13" t="inlineStr">
        <is>
          <t>Not started</t>
        </is>
      </c>
    </row>
    <row r="47">
      <c r="A47" s="15" t="inlineStr">
        <is>
          <t>N5</t>
        </is>
      </c>
      <c r="B47" s="15" t="inlineStr">
        <is>
          <t>N5.5</t>
        </is>
      </c>
      <c r="C47" s="16" t="inlineStr">
        <is>
          <t>Update check: extract a newer zip over an existing folder; verify workspaces, backups and settings are untouched (NR-DEP-03).</t>
        </is>
      </c>
      <c r="D47" s="16" t="inlineStr">
        <is>
          <t>Test evidence</t>
        </is>
      </c>
      <c r="E47" s="15" t="inlineStr">
        <is>
          <t>Not started</t>
        </is>
      </c>
    </row>
    <row r="48">
      <c r="A48" s="13" t="inlineStr">
        <is>
          <t>N5</t>
        </is>
      </c>
      <c r="B48" s="13" t="inlineStr">
        <is>
          <t>N5.6</t>
        </is>
      </c>
      <c r="C48" s="14" t="inlineStr">
        <is>
          <t>Awkward-location tests: a deeply nested path (R-N10), a read-only network folder (R-N11), and a UNC path (NR-DEP-13).</t>
        </is>
      </c>
      <c r="D48" s="14" t="inlineStr">
        <is>
          <t>Test evidence</t>
        </is>
      </c>
      <c r="E48" s="13" t="inlineStr">
        <is>
          <t>Not started</t>
        </is>
      </c>
    </row>
    <row r="49">
      <c r="A49" s="15" t="inlineStr">
        <is>
          <t>N5</t>
        </is>
      </c>
      <c r="B49" s="15" t="inlineStr">
        <is>
          <t>N5.6b</t>
        </is>
      </c>
      <c r="C49"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6" t="inlineStr">
        <is>
          <t>tools/test_shared.py</t>
        </is>
      </c>
      <c r="E49" s="15" t="inlineStr">
        <is>
          <t>Not started</t>
        </is>
      </c>
    </row>
    <row r="50">
      <c r="A50" s="13" t="inlineStr">
        <is>
          <t>N5</t>
        </is>
      </c>
      <c r="B50" s="13" t="inlineStr">
        <is>
          <t>N5.6c</t>
        </is>
      </c>
      <c r="C50" s="14" t="inlineStr">
        <is>
          <t>Measure launch time from a local disk and from a network folder, and state both in the user guide rather than promising one.</t>
        </is>
      </c>
      <c r="D50" s="14" t="inlineStr">
        <is>
          <t>Test evidence</t>
        </is>
      </c>
      <c r="E50" s="13" t="inlineStr">
        <is>
          <t>Not started</t>
        </is>
      </c>
    </row>
    <row r="51">
      <c r="A51" s="15" t="inlineStr">
        <is>
          <t>N5</t>
        </is>
      </c>
      <c r="B51" s="15" t="inlineStr">
        <is>
          <t>N5.7</t>
        </is>
      </c>
      <c r="C51" s="16" t="inlineStr">
        <is>
          <t>Run on a real company PC - the only place execution policy, SmartScreen and anti-virus can be judged.</t>
        </is>
      </c>
      <c r="D51" s="16" t="inlineStr">
        <is>
          <t>Test evidence</t>
        </is>
      </c>
      <c r="E51" s="15" t="inlineStr">
        <is>
          <t>Pending you</t>
        </is>
      </c>
    </row>
    <row r="52">
      <c r="A52" s="13" t="inlineStr">
        <is>
          <t>N5</t>
        </is>
      </c>
      <c r="B52" s="13" t="inlineStr">
        <is>
          <t>N5.8</t>
        </is>
      </c>
      <c r="C52" s="14" t="inlineStr">
        <is>
          <t>User guide: where to extract it, first launch and the SmartScreen prompt, workspaces, import and export, backup, updating, and what to do if it will not start.</t>
        </is>
      </c>
      <c r="D52" s="14" t="inlineStr">
        <is>
          <t>User guide</t>
        </is>
      </c>
      <c r="E52" s="13" t="inlineStr">
        <is>
          <t>Not started</t>
        </is>
      </c>
    </row>
    <row r="53">
      <c r="A53" s="15" t="inlineStr">
        <is>
          <t>N5</t>
        </is>
      </c>
      <c r="B53" s="15" t="inlineStr">
        <is>
          <t>N5.9</t>
        </is>
      </c>
      <c r="C53" s="16" t="inlineStr">
        <is>
          <t>Full pass over the traceability matrix; version alignment across both product lines.</t>
        </is>
      </c>
      <c r="D53" s="16" t="inlineStr">
        <is>
          <t>Traceability matrix</t>
        </is>
      </c>
      <c r="E53" s="15" t="inlineStr">
        <is>
          <t>Not started</t>
        </is>
      </c>
    </row>
    <row r="54">
      <c r="A54" s="13" t="inlineStr">
        <is>
          <t>N5</t>
        </is>
      </c>
      <c r="B54" s="13" t="inlineStr">
        <is>
          <t>GN5</t>
        </is>
      </c>
      <c r="C54" s="14" t="inlineStr">
        <is>
          <t>GATE N5 - release.</t>
        </is>
      </c>
      <c r="D54" s="14" t="inlineStr">
        <is>
          <t>Project Management APP v1.0 (PM_APP)</t>
        </is>
      </c>
      <c r="E54" s="13" t="inlineStr">
        <is>
          <t>Not started</t>
        </is>
      </c>
    </row>
    <row r="56">
      <c r="A56" s="5" t="inlineStr">
        <is>
          <t>Progress</t>
        </is>
      </c>
    </row>
    <row r="57" ht="28" customHeight="1">
      <c r="A57" s="10" t="inlineStr">
        <is>
          <t>Measure</t>
        </is>
      </c>
      <c r="B57" s="10" t="inlineStr">
        <is>
          <t>Count</t>
        </is>
      </c>
    </row>
    <row r="58">
      <c r="A58" s="15" t="inlineStr">
        <is>
          <t>Tasks total</t>
        </is>
      </c>
      <c r="B58" s="15">
        <f>COUNTA(B5:B54)</f>
        <v/>
      </c>
    </row>
    <row r="59">
      <c r="A59" s="13" t="inlineStr">
        <is>
          <t>Complete</t>
        </is>
      </c>
      <c r="B59" s="13">
        <f>COUNTIF(E5:E54,"Complete")+COUNTIF(E5:E54,"Complete - issued for review")</f>
        <v/>
      </c>
    </row>
    <row r="60">
      <c r="A60" s="15" t="inlineStr">
        <is>
          <t>Awaiting the requester</t>
        </is>
      </c>
      <c r="B60" s="15">
        <f>COUNTIF(E5:E54,"Pending you")</f>
        <v/>
      </c>
    </row>
    <row r="61">
      <c r="A61" s="13" t="inlineStr">
        <is>
          <t>Not started</t>
        </is>
      </c>
      <c r="B61" s="13">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Low</t>
        </is>
      </c>
      <c r="E5" s="21"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20" t="inlineStr">
        <is>
          <t>R-N09</t>
        </is>
      </c>
      <c r="B13" s="21" t="inlineStr">
        <is>
          <t>Windows SmartScreen warns about the executable, or anti-virus quarantines it, because it is unsigned and unknown.</t>
        </is>
      </c>
      <c r="C13" s="20" t="inlineStr">
        <is>
          <t>HIGH</t>
        </is>
      </c>
      <c r="D13" s="20" t="inlineStr">
        <is>
          <t>Low</t>
        </is>
      </c>
      <c r="E13" s="21"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20" t="inlineStr">
        <is>
          <t>R-N20</t>
        </is>
      </c>
      <c r="B20" s="21" t="inlineStr">
        <is>
          <t>The company will not let an executable ARRIVE, whatever its policy on running one.</t>
        </is>
      </c>
      <c r="C20" s="20" t="inlineStr">
        <is>
          <t>Low</t>
        </is>
      </c>
      <c r="D20" s="20" t="inlineStr">
        <is>
          <t>HIGH</t>
        </is>
      </c>
      <c r="E20" s="21"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20" t="inlineStr">
        <is>
          <t>R-N21</t>
        </is>
      </c>
      <c r="B22" s="21" t="inlineStr">
        <is>
          <t>Data cannot enter a browser page at all - the company blocks the file picker, so the web application cannot be given a file.</t>
        </is>
      </c>
      <c r="C22" s="20" t="inlineStr">
        <is>
          <t>HIGH</t>
        </is>
      </c>
      <c r="D22" s="20" t="inlineStr">
        <is>
          <t>Low</t>
        </is>
      </c>
      <c r="E22" s="21"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5" t="inlineStr">
        <is>
          <t>What it is</t>
        </is>
      </c>
      <c r="B32" s="16" t="inlineStr">
        <is>
          <t>A digital seal applied to the .exe that says which ORGANISATION published it. Windows checks the seal when the file is run.</t>
        </is>
      </c>
    </row>
    <row r="33">
      <c r="A33" s="13" t="inlineStr">
        <is>
          <t>What happens without it</t>
        </is>
      </c>
      <c r="B33"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5" t="inlineStr">
        <is>
          <t>What happens with it</t>
        </is>
      </c>
      <c r="B34" s="16" t="inlineStr">
        <is>
          <t>The warning names your company instead, and usually disappears entirely once the file has been seen a few times. Anti-virus is far less likely to quarantine it.</t>
        </is>
      </c>
    </row>
    <row r="35">
      <c r="A35" s="13" t="inlineStr">
        <is>
          <t>What is bought</t>
        </is>
      </c>
      <c r="B35"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5" t="inlineStr">
        <is>
          <t>Why the COMPANY has to buy it</t>
        </is>
      </c>
      <c r="B36" s="16" t="inlineStr">
        <is>
          <t>The authority verifies the ORGANISATION exists before issuing - company registration documents, a verifiable telephone number, that sort of thing. An individual cannot buy a certificate in the company's name, which is the whole point of it.</t>
        </is>
      </c>
    </row>
    <row r="37">
      <c r="A37" s="13" t="inlineStr">
        <is>
          <t>What else it needs</t>
        </is>
      </c>
      <c r="B37" s="14" t="inlineStr">
        <is>
          <t>Industry rules now require the signing key to live on a hardware token or in a cloud signing service, so somebody has to hold that token and run the signing step when a new version is built.</t>
        </is>
      </c>
    </row>
    <row r="38">
      <c r="A38" s="15" t="inlineStr">
        <is>
          <t>Who would own it</t>
        </is>
      </c>
      <c r="B38" s="16" t="inlineStr">
        <is>
          <t>Whoever owns software distribution or endpoint security - IT or InfoSec. It is a procurement request, not a development task.</t>
        </is>
      </c>
    </row>
    <row r="39">
      <c r="A39" s="13" t="inlineStr">
        <is>
          <t>Is it needed?</t>
        </is>
      </c>
      <c r="B39"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5" t="inlineStr">
        <is>
          <t>A-N01</t>
        </is>
      </c>
      <c r="B45" s="16" t="inlineStr">
        <is>
          <t>Data volume stays as assumed by the web plan - up to about 100 projects and 1,000 people.</t>
        </is>
      </c>
      <c r="C45" s="15" t="inlineStr">
        <is>
          <t>Inherited, standing</t>
        </is>
      </c>
    </row>
    <row r="46">
      <c r="A46" s="20" t="inlineStr">
        <is>
          <t>A-N02</t>
        </is>
      </c>
      <c r="B46" s="21" t="inlineStr">
        <is>
          <t>Windows 10 or 11, 64-bit, is the only target. macOS and Linux are out of scope.</t>
        </is>
      </c>
      <c r="C46" s="20"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20" t="inlineStr">
        <is>
          <t>A-N09</t>
        </is>
      </c>
      <c r="B48" s="21" t="inlineStr">
        <is>
          <t>The user can extract a zip and run an executable from their own folder, and nothing will later block or remove it.</t>
        </is>
      </c>
      <c r="C48" s="20"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20" t="inlineStr">
        <is>
          <t>A-N03</t>
        </is>
      </c>
      <c r="B53" s="21" t="inlineStr">
        <is>
          <t>One person works on a given workspace at a time - but the application no longer RELIES on it, because a shared folder makes it unsafe to assume.</t>
        </is>
      </c>
      <c r="C53" s="20" t="inlineStr">
        <is>
          <t>WITHDRAWN as an assumption at round 2; enforced by NR-STO-10 instead</t>
        </is>
      </c>
    </row>
    <row r="54">
      <c r="A54" s="13" t="inlineStr">
        <is>
          <t>A-N04</t>
        </is>
      </c>
      <c r="B54" s="14" t="inlineStr">
        <is>
          <t>Package size is unconstrained.</t>
        </is>
      </c>
      <c r="C54" s="13" t="inlineStr">
        <is>
          <t>CONFIRMED by your instruction, 2026-08-13</t>
        </is>
      </c>
    </row>
    <row r="55">
      <c r="A55" s="15" t="inlineStr">
        <is>
          <t>A-N05</t>
        </is>
      </c>
      <c r="B55" s="16" t="inlineStr">
        <is>
          <t>Both applications remain in service indefinitely; neither is a migration path away from the other.</t>
        </is>
      </c>
      <c r="C55" s="15" t="inlineStr">
        <is>
          <t>CONFIRMED by your instruction, 2026-08-13</t>
        </is>
      </c>
    </row>
    <row r="56">
      <c r="A56" s="13" t="inlineStr">
        <is>
          <t>A-N06</t>
        </is>
      </c>
      <c r="B56" s="14" t="inlineStr">
        <is>
          <t>The source Excel workbook continues to be maintained by hand, by someone other than the tool.</t>
        </is>
      </c>
      <c r="C56" s="13" t="inlineStr">
        <is>
          <t>Inherited A-04, standing</t>
        </is>
      </c>
    </row>
    <row r="57">
      <c r="A57" s="15" t="inlineStr">
        <is>
          <t>A-N07</t>
        </is>
      </c>
      <c r="B57" s="16" t="inlineStr">
        <is>
          <t>The user can copy a package into their own profile or a network share and run it from there.</t>
        </is>
      </c>
      <c r="C57" s="15" t="inlineStr">
        <is>
          <t>To confirm - Q-N02</t>
        </is>
      </c>
    </row>
    <row r="59">
      <c r="A59" s="3" t="inlineStr">
        <is>
          <t>Legend</t>
        </is>
      </c>
    </row>
    <row r="60">
      <c r="A60" s="17" t="inlineStr">
        <is>
          <t>Green = new to the desktop application; nothing in the web application corresponds to it.</t>
        </is>
      </c>
    </row>
    <row r="61">
      <c r="A61" s="18" t="inlineStr">
        <is>
          <t>Orange = inherited from the web application but deliberately changed here.</t>
        </is>
      </c>
    </row>
    <row r="62">
      <c r="A62"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5" t="inlineStr">
        <is>
          <t>A</t>
        </is>
      </c>
      <c r="B27" s="15" t="inlineStr">
        <is>
          <t>Ask IT for the sanctioned channel</t>
        </is>
      </c>
      <c r="C27" s="16" t="inlineStr">
        <is>
          <t>The software-distribution share, the internal artifact store, or an allow-list entry. Nothing is rebuilt - the package is finished and tested.</t>
        </is>
      </c>
      <c r="D27" s="16" t="inlineStr">
        <is>
          <t>Best fidelity, no work. Depends entirely on somebody else, and the answer may be no or slow.</t>
        </is>
      </c>
      <c r="E27" s="16" t="inlineStr">
        <is>
          <t>NOT NEEDED for route B - it arrived by e-mail. Still the only way the Electron package could</t>
        </is>
      </c>
    </row>
    <row r="28">
      <c r="A28" s="13" t="inlineStr">
        <is>
          <t>B</t>
        </is>
      </c>
      <c r="B28" s="13" t="inlineStr">
        <is>
          <t>Replace the Electron shell with a PYTHON one   [DELIVERED 2026-08-22]</t>
        </is>
      </c>
      <c r="C28" s="14"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4" t="inlineStr">
        <is>
          <t>Removes the executable from one problem and the upload from the other. Needs Python on the laptop. Roughly 700 lines of new Python, no new engine.</t>
        </is>
      </c>
      <c r="E28" s="14" t="inlineStr">
        <is>
          <t>RECOMMENDED - and now the only route that answers both refusals</t>
        </is>
      </c>
    </row>
    <row r="29">
      <c r="A29" s="15" t="inlineStr">
        <is>
          <t>C</t>
        </is>
      </c>
      <c r="B29" s="15" t="inlineStr">
        <is>
          <t>Persistence in the web application instead</t>
        </is>
      </c>
      <c r="C29" s="16" t="inlineStr">
        <is>
          <t>Give the existing HTML file real storage, through the browser's own file access. It already arrives - it is a document.</t>
        </is>
      </c>
      <c r="D29" s="16" t="inlineStr">
        <is>
          <t>RULED OUT 2026-08-18. It depends on the browser's file access, which is the exact interface the import control intercepts (R-N21). It was never going to keep the shared folder either; now it cannot even get the first file in.</t>
        </is>
      </c>
      <c r="E29" s="16"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5" t="inlineStr">
        <is>
          <t>Decision N-05 survives</t>
        </is>
      </c>
      <c r="B62" s="16" t="inlineStr">
        <is>
          <t>There is still ONE engine. The numbers stay in core/, in the browser. Python touches files and nothing else - if a calculation appears in the Python, something has gone wrong.</t>
        </is>
      </c>
      <c r="C62" s="15" t="inlineStr">
        <is>
          <t>N-05</t>
        </is>
      </c>
    </row>
    <row r="63">
      <c r="A63" s="13" t="inlineStr">
        <is>
          <t>No pip install</t>
        </is>
      </c>
      <c r="B63" s="14" t="inlineStr">
        <is>
          <t>http.server, json, pathlib, zipfile and xml are all standard library. The xlsx reading and writing stays in the browser, where it is already dependency-free - so Python never needs openpyxl.</t>
        </is>
      </c>
      <c r="C63" s="13" t="inlineStr">
        <is>
          <t>NR-DEP-05</t>
        </is>
      </c>
    </row>
    <row r="64">
      <c r="A64" s="15" t="inlineStr">
        <is>
          <t>The storage design carries over intact</t>
        </is>
      </c>
      <c r="B64" s="16" t="inlineStr">
        <is>
          <t>Atomic save, retained version, journal, the claim with its heartbeat and expiry - all of it is filesystem work, and all of it ports directly. The 33 checks in test_storage.mjs become 33 checks in Python.</t>
        </is>
      </c>
      <c r="C64" s="15" t="inlineStr">
        <is>
          <t>NR-STO-04..19</t>
        </is>
      </c>
    </row>
    <row r="65">
      <c r="A65" s="13" t="inlineStr">
        <is>
          <t>The shared folder still works</t>
        </is>
      </c>
      <c r="B65" s="14" t="inlineStr">
        <is>
          <t>Which route C cannot offer. Real files, real claim files, several people on one plan - the whole of sheet 07 keeps its meaning.</t>
        </is>
      </c>
      <c r="C65" s="13" t="inlineStr">
        <is>
          <t>NR-STO-10</t>
        </is>
      </c>
    </row>
    <row r="66">
      <c r="A66" s="15" t="inlineStr">
        <is>
          <t>What is lost</t>
        </is>
      </c>
      <c r="B66" s="16" t="inlineStr">
        <is>
          <t>A window of its own. The application would open in the browser, pointed at a local address, launched from a shortcut. It looks like the web application because it IS the web application - which is a fair trade for arriving at all.</t>
        </is>
      </c>
      <c r="C66" s="15"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6" t="inlineStr">
        <is>
          <t>Is Python installed on the laptop, and which version?</t>
        </is>
      </c>
      <c r="B72" s="16" t="inlineStr">
        <is>
          <t>`python --version` at a command prompt. 3.9 or newer is enough. If it is absent, route B needs IT to install it - which is the same conversation as route A, but for a runtime that is far easier to approve than an unknown application.</t>
        </is>
      </c>
    </row>
    <row r="73">
      <c r="A73" s="14" t="inlineStr">
        <is>
          <t>What internal route exists for files that are not e-mail?</t>
        </is>
      </c>
      <c r="B73" s="14" t="inlineStr">
        <is>
          <t>SharePoint, Teams, an internal GitLab, a software share. Route B still has to arrive; .py is text rather than an executable, which most filters treat differently, but the sanctioned route is better than the tolerated one.</t>
        </is>
      </c>
    </row>
    <row r="74">
      <c r="A74" s="16" t="inlineStr">
        <is>
          <t>Would IT rather approve a runtime than an application?</t>
        </is>
      </c>
      <c r="B74" s="16" t="inlineStr">
        <is>
          <t>Usually yes, and it is worth asking in those terms. 'May I have Python' is a smaller request than 'may I run this 142 MB thing a contractor sent me'.</t>
        </is>
      </c>
    </row>
    <row r="75">
      <c r="A75" s="14" t="inlineStr">
        <is>
          <t>What did the import security message actually say - which product, which policy name?</t>
        </is>
      </c>
      <c r="B75" s="14"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3" t="inlineStr">
        <is>
          <t>38</t>
        </is>
      </c>
      <c r="B42" s="13" t="inlineStr">
        <is>
          <t>Instruction 2026-08-18</t>
        </is>
      </c>
      <c r="C42" s="14" t="inlineStr">
        <is>
          <t>IT bans any data upload into HTML. How is that limitation solved?</t>
        </is>
      </c>
      <c r="D42" s="14" t="inlineStr">
        <is>
          <t>Accepted as a constraint, and diagnosed before it was recorded.</t>
        </is>
      </c>
      <c r="E42" s="14"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3"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4">
      <c r="A44" s="13" t="inlineStr">
        <is>
          <t>40</t>
        </is>
      </c>
      <c r="B44" s="13" t="inlineStr">
        <is>
          <t>Answers 2026-08-20</t>
        </is>
      </c>
      <c r="C44" s="14" t="inlineStr">
        <is>
          <t>Python 3.14 is installed. No internal file route is allowed yet - use e-mail with Python code. The import message said data upload is not allowed except to permitted paths.</t>
        </is>
      </c>
      <c r="D44" s="14" t="inlineStr">
        <is>
          <t>All three decided the route, and the third decided whether the route existed.</t>
        </is>
      </c>
      <c r="E44" s="14"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3" t="inlineStr">
        <is>
          <t>Closed</t>
        </is>
      </c>
    </row>
    <row r="45">
      <c r="A45" s="15" t="inlineStr">
        <is>
          <t>41</t>
        </is>
      </c>
      <c r="B45" s="15" t="inlineStr">
        <is>
          <t>Result 2026-08-22</t>
        </is>
      </c>
      <c r="C45" s="16" t="inlineStr">
        <is>
          <t>The Python package went through e-mail with no problem. The earlier refusal was caused by the EXECUTABLE enclosed in the zip.</t>
        </is>
      </c>
      <c r="D45" s="16" t="inlineStr">
        <is>
          <t>Decisive, and it narrows a risk this plan had recorded too widely.</t>
        </is>
      </c>
      <c r="E45" s="16"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5"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2026-09-11T03:08:16Z</dcterms:created>
  <dcterms:modified xmlns:dcterms="http://purl.org/dc/terms/" xmlns:xsi="http://www.w3.org/2001/XMLSchema-instance" xsi:type="dcterms:W3CDTF">2026-09-11T03:08:16Z</dcterms:modified>
</cp:coreProperties>
</file>