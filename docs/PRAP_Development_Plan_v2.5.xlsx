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Data_Model" sheetId="5" state="visible" r:id="rId5"/>
    <sheet name="05_Resource_Logic" sheetId="6" state="visible" r:id="rId6"/>
    <sheet name="06_Dashboard_Design" sheetId="7" state="visible" r:id="rId7"/>
    <sheet name="07_Architecture" sheetId="8" state="visible" r:id="rId8"/>
    <sheet name="08_WBS_Schedule" sheetId="9" state="visible" r:id="rId9"/>
    <sheet name="09_Version_Control" sheetId="10" state="visible" r:id="rId10"/>
    <sheet name="10_Risks" sheetId="11" state="visible" r:id="rId11"/>
    <sheet name="11_Open_Questions" sheetId="12" state="visible" r:id="rId12"/>
    <sheet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v2.5</t>
        </is>
      </c>
    </row>
    <row r="7">
      <c r="A7" s="3" t="inlineStr">
        <is>
          <t>Status</t>
        </is>
      </c>
      <c r="B7" s="4" t="inlineStr">
        <is>
          <t>Baseline v2.0 + Step 4 progress. Application v1.4 - Gate 4 refinements rounds 1-4.</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All were approved by Dan on 2026-08-02, and this issue is now THE</t>
        </is>
      </c>
    </row>
    <row r="43">
      <c r="A43" s="6" t="inlineStr">
        <is>
          <t>BASELINE, superseding v1.3. Steps 1 to 3 are closed; Step 4, code generation, is authorised.</t>
        </is>
      </c>
    </row>
    <row r="44">
      <c r="A44" s="6" t="inlineStr"/>
    </row>
    <row r="45">
      <c r="A45" s="6" t="inlineStr">
        <is>
          <t>v1.3 carries change R-04: every sheet of the source workbook now holds at least one free-text note</t>
        </is>
      </c>
    </row>
    <row r="46">
      <c r="A46" s="6" t="inlineStr">
        <is>
          <t>column. Four sheets had none - Milestone, ProjectPeriod, PeriodWeightStandard and Lists - and each gains</t>
        </is>
      </c>
    </row>
    <row r="47">
      <c r="A47" s="6" t="inlineStr">
        <is>
          <t>note_1. The other six already had one: Project and Person carry note_1..note_5, Assignment</t>
        </is>
      </c>
    </row>
    <row r="48">
      <c r="A48" s="6" t="inlineStr">
        <is>
          <t>note_1..note_3, RoleFactor role_note, PersonPeriodWeight reason, and Config note.</t>
        </is>
      </c>
    </row>
    <row r="49">
      <c r="A49" s="6" t="inlineStr"/>
    </row>
    <row r="50">
      <c r="A50" s="6" t="inlineStr">
        <is>
          <t>Because columns change, the source schema version steps from 1 to 2. Nothing else moves: notes are</t>
        </is>
      </c>
    </row>
    <row r="51">
      <c r="A51" s="6" t="inlineStr">
        <is>
          <t>carried through import and export unchanged and are never read by the calculation, so re-running the</t>
        </is>
      </c>
    </row>
    <row r="52">
      <c r="A52" s="6" t="inlineStr">
        <is>
          <t>dummy dataset gives identical figures to v1.2.</t>
        </is>
      </c>
    </row>
    <row r="53">
      <c r="A53" s="6" t="inlineStr"/>
    </row>
    <row r="54">
      <c r="A54" s="6" t="inlineStr">
        <is>
          <t>WHAT THIS PLAN NOW FIXES</t>
        </is>
      </c>
    </row>
    <row r="55">
      <c r="A55" s="6" t="inlineStr">
        <is>
          <t xml:space="preserve">  65 requirements (sheet 03) as the contract for Steps 2-5</t>
        </is>
      </c>
    </row>
    <row r="56">
      <c r="A56" s="6" t="inlineStr">
        <is>
          <t xml:space="preserve">  21 validation rules (sheet 04) applied on import and on every on-screen edit</t>
        </is>
      </c>
    </row>
    <row r="57">
      <c r="A57" s="6" t="inlineStr">
        <is>
          <t xml:space="preserve">  11 engineering decisions, C-01 to C-11 (sheet 05), all confirmed</t>
        </is>
      </c>
    </row>
    <row r="58">
      <c r="A58" s="6" t="inlineStr">
        <is>
          <t xml:space="preserve">  a source schema of 10 sheets at version 2 (sheet 04)</t>
        </is>
      </c>
    </row>
    <row r="59">
      <c r="A59" s="6" t="inlineStr">
        <is>
          <t xml:space="preserve">  the five-step build with a review gate at the end of each (sheet 08)</t>
        </is>
      </c>
    </row>
    <row r="60">
      <c r="A60" s="6" t="inlineStr"/>
    </row>
    <row r="61">
      <c r="A61" s="6" t="inlineStr">
        <is>
          <t>Nothing in this document is open. Six review rounds produced 28 questions and 4 change requests; all 32</t>
        </is>
      </c>
    </row>
    <row r="62">
      <c r="A62" s="6" t="inlineStr">
        <is>
          <t>are answered and applied, and the review log on sheet 12 carries no open item.</t>
        </is>
      </c>
    </row>
    <row r="64">
      <c r="A64" s="5" t="inlineStr">
        <is>
          <t>The plan in one page</t>
        </is>
      </c>
    </row>
    <row r="65">
      <c r="A65" s="6" t="inlineStr">
        <is>
          <t xml:space="preserve">  Output        One HTML file, opened by double-click on Windows, offline, no install. One Excel</t>
        </is>
      </c>
    </row>
    <row r="66">
      <c r="A66" s="6" t="inlineStr">
        <is>
          <t xml:space="preserve">                workbook alongside it holds the data and remains the archive of record.</t>
        </is>
      </c>
    </row>
    <row r="67">
      <c r="A67" s="6" t="inlineStr"/>
    </row>
    <row r="68">
      <c r="A68" s="6" t="inlineStr">
        <is>
          <t xml:space="preserve">  Calculation   load = project period weight x role factor x person weight x month coverage,</t>
        </is>
      </c>
    </row>
    <row r="69">
      <c r="A69" s="6" t="inlineStr">
        <is>
          <t xml:space="preserve">                in FTE where 1.00 FTE = 160 hours per month.</t>
        </is>
      </c>
    </row>
    <row r="70">
      <c r="A70" s="6" t="inlineStr">
        <is>
          <t xml:space="preserve">                Over-allocated above 1.50 FTE in a month; under-allocated below 0.80 FTE for three</t>
        </is>
      </c>
    </row>
    <row r="71">
      <c r="A71" s="6" t="inlineStr">
        <is>
          <t xml:space="preserve">                or more consecutive months, reported as a run.</t>
        </is>
      </c>
    </row>
    <row r="72">
      <c r="A72" s="6" t="inlineStr"/>
    </row>
    <row r="73">
      <c r="A73" s="6" t="inlineStr">
        <is>
          <t xml:space="preserve">  Periods       Clinical Trial: five period names derived from milestone dates and month offsets,</t>
        </is>
      </c>
    </row>
    <row r="74">
      <c r="A74" s="6" t="inlineStr">
        <is>
          <t xml:space="preserve">                with the conduct phase split into 'Conduct (interim)' and 'Conduct (final)' where an</t>
        </is>
      </c>
    </row>
    <row r="75">
      <c r="A75" s="6" t="inlineStr">
        <is>
          <t xml:space="preserve">                interim DB lock divides it. Weights come</t>
        </is>
      </c>
    </row>
    <row r="76">
      <c r="A76" s="6" t="inlineStr">
        <is>
          <t xml:space="preserve">                from the trial's clinical phase.</t>
        </is>
      </c>
    </row>
    <row r="77">
      <c r="A77" s="6" t="inlineStr">
        <is>
          <t xml:space="preserve">                Others: three periods, dates and weights both entered by hand.</t>
        </is>
      </c>
    </row>
    <row r="78">
      <c r="A78" s="6" t="inlineStr"/>
    </row>
    <row r="79">
      <c r="A79" s="6" t="inlineStr">
        <is>
          <t xml:space="preserve">  Dashboard     Overall (monthly simulation per project and per person, tables and graphs),</t>
        </is>
      </c>
    </row>
    <row r="80">
      <c r="A80" s="6" t="inlineStr">
        <is>
          <t xml:space="preserve">                Source data (project), Source data (person). Every field editable, with identifier</t>
        </is>
      </c>
    </row>
    <row r="81">
      <c r="A81" s="6" t="inlineStr">
        <is>
          <t xml:space="preserve">                edits cascading to referencing rows.</t>
        </is>
      </c>
    </row>
    <row r="82">
      <c r="A82" s="6" t="inlineStr"/>
    </row>
    <row r="83">
      <c r="A83" s="6" t="inlineStr">
        <is>
          <t xml:space="preserve">  Build         Five steps, each ending at a review gate. This document closes Step 1.</t>
        </is>
      </c>
    </row>
    <row r="85">
      <c r="A85" s="5" t="inlineStr">
        <is>
          <t>What approving this document means</t>
        </is>
      </c>
    </row>
    <row r="86">
      <c r="A86" s="6" t="inlineStr">
        <is>
          <t>Gate 1 approval on sheet 12 baselines the 63 requirements on sheet 03 as the contract for Steps 2-5,</t>
        </is>
      </c>
    </row>
    <row r="87">
      <c r="A87" s="6" t="inlineStr">
        <is>
          <t>and confirms the six engineering decisions C-06 to C-11 on sheet 05 that were proposed but never</t>
        </is>
      </c>
    </row>
    <row r="88">
      <c r="A88" s="6" t="inlineStr">
        <is>
          <t>explicitly answered across the review rounds. Those six are listed there with their rationale; if any</t>
        </is>
      </c>
    </row>
    <row r="89">
      <c r="A89" s="6" t="inlineStr">
        <is>
          <t>is wrong, say so at approval rather than after.</t>
        </is>
      </c>
    </row>
    <row r="91">
      <c r="A91" s="5" t="inlineStr">
        <is>
          <t>How to read this workbook</t>
        </is>
      </c>
    </row>
    <row r="92" ht="28" customHeight="1">
      <c r="A92" s="7" t="inlineStr">
        <is>
          <t>Sheet</t>
        </is>
      </c>
      <c r="B92" s="7" t="inlineStr">
        <is>
          <t>Contents</t>
        </is>
      </c>
    </row>
    <row r="93">
      <c r="A93" s="8" t="inlineStr">
        <is>
          <t>00_Cover</t>
        </is>
      </c>
      <c r="B93" s="9" t="inlineStr">
        <is>
          <t>Document control, what changed, reading guide.</t>
        </is>
      </c>
    </row>
    <row r="94">
      <c r="A94" s="10" t="inlineStr">
        <is>
          <t>01_Version_History</t>
        </is>
      </c>
      <c r="B94" s="11" t="inlineStr">
        <is>
          <t>Change log for this plan.</t>
        </is>
      </c>
    </row>
    <row r="95">
      <c r="A95" s="8" t="inlineStr">
        <is>
          <t>02_Scope</t>
        </is>
      </c>
      <c r="B95" s="9" t="inlineStr">
        <is>
          <t>Background, objectives, in scope / out of scope.</t>
        </is>
      </c>
    </row>
    <row r="96">
      <c r="A96" s="10" t="inlineStr">
        <is>
          <t>03_Requirements</t>
        </is>
      </c>
      <c r="B96" s="11" t="inlineStr">
        <is>
          <t>Numbered requirement register - the contract for Steps 2-5.</t>
        </is>
      </c>
    </row>
    <row r="97">
      <c r="A97" s="8" t="inlineStr">
        <is>
          <t>04_Data_Model</t>
        </is>
      </c>
      <c r="B97" s="9" t="inlineStr">
        <is>
          <t>Every sheet and column of the single source workbook, with rules.</t>
        </is>
      </c>
    </row>
    <row r="98">
      <c r="A98" s="10" t="inlineStr">
        <is>
          <t>05_Resource_Logic</t>
        </is>
      </c>
      <c r="B98" s="11" t="inlineStr">
        <is>
          <t>The calculation that turns assignments and weights into monthly FTE.</t>
        </is>
      </c>
    </row>
    <row r="99">
      <c r="A99" s="8" t="inlineStr">
        <is>
          <t>06_Dashboard_Design</t>
        </is>
      </c>
      <c r="B99" s="9" t="inlineStr">
        <is>
          <t>The three dashboard tabs: tables, graphs, filters, editing.</t>
        </is>
      </c>
    </row>
    <row r="100">
      <c r="A100" s="10" t="inlineStr">
        <is>
          <t>07_Architecture</t>
        </is>
      </c>
      <c r="B100" s="11" t="inlineStr">
        <is>
          <t>Single-file HTML + Excel-on-disk design and the file-access decision.</t>
        </is>
      </c>
    </row>
    <row r="101">
      <c r="A101" s="8" t="inlineStr">
        <is>
          <t>08_WBS_Schedule</t>
        </is>
      </c>
      <c r="B101" s="9" t="inlineStr">
        <is>
          <t>The five steps broken into tasks, deliverables and review gates.</t>
        </is>
      </c>
    </row>
    <row r="102">
      <c r="A102" s="10" t="inlineStr">
        <is>
          <t>09_Version_Control</t>
        </is>
      </c>
      <c r="B102" s="11" t="inlineStr">
        <is>
          <t>How plan, specification and output files are versioned together.</t>
        </is>
      </c>
    </row>
    <row r="103">
      <c r="A103" s="8" t="inlineStr">
        <is>
          <t>10_Risks</t>
        </is>
      </c>
      <c r="B103" s="9" t="inlineStr">
        <is>
          <t>Risks and assumptions with mitigations.</t>
        </is>
      </c>
    </row>
    <row r="104">
      <c r="A104" s="10" t="inlineStr">
        <is>
          <t>11_Open_Questions</t>
        </is>
      </c>
      <c r="B104" s="11" t="inlineStr">
        <is>
          <t>All 28 questions and their answers. Nothing open.</t>
        </is>
      </c>
    </row>
    <row r="105">
      <c r="A105" s="8" t="inlineStr">
        <is>
          <t>12_Review_Log</t>
        </is>
      </c>
      <c r="B105" s="9" t="inlineStr">
        <is>
          <t>Every change made across the four review rounds, and why. Gate 1 approval block.</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3"/>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17" t="inlineStr">
        <is>
          <t>2.5</t>
        </is>
      </c>
      <c r="B21" s="17" t="inlineStr">
        <is>
          <t>2026-07-31</t>
        </is>
      </c>
      <c r="C21" s="17" t="inlineStr">
        <is>
          <t>Claude Code</t>
        </is>
      </c>
      <c r="D21" s="17" t="inlineStr">
        <is>
          <t>Pending</t>
        </is>
      </c>
      <c r="E21" s="18" t="inlineStr">
        <is>
          <t>Gate 4 refinements round 4, application v1.4. (1) Information pop-ups: every column heading on the source-data tabs explains what its column is for, and the summary tiles, month headings and project type pills explain what they count. They open on HOVER and PIN on CLICK, which is also what makes them reachable on a touch screen and from the keyboard, where there is no hover at all. (2) Every editable table gains a Delete control beside Insert. V-17 governs it: a row still referenced cannot be deleted and the refusal names what refers to it, and a delete is NEVER cascaded - that asymmetry with the cascading identifier edit is deliberate, because a cascaded rename is reversible and a cascaded delete is not. Deletion is provisional like any other change. No requirement, rule, calculation or schema changed.</t>
        </is>
      </c>
      <c r="F21" s="17" t="inlineStr">
        <is>
          <t>Issued for review</t>
        </is>
      </c>
    </row>
    <row r="22">
      <c r="A22" s="10" t="inlineStr">
        <is>
          <t>2.4</t>
        </is>
      </c>
      <c r="B22" s="10" t="inlineStr">
        <is>
          <t>2026-07-31</t>
        </is>
      </c>
      <c r="C22" s="10" t="inlineStr">
        <is>
          <t>Claude Code</t>
        </is>
      </c>
      <c r="D22" s="10" t="inlineStr">
        <is>
          <t>Pending</t>
        </is>
      </c>
      <c r="E22" s="11" t="inlineStr">
        <is>
          <t>Gate 4 refinements round 3, application v1.3. Three changes. (1) Column headings stay visible in EVERY scroll region, and the corner cell of the two Overall grids is pinned in both directions - a month heading that scrolls away turns the table into unlabelled numbers. (2) The two utilisation charts carry the year on the x axis, shown where the year changes with a divider at each boundary. (3) EDITING IS NOW PROVISIONAL: a change is applied on screen so its effect is visible, but is held as pending until the user presses Save or Leave without change. Save commits it to the working data; Leave without change restores the snapshot taken before the first pending edit. Export is HELD while anything is pending, so nothing unconfirmed can reach a file. This is a behavioural change to REQ-IMP-07 and REQ-IMP-08 and is recorded for the specification to take up at the next issue.</t>
        </is>
      </c>
      <c r="F22" s="10" t="inlineStr">
        <is>
          <t>Issued for review</t>
        </is>
      </c>
    </row>
    <row r="23">
      <c r="A23" s="8" t="inlineStr">
        <is>
          <t>2.3</t>
        </is>
      </c>
      <c r="B23" s="8" t="inlineStr">
        <is>
          <t>2026-07-31</t>
        </is>
      </c>
      <c r="C23" s="8" t="inlineStr">
        <is>
          <t>Claude Code</t>
        </is>
      </c>
      <c r="D23" s="8" t="inlineStr">
        <is>
          <t>Pending</t>
        </is>
      </c>
      <c r="E23" s="9" t="inlineStr">
        <is>
          <t>Gate 4 refinements round 2, application v1.2. The application now shows, at the top of the page, which controlled documents the build implements - development plan, programming specification, UI component list and source-data template - collapsed to one line with the full table on demand, and a row comparing the loaded workbook's schema version against the one the application expects. This is REQ-VC-01 made visible in the product rather than only in the repository. The list is data in one place and is verified against the repository by tools/check_consistency.py on every run, which was proved to fire by naming a superseded plan version. No requirement, rule, calculation or schema changed.</t>
        </is>
      </c>
      <c r="F23" s="8" t="inlineStr">
        <is>
          <t>Issued for review</t>
        </is>
      </c>
    </row>
    <row r="24">
      <c r="A24" s="10" t="inlineStr">
        <is>
          <t>2.2</t>
        </is>
      </c>
      <c r="B24" s="10" t="inlineStr">
        <is>
          <t>2026-07-31</t>
        </is>
      </c>
      <c r="C24" s="10" t="inlineStr">
        <is>
          <t>Claude Code</t>
        </is>
      </c>
      <c r="D24" s="10" t="inlineStr">
        <is>
          <t>Pending</t>
        </is>
      </c>
      <c r="E24" s="11" t="inlineStr">
        <is>
          <t>First refinements from the Gate 4 review (WBS 4.9), applied to application v1.1. Three UI changes, no change to any requirement, rule, calculation or schema. (1) The three named Overall sections - monthly demand, resource by project, resource by person - are up to twice their previous size. (2) The project timeline scrolls in both directions inside its panel, which also let the 20-project display cap be removed: every project in the filter is now drawn. (3) Chart text is larger and higher contrast, and each threshold or reference label moved out of the plot area into a right-hand margin - drawn over the bars they were unreadable at any size, and enlarging them made the collision worse rather than better. Breaching bars on the person chart now state their own value.</t>
        </is>
      </c>
      <c r="F24" s="10" t="inlineStr">
        <is>
          <t>Issued for review</t>
        </is>
      </c>
    </row>
    <row r="25">
      <c r="A25" s="8" t="inlineStr">
        <is>
          <t>2.1</t>
        </is>
      </c>
      <c r="B25" s="8" t="inlineStr">
        <is>
          <t>2026-07-31</t>
        </is>
      </c>
      <c r="C25" s="8" t="inlineStr">
        <is>
          <t>Claude Code</t>
        </is>
      </c>
      <c r="D25" s="8" t="inlineStr">
        <is>
          <t>Pending</t>
        </is>
      </c>
      <c r="E25" s="9" t="inlineStr">
        <is>
          <t>Step 4 progress against the v2.0 baseline. The application is built: app/PRAP.html, one offline file with its own .xlsx reader and writer. WBS tasks 4.1 to 4.8 move to Complete; 4.9 - your review of the output against real data - is the Gate 4 review and is what remains. No requirement, rule or schema changed: this issue records progress, not a change of intent. The calculation engine was checked cell-by-cell against tools/verify_source_workbook.py and matches exactly across all 1,225 person-months of the dummy dataset.</t>
        </is>
      </c>
      <c r="F25" s="8" t="inlineStr">
        <is>
          <t>Issued for review</t>
        </is>
      </c>
    </row>
    <row r="26">
      <c r="A26" s="10" t="inlineStr">
        <is>
          <t>2.0</t>
        </is>
      </c>
      <c r="B26" s="10" t="inlineStr">
        <is>
          <t>2026-08-02</t>
        </is>
      </c>
      <c r="C26" s="10" t="inlineStr">
        <is>
          <t>Claude Code</t>
        </is>
      </c>
      <c r="D26" s="10" t="inlineStr">
        <is>
          <t>Dan</t>
        </is>
      </c>
      <c r="E26" s="11" t="inlineStr">
        <is>
          <t>APPROVED BASELINE. Content identical to v1.10; the version number changes because the numbering rule on sheet 09 reserves x.0 for an approved baseline and v1.10 was a change awaiting signature. Approved together with programming specification v1.0 and UI component list v1.0. Changes R-05 to R-13 are now part of the baseline rather than pending against v1.3, and Step 4 is authorised.</t>
        </is>
      </c>
      <c r="F26" s="10" t="inlineStr">
        <is>
          <t>APPROVED 2026-08-02 by Dan - BASELINE</t>
        </is>
      </c>
    </row>
    <row r="27">
      <c r="A27" s="8" t="inlineStr">
        <is>
          <t>1.10</t>
        </is>
      </c>
      <c r="B27" s="8" t="inlineStr">
        <is>
          <t>2026-07-31</t>
        </is>
      </c>
      <c r="C27" s="8" t="inlineStr">
        <is>
          <t>Claude Code</t>
        </is>
      </c>
      <c r="D27" s="8" t="inlineStr">
        <is>
          <t>Pending</t>
        </is>
      </c>
      <c r="E27" s="9"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27" s="8" t="inlineStr">
        <is>
          <t>Issued for approval</t>
        </is>
      </c>
    </row>
    <row r="28">
      <c r="A28" s="10" t="inlineStr">
        <is>
          <t>1.9</t>
        </is>
      </c>
      <c r="B28" s="10" t="inlineStr">
        <is>
          <t>2026-07-31</t>
        </is>
      </c>
      <c r="C28" s="10" t="inlineStr">
        <is>
          <t>Claude Code</t>
        </is>
      </c>
      <c r="D28" s="10" t="inlineStr">
        <is>
          <t>Pending</t>
        </is>
      </c>
      <c r="E28" s="11"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28" s="10" t="inlineStr">
        <is>
          <t>Issued for approval</t>
        </is>
      </c>
    </row>
    <row r="29">
      <c r="A29" s="8" t="inlineStr">
        <is>
          <t>1.8</t>
        </is>
      </c>
      <c r="B29" s="8" t="inlineStr">
        <is>
          <t>2026-07-31</t>
        </is>
      </c>
      <c r="C29" s="8" t="inlineStr">
        <is>
          <t>Claude Code</t>
        </is>
      </c>
      <c r="D29" s="8" t="inlineStr">
        <is>
          <t>Pending</t>
        </is>
      </c>
      <c r="E29" s="9"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29" s="8" t="inlineStr">
        <is>
          <t>Superseded by v1.9</t>
        </is>
      </c>
    </row>
    <row r="30">
      <c r="A30" s="10" t="inlineStr">
        <is>
          <t>1.7</t>
        </is>
      </c>
      <c r="B30" s="10" t="inlineStr">
        <is>
          <t>2026-07-31</t>
        </is>
      </c>
      <c r="C30" s="10" t="inlineStr">
        <is>
          <t>Claude Code</t>
        </is>
      </c>
      <c r="D30" s="10" t="inlineStr">
        <is>
          <t>Pending</t>
        </is>
      </c>
      <c r="E30" s="11"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30" s="10" t="inlineStr">
        <is>
          <t>Superseded by v1.8</t>
        </is>
      </c>
    </row>
    <row r="31">
      <c r="A31" s="8" t="inlineStr">
        <is>
          <t>1.6</t>
        </is>
      </c>
      <c r="B31" s="8" t="inlineStr">
        <is>
          <t>2026-07-31</t>
        </is>
      </c>
      <c r="C31" s="8" t="inlineStr">
        <is>
          <t>Claude Code</t>
        </is>
      </c>
      <c r="D31" s="8" t="inlineStr">
        <is>
          <t>Pending</t>
        </is>
      </c>
      <c r="E31" s="9"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31" s="8" t="inlineStr">
        <is>
          <t>Issued for approval</t>
        </is>
      </c>
    </row>
    <row r="33">
      <c r="A33"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19" t="inlineStr">
        <is>
          <t>Import of all project and person data from ONE Excel workbook via a browser file picker or drag-and-drop.</t>
        </is>
      </c>
      <c r="B22" s="20"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19" t="inlineStr">
        <is>
          <t>Monthly resource simulation in FTE per project and per person, default 24-month horizon, expandable to the latest project end date.</t>
        </is>
      </c>
      <c r="B25" s="20"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8"/>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20" t="inlineStr">
        <is>
          <t>REQ-OUT-03</t>
        </is>
      </c>
      <c r="B7" s="20" t="inlineStr">
        <is>
          <t>Output</t>
        </is>
      </c>
      <c r="C7" s="19" t="inlineStr">
        <is>
          <t>Source data lives in ONE Excel workbook held separately from the HTML file, and that workbook is the archive of record.</t>
        </is>
      </c>
      <c r="D7" s="20" t="inlineStr">
        <is>
          <t>Must</t>
        </is>
      </c>
      <c r="E7" s="20" t="inlineStr">
        <is>
          <t>Q-09</t>
        </is>
      </c>
      <c r="F7" s="20"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20" t="inlineStr">
        <is>
          <t>REQ-PRJ-01</t>
        </is>
      </c>
      <c r="B10" s="20" t="inlineStr">
        <is>
          <t>Project data</t>
        </is>
      </c>
      <c r="C10" s="19" t="inlineStr">
        <is>
          <t>Each project records a project type, restricted to 'NewDrug CT', 'Biosimilar CT' or 'Others'. The first two are clinical trials and every clinical trial is exactly one of them.</t>
        </is>
      </c>
      <c r="D10" s="20" t="inlineStr">
        <is>
          <t>Must</t>
        </is>
      </c>
      <c r="E10" s="20" t="inlineStr">
        <is>
          <t>R-05</t>
        </is>
      </c>
      <c r="F10" s="20" t="inlineStr">
        <is>
          <t>2</t>
        </is>
      </c>
    </row>
    <row r="11">
      <c r="A11" s="20" t="inlineStr">
        <is>
          <t>REQ-PRJ-02</t>
        </is>
      </c>
      <c r="B11" s="20" t="inlineStr">
        <is>
          <t>Project data</t>
        </is>
      </c>
      <c r="C11" s="19" t="inlineStr">
        <is>
          <t>Each project records a project category. For either clinical trial type the category is the product name; the field is optional for 'Others'.</t>
        </is>
      </c>
      <c r="D11" s="20" t="inlineStr">
        <is>
          <t>Must</t>
        </is>
      </c>
      <c r="E11" s="20" t="inlineStr">
        <is>
          <t>R-05</t>
        </is>
      </c>
      <c r="F11" s="20"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20" t="inlineStr">
        <is>
          <t>REQ-PRJ-04</t>
        </is>
      </c>
      <c r="B13" s="20" t="inlineStr">
        <is>
          <t>Project data</t>
        </is>
      </c>
      <c r="C13" s="19" t="inlineStr">
        <is>
          <t>Each project records its conditions: outsourcing type ('Full outsourcing' / 'Partial outsourcing' / 'Full In-house') and the number of project members.</t>
        </is>
      </c>
      <c r="D13" s="20" t="inlineStr">
        <is>
          <t>Must</t>
        </is>
      </c>
      <c r="E13" s="20" t="inlineStr">
        <is>
          <t>Q-14</t>
        </is>
      </c>
      <c r="F13" s="20" t="inlineStr">
        <is>
          <t>2</t>
        </is>
      </c>
    </row>
    <row r="14">
      <c r="A14" s="20" t="inlineStr">
        <is>
          <t>REQ-PRJ-06</t>
        </is>
      </c>
      <c r="B14" s="20" t="inlineStr">
        <is>
          <t>Project data</t>
        </is>
      </c>
      <c r="C14" s="19" t="inlineStr">
        <is>
          <t>Each project carries a resource weight per period. For a clinical trial the weight is seeded from a standard keyed on clinical phase; for 'Others' it is entered by hand.</t>
        </is>
      </c>
      <c r="D14" s="20" t="inlineStr">
        <is>
          <t>Must</t>
        </is>
      </c>
      <c r="E14" s="20" t="inlineStr">
        <is>
          <t>Q-26, Q-28</t>
        </is>
      </c>
      <c r="F14" s="20"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20" t="inlineStr">
        <is>
          <t>REQ-PRJ-12</t>
        </is>
      </c>
      <c r="B18" s="20" t="inlineStr">
        <is>
          <t>Project data</t>
        </is>
      </c>
      <c r="C18" s="19"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20" t="inlineStr">
        <is>
          <t>Must</t>
        </is>
      </c>
      <c r="E18" s="20" t="inlineStr">
        <is>
          <t>Q-18, Q-23, R-02, R-11</t>
        </is>
      </c>
      <c r="F18" s="20"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20" t="inlineStr">
        <is>
          <t>REQ-PRJ-09</t>
        </is>
      </c>
      <c r="B20" s="20" t="inlineStr">
        <is>
          <t>Project data</t>
        </is>
      </c>
      <c r="C20" s="19" t="inlineStr">
        <is>
          <t>A clinical trial of either type records its clinical phase (phase 1 / 2 / 3 / 4). The phase determines the project's period weights, so it drives the simulation rather than merely describing the project.</t>
        </is>
      </c>
      <c r="D20" s="20" t="inlineStr">
        <is>
          <t>Must</t>
        </is>
      </c>
      <c r="E20" s="20" t="inlineStr">
        <is>
          <t>Q-26</t>
        </is>
      </c>
      <c r="F20" s="20" t="inlineStr">
        <is>
          <t>2</t>
        </is>
      </c>
    </row>
    <row r="21">
      <c r="A21" s="17" t="inlineStr">
        <is>
          <t>REQ-PRJ-10</t>
        </is>
      </c>
      <c r="B21" s="17" t="inlineStr">
        <is>
          <t>Project data</t>
        </is>
      </c>
      <c r="C21" s="18" t="inlineStr">
        <is>
          <t>A clinical trial of either type records who performs each of EDC set-up, data-review-system set-up, RBQM set-up and DM conduct ('by CRO' / 'by SB').</t>
        </is>
      </c>
      <c r="D21" s="17" t="inlineStr">
        <is>
          <t>Must</t>
        </is>
      </c>
      <c r="E21" s="17" t="inlineStr">
        <is>
          <t>Reviewer v0.11</t>
        </is>
      </c>
      <c r="F21" s="17" t="inlineStr">
        <is>
          <t>2</t>
        </is>
      </c>
    </row>
    <row r="22">
      <c r="A22" s="17" t="inlineStr">
        <is>
          <t>REQ-PRJ-11</t>
        </is>
      </c>
      <c r="B22" s="17" t="inlineStr">
        <is>
          <t>Project data</t>
        </is>
      </c>
      <c r="C22" s="18" t="inlineStr">
        <is>
          <t>A clinical trial of either type records the EDC system, data review system and RBQM system in use, from data-driven value lists.</t>
        </is>
      </c>
      <c r="D22" s="17" t="inlineStr">
        <is>
          <t>Must</t>
        </is>
      </c>
      <c r="E22" s="17" t="inlineStr">
        <is>
          <t>Reviewer v0.11</t>
        </is>
      </c>
      <c r="F22" s="17" t="inlineStr">
        <is>
          <t>2</t>
        </is>
      </c>
    </row>
    <row r="23">
      <c r="A23" s="8" t="inlineStr">
        <is>
          <t>REQ-PSN-01</t>
        </is>
      </c>
      <c r="B23" s="8" t="inlineStr">
        <is>
          <t>Person data</t>
        </is>
      </c>
      <c r="C23" s="9" t="inlineStr">
        <is>
          <t>Data is managed by person, by project assigned, and by project role assigned.</t>
        </is>
      </c>
      <c r="D23" s="8" t="inlineStr">
        <is>
          <t>Must</t>
        </is>
      </c>
      <c r="E23" s="8" t="inlineStr">
        <is>
          <t>Requester</t>
        </is>
      </c>
      <c r="F23" s="8" t="inlineStr">
        <is>
          <t>2</t>
        </is>
      </c>
    </row>
    <row r="24">
      <c r="A24" s="10" t="inlineStr">
        <is>
          <t>REQ-PSN-02</t>
        </is>
      </c>
      <c r="B24" s="10" t="inlineStr">
        <is>
          <t>Person data</t>
        </is>
      </c>
      <c r="C24" s="11" t="inlineStr">
        <is>
          <t>Each assignment records the project(s) the person is assigned to.</t>
        </is>
      </c>
      <c r="D24" s="10" t="inlineStr">
        <is>
          <t>Must</t>
        </is>
      </c>
      <c r="E24" s="10" t="inlineStr">
        <is>
          <t>Requester</t>
        </is>
      </c>
      <c r="F24" s="10" t="inlineStr">
        <is>
          <t>2</t>
        </is>
      </c>
    </row>
    <row r="25">
      <c r="A25" s="20" t="inlineStr">
        <is>
          <t>REQ-PSN-03</t>
        </is>
      </c>
      <c r="B25" s="20" t="inlineStr">
        <is>
          <t>Person data</t>
        </is>
      </c>
      <c r="C25" s="19" t="inlineStr">
        <is>
          <t>Each assignment records the role(s) the person holds on that project, drawn from the role list valid for that project's type.</t>
        </is>
      </c>
      <c r="D25" s="20" t="inlineStr">
        <is>
          <t>Must</t>
        </is>
      </c>
      <c r="E25" s="20" t="inlineStr">
        <is>
          <t>Q-03</t>
        </is>
      </c>
      <c r="F25" s="20" t="inlineStr">
        <is>
          <t>2</t>
        </is>
      </c>
    </row>
    <row r="26">
      <c r="A26" s="10" t="inlineStr">
        <is>
          <t>REQ-PSN-04</t>
        </is>
      </c>
      <c r="B26" s="10" t="inlineStr">
        <is>
          <t>Person data</t>
        </is>
      </c>
      <c r="C26" s="11" t="inlineStr">
        <is>
          <t>Each assignment records the start date the person joins and the end date they leave that study.</t>
        </is>
      </c>
      <c r="D26" s="10" t="inlineStr">
        <is>
          <t>Must</t>
        </is>
      </c>
      <c r="E26" s="10" t="inlineStr">
        <is>
          <t>Requester</t>
        </is>
      </c>
      <c r="F26" s="10" t="inlineStr">
        <is>
          <t>2</t>
        </is>
      </c>
    </row>
    <row r="27">
      <c r="A27" s="20" t="inlineStr">
        <is>
          <t>REQ-PSN-05</t>
        </is>
      </c>
      <c r="B27" s="20" t="inlineStr">
        <is>
          <t>Person data</t>
        </is>
      </c>
      <c r="C27" s="19" t="inlineStr">
        <is>
          <t>Each assignment carries a person weight saying how much that person works on that project, with optional period-specific overrides.</t>
        </is>
      </c>
      <c r="D27" s="20" t="inlineStr">
        <is>
          <t>Must</t>
        </is>
      </c>
      <c r="E27" s="20" t="inlineStr">
        <is>
          <t>Q-01</t>
        </is>
      </c>
      <c r="F27" s="20" t="inlineStr">
        <is>
          <t>2</t>
        </is>
      </c>
    </row>
    <row r="28">
      <c r="A28" s="10" t="inlineStr">
        <is>
          <t>REQ-PSN-06</t>
        </is>
      </c>
      <c r="B28" s="10" t="inlineStr">
        <is>
          <t>Person data</t>
        </is>
      </c>
      <c r="C28" s="11" t="inlineStr">
        <is>
          <t>The person record accepts further project-related information without a schema change.</t>
        </is>
      </c>
      <c r="D28" s="10" t="inlineStr">
        <is>
          <t>Should</t>
        </is>
      </c>
      <c r="E28" s="10" t="inlineStr">
        <is>
          <t>Requester</t>
        </is>
      </c>
      <c r="F28" s="10" t="inlineStr">
        <is>
          <t>2</t>
        </is>
      </c>
    </row>
    <row r="29">
      <c r="A29" s="8" t="inlineStr">
        <is>
          <t>REQ-PSN-07</t>
        </is>
      </c>
      <c r="B29" s="8" t="inlineStr">
        <is>
          <t>Person data</t>
        </is>
      </c>
      <c r="C29" s="9" t="inlineStr">
        <is>
          <t>One person may hold assignments on several projects simultaneously, and may hold more than one role on the same project.</t>
        </is>
      </c>
      <c r="D29" s="8" t="inlineStr">
        <is>
          <t>Must</t>
        </is>
      </c>
      <c r="E29" s="8" t="inlineStr">
        <is>
          <t>Derived</t>
        </is>
      </c>
      <c r="F29" s="8" t="inlineStr">
        <is>
          <t>2</t>
        </is>
      </c>
    </row>
    <row r="30">
      <c r="A30" s="20" t="inlineStr">
        <is>
          <t>REQ-CAL-01</t>
        </is>
      </c>
      <c r="B30" s="20" t="inlineStr">
        <is>
          <t>Calculation</t>
        </is>
      </c>
      <c r="C30" s="19" t="inlineStr">
        <is>
          <t>Resource is simulated on a monthly grid, default horizon 24 months, expandable to the latest project end date.</t>
        </is>
      </c>
      <c r="D30" s="20" t="inlineStr">
        <is>
          <t>Must</t>
        </is>
      </c>
      <c r="E30" s="20" t="inlineStr">
        <is>
          <t>Q-11</t>
        </is>
      </c>
      <c r="F30" s="20" t="inlineStr">
        <is>
          <t>4</t>
        </is>
      </c>
    </row>
    <row r="31">
      <c r="A31" s="20" t="inlineStr">
        <is>
          <t>REQ-CAL-02</t>
        </is>
      </c>
      <c r="B31" s="20" t="inlineStr">
        <is>
          <t>Calculation</t>
        </is>
      </c>
      <c r="C31" s="19" t="inlineStr">
        <is>
          <t>Monthly load for an assignment = project period weight x role factor x person weight x fraction of the month covered. There is no separate base allocation. The role factor is selected by project type, clinical phase, the period the month falls in, and the role - so a role's burden can vary across the life of a project.</t>
        </is>
      </c>
      <c r="D31" s="20" t="inlineStr">
        <is>
          <t>Must</t>
        </is>
      </c>
      <c r="E31" s="20" t="inlineStr">
        <is>
          <t>Q-01, R-10</t>
        </is>
      </c>
      <c r="F31" s="20" t="inlineStr">
        <is>
          <t>2,4</t>
        </is>
      </c>
    </row>
    <row r="32">
      <c r="A32" s="10" t="inlineStr">
        <is>
          <t>REQ-CAL-03</t>
        </is>
      </c>
      <c r="B32" s="10" t="inlineStr">
        <is>
          <t>Calculation</t>
        </is>
      </c>
      <c r="C32" s="11" t="inlineStr">
        <is>
          <t>Project monthly load is the sum of its assignments; person monthly load is the sum across all their projects.</t>
        </is>
      </c>
      <c r="D32" s="10" t="inlineStr">
        <is>
          <t>Must</t>
        </is>
      </c>
      <c r="E32" s="10" t="inlineStr">
        <is>
          <t>Requester</t>
        </is>
      </c>
      <c r="F32" s="10" t="inlineStr">
        <is>
          <t>4</t>
        </is>
      </c>
    </row>
    <row r="33">
      <c r="A33" s="20" t="inlineStr">
        <is>
          <t>REQ-CAL-04</t>
        </is>
      </c>
      <c r="B33" s="20" t="inlineStr">
        <is>
          <t>Calculation</t>
        </is>
      </c>
      <c r="C33" s="19" t="inlineStr">
        <is>
          <t>A person-month whose total exceeds the over-allocation threshold (default 1.50 FTE) is flagged as over-allocated. The threshold is absolute, not scaled by capacity (S2-01).</t>
        </is>
      </c>
      <c r="D33" s="20" t="inlineStr">
        <is>
          <t>Must</t>
        </is>
      </c>
      <c r="E33" s="20" t="inlineStr">
        <is>
          <t>Q-08, S2-01</t>
        </is>
      </c>
      <c r="F33" s="20" t="inlineStr">
        <is>
          <t>4</t>
        </is>
      </c>
    </row>
    <row r="34">
      <c r="A34" s="20" t="inlineStr">
        <is>
          <t>REQ-CAL-05</t>
        </is>
      </c>
      <c r="B34" s="20" t="inlineStr">
        <is>
          <t>Calculation</t>
        </is>
      </c>
      <c r="C34" s="19" t="inlineStr">
        <is>
          <t>A partial first or last month is pro-rated by calendar days worked, not counted as a whole month.</t>
        </is>
      </c>
      <c r="D34" s="20" t="inlineStr">
        <is>
          <t>Must</t>
        </is>
      </c>
      <c r="E34" s="20" t="inlineStr">
        <is>
          <t>Q-02</t>
        </is>
      </c>
      <c r="F34" s="20" t="inlineStr">
        <is>
          <t>4</t>
        </is>
      </c>
    </row>
    <row r="35">
      <c r="A35" s="8" t="inlineStr">
        <is>
          <t>REQ-CAL-06</t>
        </is>
      </c>
      <c r="B35" s="8" t="inlineStr">
        <is>
          <t>Calculation</t>
        </is>
      </c>
      <c r="C35" s="9" t="inlineStr">
        <is>
          <t>All weights, factors and thresholds are data, held in the source workbook, never hardcoded in the program.</t>
        </is>
      </c>
      <c r="D35" s="8" t="inlineStr">
        <is>
          <t>Must</t>
        </is>
      </c>
      <c r="E35" s="8" t="inlineStr">
        <is>
          <t>Derived</t>
        </is>
      </c>
      <c r="F35" s="8" t="inlineStr">
        <is>
          <t>4</t>
        </is>
      </c>
    </row>
    <row r="36">
      <c r="A36" s="20" t="inlineStr">
        <is>
          <t>REQ-CAL-07</t>
        </is>
      </c>
      <c r="B36" s="20" t="inlineStr">
        <is>
          <t>Calculation</t>
        </is>
      </c>
      <c r="C36" s="19" t="inlineStr">
        <is>
          <t>A person whose monthly total stays below the under-allocation threshold (default 0.60 FTE) for three or more consecutive months is flagged as under-allocated, with the run's start and length reported. The threshold is absolute, not scaled by capacity.</t>
        </is>
      </c>
      <c r="D36" s="20" t="inlineStr">
        <is>
          <t>Must</t>
        </is>
      </c>
      <c r="E36" s="20" t="inlineStr">
        <is>
          <t>Q-08, S2-01, S2-05</t>
        </is>
      </c>
      <c r="F36" s="20" t="inlineStr">
        <is>
          <t>4</t>
        </is>
      </c>
    </row>
    <row r="37">
      <c r="A37" s="17" t="inlineStr">
        <is>
          <t>REQ-CAL-08</t>
        </is>
      </c>
      <c r="B37" s="17" t="inlineStr">
        <is>
          <t>Calculation</t>
        </is>
      </c>
      <c r="C37" s="18" t="inlineStr">
        <is>
          <t>Load is expressed in FTE, where 1.00 FTE = 160 hours per month (8 h/day x 5 days/week x 20 days/month). Hours are shown alongside FTE where useful.</t>
        </is>
      </c>
      <c r="D37" s="17" t="inlineStr">
        <is>
          <t>Must</t>
        </is>
      </c>
      <c r="E37" s="17" t="inlineStr">
        <is>
          <t>Q-08</t>
        </is>
      </c>
      <c r="F37" s="17" t="inlineStr">
        <is>
          <t>4</t>
        </is>
      </c>
    </row>
    <row r="38">
      <c r="A38" s="20" t="inlineStr">
        <is>
          <t>REQ-CAL-09</t>
        </is>
      </c>
      <c r="B38" s="20" t="inlineStr">
        <is>
          <t>Calculation</t>
        </is>
      </c>
      <c r="C38" s="19"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38" s="20" t="inlineStr">
        <is>
          <t>Must</t>
        </is>
      </c>
      <c r="E38" s="20" t="inlineStr">
        <is>
          <t>Q-16, Q-22, Q-23, Q-25</t>
        </is>
      </c>
      <c r="F38" s="20" t="inlineStr">
        <is>
          <t>2,4</t>
        </is>
      </c>
    </row>
    <row r="39">
      <c r="A39" s="17" t="inlineStr">
        <is>
          <t>REQ-CAL-10</t>
        </is>
      </c>
      <c r="B39" s="17" t="inlineStr">
        <is>
          <t>Calculation</t>
        </is>
      </c>
      <c r="C39" s="18" t="inlineStr">
        <is>
          <t>Every month of a project's timeline falls in exactly one period. A month left uncovered by the derivation is reported and carries weight 1.00 rather than being dropped from the simulation.</t>
        </is>
      </c>
      <c r="D39" s="17" t="inlineStr">
        <is>
          <t>Must</t>
        </is>
      </c>
      <c r="E39" s="17" t="inlineStr">
        <is>
          <t>Derived from Q-16</t>
        </is>
      </c>
      <c r="F39" s="17" t="inlineStr">
        <is>
          <t>2,4</t>
        </is>
      </c>
    </row>
    <row r="40">
      <c r="A40" s="20" t="inlineStr">
        <is>
          <t>REQ-CAL-11</t>
        </is>
      </c>
      <c r="B40" s="20" t="inlineStr">
        <is>
          <t>Calculation</t>
        </is>
      </c>
      <c r="C40" s="19"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40" s="20" t="inlineStr">
        <is>
          <t>Must</t>
        </is>
      </c>
      <c r="E40" s="20" t="inlineStr">
        <is>
          <t>Q-23, R-11</t>
        </is>
      </c>
      <c r="F40" s="20" t="inlineStr">
        <is>
          <t>2,4</t>
        </is>
      </c>
    </row>
    <row r="41">
      <c r="A41" s="17" t="inlineStr">
        <is>
          <t>REQ-CAL-13</t>
        </is>
      </c>
      <c r="B41" s="17" t="inlineStr">
        <is>
          <t>Calculation</t>
        </is>
      </c>
      <c r="C41" s="18" t="inlineStr">
        <is>
          <t>Where a period boundary has both a milestone and a month-offset definition, a recorded milestone date wins. The offset is the fallback for a project that does not carry that milestone.</t>
        </is>
      </c>
      <c r="D41" s="17" t="inlineStr">
        <is>
          <t>Must</t>
        </is>
      </c>
      <c r="E41" s="17" t="inlineStr">
        <is>
          <t>R-02</t>
        </is>
      </c>
      <c r="F41" s="17" t="inlineStr">
        <is>
          <t>2,4</t>
        </is>
      </c>
    </row>
    <row r="42">
      <c r="A42" s="17" t="inlineStr">
        <is>
          <t>REQ-CAL-12</t>
        </is>
      </c>
      <c r="B42" s="17" t="inlineStr">
        <is>
          <t>Calculation</t>
        </is>
      </c>
      <c r="C42" s="18" t="inlineStr">
        <is>
          <t>Where a timeline squeezes a derived period to zero or negative length, that period is omitted and the omission reported. Boundaries are applied in order so the periods always stay contiguous.</t>
        </is>
      </c>
      <c r="D42" s="17" t="inlineStr">
        <is>
          <t>Must</t>
        </is>
      </c>
      <c r="E42" s="17" t="inlineStr">
        <is>
          <t>Derived from Q-22, Q-23</t>
        </is>
      </c>
      <c r="F42" s="17" t="inlineStr">
        <is>
          <t>2,4</t>
        </is>
      </c>
    </row>
    <row r="43">
      <c r="A43" s="8" t="inlineStr">
        <is>
          <t>REQ-DSH-01</t>
        </is>
      </c>
      <c r="B43" s="8" t="inlineStr">
        <is>
          <t>Dashboard</t>
        </is>
      </c>
      <c r="C43" s="9" t="inlineStr">
        <is>
          <t>Tab 'Overall' shows monthly resource simulation per project and per person as tables.</t>
        </is>
      </c>
      <c r="D43" s="8" t="inlineStr">
        <is>
          <t>Must</t>
        </is>
      </c>
      <c r="E43" s="8" t="inlineStr">
        <is>
          <t>Requester</t>
        </is>
      </c>
      <c r="F43" s="8" t="inlineStr">
        <is>
          <t>3,4</t>
        </is>
      </c>
    </row>
    <row r="44">
      <c r="A44" s="10" t="inlineStr">
        <is>
          <t>REQ-DSH-02</t>
        </is>
      </c>
      <c r="B44" s="10" t="inlineStr">
        <is>
          <t>Dashboard</t>
        </is>
      </c>
      <c r="C44" s="11" t="inlineStr">
        <is>
          <t>Tab 'Overall' shows appropriate graphs of the same simulation.</t>
        </is>
      </c>
      <c r="D44" s="10" t="inlineStr">
        <is>
          <t>Must</t>
        </is>
      </c>
      <c r="E44" s="10" t="inlineStr">
        <is>
          <t>Requester</t>
        </is>
      </c>
      <c r="F44" s="10" t="inlineStr">
        <is>
          <t>3,4</t>
        </is>
      </c>
    </row>
    <row r="45">
      <c r="A45" s="8" t="inlineStr">
        <is>
          <t>REQ-DSH-03</t>
        </is>
      </c>
      <c r="B45" s="8" t="inlineStr">
        <is>
          <t>Dashboard</t>
        </is>
      </c>
      <c r="C45" s="9" t="inlineStr">
        <is>
          <t>Tab 'Source data (project)' shows project information as a table.</t>
        </is>
      </c>
      <c r="D45" s="8" t="inlineStr">
        <is>
          <t>Must</t>
        </is>
      </c>
      <c r="E45" s="8" t="inlineStr">
        <is>
          <t>Requester</t>
        </is>
      </c>
      <c r="F45" s="8" t="inlineStr">
        <is>
          <t>3,4</t>
        </is>
      </c>
    </row>
    <row r="46">
      <c r="A46" s="10" t="inlineStr">
        <is>
          <t>REQ-DSH-04</t>
        </is>
      </c>
      <c r="B46" s="10" t="inlineStr">
        <is>
          <t>Dashboard</t>
        </is>
      </c>
      <c r="C46" s="11" t="inlineStr">
        <is>
          <t>Tab 'Source data (person)' shows person information as a table.</t>
        </is>
      </c>
      <c r="D46" s="10" t="inlineStr">
        <is>
          <t>Must</t>
        </is>
      </c>
      <c r="E46" s="10" t="inlineStr">
        <is>
          <t>Requester</t>
        </is>
      </c>
      <c r="F46" s="10" t="inlineStr">
        <is>
          <t>3,4</t>
        </is>
      </c>
    </row>
    <row r="47">
      <c r="A47" s="20" t="inlineStr">
        <is>
          <t>REQ-DSH-05</t>
        </is>
      </c>
      <c r="B47" s="20" t="inlineStr">
        <is>
          <t>Dashboard</t>
        </is>
      </c>
      <c r="C47" s="19" t="inlineStr">
        <is>
          <t>One filter set drives every tab: date horizon, project type, clinical phase, project, person, role and department, with a single action to clear them all. The display unit is a setting, not a filter - it changes how figures are written, not which are shown.</t>
        </is>
      </c>
      <c r="D47" s="20" t="inlineStr">
        <is>
          <t>Should</t>
        </is>
      </c>
      <c r="E47" s="20" t="inlineStr">
        <is>
          <t>Derived / O-03</t>
        </is>
      </c>
      <c r="F47" s="20" t="inlineStr">
        <is>
          <t>3,4</t>
        </is>
      </c>
    </row>
    <row r="48">
      <c r="A48" s="10" t="inlineStr">
        <is>
          <t>REQ-DSH-06</t>
        </is>
      </c>
      <c r="B48" s="10" t="inlineStr">
        <is>
          <t>Dashboard</t>
        </is>
      </c>
      <c r="C48" s="11" t="inlineStr">
        <is>
          <t>Any table on screen can be exported to Excel.</t>
        </is>
      </c>
      <c r="D48" s="10" t="inlineStr">
        <is>
          <t>Should</t>
        </is>
      </c>
      <c r="E48" s="10" t="inlineStr">
        <is>
          <t>Derived</t>
        </is>
      </c>
      <c r="F48" s="10" t="inlineStr">
        <is>
          <t>4</t>
        </is>
      </c>
    </row>
    <row r="49">
      <c r="A49" s="17" t="inlineStr">
        <is>
          <t>REQ-DSH-07</t>
        </is>
      </c>
      <c r="B49" s="17" t="inlineStr">
        <is>
          <t>Dashboard</t>
        </is>
      </c>
      <c r="C49" s="18" t="inlineStr">
        <is>
          <t>The horizon control offers 24 months by default and a one-click expansion to cover the latest project end date across all projects.</t>
        </is>
      </c>
      <c r="D49" s="17" t="inlineStr">
        <is>
          <t>Must</t>
        </is>
      </c>
      <c r="E49" s="17" t="inlineStr">
        <is>
          <t>Q-11</t>
        </is>
      </c>
      <c r="F49" s="17" t="inlineStr">
        <is>
          <t>3,4</t>
        </is>
      </c>
    </row>
    <row r="50">
      <c r="A50" s="17" t="inlineStr">
        <is>
          <t>REQ-DSH-08</t>
        </is>
      </c>
      <c r="B50" s="17" t="inlineStr">
        <is>
          <t>Dashboard</t>
        </is>
      </c>
      <c r="C50" s="18" t="inlineStr">
        <is>
          <t>Over-allocated and under-allocated person-months are distinguishable at a glance, and both are counted in the summary tiles.</t>
        </is>
      </c>
      <c r="D50" s="17" t="inlineStr">
        <is>
          <t>Must</t>
        </is>
      </c>
      <c r="E50" s="17" t="inlineStr">
        <is>
          <t>Q-08</t>
        </is>
      </c>
      <c r="F50" s="17" t="inlineStr">
        <is>
          <t>3,4</t>
        </is>
      </c>
    </row>
    <row r="51">
      <c r="A51" s="17" t="inlineStr">
        <is>
          <t>REQ-DSH-09</t>
        </is>
      </c>
      <c r="B51" s="17" t="inlineStr">
        <is>
          <t>Dashboard</t>
        </is>
      </c>
      <c r="C51" s="18" t="inlineStr">
        <is>
          <t>At the target volume a table taller than the viewport renders only the visible rows, and the per-person chart shows an aggregate or a ranked subset rather than one bar per person. A thousand bars is not a chart.</t>
        </is>
      </c>
      <c r="D51" s="17" t="inlineStr">
        <is>
          <t>Must</t>
        </is>
      </c>
      <c r="E51" s="17" t="inlineStr">
        <is>
          <t>S2-06</t>
        </is>
      </c>
      <c r="F51" s="17" t="inlineStr">
        <is>
          <t>3,4</t>
        </is>
      </c>
    </row>
    <row r="52">
      <c r="A52" s="20" t="inlineStr">
        <is>
          <t>REQ-DSH-10</t>
        </is>
      </c>
      <c r="B52" s="20" t="inlineStr">
        <is>
          <t>Dashboard</t>
        </is>
      </c>
      <c r="C52" s="19"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52" s="20" t="inlineStr">
        <is>
          <t>Must</t>
        </is>
      </c>
      <c r="E52" s="20" t="inlineStr">
        <is>
          <t>S2-04, R-11</t>
        </is>
      </c>
      <c r="F52" s="20" t="inlineStr">
        <is>
          <t>3,4</t>
        </is>
      </c>
    </row>
    <row r="53">
      <c r="A53" s="17" t="inlineStr">
        <is>
          <t>REQ-DSH-12</t>
        </is>
      </c>
      <c r="B53" s="17" t="inlineStr">
        <is>
          <t>Dashboard</t>
        </is>
      </c>
      <c r="C53"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53" s="17" t="inlineStr">
        <is>
          <t>Should</t>
        </is>
      </c>
      <c r="E53" s="17" t="inlineStr">
        <is>
          <t>Reviewer v0.7</t>
        </is>
      </c>
      <c r="F53" s="17" t="inlineStr">
        <is>
          <t>3,4</t>
        </is>
      </c>
    </row>
    <row r="54">
      <c r="A54" s="17" t="inlineStr">
        <is>
          <t>REQ-DSH-11</t>
        </is>
      </c>
      <c r="B54" s="17" t="inlineStr">
        <is>
          <t>Dashboard</t>
        </is>
      </c>
      <c r="C54" s="18" t="inlineStr">
        <is>
          <t>The standing assumptions the simulation multiplies by - standard period weights, role factors, configuration and value lists - are presented on their own tab, so a reader can see what every figure was derived from without opening the workbook.</t>
        </is>
      </c>
      <c r="D54" s="17" t="inlineStr">
        <is>
          <t>Must</t>
        </is>
      </c>
      <c r="E54" s="17" t="inlineStr">
        <is>
          <t>G-07</t>
        </is>
      </c>
      <c r="F54" s="17" t="inlineStr">
        <is>
          <t>3,4</t>
        </is>
      </c>
    </row>
    <row r="55">
      <c r="A55" s="20" t="inlineStr">
        <is>
          <t>REQ-IMP-01</t>
        </is>
      </c>
      <c r="B55" s="20" t="inlineStr">
        <is>
          <t>Import/Export</t>
        </is>
      </c>
      <c r="C55" s="19" t="inlineStr">
        <is>
          <t>The user loads the source workbook through a file picker or drag-and-drop, chosen because a local HTML page cannot open a file from disk unaided.</t>
        </is>
      </c>
      <c r="D55" s="20" t="inlineStr">
        <is>
          <t>Must</t>
        </is>
      </c>
      <c r="E55" s="20" t="inlineStr">
        <is>
          <t>Decision D-01</t>
        </is>
      </c>
      <c r="F55" s="20" t="inlineStr">
        <is>
          <t>4</t>
        </is>
      </c>
    </row>
    <row r="56">
      <c r="A56" s="10" t="inlineStr">
        <is>
          <t>REQ-IMP-02</t>
        </is>
      </c>
      <c r="B56" s="10" t="inlineStr">
        <is>
          <t>Import/Export</t>
        </is>
      </c>
      <c r="C56" s="11" t="inlineStr">
        <is>
          <t>Loading validates the workbook and reports every problem found - missing sheet, missing column, bad date, unknown project reference - without stopping at the first one.</t>
        </is>
      </c>
      <c r="D56" s="10" t="inlineStr">
        <is>
          <t>Must</t>
        </is>
      </c>
      <c r="E56" s="10" t="inlineStr">
        <is>
          <t>Derived</t>
        </is>
      </c>
      <c r="F56" s="10" t="inlineStr">
        <is>
          <t>4</t>
        </is>
      </c>
    </row>
    <row r="57">
      <c r="A57" s="20" t="inlineStr">
        <is>
          <t>REQ-IMP-03</t>
        </is>
      </c>
      <c r="B57" s="20" t="inlineStr">
        <is>
          <t>Import/Export</t>
        </is>
      </c>
      <c r="C57" s="19" t="inlineStr">
        <is>
          <t>A blank source workbook template with correct sheet names, headers, value lists and one example row is delivered with the application.</t>
        </is>
      </c>
      <c r="D57" s="20" t="inlineStr">
        <is>
          <t>Must</t>
        </is>
      </c>
      <c r="E57" s="20" t="inlineStr">
        <is>
          <t>Derived</t>
        </is>
      </c>
      <c r="F57" s="20" t="inlineStr">
        <is>
          <t>4</t>
        </is>
      </c>
    </row>
    <row r="58">
      <c r="A58" s="10" t="inlineStr">
        <is>
          <t>REQ-IMP-04</t>
        </is>
      </c>
      <c r="B58" s="10" t="inlineStr">
        <is>
          <t>Import/Export</t>
        </is>
      </c>
      <c r="C58" s="11" t="inlineStr">
        <is>
          <t>The user can export current data back to .xlsx, preserving the template layout so the export can be re-imported.</t>
        </is>
      </c>
      <c r="D58" s="10" t="inlineStr">
        <is>
          <t>Must</t>
        </is>
      </c>
      <c r="E58" s="10" t="inlineStr">
        <is>
          <t>Derived</t>
        </is>
      </c>
      <c r="F58" s="10" t="inlineStr">
        <is>
          <t>4</t>
        </is>
      </c>
    </row>
    <row r="59">
      <c r="A59" s="20" t="inlineStr">
        <is>
          <t>REQ-IMP-05</t>
        </is>
      </c>
      <c r="B59" s="20" t="inlineStr">
        <is>
          <t>Import/Export</t>
        </is>
      </c>
      <c r="C59" s="19" t="inlineStr">
        <is>
          <t>The application records which file was loaded and when, and shows it on screen with its time zone - a bare timestamp is ambiguous to anyone reading it from another country.</t>
        </is>
      </c>
      <c r="D59" s="20" t="inlineStr">
        <is>
          <t>Should</t>
        </is>
      </c>
      <c r="E59" s="20" t="inlineStr">
        <is>
          <t>Derived / G-02</t>
        </is>
      </c>
      <c r="F59" s="20" t="inlineStr">
        <is>
          <t>4</t>
        </is>
      </c>
    </row>
    <row r="60">
      <c r="A60" s="10" t="inlineStr">
        <is>
          <t>REQ-IMP-06</t>
        </is>
      </c>
      <c r="B60" s="10" t="inlineStr">
        <is>
          <t>Import/Export</t>
        </is>
      </c>
      <c r="C60" s="11" t="inlineStr">
        <is>
          <t>Loaded data may be cached in the browser so re-opening the page does not force a re-import; the cache never replaces the workbook as the record.</t>
        </is>
      </c>
      <c r="D60" s="10" t="inlineStr">
        <is>
          <t>Could</t>
        </is>
      </c>
      <c r="E60" s="10" t="inlineStr">
        <is>
          <t>Derived</t>
        </is>
      </c>
      <c r="F60" s="10" t="inlineStr">
        <is>
          <t>4</t>
        </is>
      </c>
    </row>
    <row r="61">
      <c r="A61" s="17" t="inlineStr">
        <is>
          <t>REQ-IMP-07</t>
        </is>
      </c>
      <c r="B61" s="17" t="inlineStr">
        <is>
          <t>Import/Export</t>
        </is>
      </c>
      <c r="C61" s="18" t="inlineStr">
        <is>
          <t>After import, the application lets the user update the data on screen, and those updates are carried into the file produced on export.</t>
        </is>
      </c>
      <c r="D61" s="17" t="inlineStr">
        <is>
          <t>Must</t>
        </is>
      </c>
      <c r="E61" s="17" t="inlineStr">
        <is>
          <t>Reviewer v0.11</t>
        </is>
      </c>
      <c r="F61" s="17" t="inlineStr">
        <is>
          <t>4</t>
        </is>
      </c>
    </row>
    <row r="62">
      <c r="A62" s="17" t="inlineStr">
        <is>
          <t>REQ-IMP-08</t>
        </is>
      </c>
      <c r="B62" s="17" t="inlineStr">
        <is>
          <t>Import/Export</t>
        </is>
      </c>
      <c r="C62" s="18" t="inlineStr">
        <is>
          <t>Unsaved edits are visible as such, and the user is warned before any action that would discard them (closing the page, loading another file).</t>
        </is>
      </c>
      <c r="D62" s="17" t="inlineStr">
        <is>
          <t>Must</t>
        </is>
      </c>
      <c r="E62" s="17" t="inlineStr">
        <is>
          <t>Derived from REQ-IMP-07</t>
        </is>
      </c>
      <c r="F62" s="17" t="inlineStr">
        <is>
          <t>4</t>
        </is>
      </c>
    </row>
    <row r="63">
      <c r="A63" s="20" t="inlineStr">
        <is>
          <t>REQ-IMP-09</t>
        </is>
      </c>
      <c r="B63" s="20" t="inlineStr">
        <is>
          <t>Import/Export</t>
        </is>
      </c>
      <c r="C63" s="19" t="inlineStr">
        <is>
          <t>Every field is editable, including identifiers. An on-screen edit is re-validated against the same rules as an imported value, so editing cannot introduce data the import would have rejected.</t>
        </is>
      </c>
      <c r="D63" s="20" t="inlineStr">
        <is>
          <t>Must</t>
        </is>
      </c>
      <c r="E63" s="20" t="inlineStr">
        <is>
          <t>Q-20</t>
        </is>
      </c>
      <c r="F63" s="20" t="inlineStr">
        <is>
          <t>4</t>
        </is>
      </c>
    </row>
    <row r="64">
      <c r="A64" s="17" t="inlineStr">
        <is>
          <t>REQ-IMP-10</t>
        </is>
      </c>
      <c r="B64" s="17" t="inlineStr">
        <is>
          <t>Import/Export</t>
        </is>
      </c>
      <c r="C64" s="18" t="inlineStr">
        <is>
          <t>Editing an identifier that other sheets reference cascades to every referencing row, after showing how many rows will change. Deleting a referenced row is refused, naming what still points at it.</t>
        </is>
      </c>
      <c r="D64" s="17" t="inlineStr">
        <is>
          <t>Must</t>
        </is>
      </c>
      <c r="E64" s="17" t="inlineStr">
        <is>
          <t>Q-20</t>
        </is>
      </c>
      <c r="F64" s="17" t="inlineStr">
        <is>
          <t>4</t>
        </is>
      </c>
    </row>
    <row r="65">
      <c r="A65" s="17" t="inlineStr">
        <is>
          <t>REQ-IMP-11</t>
        </is>
      </c>
      <c r="B65" s="17" t="inlineStr">
        <is>
          <t>Import/Export</t>
        </is>
      </c>
      <c r="C65" s="18" t="inlineStr">
        <is>
          <t>A new row can be inserted into any editable table, positioned immediately below the row the user acts on rather than appended at the end, and validated on entry like any other edit.</t>
        </is>
      </c>
      <c r="D65" s="17" t="inlineStr">
        <is>
          <t>Must</t>
        </is>
      </c>
      <c r="E65" s="17" t="inlineStr">
        <is>
          <t>P-01, S-01</t>
        </is>
      </c>
      <c r="F65" s="17" t="inlineStr">
        <is>
          <t>4</t>
        </is>
      </c>
    </row>
    <row r="66">
      <c r="A66" s="10" t="inlineStr">
        <is>
          <t>REQ-VC-01</t>
        </is>
      </c>
      <c r="B66" s="10" t="inlineStr">
        <is>
          <t>Version control</t>
        </is>
      </c>
      <c r="C66" s="11" t="inlineStr">
        <is>
          <t>Development plan, programming specification and output files are version-controlled together and their versions are cross-referenced.</t>
        </is>
      </c>
      <c r="D66" s="10" t="inlineStr">
        <is>
          <t>Must</t>
        </is>
      </c>
      <c r="E66" s="10" t="inlineStr">
        <is>
          <t>Requester</t>
        </is>
      </c>
      <c r="F66" s="10" t="inlineStr">
        <is>
          <t>1-5</t>
        </is>
      </c>
    </row>
    <row r="67">
      <c r="A67" s="8" t="inlineStr">
        <is>
          <t>REQ-VC-02</t>
        </is>
      </c>
      <c r="B67" s="8" t="inlineStr">
        <is>
          <t>Version control</t>
        </is>
      </c>
      <c r="C67" s="9" t="inlineStr">
        <is>
          <t>The application displays its own version, and the version of the source data schema it expects.</t>
        </is>
      </c>
      <c r="D67" s="8" t="inlineStr">
        <is>
          <t>Must</t>
        </is>
      </c>
      <c r="E67" s="8" t="inlineStr">
        <is>
          <t>Requester</t>
        </is>
      </c>
      <c r="F67" s="8" t="inlineStr">
        <is>
          <t>4</t>
        </is>
      </c>
    </row>
    <row r="68">
      <c r="A68" s="10" t="inlineStr">
        <is>
          <t>REQ-VC-03</t>
        </is>
      </c>
      <c r="B68" s="10" t="inlineStr">
        <is>
          <t>Version control</t>
        </is>
      </c>
      <c r="C68" s="11" t="inlineStr">
        <is>
          <t>Loading a source file whose schema version is newer or older than the application expects produces a clear warning.</t>
        </is>
      </c>
      <c r="D68" s="10" t="inlineStr">
        <is>
          <t>Should</t>
        </is>
      </c>
      <c r="E68" s="10" t="inlineStr">
        <is>
          <t>Derived</t>
        </is>
      </c>
      <c r="F68" s="10" t="inlineStr">
        <is>
          <t>4</t>
        </is>
      </c>
    </row>
    <row r="69">
      <c r="A69" s="8" t="inlineStr">
        <is>
          <t>REQ-VC-04</t>
        </is>
      </c>
      <c r="B69" s="8" t="inlineStr">
        <is>
          <t>Version control</t>
        </is>
      </c>
      <c r="C69" s="9" t="inlineStr">
        <is>
          <t>Every document re-issue adds a version-history row stating what changed and why.</t>
        </is>
      </c>
      <c r="D69" s="8" t="inlineStr">
        <is>
          <t>Must</t>
        </is>
      </c>
      <c r="E69" s="8" t="inlineStr">
        <is>
          <t>Requester</t>
        </is>
      </c>
      <c r="F69" s="8" t="inlineStr">
        <is>
          <t>1-5</t>
        </is>
      </c>
    </row>
    <row r="70">
      <c r="A70" s="10" t="inlineStr">
        <is>
          <t>REQ-NFR-01</t>
        </is>
      </c>
      <c r="B70" s="10" t="inlineStr">
        <is>
          <t>Non-functional</t>
        </is>
      </c>
      <c r="C70" s="11" t="inlineStr">
        <is>
          <t>The application is built so later requirements can be added without restructuring: parsing, calculation and presentation are separated.</t>
        </is>
      </c>
      <c r="D70" s="10" t="inlineStr">
        <is>
          <t>Must</t>
        </is>
      </c>
      <c r="E70" s="10" t="inlineStr">
        <is>
          <t>Requester</t>
        </is>
      </c>
      <c r="F70" s="10" t="inlineStr">
        <is>
          <t>4</t>
        </is>
      </c>
    </row>
    <row r="71">
      <c r="A71" s="8" t="inlineStr">
        <is>
          <t>REQ-NFR-02</t>
        </is>
      </c>
      <c r="B71" s="8" t="inlineStr">
        <is>
          <t>Non-functional</t>
        </is>
      </c>
      <c r="C71" s="9" t="inlineStr">
        <is>
          <t>Works in Microsoft Edge and Google Chrome on Windows 10/11, offline.</t>
        </is>
      </c>
      <c r="D71" s="8" t="inlineStr">
        <is>
          <t>Must</t>
        </is>
      </c>
      <c r="E71" s="8" t="inlineStr">
        <is>
          <t>Q-05</t>
        </is>
      </c>
      <c r="F71" s="8" t="inlineStr">
        <is>
          <t>4</t>
        </is>
      </c>
    </row>
    <row r="72">
      <c r="A72" s="20" t="inlineStr">
        <is>
          <t>REQ-NFR-03</t>
        </is>
      </c>
      <c r="B72" s="20" t="inlineStr">
        <is>
          <t>Non-functional</t>
        </is>
      </c>
      <c r="C72" s="19" t="inlineStr">
        <is>
          <t>Handles 100 projects and 1,000 people, with the assignments that implies (order 8,000) over a 60-month horizon. Tables of that height are virtualised and the per-person chart aggregates rather than drawing a bar each - see REQ-DSH-09.</t>
        </is>
      </c>
      <c r="D72" s="20" t="inlineStr">
        <is>
          <t>Must</t>
        </is>
      </c>
      <c r="E72" s="20" t="inlineStr">
        <is>
          <t>S2-06</t>
        </is>
      </c>
      <c r="F72" s="20" t="inlineStr">
        <is>
          <t>4</t>
        </is>
      </c>
    </row>
    <row r="73">
      <c r="A73" s="8" t="inlineStr">
        <is>
          <t>REQ-NFR-04</t>
        </is>
      </c>
      <c r="B73" s="8" t="inlineStr">
        <is>
          <t>Non-functional</t>
        </is>
      </c>
      <c r="C73" s="9" t="inlineStr">
        <is>
          <t>No data leaves the PC: no network calls, no external CDN, no telemetry.</t>
        </is>
      </c>
      <c r="D73" s="8" t="inlineStr">
        <is>
          <t>Must</t>
        </is>
      </c>
      <c r="E73" s="8" t="inlineStr">
        <is>
          <t>Derived</t>
        </is>
      </c>
      <c r="F73" s="8" t="inlineStr">
        <is>
          <t>4</t>
        </is>
      </c>
    </row>
    <row r="74">
      <c r="A74" s="10" t="inlineStr">
        <is>
          <t>REQ-NFR-05</t>
        </is>
      </c>
      <c r="B74" s="10" t="inlineStr">
        <is>
          <t>Non-functional</t>
        </is>
      </c>
      <c r="C74" s="11" t="inlineStr">
        <is>
          <t>Dates are handled unambiguously (ISO yyyy-mm-dd internally) regardless of Windows regional settings.</t>
        </is>
      </c>
      <c r="D74" s="10" t="inlineStr">
        <is>
          <t>Must</t>
        </is>
      </c>
      <c r="E74" s="10" t="inlineStr">
        <is>
          <t>Derived</t>
        </is>
      </c>
      <c r="F74" s="10" t="inlineStr">
        <is>
          <t>4</t>
        </is>
      </c>
    </row>
    <row r="76">
      <c r="A76" s="5" t="inlineStr">
        <is>
          <t>Requirement count by priority</t>
        </is>
      </c>
    </row>
    <row r="77" ht="28" customHeight="1">
      <c r="A77" s="7" t="inlineStr">
        <is>
          <t>Priority</t>
        </is>
      </c>
      <c r="B77" s="7" t="inlineStr">
        <is>
          <t>Count</t>
        </is>
      </c>
    </row>
    <row r="78">
      <c r="A78" s="8" t="inlineStr">
        <is>
          <t>Must</t>
        </is>
      </c>
      <c r="B78" s="8">
        <f>COUNTIF(D5:D74,"Must")</f>
        <v/>
      </c>
    </row>
    <row r="79">
      <c r="A79" s="10" t="inlineStr">
        <is>
          <t>Should</t>
        </is>
      </c>
      <c r="B79" s="10">
        <f>COUNTIF(D5:D74,"Should")</f>
        <v/>
      </c>
    </row>
    <row r="80">
      <c r="A80" s="8" t="inlineStr">
        <is>
          <t>Could</t>
        </is>
      </c>
      <c r="B80" s="8">
        <f>COUNTIF(D5:D74,"Could")</f>
        <v/>
      </c>
    </row>
    <row r="81">
      <c r="A81" s="10" t="inlineStr">
        <is>
          <t>Total</t>
        </is>
      </c>
      <c r="B81" s="10">
        <f>COUNTA(A5:A74)</f>
        <v/>
      </c>
    </row>
    <row r="83">
      <c r="A83" s="16" t="inlineStr">
        <is>
          <t>47 requirements at v0.1, 58 at v0.2, 61 at v0.3, 63 at v0.4 and v1.0. v1.1 adds 2 and rewords 3, as a change against the approved baseline.</t>
        </is>
      </c>
    </row>
    <row r="84">
      <c r="A84" s="16" t="inlineStr">
        <is>
          <t>'Source' = Requester (in the original request), a Q-number (answered at v0.11 review), 'Reviewer v0.11' (added by the reviewer directly), Derived (engineering consequence), or a Decision ID from 07_Architecture.</t>
        </is>
      </c>
    </row>
    <row r="85">
      <c r="A85" s="3" t="inlineStr">
        <is>
          <t>Legend</t>
        </is>
      </c>
    </row>
    <row r="86">
      <c r="A86" s="12" t="inlineStr">
        <is>
          <t>Green = new in v0.2, added from your review answers.</t>
        </is>
      </c>
    </row>
    <row r="87">
      <c r="A87" s="13" t="inlineStr">
        <is>
          <t>Orange = changed in v0.2 as a consequence of your review.</t>
        </is>
      </c>
    </row>
    <row r="88">
      <c r="A88" s="14" t="inlineStr">
        <is>
          <t>Yellow = still needs your input.</t>
        </is>
      </c>
    </row>
  </sheetData>
  <dataValidations count="1">
    <dataValidation sqref="D5:D74"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4"/>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17" t="inlineStr">
        <is>
          <t>PeriodWeightStandard</t>
        </is>
      </c>
      <c r="B9" s="18" t="inlineStr">
        <is>
          <t>Default weight per project category x period. Seeds ProjectPeriod.</t>
        </is>
      </c>
      <c r="C9" s="17" t="inlineStr">
        <is>
          <t>Reference</t>
        </is>
      </c>
    </row>
    <row r="10">
      <c r="A10" s="20" t="inlineStr">
        <is>
          <t>RoleFactor</t>
        </is>
      </c>
      <c r="B10" s="19" t="inlineStr">
        <is>
          <t>Role burden factor, per project type, clinical phase and period.</t>
        </is>
      </c>
      <c r="C10" s="20"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Lists</t>
        </is>
      </c>
      <c r="B14" s="18" t="inlineStr">
        <is>
          <t>Value lists for every data-driven dropdown, so lists change without code.</t>
        </is>
      </c>
      <c r="C14" s="17" t="inlineStr">
        <is>
          <t>Reference</t>
        </is>
      </c>
    </row>
    <row r="15">
      <c r="A15" s="10" t="inlineStr">
        <is>
          <t>Config</t>
        </is>
      </c>
      <c r="B15" s="11" t="inlineStr">
        <is>
          <t>Parameters: schema version, thresholds, horizon, FTE hours.</t>
        </is>
      </c>
      <c r="C15" s="10" t="inlineStr">
        <is>
          <t>Reference</t>
        </is>
      </c>
    </row>
    <row r="17">
      <c r="A17" s="5" t="inlineStr">
        <is>
          <t>Sheet: Project</t>
        </is>
      </c>
    </row>
    <row r="18" ht="28" customHeight="1">
      <c r="A18" s="7" t="inlineStr">
        <is>
          <t>Column</t>
        </is>
      </c>
      <c r="B18" s="7" t="inlineStr">
        <is>
          <t>Type</t>
        </is>
      </c>
      <c r="C18" s="7" t="inlineStr">
        <is>
          <t>Required</t>
        </is>
      </c>
      <c r="D18" s="7" t="inlineStr">
        <is>
          <t>Definition / rule</t>
        </is>
      </c>
      <c r="E18" s="7" t="inlineStr">
        <is>
          <t>REQ-ID</t>
        </is>
      </c>
    </row>
    <row r="19">
      <c r="A19" s="8" t="inlineStr">
        <is>
          <t>project_id</t>
        </is>
      </c>
      <c r="B19" s="8" t="inlineStr">
        <is>
          <t>Text</t>
        </is>
      </c>
      <c r="C19" s="8" t="inlineStr">
        <is>
          <t>Yes</t>
        </is>
      </c>
      <c r="D19" s="9" t="inlineStr">
        <is>
          <t>Unique key, e.g. PRJ-001. Referenced by every other sheet.</t>
        </is>
      </c>
      <c r="E19" s="8" t="inlineStr">
        <is>
          <t>REQ-PRJ-03</t>
        </is>
      </c>
    </row>
    <row r="20">
      <c r="A20" s="10" t="inlineStr">
        <is>
          <t>project_name</t>
        </is>
      </c>
      <c r="B20" s="10" t="inlineStr">
        <is>
          <t>Text</t>
        </is>
      </c>
      <c r="C20" s="10" t="inlineStr">
        <is>
          <t>Yes</t>
        </is>
      </c>
      <c r="D20" s="11" t="inlineStr">
        <is>
          <t>Unique display name.</t>
        </is>
      </c>
      <c r="E20" s="10" t="inlineStr">
        <is>
          <t>REQ-PRJ-03</t>
        </is>
      </c>
    </row>
    <row r="21">
      <c r="A21" s="20" t="inlineStr">
        <is>
          <t>project_type</t>
        </is>
      </c>
      <c r="B21" s="20" t="inlineStr">
        <is>
          <t>List</t>
        </is>
      </c>
      <c r="C21" s="20" t="inlineStr">
        <is>
          <t>Yes</t>
        </is>
      </c>
      <c r="D21" s="19" t="inlineStr">
        <is>
          <t>'NewDrug CT', 'Biosimilar CT' or 'Others'. The first two are clinical trials.</t>
        </is>
      </c>
      <c r="E21" s="20" t="inlineStr">
        <is>
          <t>REQ-PRJ-01</t>
        </is>
      </c>
    </row>
    <row r="22">
      <c r="A22" s="10" t="inlineStr">
        <is>
          <t>project_category</t>
        </is>
      </c>
      <c r="B22" s="10" t="inlineStr">
        <is>
          <t>Text</t>
        </is>
      </c>
      <c r="C22" s="10" t="inlineStr">
        <is>
          <t>Conditional</t>
        </is>
      </c>
      <c r="D22" s="11" t="inlineStr">
        <is>
          <t>Product name. Required for either clinical trial type.</t>
        </is>
      </c>
      <c r="E22" s="10" t="inlineStr">
        <is>
          <t>REQ-PRJ-02</t>
        </is>
      </c>
    </row>
    <row r="23">
      <c r="A23" s="17" t="inlineStr">
        <is>
          <t>clinical_phase</t>
        </is>
      </c>
      <c r="B23" s="17" t="inlineStr">
        <is>
          <t>List</t>
        </is>
      </c>
      <c r="C23" s="17" t="inlineStr">
        <is>
          <t>Conditional</t>
        </is>
      </c>
      <c r="D23" s="18" t="inlineStr">
        <is>
          <t>'Phase 1' / 'Phase 2' / 'Phase 3' / 'Phase 4'. Required for either clinical trial type.</t>
        </is>
      </c>
      <c r="E23" s="17" t="inlineStr">
        <is>
          <t>REQ-PRJ-09</t>
        </is>
      </c>
    </row>
    <row r="24">
      <c r="A24" s="20" t="inlineStr">
        <is>
          <t>outsourcing_type</t>
        </is>
      </c>
      <c r="B24" s="20" t="inlineStr">
        <is>
          <t>List</t>
        </is>
      </c>
      <c r="C24" s="20" t="inlineStr">
        <is>
          <t>Yes</t>
        </is>
      </c>
      <c r="D24" s="19" t="inlineStr">
        <is>
          <t>'Full outsourcing' / 'Partial outsourcing' / 'Full In-house'. Three values, fixed at Q-14.</t>
        </is>
      </c>
      <c r="E24" s="20" t="inlineStr">
        <is>
          <t>REQ-PRJ-04</t>
        </is>
      </c>
    </row>
    <row r="25">
      <c r="A25" s="17" t="inlineStr">
        <is>
          <t>EDC_setup</t>
        </is>
      </c>
      <c r="B25" s="17" t="inlineStr">
        <is>
          <t>List</t>
        </is>
      </c>
      <c r="C25" s="17" t="inlineStr">
        <is>
          <t>Conditional</t>
        </is>
      </c>
      <c r="D25" s="18" t="inlineStr">
        <is>
          <t>Who sets up the EDC system. 'by CRO' / 'by SB'. Required for either clinical trial type.</t>
        </is>
      </c>
      <c r="E25" s="17" t="inlineStr">
        <is>
          <t>REQ-PRJ-10</t>
        </is>
      </c>
    </row>
    <row r="26">
      <c r="A26" s="17" t="inlineStr">
        <is>
          <t>DataReviewSystem_setup</t>
        </is>
      </c>
      <c r="B26" s="17" t="inlineStr">
        <is>
          <t>List</t>
        </is>
      </c>
      <c r="C26" s="17" t="inlineStr">
        <is>
          <t>Conditional</t>
        </is>
      </c>
      <c r="D26" s="18" t="inlineStr">
        <is>
          <t>Who sets up the data review system. 'by CRO' / 'by SB'.</t>
        </is>
      </c>
      <c r="E26" s="17" t="inlineStr">
        <is>
          <t>REQ-PRJ-10</t>
        </is>
      </c>
    </row>
    <row r="27">
      <c r="A27" s="17" t="inlineStr">
        <is>
          <t>RBQM_setup</t>
        </is>
      </c>
      <c r="B27" s="17" t="inlineStr">
        <is>
          <t>List</t>
        </is>
      </c>
      <c r="C27" s="17" t="inlineStr">
        <is>
          <t>Conditional</t>
        </is>
      </c>
      <c r="D27" s="18" t="inlineStr">
        <is>
          <t>Who sets up the RBQM system. 'by CRO' / 'by SB'.</t>
        </is>
      </c>
      <c r="E27" s="17" t="inlineStr">
        <is>
          <t>REQ-PRJ-10</t>
        </is>
      </c>
    </row>
    <row r="28">
      <c r="A28" s="17" t="inlineStr">
        <is>
          <t>DM_conduct</t>
        </is>
      </c>
      <c r="B28" s="17" t="inlineStr">
        <is>
          <t>List</t>
        </is>
      </c>
      <c r="C28" s="17" t="inlineStr">
        <is>
          <t>Conditional</t>
        </is>
      </c>
      <c r="D28" s="18" t="inlineStr">
        <is>
          <t>Who reviews the clinical trial data. 'by CRO' / 'by SB'.</t>
        </is>
      </c>
      <c r="E28" s="17" t="inlineStr">
        <is>
          <t>REQ-PRJ-10</t>
        </is>
      </c>
    </row>
    <row r="29">
      <c r="A29" s="17" t="inlineStr">
        <is>
          <t>EDC_system</t>
        </is>
      </c>
      <c r="B29" s="17" t="inlineStr">
        <is>
          <t>List</t>
        </is>
      </c>
      <c r="C29" s="17" t="inlineStr">
        <is>
          <t>Conditional</t>
        </is>
      </c>
      <c r="D29" s="18" t="inlineStr">
        <is>
          <t>EDC system name, e.g. 'Veeva EDC' / 'Rave' / 'eSOURCE'. Data-driven list.</t>
        </is>
      </c>
      <c r="E29" s="17" t="inlineStr">
        <is>
          <t>REQ-PRJ-11</t>
        </is>
      </c>
    </row>
    <row r="30">
      <c r="A30" s="17" t="inlineStr">
        <is>
          <t>DataReviewSystem</t>
        </is>
      </c>
      <c r="B30" s="17" t="inlineStr">
        <is>
          <t>List</t>
        </is>
      </c>
      <c r="C30" s="17" t="inlineStr">
        <is>
          <t>Conditional</t>
        </is>
      </c>
      <c r="D30" s="18" t="inlineStr">
        <is>
          <t>e.g. 'Veeva DQS' / 'Medidata CDS' / 'No system (manual)'. Data-driven list.</t>
        </is>
      </c>
      <c r="E30" s="17" t="inlineStr">
        <is>
          <t>REQ-PRJ-11</t>
        </is>
      </c>
    </row>
    <row r="31">
      <c r="A31" s="17" t="inlineStr">
        <is>
          <t>RBQM_system</t>
        </is>
      </c>
      <c r="B31" s="17" t="inlineStr">
        <is>
          <t>List</t>
        </is>
      </c>
      <c r="C31" s="17" t="inlineStr">
        <is>
          <t>Conditional</t>
        </is>
      </c>
      <c r="D31" s="18" t="inlineStr">
        <is>
          <t>e.g. 'CluePoints' / 'Medidata CDS' / 'No system (manual)'. Data-driven list.</t>
        </is>
      </c>
      <c r="E31" s="17" t="inlineStr">
        <is>
          <t>REQ-PRJ-11</t>
        </is>
      </c>
    </row>
    <row r="32">
      <c r="A32" s="10" t="inlineStr">
        <is>
          <t>planned_member_count</t>
        </is>
      </c>
      <c r="B32" s="10" t="inlineStr">
        <is>
          <t>Integer</t>
        </is>
      </c>
      <c r="C32" s="10" t="inlineStr">
        <is>
          <t>No</t>
        </is>
      </c>
      <c r="D32" s="11" t="inlineStr">
        <is>
          <t>Planned number of project members; compared against actual assignments.</t>
        </is>
      </c>
      <c r="E32" s="10" t="inlineStr">
        <is>
          <t>REQ-PRJ-04</t>
        </is>
      </c>
    </row>
    <row r="33">
      <c r="A33" s="8" t="inlineStr">
        <is>
          <t>start_date</t>
        </is>
      </c>
      <c r="B33" s="8" t="inlineStr">
        <is>
          <t>Date</t>
        </is>
      </c>
      <c r="C33" s="8" t="inlineStr">
        <is>
          <t>Yes</t>
        </is>
      </c>
      <c r="D33" s="9" t="inlineStr">
        <is>
          <t>Project start.</t>
        </is>
      </c>
      <c r="E33" s="8" t="inlineStr">
        <is>
          <t>REQ-PRJ-05</t>
        </is>
      </c>
    </row>
    <row r="34">
      <c r="A34" s="10" t="inlineStr">
        <is>
          <t>end_date</t>
        </is>
      </c>
      <c r="B34" s="10" t="inlineStr">
        <is>
          <t>Date</t>
        </is>
      </c>
      <c r="C34" s="10" t="inlineStr">
        <is>
          <t>Yes</t>
        </is>
      </c>
      <c r="D34" s="11" t="inlineStr">
        <is>
          <t>Planned project end.</t>
        </is>
      </c>
      <c r="E34" s="10" t="inlineStr">
        <is>
          <t>REQ-PRJ-05</t>
        </is>
      </c>
    </row>
    <row r="35">
      <c r="A35" s="8" t="inlineStr">
        <is>
          <t>total_period_months</t>
        </is>
      </c>
      <c r="B35" s="8" t="inlineStr">
        <is>
          <t>Derived</t>
        </is>
      </c>
      <c r="C35" s="8" t="inlineStr">
        <is>
          <t>-</t>
        </is>
      </c>
      <c r="D35" s="9" t="inlineStr">
        <is>
          <t>Calculated from start_date and end_date; not entered by hand.</t>
        </is>
      </c>
      <c r="E35" s="8" t="inlineStr">
        <is>
          <t>REQ-PRJ-08</t>
        </is>
      </c>
    </row>
    <row r="36">
      <c r="A36" s="10" t="inlineStr">
        <is>
          <t>status</t>
        </is>
      </c>
      <c r="B36" s="10" t="inlineStr">
        <is>
          <t>List</t>
        </is>
      </c>
      <c r="C36" s="10" t="inlineStr">
        <is>
          <t>No</t>
        </is>
      </c>
      <c r="D36" s="11" t="inlineStr">
        <is>
          <t>Planned / Active / On hold / Completed. Drives default dashboard filtering.</t>
        </is>
      </c>
      <c r="E36" s="10" t="inlineStr">
        <is>
          <t>REQ-PRJ-07</t>
        </is>
      </c>
    </row>
    <row r="37">
      <c r="A37" s="8" t="inlineStr">
        <is>
          <t>note_1 .. note_5</t>
        </is>
      </c>
      <c r="B37" s="8" t="inlineStr">
        <is>
          <t>Text</t>
        </is>
      </c>
      <c r="C37" s="8" t="inlineStr">
        <is>
          <t>No</t>
        </is>
      </c>
      <c r="D37" s="9" t="inlineStr">
        <is>
          <t>Free extension columns.</t>
        </is>
      </c>
      <c r="E37" s="8" t="inlineStr">
        <is>
          <t>REQ-PRJ-07</t>
        </is>
      </c>
    </row>
    <row r="39">
      <c r="A39" s="16" t="inlineStr">
        <is>
          <t>system_prepared_by is dropped at v0.3 (Q-19): the four *_setup columns replace it with more detail.</t>
        </is>
      </c>
    </row>
    <row r="40">
      <c r="A40" s="5" t="inlineStr">
        <is>
          <t>Sheet: Milestone</t>
        </is>
      </c>
    </row>
    <row r="41" ht="28" customHeight="1">
      <c r="A41" s="7" t="inlineStr">
        <is>
          <t>Column</t>
        </is>
      </c>
      <c r="B41" s="7" t="inlineStr">
        <is>
          <t>Type</t>
        </is>
      </c>
      <c r="C41" s="7" t="inlineStr">
        <is>
          <t>Required</t>
        </is>
      </c>
      <c r="D41" s="7" t="inlineStr">
        <is>
          <t>Definition / rule</t>
        </is>
      </c>
      <c r="E41" s="7" t="inlineStr">
        <is>
          <t>REQ-ID</t>
        </is>
      </c>
    </row>
    <row r="42">
      <c r="A42" s="8" t="inlineStr">
        <is>
          <t>project_id</t>
        </is>
      </c>
      <c r="B42" s="8" t="inlineStr">
        <is>
          <t>Text</t>
        </is>
      </c>
      <c r="C42" s="8" t="inlineStr">
        <is>
          <t>Yes</t>
        </is>
      </c>
      <c r="D42" s="9" t="inlineStr">
        <is>
          <t>Foreign key to Project.</t>
        </is>
      </c>
      <c r="E42" s="8" t="inlineStr">
        <is>
          <t>REQ-PRJ-05</t>
        </is>
      </c>
    </row>
    <row r="43">
      <c r="A43" s="17" t="inlineStr">
        <is>
          <t>project_name</t>
        </is>
      </c>
      <c r="B43" s="17" t="inlineStr">
        <is>
          <t>Text</t>
        </is>
      </c>
      <c r="C43" s="17" t="inlineStr">
        <is>
          <t>No</t>
        </is>
      </c>
      <c r="D43" s="18" t="inlineStr">
        <is>
          <t>Display convenience added at v0.11. Not authoritative: checked against Project on import and refreshed from it, so a mismatch cannot corrupt the link.</t>
        </is>
      </c>
      <c r="E43" s="17" t="inlineStr">
        <is>
          <t>REQ-PRJ-05</t>
        </is>
      </c>
    </row>
    <row r="44">
      <c r="A44" s="20" t="inlineStr">
        <is>
          <t>milestone_name</t>
        </is>
      </c>
      <c r="B44" s="20" t="inlineStr">
        <is>
          <t>List</t>
        </is>
      </c>
      <c r="C44" s="20" t="inlineStr">
        <is>
          <t>Yes</t>
        </is>
      </c>
      <c r="D44" s="19"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4" s="20" t="inlineStr">
        <is>
          <t>REQ-PRJ-05, REQ-PRJ-13</t>
        </is>
      </c>
    </row>
    <row r="45">
      <c r="A45" s="10" t="inlineStr">
        <is>
          <t>milestone_date</t>
        </is>
      </c>
      <c r="B45" s="10" t="inlineStr">
        <is>
          <t>Date</t>
        </is>
      </c>
      <c r="C45" s="10" t="inlineStr">
        <is>
          <t>Yes</t>
        </is>
      </c>
      <c r="D45" s="11" t="inlineStr">
        <is>
          <t>Planned date.</t>
        </is>
      </c>
      <c r="E45" s="10" t="inlineStr">
        <is>
          <t>REQ-PRJ-05</t>
        </is>
      </c>
    </row>
    <row r="46">
      <c r="A46" s="8" t="inlineStr">
        <is>
          <t>milestone_seq</t>
        </is>
      </c>
      <c r="B46" s="8" t="inlineStr">
        <is>
          <t>Integer</t>
        </is>
      </c>
      <c r="C46" s="8" t="inlineStr">
        <is>
          <t>No</t>
        </is>
      </c>
      <c r="D46" s="9" t="inlineStr">
        <is>
          <t>Display order on the timeline.</t>
        </is>
      </c>
      <c r="E46" s="8" t="inlineStr">
        <is>
          <t>REQ-PRJ-05</t>
        </is>
      </c>
    </row>
    <row r="47">
      <c r="A47" s="17" t="inlineStr">
        <is>
          <t>note_1</t>
        </is>
      </c>
      <c r="B47" s="17" t="inlineStr">
        <is>
          <t>Text</t>
        </is>
      </c>
      <c r="C47" s="17" t="inlineStr">
        <is>
          <t>No</t>
        </is>
      </c>
      <c r="D47" s="18" t="inlineStr">
        <is>
          <t>Free extension column.</t>
        </is>
      </c>
      <c r="E47" s="17" t="inlineStr">
        <is>
          <t>REQ-PRJ-07</t>
        </is>
      </c>
    </row>
    <row r="49">
      <c r="A49"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0">
      <c r="A50" s="5" t="inlineStr">
        <is>
          <t>Sheet: ProjectPeriod  [was ProjectPeriodWeight]</t>
        </is>
      </c>
    </row>
    <row r="51" ht="28" customHeight="1">
      <c r="A51" s="7" t="inlineStr">
        <is>
          <t>Column</t>
        </is>
      </c>
      <c r="B51" s="7" t="inlineStr">
        <is>
          <t>Type</t>
        </is>
      </c>
      <c r="C51" s="7" t="inlineStr">
        <is>
          <t>Required</t>
        </is>
      </c>
      <c r="D51" s="7" t="inlineStr">
        <is>
          <t>Definition / rule</t>
        </is>
      </c>
      <c r="E51" s="7" t="inlineStr">
        <is>
          <t>REQ-ID</t>
        </is>
      </c>
    </row>
    <row r="52">
      <c r="A52" s="8" t="inlineStr">
        <is>
          <t>project_id</t>
        </is>
      </c>
      <c r="B52" s="8" t="inlineStr">
        <is>
          <t>Text</t>
        </is>
      </c>
      <c r="C52" s="8" t="inlineStr">
        <is>
          <t>Yes</t>
        </is>
      </c>
      <c r="D52" s="9" t="inlineStr">
        <is>
          <t>Foreign key to Project.</t>
        </is>
      </c>
      <c r="E52" s="8" t="inlineStr">
        <is>
          <t>REQ-PRJ-06</t>
        </is>
      </c>
    </row>
    <row r="53">
      <c r="A53" s="20" t="inlineStr">
        <is>
          <t>period_name</t>
        </is>
      </c>
      <c r="B53" s="20" t="inlineStr">
        <is>
          <t>List</t>
        </is>
      </c>
      <c r="C53" s="20" t="inlineStr">
        <is>
          <t>Yes</t>
        </is>
      </c>
      <c r="D53" s="19" t="inlineStr">
        <is>
          <t>From the period set for the project's TYPE - see the two sets below. A period name from the wrong set is rejected. UNIQUE within a project since R-11, so (project_id, period_name) is the key.</t>
        </is>
      </c>
      <c r="E53" s="20" t="inlineStr">
        <is>
          <t>REQ-PRJ-12, REQ-CAL-11, R-11</t>
        </is>
      </c>
    </row>
    <row r="54">
      <c r="A54" s="20" t="inlineStr">
        <is>
          <t>period_seq</t>
        </is>
      </c>
      <c r="B54" s="20" t="inlineStr">
        <is>
          <t>Integer</t>
        </is>
      </c>
      <c r="C54" s="20" t="inlineStr">
        <is>
          <t>Yes</t>
        </is>
      </c>
      <c r="D54" s="19" t="inlineStr">
        <is>
          <t>Orders the periods along the timeline. Unique within a project. No longer part of the key - it carries order, not identity (R-11).</t>
        </is>
      </c>
      <c r="E54" s="20" t="inlineStr">
        <is>
          <t>REQ-CAL-11</t>
        </is>
      </c>
    </row>
    <row r="55">
      <c r="A55" s="20" t="inlineStr">
        <is>
          <t>period_start</t>
        </is>
      </c>
      <c r="B55" s="20" t="inlineStr">
        <is>
          <t>Date</t>
        </is>
      </c>
      <c r="C55" s="20" t="inlineStr">
        <is>
          <t>Yes</t>
        </is>
      </c>
      <c r="D55" s="19" t="inlineStr">
        <is>
          <t>Inclusive. For Clinical Trial, computed from milestones (sheet 05) and then editable. For Others, entered directly.</t>
        </is>
      </c>
      <c r="E55" s="20" t="inlineStr">
        <is>
          <t>REQ-CAL-09</t>
        </is>
      </c>
    </row>
    <row r="56">
      <c r="A56" s="20" t="inlineStr">
        <is>
          <t>period_end</t>
        </is>
      </c>
      <c r="B56" s="20" t="inlineStr">
        <is>
          <t>Date</t>
        </is>
      </c>
      <c r="C56" s="20" t="inlineStr">
        <is>
          <t>Yes</t>
        </is>
      </c>
      <c r="D56" s="19" t="inlineStr">
        <is>
          <t>Inclusive. Periods for one project must not overlap and must leave no gap (REQ-CAL-10).</t>
        </is>
      </c>
      <c r="E56" s="20" t="inlineStr">
        <is>
          <t>REQ-CAL-09</t>
        </is>
      </c>
    </row>
    <row r="57">
      <c r="A57" s="20" t="inlineStr">
        <is>
          <t>weight</t>
        </is>
      </c>
      <c r="B57" s="20" t="inlineStr">
        <is>
          <t>Decimal</t>
        </is>
      </c>
      <c r="C57" s="20" t="inlineStr">
        <is>
          <t>Yes</t>
        </is>
      </c>
      <c r="D57" s="19" t="inlineStr">
        <is>
          <t>Effort multiplier for this period. For a clinical trial, seeded from PeriodWeightStandard by clinical phase and then editable. For 'Others', entered by hand (Q-28). Values are data (Q-17), not fixed in this plan.</t>
        </is>
      </c>
      <c r="E57" s="20" t="inlineStr">
        <is>
          <t>REQ-PRJ-06</t>
        </is>
      </c>
    </row>
    <row r="58">
      <c r="A58" s="17" t="inlineStr">
        <is>
          <t>note_1</t>
        </is>
      </c>
      <c r="B58" s="17" t="inlineStr">
        <is>
          <t>Text</t>
        </is>
      </c>
      <c r="C58" s="17" t="inlineStr">
        <is>
          <t>No</t>
        </is>
      </c>
      <c r="D58" s="18" t="inlineStr">
        <is>
          <t>Free extension column, e.g. why a derived date was overridden.</t>
        </is>
      </c>
      <c r="E58" s="17" t="inlineStr">
        <is>
          <t>REQ-PRJ-07</t>
        </is>
      </c>
    </row>
    <row r="60">
      <c r="A60" s="16" t="inlineStr">
        <is>
          <t>Period sets are type-specific (Q-18). The derivation itself is on sheet 05.</t>
        </is>
      </c>
    </row>
    <row r="61" ht="28" customHeight="1">
      <c r="A61" s="7" t="inlineStr">
        <is>
          <t>project_type</t>
        </is>
      </c>
      <c r="B61" s="7" t="inlineStr">
        <is>
          <t>Period set</t>
        </is>
      </c>
      <c r="C61" s="7" t="inlineStr">
        <is>
          <t>How boundaries are set</t>
        </is>
      </c>
    </row>
    <row r="62">
      <c r="A62" s="20" t="inlineStr">
        <is>
          <t>NewDrug CT / Biosimilar CT</t>
        </is>
      </c>
      <c r="B62" s="19" t="inlineStr">
        <is>
          <t>Before-Start-up, Start-up, Conduct (interim), Close-out (interim), Conduct (final), Close-out (final), After Close-out (final)</t>
        </is>
      </c>
      <c r="C62" s="19" t="inlineStr">
        <is>
          <t>Seven names, in timeline order. Both trial types share one period set and one derivation; they differ in their WEIGHTS, not their shape. A trial with no interim DB lock simply omits 'Conduct (interim)' and 'Close-out (interim)'.</t>
        </is>
      </c>
    </row>
    <row r="63">
      <c r="A63" s="10" t="inlineStr">
        <is>
          <t>Others</t>
        </is>
      </c>
      <c r="B63" s="11" t="inlineStr">
        <is>
          <t>Planning, Develop, Close</t>
        </is>
      </c>
      <c r="C63" s="11" t="inlineStr">
        <is>
          <t>Entered directly - dates confirmed manual at Q-25, weights at Q-28. 'Others' projects are hand-entered throughout.</t>
        </is>
      </c>
    </row>
    <row r="65">
      <c r="A65" s="5" t="inlineStr">
        <is>
          <t>Sheet: PeriodWeightStandard</t>
        </is>
      </c>
    </row>
    <row r="66" ht="28" customHeight="1">
      <c r="A66" s="7" t="inlineStr">
        <is>
          <t>Column</t>
        </is>
      </c>
      <c r="B66" s="7" t="inlineStr">
        <is>
          <t>Type</t>
        </is>
      </c>
      <c r="C66" s="7" t="inlineStr">
        <is>
          <t>Required</t>
        </is>
      </c>
      <c r="D66" s="7" t="inlineStr">
        <is>
          <t>Definition / rule</t>
        </is>
      </c>
      <c r="E66" s="7" t="inlineStr">
        <is>
          <t>Basis</t>
        </is>
      </c>
    </row>
    <row r="67">
      <c r="A67" s="20" t="inlineStr">
        <is>
          <t>project_type</t>
        </is>
      </c>
      <c r="B67" s="20" t="inlineStr">
        <is>
          <t>List</t>
        </is>
      </c>
      <c r="C67" s="20" t="inlineStr">
        <is>
          <t>Yes</t>
        </is>
      </c>
      <c r="D67" s="19" t="inlineStr">
        <is>
          <t>'NewDrug CT' or 'Biosimilar CT'. Part of the key: a biosimilar trial at a given phase is not the same workload as a new-drug trial at that phase. 'Others' take manual weights (Q-28).</t>
        </is>
      </c>
      <c r="E67" s="20" t="inlineStr">
        <is>
          <t>R-05</t>
        </is>
      </c>
    </row>
    <row r="68">
      <c r="A68" s="20" t="inlineStr">
        <is>
          <t>clinical_phase</t>
        </is>
      </c>
      <c r="B68" s="20" t="inlineStr">
        <is>
          <t>List</t>
        </is>
      </c>
      <c r="C68" s="20" t="inlineStr">
        <is>
          <t>Yes</t>
        </is>
      </c>
      <c r="D68" s="19" t="inlineStr">
        <is>
          <t>The phase the standard applies to. This is the key that selects a clinical trial's weights.</t>
        </is>
      </c>
      <c r="E68" s="20" t="inlineStr">
        <is>
          <t>Q-26</t>
        </is>
      </c>
    </row>
    <row r="69">
      <c r="A69" s="8" t="inlineStr">
        <is>
          <t>period_name</t>
        </is>
      </c>
      <c r="B69" s="8" t="inlineStr">
        <is>
          <t>List</t>
        </is>
      </c>
      <c r="C69" s="8" t="inlineStr">
        <is>
          <t>Yes</t>
        </is>
      </c>
      <c r="D69" s="9" t="inlineStr">
        <is>
          <t>A period from that type's set.</t>
        </is>
      </c>
      <c r="E69" s="8" t="inlineStr">
        <is>
          <t>Q-04, Q-18</t>
        </is>
      </c>
    </row>
    <row r="70">
      <c r="A70" s="20" t="inlineStr">
        <is>
          <t>weight</t>
        </is>
      </c>
      <c r="B70" s="20" t="inlineStr">
        <is>
          <t>Decimal</t>
        </is>
      </c>
      <c r="C70" s="20" t="inlineStr">
        <is>
          <t>Yes</t>
        </is>
      </c>
      <c r="D70" s="19" t="inlineStr">
        <is>
          <t>Default multiplier. You fill these in the source workbook (Q-17); the plan fixes only where they live.</t>
        </is>
      </c>
      <c r="E70" s="20" t="inlineStr">
        <is>
          <t>Q-01</t>
        </is>
      </c>
    </row>
    <row r="71">
      <c r="A71" s="17" t="inlineStr">
        <is>
          <t>note_1</t>
        </is>
      </c>
      <c r="B71" s="17" t="inlineStr">
        <is>
          <t>Text</t>
        </is>
      </c>
      <c r="C71" s="17" t="inlineStr">
        <is>
          <t>No</t>
        </is>
      </c>
      <c r="D71" s="18" t="inlineStr">
        <is>
          <t>Free extension column, e.g. the basis for the weight.</t>
        </is>
      </c>
      <c r="E71" s="17" t="inlineStr">
        <is>
          <t>Q-01</t>
        </is>
      </c>
    </row>
    <row r="73">
      <c r="A73"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74">
      <c r="A74" s="5" t="inlineStr">
        <is>
          <t>Sheet: RoleFactor   [key extended at R-10]</t>
        </is>
      </c>
    </row>
    <row r="75" ht="28" customHeight="1">
      <c r="A75" s="7" t="inlineStr">
        <is>
          <t>Column</t>
        </is>
      </c>
      <c r="B75" s="7" t="inlineStr">
        <is>
          <t>Type</t>
        </is>
      </c>
      <c r="C75" s="7" t="inlineStr">
        <is>
          <t>Required</t>
        </is>
      </c>
      <c r="D75" s="7" t="inlineStr">
        <is>
          <t>Definition / rule</t>
        </is>
      </c>
      <c r="E75" s="7" t="inlineStr">
        <is>
          <t>Basis</t>
        </is>
      </c>
    </row>
    <row r="76">
      <c r="A76" s="8" t="inlineStr">
        <is>
          <t>project_type</t>
        </is>
      </c>
      <c r="B76" s="8" t="inlineStr">
        <is>
          <t>List</t>
        </is>
      </c>
      <c r="C76" s="8" t="inlineStr">
        <is>
          <t>Yes</t>
        </is>
      </c>
      <c r="D76" s="9" t="inlineStr">
        <is>
          <t>'NewDrug CT', 'Biosimilar CT' or 'Others'. Roles are keyed by type, so a factor can differ between the two trial types.</t>
        </is>
      </c>
      <c r="E76" s="8" t="inlineStr">
        <is>
          <t>Q-03, R-05</t>
        </is>
      </c>
    </row>
    <row r="77">
      <c r="A77" s="17" t="inlineStr">
        <is>
          <t>clinical_phase</t>
        </is>
      </c>
      <c r="B77" s="17" t="inlineStr">
        <is>
          <t>List</t>
        </is>
      </c>
      <c r="C77" s="17" t="inlineStr">
        <is>
          <t>Trials only</t>
        </is>
      </c>
      <c r="D77" s="18" t="inlineStr">
        <is>
          <t>The phase this factor applies to. EMPTY on 'Others' rows, which carry no phase.</t>
        </is>
      </c>
      <c r="E77" s="17" t="inlineStr">
        <is>
          <t>R-10</t>
        </is>
      </c>
    </row>
    <row r="78">
      <c r="A78" s="20" t="inlineStr">
        <is>
          <t>period_name</t>
        </is>
      </c>
      <c r="B78" s="20" t="inlineStr">
        <is>
          <t>Text</t>
        </is>
      </c>
      <c r="C78" s="20" t="inlineStr">
        <is>
          <t>Yes</t>
        </is>
      </c>
      <c r="D78" s="19" t="inlineStr">
        <is>
          <t>The period this factor applies to. One of the seven clinical periods, or one of the three 'Others' periods, matching the project_type.</t>
        </is>
      </c>
      <c r="E78" s="20" t="inlineStr">
        <is>
          <t>R-10, R-11</t>
        </is>
      </c>
    </row>
    <row r="79">
      <c r="A79" s="10" t="inlineStr">
        <is>
          <t>role_name</t>
        </is>
      </c>
      <c r="B79" s="10" t="inlineStr">
        <is>
          <t>Text</t>
        </is>
      </c>
      <c r="C79" s="10" t="inlineStr">
        <is>
          <t>Yes</t>
        </is>
      </c>
      <c r="D79" s="11" t="inlineStr">
        <is>
          <t>Clinical Trial: 'Project oversight', 'Lead data manager', 'Clinical Data Associator', 'Clinical Database Programmer', 'Data Analyst'. Others: 'Project lead', 'Main staff', 'Other staff'.</t>
        </is>
      </c>
      <c r="E79" s="10" t="inlineStr">
        <is>
          <t>Q-03</t>
        </is>
      </c>
    </row>
    <row r="80">
      <c r="A80" s="20" t="inlineStr">
        <is>
          <t>role_factor</t>
        </is>
      </c>
      <c r="B80" s="20" t="inlineStr">
        <is>
          <t>Decimal</t>
        </is>
      </c>
      <c r="C80" s="20" t="inlineStr">
        <is>
          <t>Yes</t>
        </is>
      </c>
      <c r="D80" s="19"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80" s="20" t="inlineStr">
        <is>
          <t>Q-01, R-10</t>
        </is>
      </c>
    </row>
    <row r="81">
      <c r="A81" s="10" t="inlineStr">
        <is>
          <t>role_note</t>
        </is>
      </c>
      <c r="B81" s="10" t="inlineStr">
        <is>
          <t>Text</t>
        </is>
      </c>
      <c r="C81" s="10" t="inlineStr">
        <is>
          <t>No</t>
        </is>
      </c>
      <c r="D81" s="11" t="inlineStr">
        <is>
          <t>Basis for the factor.</t>
        </is>
      </c>
      <c r="E81" s="10" t="inlineStr">
        <is>
          <t>REQ-CAL-06</t>
        </is>
      </c>
    </row>
    <row r="83">
      <c r="A83" s="16" t="inlineStr">
        <is>
          <t>The key is now (project_type, clinical_phase, period_name, role_name), which makes this the largest sheet in the workbook: 2 types x 4 phases x 6 periods x 5 roles = 240 rows, plus 9 for 'Others'. That is the cost of the change and it falls on whoever maintains the file.</t>
        </is>
      </c>
    </row>
    <row r="85">
      <c r="A85" s="16" t="inlineStr">
        <is>
          <t>NOTE A CONSEQUENCE. PeriodWeightStandard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PeriodWeightStandard, once; doing it in RoleFactor means five edits and double-counts the next time the period weight moves.</t>
        </is>
      </c>
    </row>
    <row r="86">
      <c r="A86" s="5" t="inlineStr">
        <is>
          <t>Sheet: Person</t>
        </is>
      </c>
    </row>
    <row r="87" ht="28" customHeight="1">
      <c r="A87" s="7" t="inlineStr">
        <is>
          <t>Column</t>
        </is>
      </c>
      <c r="B87" s="7" t="inlineStr">
        <is>
          <t>Type</t>
        </is>
      </c>
      <c r="C87" s="7" t="inlineStr">
        <is>
          <t>Required</t>
        </is>
      </c>
      <c r="D87" s="7" t="inlineStr">
        <is>
          <t>Definition / rule</t>
        </is>
      </c>
      <c r="E87" s="7" t="inlineStr">
        <is>
          <t>REQ-ID</t>
        </is>
      </c>
    </row>
    <row r="88">
      <c r="A88" s="8" t="inlineStr">
        <is>
          <t>person_id</t>
        </is>
      </c>
      <c r="B88" s="8" t="inlineStr">
        <is>
          <t>Text</t>
        </is>
      </c>
      <c r="C88" s="8" t="inlineStr">
        <is>
          <t>Yes</t>
        </is>
      </c>
      <c r="D88" s="9" t="inlineStr">
        <is>
          <t>Unique key, e.g. PSN-001.</t>
        </is>
      </c>
      <c r="E88" s="8" t="inlineStr">
        <is>
          <t>REQ-PSN-01</t>
        </is>
      </c>
    </row>
    <row r="89">
      <c r="A89" s="10" t="inlineStr">
        <is>
          <t>person_name</t>
        </is>
      </c>
      <c r="B89" s="10" t="inlineStr">
        <is>
          <t>Text</t>
        </is>
      </c>
      <c r="C89" s="10" t="inlineStr">
        <is>
          <t>Yes</t>
        </is>
      </c>
      <c r="D89" s="11" t="inlineStr">
        <is>
          <t>Display name.</t>
        </is>
      </c>
      <c r="E89" s="10" t="inlineStr">
        <is>
          <t>REQ-PSN-01</t>
        </is>
      </c>
    </row>
    <row r="90">
      <c r="A90" s="8" t="inlineStr">
        <is>
          <t>department</t>
        </is>
      </c>
      <c r="B90" s="8" t="inlineStr">
        <is>
          <t>Text</t>
        </is>
      </c>
      <c r="C90" s="8" t="inlineStr">
        <is>
          <t>No</t>
        </is>
      </c>
      <c r="D90" s="9" t="inlineStr">
        <is>
          <t>Grouping for the dashboard.</t>
        </is>
      </c>
      <c r="E90" s="8" t="inlineStr">
        <is>
          <t>REQ-PSN-06</t>
        </is>
      </c>
    </row>
    <row r="91">
      <c r="A91" s="10" t="inlineStr">
        <is>
          <t>primary_role</t>
        </is>
      </c>
      <c r="B91" s="10" t="inlineStr">
        <is>
          <t>Text</t>
        </is>
      </c>
      <c r="C91" s="10" t="inlineStr">
        <is>
          <t>No</t>
        </is>
      </c>
      <c r="D91" s="11" t="inlineStr">
        <is>
          <t>Usual role; an assignment can override it.</t>
        </is>
      </c>
      <c r="E91" s="10" t="inlineStr">
        <is>
          <t>REQ-PSN-03</t>
        </is>
      </c>
    </row>
    <row r="92">
      <c r="A92" s="20" t="inlineStr">
        <is>
          <t>capacity_fte</t>
        </is>
      </c>
      <c r="B92" s="20" t="inlineStr">
        <is>
          <t>Decimal</t>
        </is>
      </c>
      <c r="C92" s="20" t="inlineStr">
        <is>
          <t>No</t>
        </is>
      </c>
      <c r="D92" s="19" t="inlineStr">
        <is>
          <t>Available capacity in FTE, default 1.00 (= 160 h/month). Lower it for a part-timer.</t>
        </is>
      </c>
      <c r="E92" s="20" t="inlineStr">
        <is>
          <t>REQ-CAL-08</t>
        </is>
      </c>
    </row>
    <row r="93">
      <c r="A93" s="10" t="inlineStr">
        <is>
          <t>employment_start / employment_end</t>
        </is>
      </c>
      <c r="B93" s="10" t="inlineStr">
        <is>
          <t>Date</t>
        </is>
      </c>
      <c r="C93" s="10" t="inlineStr">
        <is>
          <t>No</t>
        </is>
      </c>
      <c r="D93" s="11" t="inlineStr">
        <is>
          <t>Bounds availability; blank end = open.</t>
        </is>
      </c>
      <c r="E93" s="10" t="inlineStr">
        <is>
          <t>REQ-PSN-04</t>
        </is>
      </c>
    </row>
    <row r="94">
      <c r="A94" s="8" t="inlineStr">
        <is>
          <t>note_1 .. note_5</t>
        </is>
      </c>
      <c r="B94" s="8" t="inlineStr">
        <is>
          <t>Text</t>
        </is>
      </c>
      <c r="C94" s="8" t="inlineStr">
        <is>
          <t>No</t>
        </is>
      </c>
      <c r="D94" s="9" t="inlineStr">
        <is>
          <t>Free extension columns.</t>
        </is>
      </c>
      <c r="E94" s="8" t="inlineStr">
        <is>
          <t>REQ-PSN-06</t>
        </is>
      </c>
    </row>
    <row r="96">
      <c r="A96" s="5" t="inlineStr">
        <is>
          <t>Sheet: Assignment</t>
        </is>
      </c>
    </row>
    <row r="97" ht="28" customHeight="1">
      <c r="A97" s="7" t="inlineStr">
        <is>
          <t>Column</t>
        </is>
      </c>
      <c r="B97" s="7" t="inlineStr">
        <is>
          <t>Type</t>
        </is>
      </c>
      <c r="C97" s="7" t="inlineStr">
        <is>
          <t>Required</t>
        </is>
      </c>
      <c r="D97" s="7" t="inlineStr">
        <is>
          <t>Definition / rule</t>
        </is>
      </c>
      <c r="E97" s="7" t="inlineStr">
        <is>
          <t>REQ-ID</t>
        </is>
      </c>
    </row>
    <row r="98">
      <c r="A98" s="8" t="inlineStr">
        <is>
          <t>assignment_id</t>
        </is>
      </c>
      <c r="B98" s="8" t="inlineStr">
        <is>
          <t>Text</t>
        </is>
      </c>
      <c r="C98" s="8" t="inlineStr">
        <is>
          <t>Yes</t>
        </is>
      </c>
      <c r="D98" s="9" t="inlineStr">
        <is>
          <t>Unique key. One row per person + project + role.</t>
        </is>
      </c>
      <c r="E98" s="8" t="inlineStr">
        <is>
          <t>REQ-PSN-07</t>
        </is>
      </c>
    </row>
    <row r="99">
      <c r="A99" s="10" t="inlineStr">
        <is>
          <t>person_id</t>
        </is>
      </c>
      <c r="B99" s="10" t="inlineStr">
        <is>
          <t>Text</t>
        </is>
      </c>
      <c r="C99" s="10" t="inlineStr">
        <is>
          <t>Yes</t>
        </is>
      </c>
      <c r="D99" s="11" t="inlineStr">
        <is>
          <t>Foreign key to Person.</t>
        </is>
      </c>
      <c r="E99" s="10" t="inlineStr">
        <is>
          <t>REQ-PSN-01</t>
        </is>
      </c>
    </row>
    <row r="100">
      <c r="A100" s="17" t="inlineStr">
        <is>
          <t>person_name</t>
        </is>
      </c>
      <c r="B100" s="17" t="inlineStr">
        <is>
          <t>Text</t>
        </is>
      </c>
      <c r="C100" s="17" t="inlineStr">
        <is>
          <t>No</t>
        </is>
      </c>
      <c r="D100" s="18" t="inlineStr">
        <is>
          <t>Display convenience added at v0.11. Not authoritative: checked against Person on import and refreshed from it.</t>
        </is>
      </c>
      <c r="E100" s="17" t="inlineStr">
        <is>
          <t>REQ-PSN-01</t>
        </is>
      </c>
    </row>
    <row r="101">
      <c r="A101" s="10" t="inlineStr">
        <is>
          <t>project_id</t>
        </is>
      </c>
      <c r="B101" s="10" t="inlineStr">
        <is>
          <t>Text</t>
        </is>
      </c>
      <c r="C101" s="10" t="inlineStr">
        <is>
          <t>Yes</t>
        </is>
      </c>
      <c r="D101" s="11" t="inlineStr">
        <is>
          <t>Foreign key to Project.</t>
        </is>
      </c>
      <c r="E101" s="10" t="inlineStr">
        <is>
          <t>REQ-PSN-02</t>
        </is>
      </c>
    </row>
    <row r="102">
      <c r="A102" s="20" t="inlineStr">
        <is>
          <t>role_name</t>
        </is>
      </c>
      <c r="B102" s="20" t="inlineStr">
        <is>
          <t>Text</t>
        </is>
      </c>
      <c r="C102" s="20" t="inlineStr">
        <is>
          <t>Yes</t>
        </is>
      </c>
      <c r="D102" s="19" t="inlineStr">
        <is>
          <t>Foreign key to RoleFactor, matched on (project's type, role_name); the phase and period are supplied by the project and the month being calculated. Several rows = several roles on one project.</t>
        </is>
      </c>
      <c r="E102" s="20" t="inlineStr">
        <is>
          <t>REQ-PSN-03</t>
        </is>
      </c>
    </row>
    <row r="103">
      <c r="A103" s="10" t="inlineStr">
        <is>
          <t>assign_start_date</t>
        </is>
      </c>
      <c r="B103" s="10" t="inlineStr">
        <is>
          <t>Date</t>
        </is>
      </c>
      <c r="C103" s="10" t="inlineStr">
        <is>
          <t>Yes</t>
        </is>
      </c>
      <c r="D103" s="11" t="inlineStr">
        <is>
          <t>Date the person joins the study.</t>
        </is>
      </c>
      <c r="E103" s="10" t="inlineStr">
        <is>
          <t>REQ-PSN-04</t>
        </is>
      </c>
    </row>
    <row r="104">
      <c r="A104" s="8" t="inlineStr">
        <is>
          <t>assign_end_date</t>
        </is>
      </c>
      <c r="B104" s="8" t="inlineStr">
        <is>
          <t>Date</t>
        </is>
      </c>
      <c r="C104" s="8" t="inlineStr">
        <is>
          <t>Yes</t>
        </is>
      </c>
      <c r="D104" s="9" t="inlineStr">
        <is>
          <t>Date the person leaves the study. Blank = runs to project end.</t>
        </is>
      </c>
      <c r="E104" s="8" t="inlineStr">
        <is>
          <t>REQ-PSN-04</t>
        </is>
      </c>
    </row>
    <row r="105">
      <c r="A105" s="20" t="inlineStr">
        <is>
          <t>person_weight</t>
        </is>
      </c>
      <c r="B105" s="20" t="inlineStr">
        <is>
          <t>Decimal</t>
        </is>
      </c>
      <c r="C105" s="20" t="inlineStr">
        <is>
          <t>Yes</t>
        </is>
      </c>
      <c r="D105" s="19" t="inlineStr">
        <is>
          <t>RENAMED from base_allocation. How much this person works on this project, e.g. 0.40. Q-01 folded the two former fields into this one.</t>
        </is>
      </c>
      <c r="E105" s="20" t="inlineStr">
        <is>
          <t>REQ-CAL-02</t>
        </is>
      </c>
    </row>
    <row r="106">
      <c r="A106" s="8" t="inlineStr">
        <is>
          <t>note_1 .. note_3</t>
        </is>
      </c>
      <c r="B106" s="8" t="inlineStr">
        <is>
          <t>Text</t>
        </is>
      </c>
      <c r="C106" s="8" t="inlineStr">
        <is>
          <t>No</t>
        </is>
      </c>
      <c r="D106" s="9" t="inlineStr">
        <is>
          <t>Free extension columns.</t>
        </is>
      </c>
      <c r="E106" s="8" t="inlineStr">
        <is>
          <t>REQ-PSN-06</t>
        </is>
      </c>
    </row>
    <row r="108">
      <c r="A108" s="5" t="inlineStr">
        <is>
          <t>Sheet: PersonPeriodWeight</t>
        </is>
      </c>
    </row>
    <row r="109" ht="28" customHeight="1">
      <c r="A109" s="7" t="inlineStr">
        <is>
          <t>Column</t>
        </is>
      </c>
      <c r="B109" s="7" t="inlineStr">
        <is>
          <t>Type</t>
        </is>
      </c>
      <c r="C109" s="7" t="inlineStr">
        <is>
          <t>Required</t>
        </is>
      </c>
      <c r="D109" s="7" t="inlineStr">
        <is>
          <t>Definition / rule</t>
        </is>
      </c>
      <c r="E109" s="7" t="inlineStr">
        <is>
          <t>REQ-ID</t>
        </is>
      </c>
    </row>
    <row r="110">
      <c r="A110" s="8" t="inlineStr">
        <is>
          <t>assignment_id</t>
        </is>
      </c>
      <c r="B110" s="8" t="inlineStr">
        <is>
          <t>Text</t>
        </is>
      </c>
      <c r="C110" s="8" t="inlineStr">
        <is>
          <t>Yes</t>
        </is>
      </c>
      <c r="D110" s="9" t="inlineStr">
        <is>
          <t>Foreign key to Assignment.</t>
        </is>
      </c>
      <c r="E110" s="8" t="inlineStr">
        <is>
          <t>REQ-PSN-05</t>
        </is>
      </c>
    </row>
    <row r="111">
      <c r="A111" s="10" t="inlineStr">
        <is>
          <t>period_start</t>
        </is>
      </c>
      <c r="B111" s="10" t="inlineStr">
        <is>
          <t>Date</t>
        </is>
      </c>
      <c r="C111" s="10" t="inlineStr">
        <is>
          <t>Yes</t>
        </is>
      </c>
      <c r="D111" s="11" t="inlineStr">
        <is>
          <t>Inclusive. Part of the key: one assignment may carry SEVERAL non-overlapping windows, so assignment_id alone does not identify a row.</t>
        </is>
      </c>
      <c r="E111" s="10" t="inlineStr">
        <is>
          <t>REQ-PSN-05</t>
        </is>
      </c>
    </row>
    <row r="112">
      <c r="A112" s="8" t="inlineStr">
        <is>
          <t>period_end</t>
        </is>
      </c>
      <c r="B112" s="8" t="inlineStr">
        <is>
          <t>Date</t>
        </is>
      </c>
      <c r="C112" s="8" t="inlineStr">
        <is>
          <t>Yes</t>
        </is>
      </c>
      <c r="D112" s="9" t="inlineStr">
        <is>
          <t>Inclusive. Periods within one assignment must not overlap.</t>
        </is>
      </c>
      <c r="E112" s="8" t="inlineStr">
        <is>
          <t>REQ-PSN-05</t>
        </is>
      </c>
    </row>
    <row r="113">
      <c r="A113" s="20" t="inlineStr">
        <is>
          <t>weight_override</t>
        </is>
      </c>
      <c r="B113" s="20" t="inlineStr">
        <is>
          <t>Decimal</t>
        </is>
      </c>
      <c r="C113" s="20" t="inlineStr">
        <is>
          <t>Yes</t>
        </is>
      </c>
      <c r="D113" s="19" t="inlineStr">
        <is>
          <t>REPLACES person_weight for months inside this window - it no longer multiplies it. Where no row covers a month, person_weight applies unchanged.</t>
        </is>
      </c>
      <c r="E113" s="20" t="inlineStr">
        <is>
          <t>REQ-PSN-05</t>
        </is>
      </c>
    </row>
    <row r="114">
      <c r="A114" s="8" t="inlineStr">
        <is>
          <t>reason</t>
        </is>
      </c>
      <c r="B114" s="8" t="inlineStr">
        <is>
          <t>Text</t>
        </is>
      </c>
      <c r="C114" s="8" t="inlineStr">
        <is>
          <t>No</t>
        </is>
      </c>
      <c r="D114" s="9" t="inlineStr">
        <is>
          <t>Why the weight differs, e.g. 'part-time', 'covering start-up peak'.</t>
        </is>
      </c>
      <c r="E114" s="8" t="inlineStr">
        <is>
          <t>REQ-PSN-05</t>
        </is>
      </c>
    </row>
    <row r="116">
      <c r="A116"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17">
      <c r="A117" s="5" t="inlineStr">
        <is>
          <t>Sheet: Config</t>
        </is>
      </c>
    </row>
    <row r="118" ht="28" customHeight="1">
      <c r="A118" s="7" t="inlineStr">
        <is>
          <t>parameter</t>
        </is>
      </c>
      <c r="B118" s="7" t="inlineStr">
        <is>
          <t>Meaning</t>
        </is>
      </c>
      <c r="C118" s="7" t="inlineStr">
        <is>
          <t>Default value</t>
        </is>
      </c>
      <c r="D118" s="7" t="inlineStr">
        <is>
          <t>REQ-ID</t>
        </is>
      </c>
    </row>
    <row r="119">
      <c r="A119" s="20" t="inlineStr">
        <is>
          <t>schema_version</t>
        </is>
      </c>
      <c r="B119" s="19" t="inlineStr">
        <is>
          <t>Version of this workbook structure; checked on import. Steps to 3 at v1.4, 4 at v1.7, 5 at v1.8.</t>
        </is>
      </c>
      <c r="C119" s="20" t="inlineStr">
        <is>
          <t>5</t>
        </is>
      </c>
      <c r="D119" s="20" t="inlineStr">
        <is>
          <t>REQ-VC-02</t>
        </is>
      </c>
    </row>
    <row r="120">
      <c r="A120" s="17" t="inlineStr">
        <is>
          <t>fte_hours_per_month</t>
        </is>
      </c>
      <c r="B120" s="18" t="inlineStr">
        <is>
          <t>Hours equal to 1.00 FTE.</t>
        </is>
      </c>
      <c r="C120" s="17" t="inlineStr">
        <is>
          <t>160</t>
        </is>
      </c>
      <c r="D120" s="17" t="inlineStr">
        <is>
          <t>REQ-CAL-08</t>
        </is>
      </c>
    </row>
    <row r="121">
      <c r="A121" s="17" t="inlineStr">
        <is>
          <t>over_allocation_fte</t>
        </is>
      </c>
      <c r="B121" s="18" t="inlineStr">
        <is>
          <t>Person-month total above this is over-allocated.</t>
        </is>
      </c>
      <c r="C121" s="17" t="inlineStr">
        <is>
          <t>1.50</t>
        </is>
      </c>
      <c r="D121" s="17" t="inlineStr">
        <is>
          <t>REQ-CAL-04</t>
        </is>
      </c>
    </row>
    <row r="122">
      <c r="A122" s="20" t="inlineStr">
        <is>
          <t>under_allocation_fte</t>
        </is>
      </c>
      <c r="B122" s="19" t="inlineStr">
        <is>
          <t>Person-month total below this counts toward an under-allocated run. Absolute, not scaled by capacity.</t>
        </is>
      </c>
      <c r="C122" s="20" t="inlineStr">
        <is>
          <t>0.60</t>
        </is>
      </c>
      <c r="D122" s="20" t="inlineStr">
        <is>
          <t>REQ-CAL-07</t>
        </is>
      </c>
    </row>
    <row r="123">
      <c r="A123" s="17" t="inlineStr">
        <is>
          <t>under_allocation_min_months</t>
        </is>
      </c>
      <c r="B123" s="18" t="inlineStr">
        <is>
          <t>Consecutive months below the threshold before flagging.</t>
        </is>
      </c>
      <c r="C123" s="17" t="inlineStr">
        <is>
          <t>3</t>
        </is>
      </c>
      <c r="D123" s="17" t="inlineStr">
        <is>
          <t>REQ-CAL-07</t>
        </is>
      </c>
    </row>
    <row r="124">
      <c r="A124" s="20" t="inlineStr">
        <is>
          <t>default_horizon_months</t>
        </is>
      </c>
      <c r="B124" s="19" t="inlineStr">
        <is>
          <t>Months shown on opening.</t>
        </is>
      </c>
      <c r="C124" s="20" t="inlineStr">
        <is>
          <t>24</t>
        </is>
      </c>
      <c r="D124" s="20" t="inlineStr">
        <is>
          <t>REQ-CAL-01</t>
        </is>
      </c>
    </row>
    <row r="125">
      <c r="A125" s="20" t="inlineStr">
        <is>
          <t>capacity_unit</t>
        </is>
      </c>
      <c r="B125" s="19" t="inlineStr">
        <is>
          <t>Display unit: 'FTE' or 'percent'.</t>
        </is>
      </c>
      <c r="C125" s="20" t="inlineStr">
        <is>
          <t>FTE</t>
        </is>
      </c>
      <c r="D125" s="20" t="inlineStr">
        <is>
          <t>REQ-CAL-08</t>
        </is>
      </c>
    </row>
    <row r="127">
      <c r="A127" s="5" t="inlineStr">
        <is>
          <t>Sheet: Lists   [new]</t>
        </is>
      </c>
    </row>
    <row r="128">
      <c r="A128" s="6" t="inlineStr">
        <is>
          <t>Two columns - list_name, value - holding every data-driven dropdown: outsourcing_type, clinical_phase,</t>
        </is>
      </c>
    </row>
    <row r="129">
      <c r="A129" s="6" t="inlineStr">
        <is>
          <t>milestone_name, period_name, EDC_system, DataReviewSystem, RBQM_system, setup_party, project_status.</t>
        </is>
      </c>
    </row>
    <row r="130">
      <c r="A130" s="6" t="inlineStr">
        <is>
          <t>Adding a permitted value is a data edit, never a code change (REQ-CAL-06). A third column, note_1,</t>
        </is>
      </c>
    </row>
    <row r="131">
      <c r="A131" s="6" t="inlineStr">
        <is>
          <t>carries free text about a value - when it was added, or what it means.</t>
        </is>
      </c>
    </row>
    <row r="133">
      <c r="A133" s="5" t="inlineStr">
        <is>
          <t>Referential rules checked on import</t>
        </is>
      </c>
    </row>
    <row r="134" ht="28" customHeight="1">
      <c r="A134" s="7" t="inlineStr">
        <is>
          <t>ID</t>
        </is>
      </c>
      <c r="B134" s="7" t="inlineStr">
        <is>
          <t>Rule</t>
        </is>
      </c>
      <c r="C134" s="7" t="inlineStr">
        <is>
          <t>On failure</t>
        </is>
      </c>
    </row>
    <row r="135">
      <c r="A135" s="8" t="inlineStr">
        <is>
          <t>V-01</t>
        </is>
      </c>
      <c r="B135" s="9" t="inlineStr">
        <is>
          <t>Every Assignment.project_id exists in Project.</t>
        </is>
      </c>
      <c r="C135" s="9" t="inlineStr">
        <is>
          <t>Error - row rejected, reported with its row number.</t>
        </is>
      </c>
    </row>
    <row r="136">
      <c r="A136" s="10" t="inlineStr">
        <is>
          <t>V-02</t>
        </is>
      </c>
      <c r="B136" s="11" t="inlineStr">
        <is>
          <t>Every Assignment.person_id exists in Person.</t>
        </is>
      </c>
      <c r="C136" s="11" t="inlineStr">
        <is>
          <t>Error - row rejected.</t>
        </is>
      </c>
    </row>
    <row r="137">
      <c r="A137" s="20" t="inlineStr">
        <is>
          <t>V-03</t>
        </is>
      </c>
      <c r="B137" s="19" t="inlineStr">
        <is>
          <t>Every Assignment.role_name appears in RoleFactor for that project's type.</t>
        </is>
      </c>
      <c r="C137" s="19" t="inlineStr">
        <is>
          <t>Error - row rejected. Was a warning in v0.1; roles are now type-specific, so a mismatch is a real error.</t>
        </is>
      </c>
    </row>
    <row r="138">
      <c r="A138" s="17" t="inlineStr">
        <is>
          <t>V-24</t>
        </is>
      </c>
      <c r="B138" s="18" t="inlineStr">
        <is>
          <t>Every PersonPeriodWeight.assignment_id exists in Assignment, and (assignment_id, period_start) is unique.</t>
        </is>
      </c>
      <c r="C138" s="18" t="inlineStr">
        <is>
          <t>Error - an override on an assignment that does not exist is silently ignored, so the weight the user typed never applies and nothing says so.</t>
        </is>
      </c>
    </row>
    <row r="139">
      <c r="A139" s="17" t="inlineStr">
        <is>
          <t>V-23</t>
        </is>
      </c>
      <c r="B139" s="18" t="inlineStr">
        <is>
          <t>For every (project_type, clinical_phase, period_name, role_name) an assignment can actually reach, a RoleFactor row exists.</t>
        </is>
      </c>
      <c r="C139" s="18" t="inlineStr">
        <is>
          <t>Error - a factor missing for ONE period of a project silently drops that stretch to 1.00, which is a wrong number rather than an obvious gap. Checked against the periods each assignment spans, not against the whole cross-product.</t>
        </is>
      </c>
    </row>
    <row r="140">
      <c r="A140" s="10" t="inlineStr">
        <is>
          <t>V-04</t>
        </is>
      </c>
      <c r="B140" s="11" t="inlineStr">
        <is>
          <t>project_category is present for either clinical trial type.</t>
        </is>
      </c>
      <c r="C140" s="11" t="inlineStr">
        <is>
          <t>Warning - shown as blank in the dashboard.</t>
        </is>
      </c>
    </row>
    <row r="141">
      <c r="A141" s="8" t="inlineStr">
        <is>
          <t>V-05</t>
        </is>
      </c>
      <c r="B141" s="9" t="inlineStr">
        <is>
          <t>end_date is on or after start_date, for projects, assignments and all weight periods.</t>
        </is>
      </c>
      <c r="C141" s="9" t="inlineStr">
        <is>
          <t>Error - row rejected.</t>
        </is>
      </c>
    </row>
    <row r="142">
      <c r="A142" s="20" t="inlineStr">
        <is>
          <t>V-06</t>
        </is>
      </c>
      <c r="B142" s="19" t="inlineStr">
        <is>
          <t>Periods within one project, and override windows within one assignment, do not overlap.</t>
        </is>
      </c>
      <c r="C142" s="19" t="inlineStr">
        <is>
          <t>Error - overlapping pair reported. The assignment half was specified from v1.0 but not implemented until R-12; an overlap there makes the applied weight depend on row order.</t>
        </is>
      </c>
    </row>
    <row r="143">
      <c r="A143" s="8" t="inlineStr">
        <is>
          <t>V-07</t>
        </is>
      </c>
      <c r="B143" s="9" t="inlineStr">
        <is>
          <t>Assignment dates fall inside the project's own start and end dates.</t>
        </is>
      </c>
      <c r="C143" s="9" t="inlineStr">
        <is>
          <t>Warning - kept, but listed for review.</t>
        </is>
      </c>
    </row>
    <row r="144">
      <c r="A144" s="10" t="inlineStr">
        <is>
          <t>V-08</t>
        </is>
      </c>
      <c r="B144" s="11" t="inlineStr">
        <is>
          <t>project_id, person_id and assignment_id are unique in their sheet.</t>
        </is>
      </c>
      <c r="C144" s="11" t="inlineStr">
        <is>
          <t>Error - duplicate rejected.</t>
        </is>
      </c>
    </row>
    <row r="145">
      <c r="A145" s="8" t="inlineStr">
        <is>
          <t>V-09</t>
        </is>
      </c>
      <c r="B145" s="9" t="inlineStr">
        <is>
          <t>schema_version in Config matches the version the application expects.</t>
        </is>
      </c>
      <c r="C145" s="9" t="inlineStr">
        <is>
          <t>Warning - proceeds, banner shown.</t>
        </is>
      </c>
    </row>
    <row r="146">
      <c r="A146" s="17" t="inlineStr">
        <is>
          <t>V-10</t>
        </is>
      </c>
      <c r="B146" s="18" t="inlineStr">
        <is>
          <t>Clinical-trial projects carry clinical_phase and the four *_setup values.</t>
        </is>
      </c>
      <c r="C146" s="18" t="inlineStr">
        <is>
          <t>Warning - the project still simulates; the gap is listed.</t>
        </is>
      </c>
    </row>
    <row r="147">
      <c r="A147" s="17" t="inlineStr">
        <is>
          <t>V-11</t>
        </is>
      </c>
      <c r="B147" s="18" t="inlineStr">
        <is>
          <t>Every list-typed value appears in the Lists sheet for its list.</t>
        </is>
      </c>
      <c r="C147" s="18" t="inlineStr">
        <is>
          <t>Warning - value kept, reported as unrecognised.</t>
        </is>
      </c>
    </row>
    <row r="148">
      <c r="A148" s="20" t="inlineStr">
        <is>
          <t>V-12</t>
        </is>
      </c>
      <c r="B148" s="19" t="inlineStr">
        <is>
          <t>A project's periods leave no gap and no overlap across its timeline. The full set need not be present - a period may be legitimately omitted (REQ-CAL-12).</t>
        </is>
      </c>
      <c r="C148" s="19" t="inlineStr">
        <is>
          <t>Warning - months with no period use weight 1.00 and are listed (REQ-CAL-10).</t>
        </is>
      </c>
    </row>
    <row r="149">
      <c r="A149" s="17" t="inlineStr">
        <is>
          <t>V-13</t>
        </is>
      </c>
      <c r="B149" s="18" t="inlineStr">
        <is>
          <t>Denormalised project_name / person_name match their master row.</t>
        </is>
      </c>
      <c r="C149" s="18" t="inlineStr">
        <is>
          <t>Warning - the master value wins and the copy is refreshed.</t>
        </is>
      </c>
    </row>
    <row r="150">
      <c r="A150" s="20" t="inlineStr">
        <is>
          <t>V-14</t>
        </is>
      </c>
      <c r="B150" s="19" t="inlineStr">
        <is>
          <t>A milestone date falls inside its project's start..end window, and the boundary milestones appear in chronological order. Repeated 'Inspection' rows are exempt from the uniqueness part of this check.</t>
        </is>
      </c>
      <c r="C150" s="19" t="inlineStr">
        <is>
          <t>Error for period-defining milestones - the derivation cannot run. Warning for markers.</t>
        </is>
      </c>
    </row>
    <row r="151">
      <c r="A151" s="17" t="inlineStr">
        <is>
          <t>V-15</t>
        </is>
      </c>
      <c r="B151" s="18" t="inlineStr">
        <is>
          <t>A period_name belongs to the period set of its project's type.</t>
        </is>
      </c>
      <c r="C151" s="18" t="inlineStr">
        <is>
          <t>Error - a 'Planning' period on a clinical trial is a category mistake, not a typo.</t>
        </is>
      </c>
    </row>
    <row r="152">
      <c r="A152" s="17" t="inlineStr">
        <is>
          <t>V-16</t>
        </is>
      </c>
      <c r="B152" s="18" t="inlineStr">
        <is>
          <t>A clinical trial carries the milestones the derivation needs: CTA submission, and at least one DB lock.</t>
        </is>
      </c>
      <c r="C152" s="18" t="inlineStr">
        <is>
          <t>Error - without them no period boundary can be computed.</t>
        </is>
      </c>
    </row>
    <row r="153">
      <c r="A153" s="20" t="inlineStr">
        <is>
          <t>V-18</t>
        </is>
      </c>
      <c r="B153" s="19" t="inlineStr">
        <is>
          <t>Within a project, period_name is unique, and period_seq is unique.</t>
        </is>
      </c>
      <c r="C153" s="19" t="inlineStr">
        <is>
          <t>Error - since R-11 the key is (project_id, period_name), so a repeated name is a duplicate key rather than a legitimate second stretch. period_seq stays unique because it carries the order.</t>
        </is>
      </c>
    </row>
    <row r="154">
      <c r="A154" s="20" t="inlineStr">
        <is>
          <t>V-19</t>
        </is>
      </c>
      <c r="B154" s="19" t="inlineStr">
        <is>
          <t>A clinical trial carries a clinical_phase, and PeriodWeightStandard has rows for that phase. Not applied to 'Others' projects, whose weights are entered directly.</t>
        </is>
      </c>
      <c r="C154" s="19" t="inlineStr">
        <is>
          <t>Error - since Q-26 the phase selects the weights, so a missing phase leaves the project unweighted.</t>
        </is>
      </c>
    </row>
    <row r="155">
      <c r="A155" s="17" t="inlineStr">
        <is>
          <t>V-20</t>
        </is>
      </c>
      <c r="B155" s="18" t="inlineStr">
        <is>
          <t>A milestone other than 'Inspection' appears at most once per project.</t>
        </is>
      </c>
      <c r="C155" s="18" t="inlineStr">
        <is>
          <t>Warning - repeats are allowed but usually a data-entry slip outside Inspection.</t>
        </is>
      </c>
    </row>
    <row r="156">
      <c r="A156" s="17" t="inlineStr">
        <is>
          <t>V-21</t>
        </is>
      </c>
      <c r="B156" s="18" t="inlineStr">
        <is>
          <t>'Inspection' dates on or before the final DB lock are treated as markers, not as the start of period 7.</t>
        </is>
      </c>
      <c r="C156" s="18" t="inlineStr">
        <is>
          <t>Information - listed so the reader can see why an early inspection did not open a period.</t>
        </is>
      </c>
    </row>
    <row r="157">
      <c r="A157" s="17" t="inlineStr">
        <is>
          <t>V-22</t>
        </is>
      </c>
      <c r="B157" s="18" t="inlineStr">
        <is>
          <t>No person carries a capacity_fte below the under-allocation floor.</t>
        </is>
      </c>
      <c r="C157" s="18" t="inlineStr">
        <is>
          <t>Warning - such a person can never clear the floor however fully they are booked, so the flag would be permanent and meaningless.</t>
        </is>
      </c>
    </row>
    <row r="158">
      <c r="A158" s="17" t="inlineStr">
        <is>
          <t>V-17</t>
        </is>
      </c>
      <c r="B158" s="18" t="inlineStr">
        <is>
          <t>On editing an identifier, every referencing row is updated; on deleting a row, nothing may still reference it.</t>
        </is>
      </c>
      <c r="C158" s="18" t="inlineStr">
        <is>
          <t>Cascade after confirmation / deletion refused (REQ-IMP-10).</t>
        </is>
      </c>
    </row>
    <row r="160">
      <c r="A160" s="16" t="inlineStr">
        <is>
          <t>Import never stops at the first problem: it collects every finding and presents one report (REQ-IMP-02). Under REQ-IMP-09 the same rules run again on any value edited on screen.</t>
        </is>
      </c>
    </row>
    <row r="161">
      <c r="A161" s="3" t="inlineStr">
        <is>
          <t>Legend</t>
        </is>
      </c>
    </row>
    <row r="162">
      <c r="A162" s="12" t="inlineStr">
        <is>
          <t>Green = new in v0.2, added from your review answers.</t>
        </is>
      </c>
    </row>
    <row r="163">
      <c r="A163" s="13" t="inlineStr">
        <is>
          <t>Orange = changed in v0.2 as a consequence of your review.</t>
        </is>
      </c>
    </row>
    <row r="164">
      <c r="A164"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20" t="inlineStr">
        <is>
          <t>Over-allocation flag</t>
        </is>
      </c>
      <c r="B30" s="19" t="inlineStr">
        <is>
          <t>Person-month total &gt; over_allocation_fte (1.50).</t>
        </is>
      </c>
      <c r="C30" s="19" t="inlineStr">
        <is>
          <t>Red cell + count in summary tiles</t>
        </is>
      </c>
      <c r="D30" s="20"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20" t="inlineStr">
        <is>
          <t>1</t>
        </is>
      </c>
      <c r="B44" s="20" t="inlineStr">
        <is>
          <t>Before-Start-up</t>
        </is>
      </c>
      <c r="C44" s="19" t="inlineStr">
        <is>
          <t>project start_date</t>
        </is>
      </c>
      <c r="D44" s="19" t="inlineStr">
        <is>
          <t>'Protocol (v1)' where recorded, otherwise the day before Start-up begins</t>
        </is>
      </c>
      <c r="E44" s="20" t="inlineStr">
        <is>
          <t>R-02</t>
        </is>
      </c>
    </row>
    <row r="45">
      <c r="A45" s="20" t="inlineStr">
        <is>
          <t>2</t>
        </is>
      </c>
      <c r="B45" s="20" t="inlineStr">
        <is>
          <t>Start-up</t>
        </is>
      </c>
      <c r="C45" s="19" t="inlineStr">
        <is>
          <t>day after 'Protocol (v1)' where recorded, otherwise one month before 'CTA submission'</t>
        </is>
      </c>
      <c r="D45" s="19" t="inlineStr">
        <is>
          <t>'First SIV' where recorded (or 'FPI'), otherwise start + 4 months - 1 day</t>
        </is>
      </c>
      <c r="E45" s="20" t="inlineStr">
        <is>
          <t>R-02</t>
        </is>
      </c>
    </row>
    <row r="46">
      <c r="A46" s="20" t="inlineStr">
        <is>
          <t>3</t>
        </is>
      </c>
      <c r="B46" s="20" t="inlineStr">
        <is>
          <t>Conduct (interim)</t>
        </is>
      </c>
      <c r="C46" s="19" t="inlineStr">
        <is>
          <t>day after Start-up ends</t>
        </is>
      </c>
      <c r="D46" s="19" t="inlineStr">
        <is>
          <t>day before Close-out (interim) begins</t>
        </is>
      </c>
      <c r="E46" s="20"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20" t="inlineStr">
        <is>
          <t>5</t>
        </is>
      </c>
      <c r="B48" s="20" t="inlineStr">
        <is>
          <t>Conduct (final)</t>
        </is>
      </c>
      <c r="C48" s="19" t="inlineStr">
        <is>
          <t>day after 'interim DB lock'</t>
        </is>
      </c>
      <c r="D48" s="19" t="inlineStr">
        <is>
          <t>day before Close-out (final) begins</t>
        </is>
      </c>
      <c r="E48" s="20" t="inlineStr">
        <is>
          <t>Q-23, R-11</t>
        </is>
      </c>
    </row>
    <row r="49">
      <c r="A49" s="20" t="inlineStr">
        <is>
          <t>6</t>
        </is>
      </c>
      <c r="B49" s="20" t="inlineStr">
        <is>
          <t>Close-out (final)</t>
        </is>
      </c>
      <c r="C49" s="19" t="inlineStr">
        <is>
          <t>3 months before 'final DB lock'</t>
        </is>
      </c>
      <c r="D49" s="19" t="inlineStr">
        <is>
          <t>day before period 7 begins; where there is no period 7, 'final DB lock' or project end_date if later</t>
        </is>
      </c>
      <c r="E49" s="20"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20" t="inlineStr">
        <is>
          <t>C-03</t>
        </is>
      </c>
      <c r="B95" s="19" t="inlineStr">
        <is>
          <t>A missing PersonPeriodWeight row means person_weight applies unchanged.</t>
        </is>
      </c>
      <c r="C95" s="19" t="inlineStr">
        <is>
          <t>Follows from the override semantics. No row is the normal case, not an exception.</t>
        </is>
      </c>
      <c r="D95" s="20" t="inlineStr">
        <is>
          <t>CONFIRMED</t>
        </is>
      </c>
    </row>
    <row r="96">
      <c r="A96" s="20" t="inlineStr">
        <is>
          <t>C-04</t>
        </is>
      </c>
      <c r="B96" s="19" t="inlineStr">
        <is>
          <t>Capacity is FTE. 1.00 FTE = 160 h/month.</t>
        </is>
      </c>
      <c r="C96" s="19" t="inlineStr">
        <is>
          <t>Confirmed at Q-08. Note the flag is NOT at 1.00 - over-allocation begins above 1.50.</t>
        </is>
      </c>
      <c r="D96" s="20" t="inlineStr">
        <is>
          <t>CONFIRMED</t>
        </is>
      </c>
    </row>
    <row r="97">
      <c r="A97" s="20" t="inlineStr">
        <is>
          <t>C-05</t>
        </is>
      </c>
      <c r="B97" s="19" t="inlineStr">
        <is>
          <t>The unit shown on screen is FTE, with hours available.</t>
        </is>
      </c>
      <c r="C97" s="19" t="inlineStr">
        <is>
          <t>Q-08 was expressed in FTE and hours, so FTE is now the default rather than percent.</t>
        </is>
      </c>
      <c r="D97" s="20"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20" t="inlineStr">
        <is>
          <t>Control bar</t>
        </is>
      </c>
      <c r="B6" s="19"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20"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20" t="inlineStr">
        <is>
          <t>Table B - resource by person</t>
        </is>
      </c>
      <c r="B8" s="19" t="inlineStr">
        <is>
          <t>Rows = person, columns = months, cells = FTE summed across projects. Over-allocated cells red, under-allocated runs amber. Expanding a person reveals their projects.</t>
        </is>
      </c>
      <c r="C8" s="20"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20" t="inlineStr">
        <is>
          <t>Graph 2 - grouped bar, by person</t>
        </is>
      </c>
      <c r="B10" s="19" t="inlineStr">
        <is>
          <t>Monthly FTE per person with reference lines at 1.50 and 0.80, so both thresholds are visible.</t>
        </is>
      </c>
      <c r="C10" s="20"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20" t="inlineStr">
        <is>
          <t>Summary tiles</t>
        </is>
      </c>
      <c r="B12" s="19" t="inlineStr">
        <is>
          <t>Active projects, people assigned, total FTE in the horizon, over-allocated person-months, under-allocated runs.</t>
        </is>
      </c>
      <c r="C12" s="20" t="inlineStr">
        <is>
          <t>REQ-DSH-08</t>
        </is>
      </c>
    </row>
    <row r="14">
      <c r="A14" s="5" t="inlineStr">
        <is>
          <t>Tab 2 - Source data (project)</t>
        </is>
      </c>
    </row>
    <row r="15" ht="28" customHeight="1">
      <c r="A15" s="7" t="inlineStr">
        <is>
          <t>Component</t>
        </is>
      </c>
      <c r="B15" s="7" t="inlineStr">
        <is>
          <t>Content</t>
        </is>
      </c>
      <c r="C15" s="7" t="inlineStr">
        <is>
          <t>REQ-ID</t>
        </is>
      </c>
    </row>
    <row r="16">
      <c r="A16" s="20" t="inlineStr">
        <is>
          <t>Project table</t>
        </is>
      </c>
      <c r="B16" s="19" t="inlineStr">
        <is>
          <t>Every Project column from sheet 04, sortable and filterable, with derived total period. Editable under REQ-IMP-07.</t>
        </is>
      </c>
      <c r="C16" s="20" t="inlineStr">
        <is>
          <t>REQ-DSH-03</t>
        </is>
      </c>
    </row>
    <row r="17">
      <c r="A17" s="10" t="inlineStr">
        <is>
          <t>Milestone sub-table</t>
        </is>
      </c>
      <c r="B17" s="11" t="inlineStr">
        <is>
          <t>Milestones of the selected project, in sequence.</t>
        </is>
      </c>
      <c r="C17" s="10" t="inlineStr">
        <is>
          <t>REQ-PRJ-05</t>
        </is>
      </c>
    </row>
    <row r="18">
      <c r="A18" s="20" t="inlineStr">
        <is>
          <t>Period sub-table</t>
        </is>
      </c>
      <c r="B18" s="19" t="inlineStr">
        <is>
          <t>The selected project's four periods, their derived dates and their weights.</t>
        </is>
      </c>
      <c r="C18" s="20"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20" t="inlineStr">
        <is>
          <t>Person table</t>
        </is>
      </c>
      <c r="B23" s="19" t="inlineStr">
        <is>
          <t>Every Person column from sheet 04, sortable and filterable. Editable under REQ-IMP-07.</t>
        </is>
      </c>
      <c r="C23" s="20" t="inlineStr">
        <is>
          <t>REQ-DSH-04</t>
        </is>
      </c>
    </row>
    <row r="24">
      <c r="A24" s="20" t="inlineStr">
        <is>
          <t>Assignment sub-table</t>
        </is>
      </c>
      <c r="B24" s="19" t="inlineStr">
        <is>
          <t>The selected person's assignments: project, role, start, end, person weight.</t>
        </is>
      </c>
      <c r="C24" s="20"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19" t="inlineStr">
        <is>
          <t>The v0.1 rule 'nothing on screen is editable' is withdrawn. Imported data can be edited in the application.</t>
        </is>
      </c>
      <c r="B30" s="20"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19" t="inlineStr">
        <is>
          <t>Every field is editable, identifiers included (Q-20). Consistency is protected by rule, not by locking fields.</t>
        </is>
      </c>
      <c r="B33" s="20"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6">
      <c r="A46" s="3" t="inlineStr">
        <is>
          <t>Legend</t>
        </is>
      </c>
    </row>
    <row r="47">
      <c r="A47" s="12" t="inlineStr">
        <is>
          <t>Green = new in v0.2, added from your review answers.</t>
        </is>
      </c>
    </row>
    <row r="48">
      <c r="A48" s="13" t="inlineStr">
        <is>
          <t>Orange = changed in v0.2 as a consequence of your review.</t>
        </is>
      </c>
    </row>
    <row r="49">
      <c r="A49"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20" t="inlineStr">
        <is>
          <t>5. Calculation layer</t>
        </is>
      </c>
      <c r="B28" s="19" t="inlineStr">
        <is>
          <t>The monthly engine above. Pure functions - no DOM, no file access.</t>
        </is>
      </c>
      <c r="C28" s="19" t="inlineStr">
        <is>
          <t>Directly unit-testable, and the piece most likely to be refined once you see real output.</t>
        </is>
      </c>
    </row>
    <row r="29">
      <c r="A29" s="20" t="inlineStr">
        <is>
          <t>6. Presentation layer</t>
        </is>
      </c>
      <c r="B29" s="19" t="inlineStr">
        <is>
          <t>Tabs, tables, graphs, filters, editing controls, export buttons.</t>
        </is>
      </c>
      <c r="C29" s="19"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19"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the plan as a baseline.</t>
        </is>
      </c>
      <c r="D29" s="9" t="inlineStr">
        <is>
          <t>Approval on 12_Review_Log</t>
        </is>
      </c>
      <c r="E29" s="8" t="inlineStr">
        <is>
          <t>Complete - APPROVED 2026-08-02</t>
        </is>
      </c>
    </row>
    <row r="30">
      <c r="A30" s="10" t="inlineStr">
        <is>
          <t>1</t>
        </is>
      </c>
      <c r="B30" s="10" t="inlineStr">
        <is>
          <t>G1d</t>
        </is>
      </c>
      <c r="C30" s="11" t="inlineStr">
        <is>
          <t>GATE 1 CLOSED - plan v2.0 approved by Dan, 2026-08-02, superseding v1.3.</t>
        </is>
      </c>
      <c r="D30" s="11" t="inlineStr">
        <is>
          <t>Approval recorded on 12_Review_Log</t>
        </is>
      </c>
      <c r="E30" s="10" t="inlineStr">
        <is>
          <t>Complete</t>
        </is>
      </c>
    </row>
    <row r="31">
      <c r="A31" s="8" t="inlineStr">
        <is>
          <t>1</t>
        </is>
      </c>
      <c r="B31" s="8" t="inlineStr">
        <is>
          <t>G1</t>
        </is>
      </c>
      <c r="C31" s="9" t="inlineStr">
        <is>
          <t>GATE 1 - development plan approved by Dan, 2026-08-01. Decisions C-06..C-11 confirmed.</t>
        </is>
      </c>
      <c r="D31" s="9" t="inlineStr">
        <is>
          <t>Approval recorded on 12_Review_Log</t>
        </is>
      </c>
      <c r="E31" s="8" t="inlineStr">
        <is>
          <t>Complete</t>
        </is>
      </c>
    </row>
    <row r="32">
      <c r="A32" s="10" t="inlineStr">
        <is>
          <t>2</t>
        </is>
      </c>
      <c r="B32" s="10" t="inlineStr">
        <is>
          <t>2.0</t>
        </is>
      </c>
      <c r="C32" s="11" t="inlineStr">
        <is>
          <t>Generate the source workbook template and a dummy data file for review.</t>
        </is>
      </c>
      <c r="D32" s="11" t="inlineStr">
        <is>
          <t>PRAP_SourceData_Template + _Dummy v1.1</t>
        </is>
      </c>
      <c r="E32" s="10" t="inlineStr">
        <is>
          <t>Complete - issued for review</t>
        </is>
      </c>
    </row>
    <row r="33">
      <c r="A33" s="8" t="inlineStr">
        <is>
          <t>2</t>
        </is>
      </c>
      <c r="B33" s="8" t="inlineStr">
        <is>
          <t>2.1</t>
        </is>
      </c>
      <c r="C33" s="9" t="inlineStr">
        <is>
          <t>Fix the source workbook schema: exact sheet names, column headers, types, value lists.</t>
        </is>
      </c>
      <c r="D33" s="9" t="inlineStr">
        <is>
          <t>Specification sheet 'Data schema'</t>
        </is>
      </c>
      <c r="E33" s="8" t="inlineStr">
        <is>
          <t>In progress</t>
        </is>
      </c>
    </row>
    <row r="34">
      <c r="A34" s="10" t="inlineStr">
        <is>
          <t>2</t>
        </is>
      </c>
      <c r="B34" s="10" t="inlineStr">
        <is>
          <t>2.2</t>
        </is>
      </c>
      <c r="C34" s="11" t="inlineStr">
        <is>
          <t>Specify the calculation engine as pseudocode plus the worked example as an acceptance test.</t>
        </is>
      </c>
      <c r="D34" s="11" t="inlineStr">
        <is>
          <t>Specification sheet 'Calculation'</t>
        </is>
      </c>
      <c r="E34" s="10" t="inlineStr">
        <is>
          <t>Not started</t>
        </is>
      </c>
    </row>
    <row r="35">
      <c r="A35" s="8" t="inlineStr">
        <is>
          <t>2</t>
        </is>
      </c>
      <c r="B35" s="8" t="inlineStr">
        <is>
          <t>2.3</t>
        </is>
      </c>
      <c r="C35" s="9" t="inlineStr">
        <is>
          <t>Specify period derivation per project type, and the over/under-allocation detection.</t>
        </is>
      </c>
      <c r="D35" s="9" t="inlineStr">
        <is>
          <t>Specification sheet 'Calculation'</t>
        </is>
      </c>
      <c r="E35" s="8" t="inlineStr">
        <is>
          <t>Not started</t>
        </is>
      </c>
    </row>
    <row r="36">
      <c r="A36" s="10" t="inlineStr">
        <is>
          <t>2</t>
        </is>
      </c>
      <c r="B36" s="10" t="inlineStr">
        <is>
          <t>2.4</t>
        </is>
      </c>
      <c r="C36" s="11" t="inlineStr">
        <is>
          <t>Specify import validation rules V-01..V-21 and the findings report.</t>
        </is>
      </c>
      <c r="D36" s="11" t="inlineStr">
        <is>
          <t>Specification sheet 'Validation'</t>
        </is>
      </c>
      <c r="E36" s="10" t="inlineStr">
        <is>
          <t>Not started</t>
        </is>
      </c>
    </row>
    <row r="37">
      <c r="A37" s="8" t="inlineStr">
        <is>
          <t>2</t>
        </is>
      </c>
      <c r="B37" s="8" t="inlineStr">
        <is>
          <t>2.5</t>
        </is>
      </c>
      <c r="C37" s="9" t="inlineStr">
        <is>
          <t>Specify each dashboard tab: every table, column, graph, filter and interaction.</t>
        </is>
      </c>
      <c r="D37" s="9" t="inlineStr">
        <is>
          <t>Specification sheet 'UI spec'</t>
        </is>
      </c>
      <c r="E37" s="8" t="inlineStr">
        <is>
          <t>Not started</t>
        </is>
      </c>
    </row>
    <row r="38">
      <c r="A38" s="10" t="inlineStr">
        <is>
          <t>2</t>
        </is>
      </c>
      <c r="B38" s="10" t="inlineStr">
        <is>
          <t>2.6</t>
        </is>
      </c>
      <c r="C38" s="11" t="inlineStr">
        <is>
          <t>Specify on-screen editing, the dirty-state model and export round-tripping.</t>
        </is>
      </c>
      <c r="D38" s="11" t="inlineStr">
        <is>
          <t>Specification sheet 'Editing &amp; IO'</t>
        </is>
      </c>
      <c r="E38" s="10" t="inlineStr">
        <is>
          <t>Not started</t>
        </is>
      </c>
    </row>
    <row r="39">
      <c r="A39" s="8" t="inlineStr">
        <is>
          <t>2</t>
        </is>
      </c>
      <c r="B39" s="8" t="inlineStr">
        <is>
          <t>2.7</t>
        </is>
      </c>
      <c r="C39" s="9" t="inlineStr">
        <is>
          <t>Specify the version/compatibility check.</t>
        </is>
      </c>
      <c r="D39" s="9" t="inlineStr">
        <is>
          <t>Specification sheet 'IO &amp; versioning'</t>
        </is>
      </c>
      <c r="E39" s="8" t="inlineStr">
        <is>
          <t>Not started</t>
        </is>
      </c>
    </row>
    <row r="40">
      <c r="A40" s="10" t="inlineStr">
        <is>
          <t>2</t>
        </is>
      </c>
      <c r="B40" s="10" t="inlineStr">
        <is>
          <t>2.8</t>
        </is>
      </c>
      <c r="C40" s="11" t="inlineStr">
        <is>
          <t>Build the requirement-to-specification traceability matrix.</t>
        </is>
      </c>
      <c r="D40" s="11" t="inlineStr">
        <is>
          <t>Specification sheet 'Traceability'</t>
        </is>
      </c>
      <c r="E40" s="10" t="inlineStr">
        <is>
          <t>Not started</t>
        </is>
      </c>
    </row>
    <row r="41">
      <c r="A41" s="8" t="inlineStr">
        <is>
          <t>2</t>
        </is>
      </c>
      <c r="B41" s="8" t="inlineStr">
        <is>
          <t>G2</t>
        </is>
      </c>
      <c r="C41" s="9" t="inlineStr">
        <is>
          <t>GATE 2 - programming specification approved.</t>
        </is>
      </c>
      <c r="D41" s="9" t="inlineStr">
        <is>
          <t>PRAP_Programming_Specification_v1.0.xlsx</t>
        </is>
      </c>
      <c r="E41" s="8" t="inlineStr">
        <is>
          <t>Not started</t>
        </is>
      </c>
    </row>
    <row r="42">
      <c r="A42" s="10" t="inlineStr">
        <is>
          <t>3</t>
        </is>
      </c>
      <c r="B42" s="10" t="inlineStr">
        <is>
          <t>3.1</t>
        </is>
      </c>
      <c r="C42" s="11" t="inlineStr">
        <is>
          <t>High-level UI design: tab structure, page regions, navigation. No code behind it.</t>
        </is>
      </c>
      <c r="D42" s="11" t="inlineStr">
        <is>
          <t>Prototype HTML (UI only)</t>
        </is>
      </c>
      <c r="E42" s="10" t="inlineStr">
        <is>
          <t>Not started</t>
        </is>
      </c>
    </row>
    <row r="43">
      <c r="A43" s="8" t="inlineStr">
        <is>
          <t>3</t>
        </is>
      </c>
      <c r="B43" s="8" t="inlineStr">
        <is>
          <t>3.2</t>
        </is>
      </c>
      <c r="C43" s="9" t="inlineStr">
        <is>
          <t>Requester reviews the high-level component design.</t>
        </is>
      </c>
      <c r="D43" s="9" t="inlineStr">
        <is>
          <t>Review comments</t>
        </is>
      </c>
      <c r="E43" s="8" t="inlineStr">
        <is>
          <t>Not started</t>
        </is>
      </c>
    </row>
    <row r="44">
      <c r="A44" s="10" t="inlineStr">
        <is>
          <t>3</t>
        </is>
      </c>
      <c r="B44" s="10" t="inlineStr">
        <is>
          <t>3.3</t>
        </is>
      </c>
      <c r="C44" s="11" t="inlineStr">
        <is>
          <t>Final UI design with clear per-component requirements.</t>
        </is>
      </c>
      <c r="D44" s="11" t="inlineStr">
        <is>
          <t>Prototype HTML v1.0 + component list</t>
        </is>
      </c>
      <c r="E44" s="10" t="inlineStr">
        <is>
          <t>Not started</t>
        </is>
      </c>
    </row>
    <row r="45">
      <c r="A45" s="8" t="inlineStr">
        <is>
          <t>3</t>
        </is>
      </c>
      <c r="B45" s="8" t="inlineStr">
        <is>
          <t>G3</t>
        </is>
      </c>
      <c r="C45" s="9" t="inlineStr">
        <is>
          <t>GATE 3 - final design and component list approved. Code generation starts only for approved components.</t>
        </is>
      </c>
      <c r="D45" s="9" t="inlineStr">
        <is>
          <t>Approved component list</t>
        </is>
      </c>
      <c r="E45" s="8" t="inlineStr">
        <is>
          <t>Not started</t>
        </is>
      </c>
    </row>
    <row r="46">
      <c r="A46" s="10" t="inlineStr">
        <is>
          <t>4</t>
        </is>
      </c>
      <c r="B46" s="10" t="inlineStr">
        <is>
          <t>4.1</t>
        </is>
      </c>
      <c r="C46" s="11" t="inlineStr">
        <is>
          <t>IO layer: workbook load, sheet/column mapping, export.</t>
        </is>
      </c>
      <c r="D46" s="11" t="inlineStr">
        <is>
          <t>app/PRAP.html</t>
        </is>
      </c>
      <c r="E46" s="10" t="inlineStr">
        <is>
          <t>Complete</t>
        </is>
      </c>
    </row>
    <row r="47">
      <c r="A47" s="8" t="inlineStr">
        <is>
          <t>4</t>
        </is>
      </c>
      <c r="B47" s="8" t="inlineStr">
        <is>
          <t>4.2</t>
        </is>
      </c>
      <c r="C47" s="9" t="inlineStr">
        <is>
          <t>Validation layer: rules V-00..V-24 and the findings report.</t>
        </is>
      </c>
      <c r="D47" s="9" t="inlineStr">
        <is>
          <t>app/PRAP.html</t>
        </is>
      </c>
      <c r="E47" s="8" t="inlineStr">
        <is>
          <t>Complete</t>
        </is>
      </c>
    </row>
    <row r="48">
      <c r="A48" s="10" t="inlineStr">
        <is>
          <t>4</t>
        </is>
      </c>
      <c r="B48" s="10" t="inlineStr">
        <is>
          <t>4.3</t>
        </is>
      </c>
      <c r="C48" s="11" t="inlineStr">
        <is>
          <t>Model layer, Lists and Config handling.</t>
        </is>
      </c>
      <c r="D48" s="11" t="inlineStr">
        <is>
          <t>app/PRAP.html</t>
        </is>
      </c>
      <c r="E48" s="10" t="inlineStr">
        <is>
          <t>Complete</t>
        </is>
      </c>
    </row>
    <row r="49">
      <c r="A49" s="8" t="inlineStr">
        <is>
          <t>4</t>
        </is>
      </c>
      <c r="B49" s="8" t="inlineStr">
        <is>
          <t>4.4</t>
        </is>
      </c>
      <c r="C49" s="9" t="inlineStr">
        <is>
          <t>Edit buffer: on-screen editing, dirty state, per-edit validation, cascading identifier edits, row insertion.</t>
        </is>
      </c>
      <c r="D49" s="9" t="inlineStr">
        <is>
          <t>app/PRAP.html</t>
        </is>
      </c>
      <c r="E49" s="8" t="inlineStr">
        <is>
          <t>Complete</t>
        </is>
      </c>
    </row>
    <row r="50">
      <c r="A50" s="10" t="inlineStr">
        <is>
          <t>4</t>
        </is>
      </c>
      <c r="B50" s="10" t="inlineStr">
        <is>
          <t>4.5</t>
        </is>
      </c>
      <c r="C50" s="11" t="inlineStr">
        <is>
          <t>Calculation engine, verified against the reference implementation.</t>
        </is>
      </c>
      <c r="D50" s="11" t="inlineStr">
        <is>
          <t>app/PRAP.html + test evidence</t>
        </is>
      </c>
      <c r="E50" s="10" t="inlineStr">
        <is>
          <t>Complete - EXACT MATCH on all 1,225 person-months of the dummy dataset</t>
        </is>
      </c>
    </row>
    <row r="51">
      <c r="A51" s="8" t="inlineStr">
        <is>
          <t>4</t>
        </is>
      </c>
      <c r="B51" s="8" t="inlineStr">
        <is>
          <t>4.6</t>
        </is>
      </c>
      <c r="C51" s="9" t="inlineStr">
        <is>
          <t>Overall tab: tables, graphs, filters, over/under-allocation flagging.</t>
        </is>
      </c>
      <c r="D51" s="9" t="inlineStr">
        <is>
          <t>app/PRAP.html</t>
        </is>
      </c>
      <c r="E51" s="8" t="inlineStr">
        <is>
          <t>Complete</t>
        </is>
      </c>
    </row>
    <row r="52">
      <c r="A52" s="10" t="inlineStr">
        <is>
          <t>4</t>
        </is>
      </c>
      <c r="B52" s="10" t="inlineStr">
        <is>
          <t>4.7</t>
        </is>
      </c>
      <c r="C52" s="11" t="inlineStr">
        <is>
          <t>Source data (project), Source data (person) and General assumptions tabs.</t>
        </is>
      </c>
      <c r="D52" s="11" t="inlineStr">
        <is>
          <t>app/PRAP.html</t>
        </is>
      </c>
      <c r="E52" s="10" t="inlineStr">
        <is>
          <t>Complete</t>
        </is>
      </c>
    </row>
    <row r="53">
      <c r="A53" s="8" t="inlineStr">
        <is>
          <t>4</t>
        </is>
      </c>
      <c r="B53" s="8" t="inlineStr">
        <is>
          <t>4.8</t>
        </is>
      </c>
      <c r="C53" s="9" t="inlineStr">
        <is>
          <t>Blank source workbook template with value lists and example rows.</t>
        </is>
      </c>
      <c r="D53" s="9" t="inlineStr">
        <is>
          <t>PRAP_SourceData_Template_v1.6.xlsx</t>
        </is>
      </c>
      <c r="E53" s="8" t="inlineStr">
        <is>
          <t>Complete</t>
        </is>
      </c>
    </row>
    <row r="54">
      <c r="A54" s="10" t="inlineStr">
        <is>
          <t>4</t>
        </is>
      </c>
      <c r="B54" s="10" t="inlineStr">
        <is>
          <t>4.9</t>
        </is>
      </c>
      <c r="C54" s="11" t="inlineStr">
        <is>
          <t>Requester reviews output against real data; refinements folded in.</t>
        </is>
      </c>
      <c r="D54" s="11" t="inlineStr">
        <is>
          <t>Updated code</t>
        </is>
      </c>
      <c r="E54" s="10" t="inlineStr">
        <is>
          <t>In progress - rounds 1-4 applied (app v1.4); GATE 4 open</t>
        </is>
      </c>
    </row>
    <row r="55">
      <c r="A55" s="8" t="inlineStr">
        <is>
          <t>4</t>
        </is>
      </c>
      <c r="B55" s="8" t="inlineStr">
        <is>
          <t>G4</t>
        </is>
      </c>
      <c r="C55" s="9" t="inlineStr">
        <is>
          <t>GATE 4 - application functionally complete.</t>
        </is>
      </c>
      <c r="D55" s="9" t="inlineStr">
        <is>
          <t>PRAP_Application_v0.9.html</t>
        </is>
      </c>
      <c r="E55" s="8" t="inlineStr">
        <is>
          <t>Not started</t>
        </is>
      </c>
    </row>
    <row r="56">
      <c r="A56" s="10" t="inlineStr">
        <is>
          <t>5</t>
        </is>
      </c>
      <c r="B56" s="10" t="inlineStr">
        <is>
          <t>5.1</t>
        </is>
      </c>
      <c r="C56" s="11" t="inlineStr">
        <is>
          <t>Full pass over the traceability matrix: every Must requirement demonstrated.</t>
        </is>
      </c>
      <c r="D56" s="11" t="inlineStr">
        <is>
          <t>Completed traceability matrix</t>
        </is>
      </c>
      <c r="E56" s="10" t="inlineStr">
        <is>
          <t>Not started</t>
        </is>
      </c>
    </row>
    <row r="57">
      <c r="A57" s="8" t="inlineStr">
        <is>
          <t>5</t>
        </is>
      </c>
      <c r="B57" s="8" t="inlineStr">
        <is>
          <t>5.2</t>
        </is>
      </c>
      <c r="C57" s="9" t="inlineStr">
        <is>
          <t>Test on a clean Windows PC in Edge and Chrome, offline.</t>
        </is>
      </c>
      <c r="D57" s="9" t="inlineStr">
        <is>
          <t>Test evidence</t>
        </is>
      </c>
      <c r="E57" s="8" t="inlineStr">
        <is>
          <t>Not started</t>
        </is>
      </c>
    </row>
    <row r="58">
      <c r="A58" s="10" t="inlineStr">
        <is>
          <t>5</t>
        </is>
      </c>
      <c r="B58" s="10" t="inlineStr">
        <is>
          <t>5.3</t>
        </is>
      </c>
      <c r="C58" s="11" t="inlineStr">
        <is>
          <t>Write the user guide: folder layout, how to load, how to maintain source data.</t>
        </is>
      </c>
      <c r="D58" s="11" t="inlineStr">
        <is>
          <t>User guide</t>
        </is>
      </c>
      <c r="E58" s="10" t="inlineStr">
        <is>
          <t>Not started</t>
        </is>
      </c>
    </row>
    <row r="59">
      <c r="A59" s="8" t="inlineStr">
        <is>
          <t>5</t>
        </is>
      </c>
      <c r="B59" s="8" t="inlineStr">
        <is>
          <t>5.4</t>
        </is>
      </c>
      <c r="C59" s="9" t="inlineStr">
        <is>
          <t>Final version alignment across plan, specification and application.</t>
        </is>
      </c>
      <c r="D59" s="9" t="inlineStr">
        <is>
          <t>Version alignment table (sheet 09)</t>
        </is>
      </c>
      <c r="E59" s="8" t="inlineStr">
        <is>
          <t>Not started</t>
        </is>
      </c>
    </row>
    <row r="60">
      <c r="A60" s="10" t="inlineStr">
        <is>
          <t>5</t>
        </is>
      </c>
      <c r="B60" s="10" t="inlineStr">
        <is>
          <t>G5</t>
        </is>
      </c>
      <c r="C60" s="11" t="inlineStr">
        <is>
          <t>GATE 5 - release.</t>
        </is>
      </c>
      <c r="D60" s="11" t="inlineStr">
        <is>
          <t>PRAP_Application_v1.0.html</t>
        </is>
      </c>
      <c r="E60" s="10" t="inlineStr">
        <is>
          <t>Not started</t>
        </is>
      </c>
    </row>
    <row r="62">
      <c r="A62" s="5" t="inlineStr">
        <is>
          <t>Progress</t>
        </is>
      </c>
    </row>
    <row r="63" ht="28" customHeight="1">
      <c r="A63" s="7" t="inlineStr">
        <is>
          <t>Measure</t>
        </is>
      </c>
      <c r="B63" s="7" t="inlineStr">
        <is>
          <t>Count</t>
        </is>
      </c>
    </row>
    <row r="64">
      <c r="A64" s="8" t="inlineStr">
        <is>
          <t>Tasks total</t>
        </is>
      </c>
      <c r="B64" s="8">
        <f>COUNTA(B5:B60)</f>
        <v/>
      </c>
    </row>
    <row r="65">
      <c r="A65" s="10" t="inlineStr">
        <is>
          <t>Complete</t>
        </is>
      </c>
      <c r="B65" s="10">
        <f>COUNTIF(E5:E60,"Complete")+COUNTIF(E5:E60,"Complete - issued for review")</f>
        <v/>
      </c>
    </row>
    <row r="66">
      <c r="A66" s="8" t="inlineStr">
        <is>
          <t>Awaiting the requester</t>
        </is>
      </c>
      <c r="B66" s="8">
        <f>COUNTIF(E5:E60,"Pending you")</f>
        <v/>
      </c>
    </row>
    <row r="67">
      <c r="A67" s="10" t="inlineStr">
        <is>
          <t>Not started</t>
        </is>
      </c>
      <c r="B67" s="10">
        <f>COUNTIF(E5:E60,"Not started")</f>
        <v/>
      </c>
    </row>
    <row r="69">
      <c r="A69" s="16" t="inlineStr">
        <is>
          <t>No duration estimates: the pace is set by review turnaround at each gate, not by build effort.</t>
        </is>
      </c>
    </row>
  </sheetData>
  <dataValidations count="1">
    <dataValidation sqref="E5:E6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52"/>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20" t="inlineStr">
        <is>
          <t>Source data template</t>
        </is>
      </c>
      <c r="B8" s="19" t="inlineStr">
        <is>
          <t>PRAP_SourceData_v&lt;ver&gt;.xlsx  (one workbook, was two)</t>
        </is>
      </c>
      <c r="C8" s="20" t="inlineStr">
        <is>
          <t>templates/</t>
        </is>
      </c>
      <c r="D8" s="19"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2026-08-02</t>
        </is>
      </c>
      <c r="F36" s="9" t="inlineStr">
        <is>
          <t>R-05..R-13. Superseded by v2.0.</t>
        </is>
      </c>
    </row>
    <row r="37">
      <c r="A37" s="10" t="inlineStr">
        <is>
          <t>v2.0</t>
        </is>
      </c>
      <c r="B37" s="10" t="inlineStr">
        <is>
          <t>v1.0</t>
        </is>
      </c>
      <c r="C37" s="10" t="inlineStr">
        <is>
          <t>prototype v0.8</t>
        </is>
      </c>
      <c r="D37" s="10" t="inlineStr">
        <is>
          <t>5</t>
        </is>
      </c>
      <c r="E37" s="10" t="inlineStr">
        <is>
          <t>2026-08-02</t>
        </is>
      </c>
      <c r="F37" s="11" t="inlineStr">
        <is>
          <t>APPROVED BASELINE. Steps 1-3 closed; Step 4 authorised.</t>
        </is>
      </c>
    </row>
    <row r="38">
      <c r="A38" s="8" t="inlineStr">
        <is>
          <t>v2.1</t>
        </is>
      </c>
      <c r="B38" s="8" t="inlineStr">
        <is>
          <t>v1.0</t>
        </is>
      </c>
      <c r="C38" s="8" t="inlineStr">
        <is>
          <t>application v1.0</t>
        </is>
      </c>
      <c r="D38" s="8" t="inlineStr">
        <is>
          <t>5</t>
        </is>
      </c>
      <c r="E38" s="8" t="inlineStr">
        <is>
          <t>2026-08-02</t>
        </is>
      </c>
      <c r="F38" s="9" t="inlineStr">
        <is>
          <t>Step 4 built: app/PRAP.html. Tasks 4.1-4.8 complete.</t>
        </is>
      </c>
    </row>
    <row r="39">
      <c r="A39" s="10" t="inlineStr">
        <is>
          <t>v2.2</t>
        </is>
      </c>
      <c r="B39" s="10" t="inlineStr">
        <is>
          <t>v1.0</t>
        </is>
      </c>
      <c r="C39" s="10" t="inlineStr">
        <is>
          <t>application v1.1</t>
        </is>
      </c>
      <c r="D39" s="10" t="inlineStr">
        <is>
          <t>5</t>
        </is>
      </c>
      <c r="E39" s="10" t="inlineStr">
        <is>
          <t>2026-08-02</t>
        </is>
      </c>
      <c r="F39" s="11" t="inlineStr">
        <is>
          <t>Gate 4 refinements round 1: three UI changes.</t>
        </is>
      </c>
    </row>
    <row r="40">
      <c r="A40" s="8" t="inlineStr">
        <is>
          <t>v2.3</t>
        </is>
      </c>
      <c r="B40" s="8" t="inlineStr">
        <is>
          <t>v1.0</t>
        </is>
      </c>
      <c r="C40" s="8" t="inlineStr">
        <is>
          <t>application v1.2</t>
        </is>
      </c>
      <c r="D40" s="8" t="inlineStr">
        <is>
          <t>5</t>
        </is>
      </c>
      <c r="E40" s="8" t="inlineStr">
        <is>
          <t>2026-08-02</t>
        </is>
      </c>
      <c r="F40" s="9" t="inlineStr">
        <is>
          <t>Gate 4 round 2: the application carries its own document provenance.</t>
        </is>
      </c>
    </row>
    <row r="41">
      <c r="A41" s="10" t="inlineStr">
        <is>
          <t>v2.4</t>
        </is>
      </c>
      <c r="B41" s="10" t="inlineStr">
        <is>
          <t>v1.0</t>
        </is>
      </c>
      <c r="C41" s="10" t="inlineStr">
        <is>
          <t>application v1.3</t>
        </is>
      </c>
      <c r="D41" s="10" t="inlineStr">
        <is>
          <t>5</t>
        </is>
      </c>
      <c r="E41" s="10" t="inlineStr">
        <is>
          <t>2026-08-02</t>
        </is>
      </c>
      <c r="F41" s="11" t="inlineStr">
        <is>
          <t>Gate 4 round 3: sticky headers, year axis, provisional editing.</t>
        </is>
      </c>
    </row>
    <row r="42">
      <c r="A42" s="8" t="inlineStr">
        <is>
          <t>v2.5</t>
        </is>
      </c>
      <c r="B42" s="8" t="inlineStr">
        <is>
          <t>v1.0</t>
        </is>
      </c>
      <c r="C42" s="8" t="inlineStr">
        <is>
          <t>application v1.4</t>
        </is>
      </c>
      <c r="D42" s="8" t="inlineStr">
        <is>
          <t>5</t>
        </is>
      </c>
      <c r="E42" s="8" t="inlineStr">
        <is>
          <t>2026-07-31</t>
        </is>
      </c>
      <c r="F42" s="9" t="inlineStr">
        <is>
          <t>Gate 4 round 4: information pop-ups and row deletion. 4.9 continues.</t>
        </is>
      </c>
    </row>
    <row r="43">
      <c r="A43" s="10" t="inlineStr"/>
      <c r="B43" s="10" t="inlineStr"/>
      <c r="C43" s="10" t="inlineStr"/>
      <c r="D43" s="10" t="inlineStr"/>
      <c r="E43" s="10" t="inlineStr"/>
      <c r="F43" s="11" t="inlineStr"/>
    </row>
    <row r="45">
      <c r="A45" s="16" t="inlineStr">
        <is>
          <t>One row per release. Answers 'which specification produced this .html, and which source template does it expect?'.</t>
        </is>
      </c>
    </row>
    <row r="46">
      <c r="A46" s="5" t="inlineStr">
        <is>
          <t>Repository rules</t>
        </is>
      </c>
    </row>
    <row r="47" ht="28" customHeight="1">
      <c r="A47" s="7" t="inlineStr">
        <is>
          <t>Rule</t>
        </is>
      </c>
    </row>
    <row r="48">
      <c r="A48" s="9" t="inlineStr">
        <is>
          <t>All work is committed to branch claude/project-resource-assignment-app-1vjdzh.</t>
        </is>
      </c>
    </row>
    <row r="49">
      <c r="A49" s="11" t="inlineStr">
        <is>
          <t>Documents are generated from scripts in tools/ so their content is reviewable as a text diff, not only as a binary.</t>
        </is>
      </c>
    </row>
    <row r="50">
      <c r="A50" s="9" t="inlineStr">
        <is>
          <t>One commit per meaningful change, with a message naming the step and the affected REQ-IDs.</t>
        </is>
      </c>
    </row>
    <row r="51">
      <c r="A51" s="11" t="inlineStr">
        <is>
          <t>A released version is tagged, so any release can be reproduced exactly.</t>
        </is>
      </c>
    </row>
    <row r="52">
      <c r="A52"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20" t="inlineStr">
        <is>
          <t>R-01</t>
        </is>
      </c>
      <c r="B5" s="19" t="inlineStr">
        <is>
          <t>The resource formula does not match how burden is actually judged, so output looks wrong.</t>
        </is>
      </c>
      <c r="C5" s="20" t="inlineStr">
        <is>
          <t>Medium</t>
        </is>
      </c>
      <c r="D5" s="20" t="inlineStr">
        <is>
          <t>High</t>
        </is>
      </c>
      <c r="E5" s="19"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20" t="inlineStr">
        <is>
          <t>R-03</t>
        </is>
      </c>
      <c r="B7" s="19" t="inlineStr">
        <is>
          <t>Corporate policy blocks local .html files or restricts the browser.</t>
        </is>
      </c>
      <c r="C7" s="20" t="inlineStr">
        <is>
          <t>-</t>
        </is>
      </c>
      <c r="D7" s="20" t="inlineStr">
        <is>
          <t>-</t>
        </is>
      </c>
      <c r="E7" s="19"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20" t="inlineStr">
        <is>
          <t>R-05</t>
        </is>
      </c>
      <c r="B9" s="19" t="inlineStr">
        <is>
          <t>Data volume grows beyond what a browser handles comfortably.</t>
        </is>
      </c>
      <c r="C9" s="20" t="inlineStr">
        <is>
          <t>Low</t>
        </is>
      </c>
      <c r="D9" s="20" t="inlineStr">
        <is>
          <t>Low</t>
        </is>
      </c>
      <c r="E9" s="19"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20" t="inlineStr">
        <is>
          <t>R-09</t>
        </is>
      </c>
      <c r="B13" s="19" t="inlineStr">
        <is>
          <t>Milestone-derived periods break for a project with missing or out-of-order milestones.</t>
        </is>
      </c>
      <c r="C13" s="20" t="inlineStr">
        <is>
          <t>Medium</t>
        </is>
      </c>
      <c r="D13" s="20" t="inlineStr">
        <is>
          <t>High</t>
        </is>
      </c>
      <c r="E13" s="19"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20" t="inlineStr">
        <is>
          <t>R-10</t>
        </is>
      </c>
      <c r="B14" s="19" t="inlineStr">
        <is>
          <t>The weight and role-factor values are unknown to the plan, so output cannot be checked against reality until they are entered.</t>
        </is>
      </c>
      <c r="C14" s="20" t="inlineStr">
        <is>
          <t>Medium</t>
        </is>
      </c>
      <c r="D14" s="20" t="inlineStr">
        <is>
          <t>Medium</t>
        </is>
      </c>
      <c r="E14" s="19"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20" t="inlineStr">
        <is>
          <t>R-11</t>
        </is>
      </c>
      <c r="B15" s="19" t="inlineStr">
        <is>
          <t>The period mapping leaves parts of a project with no period, so months silently carry a default weight.</t>
        </is>
      </c>
      <c r="C15" s="20" t="inlineStr">
        <is>
          <t>Low</t>
        </is>
      </c>
      <c r="D15" s="20" t="inlineStr">
        <is>
          <t>Medium</t>
        </is>
      </c>
      <c r="E15" s="19"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20" t="inlineStr">
        <is>
          <t>A-01</t>
        </is>
      </c>
      <c r="B20" s="19" t="inlineStr">
        <is>
          <t>Data volume is under 20 projects and 30 people.</t>
        </is>
      </c>
      <c r="C20" s="20" t="inlineStr">
        <is>
          <t>CONFIRMED Q-06</t>
        </is>
      </c>
    </row>
    <row r="21">
      <c r="A21" s="20" t="inlineStr">
        <is>
          <t>A-02</t>
        </is>
      </c>
      <c r="B21" s="19" t="inlineStr">
        <is>
          <t>One person's capacity is 1.00 FTE = 160 hours per month; part-timers carry a lower capacity_fte.</t>
        </is>
      </c>
      <c r="C21" s="20"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20" t="inlineStr">
        <is>
          <t>A-05</t>
        </is>
      </c>
      <c r="B24" s="19" t="inlineStr">
        <is>
          <t>Windows 10 or 11 with Edge or Chrome, and local .html files open.</t>
        </is>
      </c>
      <c r="C24" s="20" t="inlineStr">
        <is>
          <t>CONFIRMED Q-05</t>
        </is>
      </c>
    </row>
    <row r="25">
      <c r="A25" s="10" t="inlineStr">
        <is>
          <t>A-06</t>
        </is>
      </c>
      <c r="B25" s="11" t="inlineStr">
        <is>
          <t>Only one person maintains the workbook at a time - no concurrent editing to reconcile.</t>
        </is>
      </c>
      <c r="C25" s="10" t="inlineStr">
        <is>
          <t>Standing</t>
        </is>
      </c>
    </row>
    <row r="26">
      <c r="A26" s="20" t="inlineStr">
        <is>
          <t>A-07</t>
        </is>
      </c>
      <c r="B26" s="19" t="inlineStr">
        <is>
          <t>Milestone dates now DRIVE period boundaries (REQ-CAL-09); they are no longer merely informational.</t>
        </is>
      </c>
      <c r="C26" s="20" t="inlineStr">
        <is>
          <t>Changed by Q-01/Q-04</t>
        </is>
      </c>
    </row>
    <row r="27">
      <c r="A27" s="20" t="inlineStr">
        <is>
          <t>A-08</t>
        </is>
      </c>
      <c r="B27" s="19" t="inlineStr">
        <is>
          <t>Period sets are type-specific: seven names for either clinical trial type, three for 'Others'. No name repeats within a project.</t>
        </is>
      </c>
      <c r="C27" s="20" t="inlineStr">
        <is>
          <t>CONFIRMED Q-18, Q-23; revised at R-11</t>
        </is>
      </c>
    </row>
    <row r="28">
      <c r="A28" s="20" t="inlineStr">
        <is>
          <t>A-09</t>
        </is>
      </c>
      <c r="B28" s="19" t="inlineStr">
        <is>
          <t>A clinical trial's period weights are selected by its clinical phase.</t>
        </is>
      </c>
      <c r="C28" s="20" t="inlineStr">
        <is>
          <t>CONFIRMED Q-26</t>
        </is>
      </c>
    </row>
    <row r="29">
      <c r="A29" s="20" t="inlineStr">
        <is>
          <t>A-10</t>
        </is>
      </c>
      <c r="B29" s="19" t="inlineStr">
        <is>
          <t>'Others' projects have no milestone mapping, so their three periods are entered by hand.</t>
        </is>
      </c>
      <c r="C29" s="20"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3"/>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R-01</t>
        </is>
      </c>
      <c r="B47" s="8" t="inlineStr">
        <is>
          <t>Data model</t>
        </is>
      </c>
      <c r="C47" s="9" t="inlineStr">
        <is>
          <t>Add 'Inspection' as a standard milestone.</t>
        </is>
      </c>
      <c r="D47" s="9" t="inlineStr">
        <is>
          <t>Applied. Milestone list grows to ten. Unlike the others, 'Inspection' MAY REPEAT within one project, so REQ-PRJ-13 and V-20 were added and V-14's uniqueness check now exempts it.</t>
        </is>
      </c>
      <c r="E47" s="17" t="inlineStr">
        <is>
          <t>Applied</t>
        </is>
      </c>
    </row>
    <row r="48">
      <c r="A48" s="10" t="inlineStr">
        <is>
          <t>R-02</t>
        </is>
      </c>
      <c r="B48" s="10" t="inlineStr">
        <is>
          <t>Calculation</t>
        </is>
      </c>
      <c r="C48" s="11" t="inlineStr">
        <is>
          <t>Sheet 05 derivation edits: Before-Start-up ends at 'Protocol (v1)'; Start-up begins the day after it and ends at 'First SIV' (or 'FPI'); a seventh period 'After Close-out (final)' spans the Inspection dates.</t>
        </is>
      </c>
      <c r="D48" s="11" t="inlineStr">
        <is>
          <t>Applied. Clinical period set grows to six names; REQ-PRJ-12 and REQ-CAL-09 reworded; REQ-CAL-13 added for the milestone-beats-offset rule; 'FPI' restored to the milestone list as the First SIV fallback.</t>
        </is>
      </c>
      <c r="E48" s="17" t="inlineStr">
        <is>
          <t>Applied</t>
        </is>
      </c>
    </row>
    <row r="49">
      <c r="A49" s="8" t="inlineStr">
        <is>
          <t>R-03</t>
        </is>
      </c>
      <c r="B49" s="8" t="inlineStr">
        <is>
          <t>Calculation</t>
        </is>
      </c>
      <c r="C49" s="9" t="inlineStr">
        <is>
          <t>Not requested - found while applying R-02.</t>
        </is>
      </c>
      <c r="D49"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49" s="17" t="inlineStr">
        <is>
          <t>CONFIRMED</t>
        </is>
      </c>
    </row>
    <row r="50">
      <c r="A50" s="10" t="inlineStr">
        <is>
          <t>R-13</t>
        </is>
      </c>
      <c r="B50" s="10" t="inlineStr">
        <is>
          <t>UI</t>
        </is>
      </c>
      <c r="C50" s="11" t="inlineStr">
        <is>
          <t>Two requests at the component-list v0.7 review: highlight the interim and final DB lock milestones in red, and add a project utilisation graph to the 'Source data (project)' tab.</t>
        </is>
      </c>
      <c r="D50" s="11"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50" s="17" t="inlineStr">
        <is>
          <t>Applied</t>
        </is>
      </c>
    </row>
    <row r="51">
      <c r="A51" s="8" t="inlineStr">
        <is>
          <t>R-12</t>
        </is>
      </c>
      <c r="B51" s="8" t="inlineStr">
        <is>
          <t>Validation</t>
        </is>
      </c>
      <c r="C51" s="9" t="inlineStr">
        <is>
          <t>Raised as a question about the PersonPeriodWeight key - why is period_start needed when assignment_id looks unique?</t>
        </is>
      </c>
      <c r="D51" s="9"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51" s="17" t="inlineStr">
        <is>
          <t>Applied</t>
        </is>
      </c>
    </row>
    <row r="52">
      <c r="A52" s="10" t="inlineStr">
        <is>
          <t>R-11</t>
        </is>
      </c>
      <c r="B52" s="10" t="inlineStr">
        <is>
          <t>Data model</t>
        </is>
      </c>
      <c r="C52" s="11" t="inlineStr">
        <is>
          <t>Name the two conduct stretches apart - 'Conduct (interim)' before an interim DB lock, 'Conduct (final)' after it or where there is no interim lock - and key ProjectPeriod on (project_id, period_name).</t>
        </is>
      </c>
      <c r="D52" s="11"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52" s="17" t="inlineStr">
        <is>
          <t>Applied</t>
        </is>
      </c>
    </row>
    <row r="53">
      <c r="A53" s="8" t="inlineStr">
        <is>
          <t>R-10</t>
        </is>
      </c>
      <c r="B53" s="8" t="inlineStr">
        <is>
          <t>Data model</t>
        </is>
      </c>
      <c r="C53" s="9" t="inlineStr">
        <is>
          <t>The role factor must be given by role AND project type AND clinical phase AND period, not by role and type alone.</t>
        </is>
      </c>
      <c r="D53" s="9"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53" s="17" t="inlineStr">
        <is>
          <t>Applied</t>
        </is>
      </c>
    </row>
    <row r="54">
      <c r="A54" s="10" t="inlineStr">
        <is>
          <t>R-09</t>
        </is>
      </c>
      <c r="B54" s="10" t="inlineStr">
        <is>
          <t>UI</t>
        </is>
      </c>
      <c r="C54" s="11"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54" s="11"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54" s="17" t="inlineStr">
        <is>
          <t>Applied</t>
        </is>
      </c>
    </row>
    <row r="55">
      <c r="A55" s="8" t="inlineStr">
        <is>
          <t>R-08</t>
        </is>
      </c>
      <c r="B55" s="8" t="inlineStr">
        <is>
          <t>UI</t>
        </is>
      </c>
      <c r="C55" s="9" t="inlineStr">
        <is>
          <t>The two 'Conduct' stretches of a project must be distinguishable on screen (S2-04).</t>
        </is>
      </c>
      <c r="D55" s="9" t="inlineStr">
        <is>
          <t>Applied as REQ-DSH-10. A display rule, not a data change: period_name stays 'Conduct' in the workbook and the screen shows it with its sequence, 'Conduct (1)' and 'Conduct (2)'. Changing the stored name would have broken the weight lookup and V-15.</t>
        </is>
      </c>
      <c r="E55" s="17" t="inlineStr">
        <is>
          <t>Applied</t>
        </is>
      </c>
    </row>
    <row r="56">
      <c r="A56" s="10" t="inlineStr">
        <is>
          <t>R-07</t>
        </is>
      </c>
      <c r="B56" s="10" t="inlineStr">
        <is>
          <t>Calculation</t>
        </is>
      </c>
      <c r="C56" s="11" t="inlineStr">
        <is>
          <t>Thresholds stay ABSOLUTE, not relative to capacity_fte (S2-01), and the under-allocation floor moves to 0.60 FTE (S2-05).</t>
        </is>
      </c>
      <c r="D56" s="11"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56" s="17" t="inlineStr">
        <is>
          <t>Applied</t>
        </is>
      </c>
    </row>
    <row r="57">
      <c r="A57" s="8" t="inlineStr">
        <is>
          <t>R-06</t>
        </is>
      </c>
      <c r="B57" s="8" t="inlineStr">
        <is>
          <t>Non-functional</t>
        </is>
      </c>
      <c r="C57" s="9" t="inlineStr">
        <is>
          <t>Re-baseline REQ-NFR-03 to 100 projects and 1,000 people (S2-06).</t>
        </is>
      </c>
      <c r="D57" s="9" t="inlineStr">
        <is>
          <t>Applied, and it is the most consequential answer in this round. At that volume the person table is 1,000 rows x 60 months = 60,000 cells, and the per-person chart would be 1,000 bars at roughly 1.2px each. Neither survives a naive build, so virtualisation and aggregation become requirements (REQ-DSH-09) rather than optimisations. Priority raised from Should to Must.</t>
        </is>
      </c>
      <c r="E57" s="17" t="inlineStr">
        <is>
          <t>Applied</t>
        </is>
      </c>
    </row>
    <row r="58">
      <c r="A58" s="10" t="inlineStr">
        <is>
          <t>R-05</t>
        </is>
      </c>
      <c r="B58" s="10" t="inlineStr">
        <is>
          <t>Data model</t>
        </is>
      </c>
      <c r="C58" s="11" t="inlineStr">
        <is>
          <t>Split project_type: 'Clinical Trial' becomes 'NewDrug CT' and 'Biosimilar CT'; every clinical trial is one or the other.</t>
        </is>
      </c>
      <c r="D58" s="11"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58" s="17" t="inlineStr">
        <is>
          <t>Applied</t>
        </is>
      </c>
    </row>
    <row r="59">
      <c r="A59" s="8" t="inlineStr">
        <is>
          <t>R-04</t>
        </is>
      </c>
      <c r="B59" s="8" t="inlineStr">
        <is>
          <t>Data model</t>
        </is>
      </c>
      <c r="C59" s="9" t="inlineStr">
        <is>
          <t>Add at least one free-text note column to every sheet of the source workbook.</t>
        </is>
      </c>
      <c r="D59" s="9"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59" s="17" t="inlineStr">
        <is>
          <t>Applied</t>
        </is>
      </c>
    </row>
    <row r="61">
      <c r="A61" s="16" t="inlineStr">
        <is>
          <t>All four are settled. Nothing on this sheet is open, and the plan is final.</t>
        </is>
      </c>
    </row>
    <row r="63">
      <c r="A63"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v2.0</t>
        </is>
      </c>
      <c r="B63" s="22" t="inlineStr">
        <is>
          <t>Dan</t>
        </is>
      </c>
      <c r="C63" s="22" t="inlineStr">
        <is>
          <t>2026-08-02</t>
        </is>
      </c>
      <c r="D63" s="11" t="inlineStr">
        <is>
          <t>APPROVED - BASELINE. Development plan v2.0, programming specification v1.0 and UI component list v1.0 all approved together; Steps 1 to 3 are closed and Step 4, code generation, is authorised. This issue supersedes v1.3 as the baseline.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2026-08-02T14:10:38Z</dcterms:created>
  <dcterms:modified xsi:type="dcterms:W3CDTF">2026-08-02T14:10:38Z</dcterms:modified>
</cp:coreProperties>
</file>