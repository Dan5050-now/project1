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Objectives" sheetId="3" state="visible" r:id="rId3"/>
    <sheet name="Scope" sheetId="4" state="visible" r:id="rId4"/>
    <sheet name="Principles" sheetId="5" state="visible" r:id="rId5"/>
    <sheet name="Components" sheetId="6" state="visible" r:id="rId6"/>
    <sheet name="LLM_Policy" sheetId="7" state="visible" r:id="rId7"/>
    <sheet name="Data_Model" sheetId="8" state="visible" r:id="rId8"/>
    <sheet name="Review_Scope" sheetId="9" state="visible" r:id="rId9"/>
    <sheet name="Architecture" sheetId="10" state="visible" r:id="rId10"/>
    <sheet name="Web_App" sheetId="11" state="visible" r:id="rId11"/>
    <sheet name="Delivery_Steps" sheetId="12" state="visible" r:id="rId12"/>
    <sheet name="Requirements" sheetId="13" state="visible" r:id="rId13"/>
    <sheet name="Risks" sheetId="14" state="visible" r:id="rId14"/>
    <sheet name="Validation" sheetId="15" state="visible" r:id="rId15"/>
    <sheet name="Version_Control" sheetId="16" state="visible" r:id="rId16"/>
    <sheet name="Metrics" sheetId="17" state="visible" r:id="rId17"/>
    <sheet name="Recommendations" sheetId="18" state="visible" r:id="rId18"/>
    <sheet name="Open_Questions" sheetId="19" state="visible" r:id="rId19"/>
    <sheet name="Assumptions" sheetId="20" state="visible" r:id="rId20"/>
    <sheet name="Glossary" sheetId="21" state="visible" r:id="rId21"/>
    <sheet name="References" sheetId="22" state="visible" r:id="rId22"/>
  </sheets>
  <definedNames>
    <definedName name="_xlnm._FilterDatabase" localSheetId="2" hidden="1">'Objectives'!$A$2:$F$11</definedName>
    <definedName name="_xlnm._FilterDatabase" localSheetId="12" hidden="1">'Requirements'!$A$2:$G$37</definedName>
    <definedName name="_xlnm._FilterDatabase" localSheetId="13" hidden="1">'Risks'!$A$2:$I$16</definedName>
    <definedName name="_xlnm._FilterDatabase" localSheetId="17" hidden="1">'Recommendations'!$A$2:$F$12</definedName>
    <definedName name="_xlnm._FilterDatabase" localSheetId="18" hidden="1">'Open_Questions'!$A$3:$H$17</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414D47"/>
      <sz val="9"/>
    </font>
    <font>
      <name val="Arial"/>
      <b val="1"/>
      <color rgb="00FFFFFF"/>
      <sz val="8"/>
    </font>
    <font>
      <name val="Arial"/>
      <color rgb="0016201C"/>
      <sz val="9"/>
    </font>
    <font>
      <name val="Arial"/>
      <b val="1"/>
      <color rgb="001D4A3A"/>
      <sz val="13"/>
    </font>
    <font>
      <name val="Arial"/>
      <b val="1"/>
      <color rgb="00FFFFFF"/>
      <sz val="9"/>
    </font>
    <font>
      <name val="Arial"/>
      <b val="1"/>
      <color rgb="001D4A3A"/>
      <sz val="9"/>
    </font>
    <font>
      <name val="Arial"/>
      <b val="1"/>
      <color rgb="008C2F39"/>
      <sz val="9"/>
    </font>
    <font>
      <name val="Arial"/>
      <b val="1"/>
      <color rgb="00B06A1F"/>
      <sz val="9"/>
    </font>
    <font>
      <name val="Arial"/>
      <i val="1"/>
      <color rgb="006B7770"/>
      <sz val="9"/>
    </font>
    <font>
      <name val="Consolas"/>
      <color rgb="0016201C"/>
      <sz val="8.5"/>
    </font>
    <font>
      <name val="Arial"/>
      <b val="1"/>
      <color rgb="004A6B8A"/>
      <sz val="9"/>
    </font>
    <font>
      <name val="Arial"/>
      <color rgb="006B7770"/>
      <sz val="9"/>
    </font>
    <font>
      <name val="Arial"/>
      <b val="1"/>
      <color rgb="0016201C"/>
      <sz val="9"/>
    </font>
  </fonts>
  <fills count="6">
    <fill>
      <patternFill/>
    </fill>
    <fill>
      <patternFill patternType="gray125"/>
    </fill>
    <fill>
      <patternFill patternType="solid">
        <fgColor rgb="001D4A3A"/>
      </patternFill>
    </fill>
    <fill>
      <patternFill patternType="solid">
        <fgColor rgb="00FFF9D6"/>
      </patternFill>
    </fill>
    <fill>
      <patternFill patternType="solid">
        <fgColor rgb="00F6F7F5"/>
      </patternFill>
    </fill>
    <fill>
      <patternFill patternType="solid">
        <fgColor rgb="00E3EDE7"/>
      </patternFill>
    </fill>
  </fills>
  <borders count="2">
    <border>
      <left/>
      <right/>
      <top/>
      <bottom/>
      <diagonal/>
    </border>
    <border>
      <bottom style="thin">
        <color rgb="00D9DED8"/>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2" borderId="0" pivotButton="0" quotePrefix="0" xfId="0"/>
    <xf numFmtId="0" fontId="9" fillId="0" borderId="0" applyAlignment="1" pivotButton="0" quotePrefix="0" xfId="0">
      <alignment vertical="top" wrapText="1"/>
    </xf>
    <xf numFmtId="0" fontId="9" fillId="3" borderId="0" applyAlignment="1" pivotButton="0" quotePrefix="0" xfId="0">
      <alignment vertical="top" wrapText="1"/>
    </xf>
    <xf numFmtId="0" fontId="10" fillId="0" borderId="0" applyAlignment="1" pivotButton="0" quotePrefix="0" xfId="0">
      <alignment vertical="center"/>
    </xf>
    <xf numFmtId="0" fontId="11" fillId="2" borderId="0" applyAlignment="1" pivotButton="0" quotePrefix="0" xfId="0">
      <alignment vertical="center" wrapText="1"/>
    </xf>
    <xf numFmtId="0" fontId="12" fillId="0" borderId="1" pivotButton="0" quotePrefix="0" xfId="0"/>
    <xf numFmtId="0" fontId="9" fillId="0" borderId="1" applyAlignment="1" pivotButton="0" quotePrefix="0" xfId="0">
      <alignment vertical="top" wrapText="1"/>
    </xf>
    <xf numFmtId="0" fontId="0" fillId="0" borderId="1" pivotButton="0" quotePrefix="0" xfId="0"/>
    <xf numFmtId="0" fontId="18" fillId="0" borderId="1" applyAlignment="1" pivotButton="0" quotePrefix="0" xfId="0">
      <alignment horizontal="center"/>
    </xf>
    <xf numFmtId="0" fontId="9" fillId="0" borderId="1" applyAlignment="1" pivotButton="0" quotePrefix="0" xfId="0">
      <alignment horizontal="center"/>
    </xf>
    <xf numFmtId="9" fontId="19" fillId="0" borderId="1" applyAlignment="1" pivotButton="0" quotePrefix="0" xfId="0">
      <alignment horizontal="center"/>
    </xf>
    <xf numFmtId="0" fontId="12" fillId="0" borderId="0" pivotButton="0" quotePrefix="0" xfId="0"/>
    <xf numFmtId="0" fontId="12" fillId="5" borderId="0" applyAlignment="1" pivotButton="0" quotePrefix="0" xfId="0">
      <alignment horizontal="center"/>
    </xf>
    <xf numFmtId="9" fontId="6" fillId="5" borderId="0" applyAlignment="1" pivotButton="0" quotePrefix="0" xfId="0">
      <alignment horizontal="center"/>
    </xf>
    <xf numFmtId="0" fontId="12" fillId="0" borderId="1" applyAlignment="1" pivotButton="0" quotePrefix="0" xfId="0">
      <alignment vertical="top"/>
    </xf>
    <xf numFmtId="0" fontId="13" fillId="0" borderId="1" applyAlignment="1" pivotButton="0" quotePrefix="0" xfId="0">
      <alignment vertical="top"/>
    </xf>
    <xf numFmtId="0" fontId="9" fillId="3" borderId="1" applyAlignment="1" pivotButton="0" quotePrefix="0" xfId="0">
      <alignment vertical="top"/>
    </xf>
    <xf numFmtId="0" fontId="9" fillId="3" borderId="1" applyAlignment="1" pivotButton="0" quotePrefix="0" xfId="0">
      <alignment vertical="top" wrapText="1"/>
    </xf>
    <xf numFmtId="0" fontId="12" fillId="4" borderId="1" applyAlignment="1" pivotButton="0" quotePrefix="0" xfId="0">
      <alignment vertical="top"/>
    </xf>
    <xf numFmtId="0" fontId="9" fillId="4" borderId="1" applyAlignment="1" pivotButton="0" quotePrefix="0" xfId="0">
      <alignment vertical="top" wrapText="1"/>
    </xf>
    <xf numFmtId="0" fontId="13" fillId="4" borderId="1" applyAlignment="1" pivotButton="0" quotePrefix="0" xfId="0">
      <alignment vertical="top"/>
    </xf>
    <xf numFmtId="0" fontId="14" fillId="0" borderId="1" applyAlignment="1" pivotButton="0" quotePrefix="0" xfId="0">
      <alignment vertical="top"/>
    </xf>
    <xf numFmtId="0" fontId="14" fillId="4" borderId="1" applyAlignment="1" pivotButton="0" quotePrefix="0" xfId="0">
      <alignment vertical="top"/>
    </xf>
    <xf numFmtId="0" fontId="15" fillId="0" borderId="0" pivotButton="0" quotePrefix="0" xfId="0"/>
    <xf numFmtId="0" fontId="9" fillId="0" borderId="1" applyAlignment="1" pivotButton="0" quotePrefix="0" xfId="0">
      <alignment vertical="top"/>
    </xf>
    <xf numFmtId="0" fontId="9" fillId="4" borderId="1" applyAlignment="1" pivotButton="0" quotePrefix="0" xfId="0">
      <alignment vertical="top"/>
    </xf>
    <xf numFmtId="0" fontId="16" fillId="0" borderId="1" applyAlignment="1" pivotButton="0" quotePrefix="0" xfId="0">
      <alignment vertical="top" wrapText="1"/>
    </xf>
    <xf numFmtId="0" fontId="16" fillId="4" borderId="1" applyAlignment="1" pivotButton="0" quotePrefix="0" xfId="0">
      <alignment vertical="top" wrapText="1"/>
    </xf>
    <xf numFmtId="0" fontId="17" fillId="4" borderId="1" applyAlignment="1" pivotButton="0" quotePrefix="0" xfId="0">
      <alignment vertical="top"/>
    </xf>
    <xf numFmtId="0" fontId="17" fillId="0" borderId="1" applyAlignment="1" pivotButton="0" quotePrefix="0" xfId="0">
      <alignment vertical="top"/>
    </xf>
    <xf numFmtId="0" fontId="9" fillId="0" borderId="0" pivotButton="0" quotePrefix="0" xfId="0"/>
    <xf numFmtId="0" fontId="16" fillId="0" borderId="1" applyAlignment="1" pivotButton="0" quotePrefix="0" xfId="0">
      <alignment vertical="top"/>
    </xf>
    <xf numFmtId="0" fontId="16" fillId="4" borderId="1" applyAlignment="1" pivotButton="0" quotePrefix="0" xfId="0">
      <alignment vertical="top"/>
    </xf>
    <xf numFmtId="0" fontId="1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34" customWidth="1" min="2" max="2"/>
    <col width="16" customWidth="1" min="3" max="3"/>
    <col width="22" customWidth="1" min="4" max="4"/>
    <col width="46"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0.1.0</t>
        </is>
      </c>
    </row>
    <row r="9">
      <c r="A9" s="4" t="inlineStr">
        <is>
          <t>Status</t>
        </is>
      </c>
      <c r="B9" s="5" t="inlineStr">
        <is>
          <t>DRAFT — for review (Step 1 gate)</t>
        </is>
      </c>
    </row>
    <row r="10">
      <c r="A10" s="4" t="inlineStr">
        <is>
          <t>Issue date</t>
        </is>
      </c>
      <c r="B10" s="5" t="inlineStr">
        <is>
          <t>2026-08-10</t>
        </is>
      </c>
    </row>
    <row r="11">
      <c r="A11" s="4" t="inlineStr">
        <is>
          <t>Guidelines covered</t>
        </is>
      </c>
      <c r="B11" s="5" t="inlineStr">
        <is>
          <t>RECIST 1.0 / RECIST 1.1 / iRECIST</t>
        </is>
      </c>
    </row>
    <row r="12">
      <c r="A12" s="4" t="inlineStr">
        <is>
          <t>Review points</t>
        </is>
      </c>
      <c r="B12" s="5" t="inlineStr">
        <is>
          <t>84 across 7 families</t>
        </is>
      </c>
    </row>
    <row r="13">
      <c r="A13" s="4" t="inlineStr">
        <is>
          <t>Open questions</t>
        </is>
      </c>
      <c r="B13" s="5" t="inlineStr">
        <is>
          <t>14 awaiting decision</t>
        </is>
      </c>
    </row>
    <row r="14">
      <c r="A14" s="4" t="inlineStr">
        <is>
          <t>Child document</t>
        </is>
      </c>
      <c r="B14" s="5" t="inlineStr">
        <is>
          <t>TEA-SPEC-001 Programming Specification v0.1.0</t>
        </is>
      </c>
    </row>
    <row r="15">
      <c r="A15" s="4" t="inlineStr">
        <is>
          <t>Source of truth</t>
        </is>
      </c>
      <c r="B15" s="5" t="inlineStr">
        <is>
          <t>docs/plan/development-plan.xml (version controlled)</t>
        </is>
      </c>
    </row>
    <row r="16">
      <c r="A16" s="4" t="inlineStr">
        <is>
          <t>Approvals pending</t>
        </is>
      </c>
      <c r="B16" s="5" t="inlineStr">
        <is>
          <t>Business owner (CDM) · Medical Monitor · Quality/Validation · IT Security</t>
        </is>
      </c>
    </row>
    <row r="18">
      <c r="A18" s="6" t="inlineStr">
        <is>
          <t>HOW TO USE THIS WORKBOOK</t>
        </is>
      </c>
    </row>
    <row r="19" ht="26" customHeight="1">
      <c r="A19" s="7" t="inlineStr">
        <is>
          <t>•  Yellow cells are yours to complete. Every other cell is read-only content from the plan — please do not overwrite it.</t>
        </is>
      </c>
    </row>
    <row r="20" ht="26" customHeight="1">
      <c r="A20" s="7" t="inlineStr">
        <is>
          <t>•  Seven sheets carry a Decision / Reviewer / Comment block: Objectives, Review_Scope, Requirements, Risks, Metrics, Recommendations, Open_Questions.</t>
        </is>
      </c>
    </row>
    <row r="21" ht="26" customHeight="1">
      <c r="A21" s="7" t="inlineStr">
        <is>
          <t>•  Decision is a dropdown: Accept · Amend · Reject · Discuss. Use Amend or Reject with a comment saying what should change.</t>
        </is>
      </c>
    </row>
    <row r="22" ht="26" customHeight="1">
      <c r="A22" s="7" t="inlineStr">
        <is>
          <t>•  Open_Questions is the priority sheet — each question carries the working assumption the drafts currently rely on.</t>
        </is>
      </c>
    </row>
    <row r="23" ht="26" customHeight="1">
      <c r="A23" s="7" t="inlineStr">
        <is>
          <t>•  Contents tracks review progress automatically as decisions are entered.</t>
        </is>
      </c>
    </row>
    <row r="25">
      <c r="A25" s="4" t="inlineStr">
        <is>
          <t>Example of a completed decision</t>
        </is>
      </c>
    </row>
    <row r="26">
      <c r="A26" s="8" t="inlineStr">
        <is>
          <t>ID</t>
        </is>
      </c>
      <c r="B26" s="8" t="inlineStr">
        <is>
          <t>Item</t>
        </is>
      </c>
      <c r="C26" s="8" t="inlineStr">
        <is>
          <t>Decision</t>
        </is>
      </c>
      <c r="D26" s="8" t="inlineStr">
        <is>
          <t>Reviewer</t>
        </is>
      </c>
      <c r="E26" s="8" t="inlineStr">
        <is>
          <t>Comment</t>
        </is>
      </c>
    </row>
    <row r="27" ht="28" customHeight="1">
      <c r="A27" s="9" t="inlineStr">
        <is>
          <t>RSK-03</t>
        </is>
      </c>
      <c r="B27" s="9" t="inlineStr">
        <is>
          <t>False negatives: reviewers assume full coverage</t>
        </is>
      </c>
      <c r="C27" s="10" t="inlineStr">
        <is>
          <t>Amend</t>
        </is>
      </c>
      <c r="D27" s="10" t="inlineStr">
        <is>
          <t>J. Park (Med Monitor)</t>
        </is>
      </c>
      <c r="E27" s="10" t="inlineStr">
        <is>
          <t>Add a per-run coverage statement to the UI, not only to the report.</t>
        </is>
      </c>
    </row>
  </sheetData>
  <mergeCells count="16">
    <mergeCell ref="B12:F12"/>
    <mergeCell ref="B7:F7"/>
    <mergeCell ref="B16:F16"/>
    <mergeCell ref="A19:F19"/>
    <mergeCell ref="B15:F15"/>
    <mergeCell ref="B10:F10"/>
    <mergeCell ref="B11:F11"/>
    <mergeCell ref="A23:F23"/>
    <mergeCell ref="B14:F14"/>
    <mergeCell ref="A22:F22"/>
    <mergeCell ref="B8:F8"/>
    <mergeCell ref="A20:F20"/>
    <mergeCell ref="A4:F5"/>
    <mergeCell ref="A21:F21"/>
    <mergeCell ref="B9:F9"/>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2" topLeftCell="A3" activePane="bottomLeft" state="frozen"/>
      <selection pane="bottomLeft" activeCell="A1" sqref="A1"/>
    </sheetView>
  </sheetViews>
  <sheetFormatPr baseColWidth="8" defaultRowHeight="15"/>
  <cols>
    <col width="22" customWidth="1" min="1" max="1"/>
    <col width="56" customWidth="1" min="2" max="2"/>
    <col width="10" customWidth="1" min="3" max="3"/>
    <col width="18" customWidth="1" min="4" max="4"/>
    <col width="12" customWidth="1" min="5" max="5"/>
    <col width="13" customWidth="1" min="6" max="6"/>
  </cols>
  <sheetData>
    <row r="1" ht="26" customHeight="1">
      <c r="A1" s="11" t="inlineStr">
        <is>
          <t>Contents and review progress</t>
        </is>
      </c>
    </row>
    <row r="2" ht="30" customHeight="1">
      <c r="A2" s="12" t="inlineStr">
        <is>
          <t>Sheet</t>
        </is>
      </c>
      <c r="B2" s="12" t="inlineStr">
        <is>
          <t>Content</t>
        </is>
      </c>
      <c r="C2" s="12" t="inlineStr">
        <is>
          <t>Items</t>
        </is>
      </c>
      <c r="D2" s="12" t="inlineStr">
        <is>
          <t>Decisions required</t>
        </is>
      </c>
      <c r="E2" s="12" t="inlineStr">
        <is>
          <t>Recorded</t>
        </is>
      </c>
      <c r="F2" s="12" t="inlineStr">
        <is>
          <t>% complete</t>
        </is>
      </c>
    </row>
    <row r="3">
      <c r="A3" s="13" t="inlineStr">
        <is>
          <t>Cover</t>
        </is>
      </c>
      <c r="B3" s="14" t="inlineStr">
        <is>
          <t>Document control, legend and how to use this workbook</t>
        </is>
      </c>
      <c r="C3" s="15" t="n"/>
      <c r="D3" s="16" t="inlineStr">
        <is>
          <t>—</t>
        </is>
      </c>
      <c r="E3" s="15" t="n"/>
      <c r="F3" s="15" t="n"/>
    </row>
    <row r="4">
      <c r="A4" s="13" t="inlineStr">
        <is>
          <t>Objectives</t>
        </is>
      </c>
      <c r="B4" s="14" t="inlineStr">
        <is>
          <t>9 objectives with priority</t>
        </is>
      </c>
      <c r="C4" s="17">
        <f>COUNTA(Objectives!A3:A200)</f>
        <v/>
      </c>
      <c r="D4" s="17">
        <f>COUNTA(Objectives!A3:A11)</f>
        <v/>
      </c>
      <c r="E4" s="17">
        <f>COUNTA(Objectives!D3:D11)</f>
        <v/>
      </c>
      <c r="F4" s="18">
        <f>IFERROR(E4/D4,0)</f>
        <v/>
      </c>
    </row>
    <row r="5">
      <c r="A5" s="13" t="inlineStr">
        <is>
          <t>Scope</t>
        </is>
      </c>
      <c r="B5" s="14" t="inlineStr">
        <is>
          <t>In-scope and out-of-scope boundaries</t>
        </is>
      </c>
      <c r="C5" s="17">
        <f>COUNTA(Scope!A3:A200)</f>
        <v/>
      </c>
      <c r="D5" s="16" t="inlineStr">
        <is>
          <t>—</t>
        </is>
      </c>
      <c r="E5" s="15" t="n"/>
      <c r="F5" s="15" t="n"/>
    </row>
    <row r="6">
      <c r="A6" s="13" t="inlineStr">
        <is>
          <t>Principles</t>
        </is>
      </c>
      <c r="B6" s="14" t="inlineStr">
        <is>
          <t>8 design principles</t>
        </is>
      </c>
      <c r="C6" s="17">
        <f>COUNTA(Principles!A3:A200)</f>
        <v/>
      </c>
      <c r="D6" s="16" t="inlineStr">
        <is>
          <t>—</t>
        </is>
      </c>
      <c r="E6" s="15" t="n"/>
      <c r="F6" s="15" t="n"/>
    </row>
    <row r="7">
      <c r="A7" s="13" t="inlineStr">
        <is>
          <t>Components</t>
        </is>
      </c>
      <c r="B7" s="14" t="inlineStr">
        <is>
          <t>10 pipeline components and their mode</t>
        </is>
      </c>
      <c r="C7" s="17">
        <f>COUNTA(Components!A4:A200)</f>
        <v/>
      </c>
      <c r="D7" s="16" t="inlineStr">
        <is>
          <t>—</t>
        </is>
      </c>
      <c r="E7" s="15" t="n"/>
      <c r="F7" s="15" t="n"/>
    </row>
    <row r="8">
      <c r="A8" s="13" t="inlineStr">
        <is>
          <t>LLM_Policy</t>
        </is>
      </c>
      <c r="B8" s="14" t="inlineStr">
        <is>
          <t>Permitted and forbidden LLM tasks; provider adapters</t>
        </is>
      </c>
      <c r="C8" s="15" t="n"/>
      <c r="D8" s="16" t="inlineStr">
        <is>
          <t>—</t>
        </is>
      </c>
      <c r="E8" s="15" t="n"/>
      <c r="F8" s="15" t="n"/>
    </row>
    <row r="9">
      <c r="A9" s="13" t="inlineStr">
        <is>
          <t>Data_Model</t>
        </is>
      </c>
      <c r="B9" s="14" t="inlineStr">
        <is>
          <t>12 canonical entities and SDTM source mappings</t>
        </is>
      </c>
      <c r="C9" s="15" t="n"/>
      <c r="D9" s="16" t="inlineStr">
        <is>
          <t>—</t>
        </is>
      </c>
      <c r="E9" s="15" t="n"/>
      <c r="F9" s="15" t="n"/>
    </row>
    <row r="10">
      <c r="A10" s="13" t="inlineStr">
        <is>
          <t>Review_Scope</t>
        </is>
      </c>
      <c r="B10" s="14" t="inlineStr">
        <is>
          <t>7 rule families, 84 review points</t>
        </is>
      </c>
      <c r="C10" s="17">
        <f>SUM(Review_Scope!C4:C10)</f>
        <v/>
      </c>
      <c r="D10" s="17">
        <f>COUNTA(Review_Scope!A4:A10)</f>
        <v/>
      </c>
      <c r="E10" s="17">
        <f>COUNTA(Review_Scope!F4:F10)</f>
        <v/>
      </c>
      <c r="F10" s="18">
        <f>IFERROR(E10/D10,0)</f>
        <v/>
      </c>
    </row>
    <row r="11">
      <c r="A11" s="13" t="inlineStr">
        <is>
          <t>Architecture</t>
        </is>
      </c>
      <c r="B11" s="14" t="inlineStr">
        <is>
          <t>Layers, technology proposal, deployment modes</t>
        </is>
      </c>
      <c r="C11" s="15" t="n"/>
      <c r="D11" s="16" t="inlineStr">
        <is>
          <t>—</t>
        </is>
      </c>
      <c r="E11" s="15" t="n"/>
      <c r="F11" s="15" t="n"/>
    </row>
    <row r="12">
      <c r="A12" s="13" t="inlineStr">
        <is>
          <t>Web_App</t>
        </is>
      </c>
      <c r="B12" s="14" t="inlineStr">
        <is>
          <t>7 planned screens and interaction patterns</t>
        </is>
      </c>
      <c r="C12" s="17">
        <f>COUNTA(Web_App!A4:A10)</f>
        <v/>
      </c>
      <c r="D12" s="16" t="inlineStr">
        <is>
          <t>—</t>
        </is>
      </c>
      <c r="E12" s="15" t="n"/>
      <c r="F12" s="15" t="n"/>
    </row>
    <row r="13">
      <c r="A13" s="13" t="inlineStr">
        <is>
          <t>Delivery_Steps</t>
        </is>
      </c>
      <c r="B13" s="14" t="inlineStr">
        <is>
          <t>6 steps with entry and exit criteria</t>
        </is>
      </c>
      <c r="C13" s="17">
        <f>COUNTA(Delivery_Steps!A3:A200)</f>
        <v/>
      </c>
      <c r="D13" s="16" t="inlineStr">
        <is>
          <t>—</t>
        </is>
      </c>
      <c r="E13" s="15" t="n"/>
      <c r="F13" s="15" t="n"/>
    </row>
    <row r="14">
      <c r="A14" s="13" t="inlineStr">
        <is>
          <t>Requirements</t>
        </is>
      </c>
      <c r="B14" s="14" t="inlineStr">
        <is>
          <t>17 functional, 11 non-functional, 7 regulatory</t>
        </is>
      </c>
      <c r="C14" s="17">
        <f>COUNTA(Requirements!A3:A200)</f>
        <v/>
      </c>
      <c r="D14" s="17">
        <f>COUNTA(Requirements!A3:A37)</f>
        <v/>
      </c>
      <c r="E14" s="17">
        <f>COUNTA(Requirements!F3:F37)</f>
        <v/>
      </c>
      <c r="F14" s="18">
        <f>IFERROR(E14/D14,0)</f>
        <v/>
      </c>
    </row>
    <row r="15">
      <c r="A15" s="13" t="inlineStr">
        <is>
          <t>Risks</t>
        </is>
      </c>
      <c r="B15" s="14" t="inlineStr">
        <is>
          <t>14 risks with mitigation and residual rating</t>
        </is>
      </c>
      <c r="C15" s="17">
        <f>COUNTA(Risks!A3:A200)</f>
        <v/>
      </c>
      <c r="D15" s="17">
        <f>COUNTA(Risks!A3:A16)</f>
        <v/>
      </c>
      <c r="E15" s="17">
        <f>COUNTA(Risks!H3:H16)</f>
        <v/>
      </c>
      <c r="F15" s="18">
        <f>IFERROR(E15/D15,0)</f>
        <v/>
      </c>
    </row>
    <row r="16">
      <c r="A16" s="13" t="inlineStr">
        <is>
          <t>Validation</t>
        </is>
      </c>
      <c r="B16" s="14" t="inlineStr">
        <is>
          <t>Validation activities and reference frameworks</t>
        </is>
      </c>
      <c r="C16" s="15" t="n"/>
      <c r="D16" s="16" t="inlineStr">
        <is>
          <t>—</t>
        </is>
      </c>
      <c r="E16" s="15" t="n"/>
      <c r="F16" s="15" t="n"/>
    </row>
    <row r="17">
      <c r="A17" s="13" t="inlineStr">
        <is>
          <t>Version_Control</t>
        </is>
      </c>
      <c r="B17" s="14" t="inlineStr">
        <is>
          <t>Versioned artifacts and change control</t>
        </is>
      </c>
      <c r="C17" s="15" t="n"/>
      <c r="D17" s="16" t="inlineStr">
        <is>
          <t>—</t>
        </is>
      </c>
      <c r="E17" s="15" t="n"/>
      <c r="F17" s="15" t="n"/>
    </row>
    <row r="18">
      <c r="A18" s="13" t="inlineStr">
        <is>
          <t>Metrics</t>
        </is>
      </c>
      <c r="B18" s="14" t="inlineStr">
        <is>
          <t>6 quality metrics with proposed targets</t>
        </is>
      </c>
      <c r="C18" s="17">
        <f>COUNTA(Metrics!A4:A200)</f>
        <v/>
      </c>
      <c r="D18" s="17">
        <f>COUNTA(Metrics!A4:A9)</f>
        <v/>
      </c>
      <c r="E18" s="17">
        <f>COUNTA(Metrics!D4:D9)</f>
        <v/>
      </c>
      <c r="F18" s="18">
        <f>IFERROR(E18/D18,0)</f>
        <v/>
      </c>
    </row>
    <row r="19">
      <c r="A19" s="13" t="inlineStr">
        <is>
          <t>Recommendations</t>
        </is>
      </c>
      <c r="B19" s="14" t="inlineStr">
        <is>
          <t>10 recommendations</t>
        </is>
      </c>
      <c r="C19" s="17">
        <f>COUNTA(Recommendations!A3:A200)</f>
        <v/>
      </c>
      <c r="D19" s="17">
        <f>COUNTA(Recommendations!A3:A12)</f>
        <v/>
      </c>
      <c r="E19" s="17">
        <f>COUNTA(Recommendations!D3:D12)</f>
        <v/>
      </c>
      <c r="F19" s="18">
        <f>IFERROR(E19/D19,0)</f>
        <v/>
      </c>
    </row>
    <row r="20">
      <c r="A20" s="13" t="inlineStr">
        <is>
          <t>Open_Questions</t>
        </is>
      </c>
      <c r="B20" s="14" t="inlineStr">
        <is>
          <t>14 open questions — priority sheet for this review</t>
        </is>
      </c>
      <c r="C20" s="17">
        <f>COUNTA(Open_Questions!A4:A200)</f>
        <v/>
      </c>
      <c r="D20" s="17">
        <f>COUNTA(Open_Questions!A4:A17)</f>
        <v/>
      </c>
      <c r="E20" s="17">
        <f>COUNTA(Open_Questions!G4:G17)</f>
        <v/>
      </c>
      <c r="F20" s="18">
        <f>IFERROR(E20/D20,0)</f>
        <v/>
      </c>
    </row>
    <row r="21">
      <c r="A21" s="13" t="inlineStr">
        <is>
          <t>Assumptions</t>
        </is>
      </c>
      <c r="B21" s="14" t="inlineStr">
        <is>
          <t>5 stated assumptions</t>
        </is>
      </c>
      <c r="C21" s="17">
        <f>COUNTA(Assumptions!A3:A200)</f>
        <v/>
      </c>
      <c r="D21" s="16" t="inlineStr">
        <is>
          <t>—</t>
        </is>
      </c>
      <c r="E21" s="15" t="n"/>
      <c r="F21" s="15" t="n"/>
    </row>
    <row r="22">
      <c r="A22" s="13" t="inlineStr">
        <is>
          <t>Glossary</t>
        </is>
      </c>
      <c r="B22" s="14" t="inlineStr">
        <is>
          <t>9 terms</t>
        </is>
      </c>
      <c r="C22" s="17">
        <f>COUNTA(Glossary!A3:A200)</f>
        <v/>
      </c>
      <c r="D22" s="16" t="inlineStr">
        <is>
          <t>—</t>
        </is>
      </c>
      <c r="E22" s="15" t="n"/>
      <c r="F22" s="15" t="n"/>
    </row>
    <row r="23">
      <c r="A23" s="13" t="inlineStr">
        <is>
          <t>References</t>
        </is>
      </c>
      <c r="B23" s="14" t="inlineStr">
        <is>
          <t>8 source references</t>
        </is>
      </c>
      <c r="C23" s="17">
        <f>COUNTA(References!A3:A200)</f>
        <v/>
      </c>
      <c r="D23" s="16" t="inlineStr">
        <is>
          <t>—</t>
        </is>
      </c>
      <c r="E23" s="15" t="n"/>
      <c r="F23" s="15" t="n"/>
    </row>
    <row r="24">
      <c r="B24" s="19" t="inlineStr">
        <is>
          <t>Total review items</t>
        </is>
      </c>
      <c r="D24" s="20">
        <f>SUM(D3:D23)</f>
        <v/>
      </c>
      <c r="E24" s="20">
        <f>SUM(E3:E23)</f>
        <v/>
      </c>
      <c r="F24" s="21">
        <f>IFERROR(E24/D24,0)</f>
        <v/>
      </c>
    </row>
  </sheetData>
  <mergeCells count="1">
    <mergeCell ref="A1:F1"/>
  </mergeCells>
  <hyperlinks>
    <hyperlink ref="A3" location="Cover!A1"/>
    <hyperlink ref="A4" location="Objectives!A1"/>
    <hyperlink ref="A5" location="Scope!A1"/>
    <hyperlink ref="A6" location="Principles!A1"/>
    <hyperlink ref="A7" location="Components!A1"/>
    <hyperlink ref="A8" location="LLM_Policy!A1"/>
    <hyperlink ref="A9" location="Data_Model!A1"/>
    <hyperlink ref="A10" location="Review_Scope!A1"/>
    <hyperlink ref="A11" location="Architecture!A1"/>
    <hyperlink ref="A12" location="Web_App!A1"/>
    <hyperlink ref="A13" location="Delivery_Steps!A1"/>
    <hyperlink ref="A14" location="Requirements!A1"/>
    <hyperlink ref="A15" location="Risks!A1"/>
    <hyperlink ref="A16" location="Validation!A1"/>
    <hyperlink ref="A17" location="Version_Control!A1"/>
    <hyperlink ref="A18" location="Metrics!A1"/>
    <hyperlink ref="A19" location="Recommendations!A1"/>
    <hyperlink ref="A20" location="Open_Questions!A1"/>
    <hyperlink ref="A21" location="Assumptions!A1"/>
    <hyperlink ref="A22" location="Glossary!A1"/>
    <hyperlink ref="A23"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78" customWidth="1" min="2" max="2"/>
    <col width="10" customWidth="1" min="3" max="3"/>
    <col width="12" customWidth="1" min="4" max="4"/>
    <col width="20" customWidth="1" min="5" max="5"/>
    <col width="40" customWidth="1" min="6" max="6"/>
  </cols>
  <sheetData>
    <row r="1" ht="26" customHeight="1">
      <c r="A1" s="11" t="inlineStr">
        <is>
          <t>Objectives</t>
        </is>
      </c>
    </row>
    <row r="2" ht="30" customHeight="1">
      <c r="A2" s="12" t="inlineStr">
        <is>
          <t>ID</t>
        </is>
      </c>
      <c r="B2" s="12" t="inlineStr">
        <is>
          <t>Objective</t>
        </is>
      </c>
      <c r="C2" s="12" t="inlineStr">
        <is>
          <t>Priority</t>
        </is>
      </c>
      <c r="D2" s="12" t="inlineStr">
        <is>
          <t>Decision</t>
        </is>
      </c>
      <c r="E2" s="12" t="inlineStr">
        <is>
          <t>Reviewer</t>
        </is>
      </c>
      <c r="F2" s="12" t="inlineStr">
        <is>
          <t>Comment</t>
        </is>
      </c>
    </row>
    <row r="3">
      <c r="A3" s="22" t="inlineStr">
        <is>
          <t>OBJ-01</t>
        </is>
      </c>
      <c r="B3" s="14"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3" s="23" t="inlineStr">
        <is>
          <t>Must</t>
        </is>
      </c>
      <c r="D3" s="24" t="n"/>
      <c r="E3" s="24" t="n"/>
      <c r="F3" s="25" t="n"/>
    </row>
    <row r="4">
      <c r="A4" s="26" t="inlineStr">
        <is>
          <t>OBJ-02</t>
        </is>
      </c>
      <c r="B4" s="27" t="inlineStr">
        <is>
          <t>Detect and report discrepancies between derived and collected values, plus guideline-conformance issues that are not simple mismatches, such as ineligible target lesion selection or a missing confirmation assessment.</t>
        </is>
      </c>
      <c r="C4" s="28" t="inlineStr">
        <is>
          <t>Must</t>
        </is>
      </c>
      <c r="D4" s="24" t="n"/>
      <c r="E4" s="24" t="n"/>
      <c r="F4" s="25" t="n"/>
    </row>
    <row r="5">
      <c r="A5" s="22" t="inlineStr">
        <is>
          <t>OBJ-03</t>
        </is>
      </c>
      <c r="B5" s="14" t="inlineStr">
        <is>
          <t>Present each issue with the five reviewer-facing elements: review point, issue and data location, reason with current-versus-expected, suggested query text, additional information.</t>
        </is>
      </c>
      <c r="C5" s="23" t="inlineStr">
        <is>
          <t>Must</t>
        </is>
      </c>
      <c r="D5" s="24" t="n"/>
      <c r="E5" s="24" t="n"/>
      <c r="F5" s="25" t="n"/>
    </row>
    <row r="6">
      <c r="A6" s="26" t="inlineStr">
        <is>
          <t>OBJ-04</t>
        </is>
      </c>
      <c r="B6" s="27" t="inlineStr">
        <is>
          <t>Suppress or down-rank issues already covered by the query history; escalate issues where a query was closed but the underlying data still fails the check.</t>
        </is>
      </c>
      <c r="C6" s="28" t="inlineStr">
        <is>
          <t>Must</t>
        </is>
      </c>
      <c r="D6" s="24" t="n"/>
      <c r="E6" s="24" t="n"/>
      <c r="F6" s="25" t="n"/>
    </row>
    <row r="7">
      <c r="A7" s="22" t="inlineStr">
        <is>
          <t>OBJ-05</t>
        </is>
      </c>
      <c r="B7" s="14" t="inlineStr">
        <is>
          <t>Run against a commercial LLM API and a company-hosted local LLM (GLM family) with identical review verdicts and no code changes beyond configuration.</t>
        </is>
      </c>
      <c r="C7" s="23" t="inlineStr">
        <is>
          <t>Must</t>
        </is>
      </c>
      <c r="D7" s="24" t="n"/>
      <c r="E7" s="24" t="n"/>
      <c r="F7" s="25" t="n"/>
    </row>
    <row r="8">
      <c r="A8" s="26" t="inlineStr">
        <is>
          <t>OBJ-06</t>
        </is>
      </c>
      <c r="B8" s="27" t="inlineStr">
        <is>
          <t>Support RECIST 1.0, RECIST 1.1 and iRECIST as selectable, versioned rule packs; be extensible to indication-specific criteria without touching the engine.</t>
        </is>
      </c>
      <c r="C8" s="28" t="inlineStr">
        <is>
          <t>Must</t>
        </is>
      </c>
      <c r="D8" s="24" t="n"/>
      <c r="E8" s="24" t="n"/>
      <c r="F8" s="25" t="n"/>
    </row>
    <row r="9">
      <c r="A9" s="22" t="inlineStr">
        <is>
          <t>OBJ-07</t>
        </is>
      </c>
      <c r="B9" s="14" t="inlineStr">
        <is>
          <t>Provide a holistic review environment: subject-level timelines, cross-subject and cross-site issue patterns, saved reviewer worklists — not just a flat issue list.</t>
        </is>
      </c>
      <c r="C9" s="29" t="inlineStr">
        <is>
          <t>Should</t>
        </is>
      </c>
      <c r="D9" s="24" t="n"/>
      <c r="E9" s="24" t="n"/>
      <c r="F9" s="25" t="n"/>
    </row>
    <row r="10">
      <c r="A10" s="26" t="inlineStr">
        <is>
          <t>OBJ-08</t>
        </is>
      </c>
      <c r="B10" s="27" t="inlineStr">
        <is>
          <t>Achieve a false-positive rate low enough that reviewers trust the output.</t>
        </is>
      </c>
      <c r="C10" s="30" t="inlineStr">
        <is>
          <t>Should</t>
        </is>
      </c>
      <c r="D10" s="24" t="n"/>
      <c r="E10" s="24" t="n"/>
      <c r="F10" s="25" t="n"/>
    </row>
    <row r="11">
      <c r="A11" s="22" t="inlineStr">
        <is>
          <t>OBJ-09</t>
        </is>
      </c>
      <c r="B11" s="14" t="inlineStr">
        <is>
          <t>Be maintainable by a clinical programming team: adding a review point is a self-contained declarative change with its own tests, requiring no change to the engine.</t>
        </is>
      </c>
      <c r="C11" s="23" t="inlineStr">
        <is>
          <t>Must</t>
        </is>
      </c>
      <c r="D11" s="24" t="n"/>
      <c r="E11" s="24" t="n"/>
      <c r="F11" s="25" t="n"/>
    </row>
  </sheetData>
  <autoFilter ref="A2:F11"/>
  <mergeCells count="1">
    <mergeCell ref="A1:F1"/>
  </mergeCells>
  <dataValidations count="1">
    <dataValidation sqref="D3:D11" showDropDown="0" showInputMessage="0" showErrorMessage="0" allowBlank="1" type="list">
      <formula1>"Accept,Amend,Reject,Discuss"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2" topLeftCell="A3" activePane="bottomLeft" state="frozen"/>
      <selection pane="bottomLeft" activeCell="A1" sqref="A1"/>
    </sheetView>
  </sheetViews>
  <sheetFormatPr baseColWidth="8" defaultRowHeight="15"/>
  <cols>
    <col width="14" customWidth="1" min="1" max="1"/>
    <col width="92" customWidth="1" min="2" max="2"/>
    <col width="30" customWidth="1" min="3" max="3"/>
  </cols>
  <sheetData>
    <row r="1" ht="26" customHeight="1">
      <c r="A1" s="11" t="inlineStr">
        <is>
          <t>Scope</t>
        </is>
      </c>
    </row>
    <row r="2" ht="30" customHeight="1">
      <c r="A2" s="12" t="inlineStr">
        <is>
          <t>Boundary</t>
        </is>
      </c>
      <c r="B2" s="12" t="inlineStr">
        <is>
          <t>Item</t>
        </is>
      </c>
      <c r="C2" s="12" t="inlineStr">
        <is>
          <t>Note</t>
        </is>
      </c>
    </row>
    <row r="3">
      <c r="A3" s="22" t="inlineStr">
        <is>
          <t>In scope</t>
        </is>
      </c>
      <c r="B3" s="14" t="inlineStr">
        <is>
          <t>Solid-tumor response assessment data collected under RECIST 1.0, RECIST 1.1 and iRECIST.</t>
        </is>
      </c>
      <c r="C3" s="14" t="inlineStr"/>
    </row>
    <row r="4">
      <c r="A4" s="26" t="inlineStr">
        <is>
          <t>In scope</t>
        </is>
      </c>
      <c r="B4" s="27" t="inlineStr">
        <is>
          <t>Investigator assessments; where collected, independent central review (BICR) assessments and investigator-versus-BICR reconciliation flags.</t>
        </is>
      </c>
      <c r="C4" s="27" t="inlineStr">
        <is>
          <t>See OQ-13</t>
        </is>
      </c>
    </row>
    <row r="5">
      <c r="A5" s="22" t="inlineStr">
        <is>
          <t>In scope</t>
        </is>
      </c>
      <c r="B5" s="14" t="inlineStr">
        <is>
          <t>Lesion-level identification and measurement data, timepoint response data, best overall response, progression dates.</t>
        </is>
      </c>
      <c r="C5" s="14" t="inlineStr"/>
    </row>
    <row r="6">
      <c r="A6" s="26" t="inlineStr">
        <is>
          <t>In scope</t>
        </is>
      </c>
      <c r="B6" s="27" t="inlineStr">
        <is>
          <t>Query history — issued queries and their answers — as a second input stream.</t>
        </is>
      </c>
      <c r="C6" s="27" t="inlineStr">
        <is>
          <t>See OQ-02</t>
        </is>
      </c>
    </row>
    <row r="7">
      <c r="A7" s="22" t="inlineStr">
        <is>
          <t>In scope</t>
        </is>
      </c>
      <c r="B7" s="14" t="inlineStr">
        <is>
          <t>Supporting cross-domain data: visit dates, first dose, disposition, death date, anticancer therapy, radiotherapy and surgery, adverse events indicating progression.</t>
        </is>
      </c>
      <c r="C7" s="14" t="inlineStr"/>
    </row>
    <row r="8">
      <c r="A8" s="26" t="inlineStr">
        <is>
          <t>In scope</t>
        </is>
      </c>
      <c r="B8" s="27" t="inlineStr">
        <is>
          <t>A web application presenting agent output for human review and query drafting.</t>
        </is>
      </c>
      <c r="C8" s="27" t="inlineStr">
        <is>
          <t>Designed at Step 4</t>
        </is>
      </c>
    </row>
    <row r="9">
      <c r="A9" s="22" t="inlineStr">
        <is>
          <t>Out of scope</t>
        </is>
      </c>
      <c r="B9" s="14" t="inlineStr">
        <is>
          <t>Reading or interpreting the images themselves. The agent reviews recorded data, not DICOM.</t>
        </is>
      </c>
      <c r="C9" s="14" t="inlineStr"/>
    </row>
    <row r="10">
      <c r="A10" s="26" t="inlineStr">
        <is>
          <t>Out of scope</t>
        </is>
      </c>
      <c r="B10" s="27" t="inlineStr">
        <is>
          <t>Automatic posting of queries into the EDC without human approval.</t>
        </is>
      </c>
      <c r="C10" s="27" t="inlineStr">
        <is>
          <t>REG-01</t>
        </is>
      </c>
    </row>
    <row r="11">
      <c r="A11" s="22" t="inlineStr">
        <is>
          <t>Out of scope</t>
        </is>
      </c>
      <c r="B11" s="14" t="inlineStr">
        <is>
          <t>Non-solid-tumor criteria (Lugano, IMWG, PCWG3, RANO) and modality variants (mRECIST, Choi).</t>
        </is>
      </c>
      <c r="C11" s="14" t="inlineStr">
        <is>
          <t>Architecture kept open; see OQ-06</t>
        </is>
      </c>
    </row>
    <row r="12">
      <c r="A12" s="26" t="inlineStr">
        <is>
          <t>Out of scope</t>
        </is>
      </c>
      <c r="B12" s="27" t="inlineStr">
        <is>
          <t>Endpoint derivation for submission, which remains owned by biostatistics.</t>
        </is>
      </c>
      <c r="C12" s="27" t="inlineStr">
        <is>
          <t>Agent derivations are for review only</t>
        </is>
      </c>
    </row>
    <row r="13">
      <c r="A13" s="22" t="inlineStr">
        <is>
          <t>Out of scope</t>
        </is>
      </c>
      <c r="B13" s="14" t="inlineStr">
        <is>
          <t>Medical decision-making. The agent produces suspicions for human adjudication.</t>
        </is>
      </c>
      <c r="C13" s="14" t="inlineStr">
        <is>
          <t>REG-01</t>
        </is>
      </c>
    </row>
  </sheetData>
  <mergeCells count="1">
    <mergeCell ref="A1:C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11" t="inlineStr">
        <is>
          <t>Design principles</t>
        </is>
      </c>
    </row>
    <row r="2" ht="30" customHeight="1">
      <c r="A2" s="12" t="inlineStr">
        <is>
          <t>ID</t>
        </is>
      </c>
      <c r="B2" s="12" t="inlineStr">
        <is>
          <t>Principle</t>
        </is>
      </c>
      <c r="C2" s="12" t="inlineStr">
        <is>
          <t>Detail</t>
        </is>
      </c>
    </row>
    <row r="3">
      <c r="A3" s="22" t="inlineStr">
        <is>
          <t>DP-01</t>
        </is>
      </c>
      <c r="B3" s="14" t="inlineStr">
        <is>
          <t>Deterministic-first, LLM-assisted</t>
        </is>
      </c>
      <c r="C3" s="14" t="inlineStr">
        <is>
          <t>Every numeric derivation and rule verdict is computed by rule-pack code. The LLM may only adjudicate rules declared judgement-based, explain, and draft language. Reproducibility is a validation prerequisite, and it means moving from a commercial API to a local GLM deployment leaves verdicts identical.</t>
        </is>
      </c>
    </row>
    <row r="4">
      <c r="A4" s="26" t="inlineStr">
        <is>
          <t>DP-02</t>
        </is>
      </c>
      <c r="B4" s="27" t="inlineStr">
        <is>
          <t>Evidence before language</t>
        </is>
      </c>
      <c r="C4" s="27" t="inlineStr">
        <is>
          <t>A finding is assembled from structured evidence first — exact records, values, computed quantities. Narrative is generated from that evidence and cannot introduce facts absent from it.</t>
        </is>
      </c>
    </row>
    <row r="5">
      <c r="A5" s="22" t="inlineStr">
        <is>
          <t>DP-03</t>
        </is>
      </c>
      <c r="B5" s="14" t="inlineStr">
        <is>
          <t>Declarative review points</t>
        </is>
      </c>
      <c r="C5" s="14" t="inlineStr">
        <is>
          <t>Each review point is a versioned declarative unit: identity, guideline basis, applicability, severity, logic, message templates, false-positive guards, test cases. Adding one never requires modifying orchestration.</t>
        </is>
      </c>
    </row>
    <row r="6">
      <c r="A6" s="26" t="inlineStr">
        <is>
          <t>DP-04</t>
        </is>
      </c>
      <c r="B6" s="27" t="inlineStr">
        <is>
          <t>Human-in-the-loop by construction</t>
        </is>
      </c>
      <c r="C6" s="27" t="inlineStr">
        <is>
          <t>The agent proposes; a qualified reviewer disposes. No query leaves the system without explicit human approval, and every disposition is recorded and fed back.</t>
        </is>
      </c>
    </row>
    <row r="7">
      <c r="A7" s="22" t="inlineStr">
        <is>
          <t>DP-05</t>
        </is>
      </c>
      <c r="B7" s="14" t="inlineStr">
        <is>
          <t>Explain like a senior reviewer</t>
        </is>
      </c>
      <c r="C7" s="14" t="inlineStr">
        <is>
          <t>Output is written for a data manager who knows the trial but may not know the guideline clause. Every finding cites the guideline provision and states current versus expected data.</t>
        </is>
      </c>
    </row>
    <row r="8">
      <c r="A8" s="26" t="inlineStr">
        <is>
          <t>DP-06</t>
        </is>
      </c>
      <c r="B8" s="27" t="inlineStr">
        <is>
          <t>Protocol over guideline</t>
        </is>
      </c>
      <c r="C8" s="27" t="inlineStr">
        <is>
          <t>The guideline provides defaults; the protocol overrides them. All thresholds, windows, counts and confirmation requirements are configuration, never constants in code.</t>
        </is>
      </c>
    </row>
    <row r="9">
      <c r="A9" s="22" t="inlineStr">
        <is>
          <t>DP-07</t>
        </is>
      </c>
      <c r="B9" s="14" t="inlineStr">
        <is>
          <t>Untrusted free text</t>
        </is>
      </c>
      <c r="C9" s="14" t="inlineStr">
        <is>
          <t>Site-authored text — query answers, comments, lesion descriptions — is data to be analysed, never instructions to be followed. It is passed inside an explicit data envelope with injection defences.</t>
        </is>
      </c>
    </row>
    <row r="10">
      <c r="A10" s="26" t="inlineStr">
        <is>
          <t>DP-08</t>
        </is>
      </c>
      <c r="B10" s="27" t="inlineStr">
        <is>
          <t>Silence is a feature</t>
        </is>
      </c>
      <c r="C10" s="27" t="inlineStr">
        <is>
          <t>A reviewer who receives 400 findings reviews none of them. Deduplication, query-history suppression and risk-based prioritisation are first-class components, not post-processing.</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4" customWidth="1" min="4" max="4"/>
  </cols>
  <sheetData>
    <row r="1" ht="26" customHeight="1">
      <c r="A1" s="11" t="inlineStr">
        <is>
          <t>Pipeline components</t>
        </is>
      </c>
    </row>
    <row r="2" ht="16" customHeight="1">
      <c r="A2" s="31" t="inlineStr">
        <is>
          <t>Order: AC-01 → AC-02 → AC-03 → AC-04 → AC-05 → AC-06 → AC-07 → AC-08 → AC-09 → AC-10</t>
        </is>
      </c>
    </row>
    <row r="3" ht="30" customHeight="1">
      <c r="A3" s="12" t="inlineStr">
        <is>
          <t>ID</t>
        </is>
      </c>
      <c r="B3" s="12" t="inlineStr">
        <is>
          <t>Component</t>
        </is>
      </c>
      <c r="C3" s="12" t="inlineStr">
        <is>
          <t>Mode</t>
        </is>
      </c>
      <c r="D3" s="12" t="inlineStr">
        <is>
          <t>Responsibility</t>
        </is>
      </c>
    </row>
    <row r="4">
      <c r="A4" s="22" t="inlineStr">
        <is>
          <t>AC-01</t>
        </is>
      </c>
      <c r="B4" s="32" t="inlineStr">
        <is>
          <t>Ingestion &amp; Normalisation</t>
        </is>
      </c>
      <c r="C4" s="32" t="inlineStr">
        <is>
          <t>Deterministic</t>
        </is>
      </c>
      <c r="D4" s="14" t="inlineStr">
        <is>
          <t>Reads SDTM TU/TR/RS or EDC raw forms, maps to the canonical model, normalises units, resolves lesion identity across visits. Structural defects become findings in their own right.</t>
        </is>
      </c>
    </row>
    <row r="5">
      <c r="A5" s="26" t="inlineStr">
        <is>
          <t>AC-02</t>
        </is>
      </c>
      <c r="B5" s="33" t="inlineStr">
        <is>
          <t>Protocol Context Resolver</t>
        </is>
      </c>
      <c r="C5" s="33" t="inlineStr">
        <is>
          <t>Deterministic</t>
        </is>
      </c>
      <c r="D5" s="27" t="inlineStr">
        <is>
          <t>Loads study configuration — guideline version, indication, lesion limits, confirmation requirement, schedule and windows, marker usage. Produces the config hash used in provenance.</t>
        </is>
      </c>
    </row>
    <row r="6">
      <c r="A6" s="22" t="inlineStr">
        <is>
          <t>AC-03</t>
        </is>
      </c>
      <c r="B6" s="32" t="inlineStr">
        <is>
          <t>Derivation Engine</t>
        </is>
      </c>
      <c r="C6" s="32" t="inlineStr">
        <is>
          <t>Deterministic</t>
        </is>
      </c>
      <c r="D6" s="14" t="inlineStr">
        <is>
          <t>Computes sums, nadir, percent changes, all four response components, best overall response and the iRECIST state sequence. Purely functional, exhaustively unit-tested.</t>
        </is>
      </c>
    </row>
    <row r="7">
      <c r="A7" s="26" t="inlineStr">
        <is>
          <t>AC-04</t>
        </is>
      </c>
      <c r="B7" s="33" t="inlineStr">
        <is>
          <t>Rule Engine</t>
        </is>
      </c>
      <c r="C7" s="33" t="inlineStr">
        <is>
          <t>Deterministic</t>
        </is>
      </c>
      <c r="D7" s="27" t="inlineStr">
        <is>
          <t>Executes the rule pack, producing raw findings with structured evidence.</t>
        </is>
      </c>
    </row>
    <row r="8">
      <c r="A8" s="22" t="inlineStr">
        <is>
          <t>AC-05</t>
        </is>
      </c>
      <c r="B8" s="32" t="inlineStr">
        <is>
          <t>Judgement Adjudicator</t>
        </is>
      </c>
      <c r="C8" s="32" t="inlineStr">
        <is>
          <t>LLM-assisted</t>
        </is>
      </c>
      <c r="D8" s="14" t="inlineStr">
        <is>
          <t>Handles irreducibly qualitative points: whether non-target worsening is unequivocal, whether a new lesion is unequivocal or equivocal, whether a description implies non-measurability. Low-confidence verdicts emit as INFO.</t>
        </is>
      </c>
    </row>
    <row r="9">
      <c r="A9" s="26" t="inlineStr">
        <is>
          <t>AC-06</t>
        </is>
      </c>
      <c r="B9" s="33" t="inlineStr">
        <is>
          <t>Query History Reconciler</t>
        </is>
      </c>
      <c r="C9" s="33" t="inlineStr">
        <is>
          <t>Hybrid</t>
        </is>
      </c>
      <c r="D9" s="27" t="inlineStr">
        <is>
          <t>Matches findings against prior queries by deterministic key plus semantic matching for free text. Classifies as new, duplicate, resolved, unresolved or recurrent.</t>
        </is>
      </c>
    </row>
    <row r="10">
      <c r="A10" s="22" t="inlineStr">
        <is>
          <t>AC-07</t>
        </is>
      </c>
      <c r="B10" s="32" t="inlineStr">
        <is>
          <t>Prioritiser &amp; Deduplicator</t>
        </is>
      </c>
      <c r="C10" s="32" t="inlineStr">
        <is>
          <t>Deterministic</t>
        </is>
      </c>
      <c r="D10" s="14" t="inlineStr">
        <is>
          <t>Collapses cascading findings into a primary finding with linked consequences; scores by endpoint impact, severity, recurrence and query state.</t>
        </is>
      </c>
    </row>
    <row r="11">
      <c r="A11" s="26" t="inlineStr">
        <is>
          <t>AC-08</t>
        </is>
      </c>
      <c r="B11" s="33" t="inlineStr">
        <is>
          <t>Narrative Composer</t>
        </is>
      </c>
      <c r="C11" s="33" t="inlineStr">
        <is>
          <t>LLM-assisted</t>
        </is>
      </c>
      <c r="D11" s="27" t="inlineStr">
        <is>
          <t>Renders the five reviewer-facing elements from evidence using versioned templates. A deterministic template fallback exists for every message.</t>
        </is>
      </c>
    </row>
    <row r="12">
      <c r="A12" s="22" t="inlineStr">
        <is>
          <t>AC-09</t>
        </is>
      </c>
      <c r="B12" s="32" t="inlineStr">
        <is>
          <t>Reporting &amp; Export</t>
        </is>
      </c>
      <c r="C12" s="32" t="inlineStr">
        <is>
          <t>Deterministic</t>
        </is>
      </c>
      <c r="D12" s="14" t="inlineStr">
        <is>
          <t>Persists the run, emits findings in the output contract, serves the web application and exports.</t>
        </is>
      </c>
    </row>
    <row r="13">
      <c r="A13" s="26" t="inlineStr">
        <is>
          <t>AC-10</t>
        </is>
      </c>
      <c r="B13" s="33" t="inlineStr">
        <is>
          <t>Feedback Recorder</t>
        </is>
      </c>
      <c r="C13" s="33" t="inlineStr">
        <is>
          <t>Deterministic</t>
        </is>
      </c>
      <c r="D13" s="27" t="inlineStr">
        <is>
          <t>Captures reviewer dispositions for rule tuning and suppression of known-acceptable patterns.</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11" t="inlineStr">
        <is>
          <t>LLM usage policy and provider adapters</t>
        </is>
      </c>
    </row>
    <row r="2" ht="30" customHeight="1">
      <c r="A2" s="12" t="inlineStr">
        <is>
          <t>Category</t>
        </is>
      </c>
      <c r="B2" s="12" t="inlineStr">
        <is>
          <t>Task</t>
        </is>
      </c>
      <c r="C2" s="12" t="inlineStr"/>
      <c r="D2" s="12" t="inlineStr"/>
    </row>
    <row r="3">
      <c r="A3" s="22" t="inlineStr">
        <is>
          <t>Permitted</t>
        </is>
      </c>
      <c r="B3" s="14" t="inlineStr">
        <is>
          <t>Narrative rendering of reviewer-facing text from a validated evidence object.</t>
        </is>
      </c>
      <c r="C3" s="32" t="inlineStr"/>
      <c r="D3" s="32" t="inlineStr"/>
    </row>
    <row r="4">
      <c r="A4" s="26" t="inlineStr">
        <is>
          <t>Permitted</t>
        </is>
      </c>
      <c r="B4" s="27" t="inlineStr">
        <is>
          <t>Drafting the initial query message in the sponsor's query style.</t>
        </is>
      </c>
      <c r="C4" s="33" t="inlineStr"/>
      <c r="D4" s="33" t="inlineStr"/>
    </row>
    <row r="5">
      <c r="A5" s="22" t="inlineStr">
        <is>
          <t>Permitted</t>
        </is>
      </c>
      <c r="B5" s="14" t="inlineStr">
        <is>
          <t>Semantic matching of a candidate finding to historical free-text queries.</t>
        </is>
      </c>
      <c r="C5" s="32" t="inlineStr"/>
      <c r="D5" s="32" t="inlineStr"/>
    </row>
    <row r="6">
      <c r="A6" s="26" t="inlineStr">
        <is>
          <t>Permitted</t>
        </is>
      </c>
      <c r="B6" s="27" t="inlineStr">
        <is>
          <t>Classifying free-text query answers (will be corrected / confirmed correct / clarification / not addressed).</t>
        </is>
      </c>
      <c r="C6" s="33" t="inlineStr"/>
      <c r="D6" s="33" t="inlineStr"/>
    </row>
    <row r="7">
      <c r="A7" s="22" t="inlineStr">
        <is>
          <t>Permitted</t>
        </is>
      </c>
      <c r="B7" s="14" t="inlineStr">
        <is>
          <t>Adjudicating explicitly declared judgement rules, returning a structured verdict plus confidence.</t>
        </is>
      </c>
      <c r="C7" s="32" t="inlineStr"/>
      <c r="D7" s="32" t="inlineStr"/>
    </row>
    <row r="8">
      <c r="A8" s="26" t="inlineStr">
        <is>
          <t>Permitted</t>
        </is>
      </c>
      <c r="B8" s="27" t="inlineStr">
        <is>
          <t>Interpreting free-text lesion descriptions for measurability and anatomical consistency signals.</t>
        </is>
      </c>
      <c r="C8" s="33" t="inlineStr"/>
      <c r="D8" s="33" t="inlineStr"/>
    </row>
    <row r="9">
      <c r="A9" s="23" t="inlineStr">
        <is>
          <t>Forbidden</t>
        </is>
      </c>
      <c r="B9" s="14" t="inlineStr">
        <is>
          <t>Performing arithmetic, percent change, nadir selection or table lookups.</t>
        </is>
      </c>
      <c r="C9" s="32" t="inlineStr"/>
      <c r="D9" s="32" t="inlineStr"/>
    </row>
    <row r="10">
      <c r="A10" s="28" t="inlineStr">
        <is>
          <t>Forbidden</t>
        </is>
      </c>
      <c r="B10" s="27" t="inlineStr">
        <is>
          <t>Overriding, suppressing or creating a deterministic rule verdict.</t>
        </is>
      </c>
      <c r="C10" s="33" t="inlineStr"/>
      <c r="D10" s="33" t="inlineStr"/>
    </row>
    <row r="11">
      <c r="A11" s="23" t="inlineStr">
        <is>
          <t>Forbidden</t>
        </is>
      </c>
      <c r="B11" s="14" t="inlineStr">
        <is>
          <t>Inferring a data value that is missing from the source.</t>
        </is>
      </c>
      <c r="C11" s="32" t="inlineStr"/>
      <c r="D11" s="32" t="inlineStr"/>
    </row>
    <row r="12">
      <c r="A12" s="28" t="inlineStr">
        <is>
          <t>Forbidden</t>
        </is>
      </c>
      <c r="B12" s="27" t="inlineStr">
        <is>
          <t>Deciding the clinical management or eligibility of a subject.</t>
        </is>
      </c>
      <c r="C12" s="33" t="inlineStr"/>
      <c r="D12" s="33" t="inlineStr"/>
    </row>
    <row r="13">
      <c r="A13" s="23" t="inlineStr">
        <is>
          <t>Forbidden</t>
        </is>
      </c>
      <c r="B13" s="14" t="inlineStr">
        <is>
          <t>Acting on instructions found inside site-entered free text.</t>
        </is>
      </c>
      <c r="C13" s="32" t="inlineStr"/>
      <c r="D13" s="32" t="inlineStr"/>
    </row>
    <row r="15">
      <c r="A15" s="6" t="inlineStr">
        <is>
          <t>Provider adapters</t>
        </is>
      </c>
    </row>
    <row r="16" ht="30" customHeight="1">
      <c r="A16" s="12" t="inlineStr">
        <is>
          <t>Adapter</t>
        </is>
      </c>
      <c r="B16" s="12" t="inlineStr">
        <is>
          <t>Transport</t>
        </is>
      </c>
      <c r="C16" s="12" t="inlineStr">
        <is>
          <t>Structured output</t>
        </is>
      </c>
      <c r="D16" s="12" t="inlineStr">
        <is>
          <t>Notes</t>
        </is>
      </c>
    </row>
    <row r="17">
      <c r="A17" s="22" t="inlineStr">
        <is>
          <t>Anthropic Claude API</t>
        </is>
      </c>
      <c r="B17" s="32" t="inlineStr">
        <is>
          <t>Native SDK</t>
        </is>
      </c>
      <c r="C17" s="32" t="inlineStr">
        <is>
          <t>Tool-use / JSON schema</t>
        </is>
      </c>
      <c r="D17" s="14" t="inlineStr">
        <is>
          <t>Reference implementation.</t>
        </is>
      </c>
    </row>
    <row r="18">
      <c r="A18" s="26" t="inlineStr">
        <is>
          <t>OpenAI-compatible</t>
        </is>
      </c>
      <c r="B18" s="33" t="inlineStr">
        <is>
          <t>HTTP</t>
        </is>
      </c>
      <c r="C18" s="33" t="inlineStr">
        <is>
          <t>response_format JSON schema, prompt fallback</t>
        </is>
      </c>
      <c r="D18" s="27" t="inlineStr">
        <is>
          <t>Covers GLM via an OpenAI-compatible gateway, vLLM, SGLang, Ollama and most internal gateways.</t>
        </is>
      </c>
    </row>
    <row r="19">
      <c r="A19" s="22" t="inlineStr">
        <is>
          <t>GLM native</t>
        </is>
      </c>
      <c r="B19" s="32" t="inlineStr">
        <is>
          <t>HTTP</t>
        </is>
      </c>
      <c r="C19" s="32" t="inlineStr">
        <is>
          <t>JSON mode + prompt fallback</t>
        </is>
      </c>
      <c r="D19" s="14" t="inlineStr">
        <is>
          <t>Separate adapter: parameter naming and tool-call semantics differ. Exact deployment pending OQ-03.</t>
        </is>
      </c>
    </row>
    <row r="20">
      <c r="A20" s="26" t="inlineStr">
        <is>
          <t>Null</t>
        </is>
      </c>
      <c r="B20" s="33" t="inlineStr">
        <is>
          <t>n/a</t>
        </is>
      </c>
      <c r="C20" s="33" t="inlineStr">
        <is>
          <t>None</t>
        </is>
      </c>
      <c r="D20" s="27" t="inlineStr">
        <is>
          <t>Deterministic-only mode; every LLM task falls back to its template.</t>
        </is>
      </c>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2" customWidth="1" min="3" max="3"/>
  </cols>
  <sheetData>
    <row r="1" ht="26" customHeight="1">
      <c r="A1" s="11" t="inlineStr">
        <is>
          <t>Canonical data model</t>
        </is>
      </c>
    </row>
    <row r="2" ht="16" customHeight="1">
      <c r="A2" s="31" t="inlineStr">
        <is>
          <t>A canonical model sits between source data and the rules, so rules never encode a source system's quirks.</t>
        </is>
      </c>
    </row>
    <row r="3" ht="30" customHeight="1">
      <c r="A3" s="12" t="inlineStr">
        <is>
          <t>Entity</t>
        </is>
      </c>
      <c r="B3" s="12" t="inlineStr">
        <is>
          <t>Purpose</t>
        </is>
      </c>
      <c r="C3" s="12" t="inlineStr">
        <is>
          <t>Key attributes</t>
        </is>
      </c>
    </row>
    <row r="4">
      <c r="A4" s="22" t="inlineStr">
        <is>
          <t>Study</t>
        </is>
      </c>
      <c r="B4" s="14" t="inlineStr">
        <is>
          <t>Trial-level identity and guideline selection.</t>
        </is>
      </c>
      <c r="C4" s="34" t="inlineStr">
        <is>
          <t>study_id, indication, guideline_version</t>
        </is>
      </c>
    </row>
    <row r="5">
      <c r="A5" s="26" t="inlineStr">
        <is>
          <t>ProtocolConfig</t>
        </is>
      </c>
      <c r="B5" s="27" t="inlineStr">
        <is>
          <t>Every guideline default the protocol may override. Loaded per study, hashed into provenance.</t>
        </is>
      </c>
      <c r="C5" s="35" t="inlineStr">
        <is>
          <t>max_target_lesions_total, min_measurable_nodal_short_axis_mm, pd_absolute_increase_mm, response_confirmation_required, irecist_confirmation_window_days</t>
        </is>
      </c>
    </row>
    <row r="6">
      <c r="A6" s="22" t="inlineStr">
        <is>
          <t>Subject</t>
        </is>
      </c>
      <c r="B6" s="14" t="inlineStr">
        <is>
          <t>Subject-level dates driving cross-domain checks.</t>
        </is>
      </c>
      <c r="C6" s="34" t="inlineStr">
        <is>
          <t>subject_id, site_id, first_dose_date, discontinuation_date, death_date</t>
        </is>
      </c>
    </row>
    <row r="7">
      <c r="A7" s="26" t="inlineStr">
        <is>
          <t>Assessment</t>
        </is>
      </c>
      <c r="B7" s="27" t="inlineStr">
        <is>
          <t>One tumor assessment timepoint for one evaluator.</t>
        </is>
      </c>
      <c r="C7" s="35" t="inlineStr">
        <is>
          <t>assessment_date, scan_dates, is_baseline, evaluator</t>
        </is>
      </c>
    </row>
    <row r="8">
      <c r="A8" s="22" t="inlineStr">
        <is>
          <t>Lesion</t>
        </is>
      </c>
      <c r="B8" s="14" t="inlineStr">
        <is>
          <t>A lesion identity persisting across assessments.</t>
        </is>
      </c>
      <c r="C8" s="34" t="inlineStr">
        <is>
          <t>category, is_nodal, organ, laterality, method, previously_irradiated</t>
        </is>
      </c>
    </row>
    <row r="9">
      <c r="A9" s="26" t="inlineStr">
        <is>
          <t>LesionMeasurement</t>
        </is>
      </c>
      <c r="B9" s="27" t="inlineStr">
        <is>
          <t>One lesion at one assessment.</t>
        </is>
      </c>
      <c r="C9" s="35" t="inlineStr">
        <is>
          <t>value_mm, original_unit, state, non_target_state, comment_text</t>
        </is>
      </c>
    </row>
    <row r="10">
      <c r="A10" s="22" t="inlineStr">
        <is>
          <t>ReportedResponse</t>
        </is>
      </c>
      <c r="B10" s="14" t="inlineStr">
        <is>
          <t>Response as collected — never overwritten by the agent.</t>
        </is>
      </c>
      <c r="C10" s="34" t="inlineStr">
        <is>
          <t>target_response, non_target_response, new_lesion, overall_response, irecist_response, best_overall_response</t>
        </is>
      </c>
    </row>
    <row r="11">
      <c r="A11" s="26" t="inlineStr">
        <is>
          <t>DerivedTimepoint</t>
        </is>
      </c>
      <c r="B11" s="27" t="inlineStr">
        <is>
          <t>Agent-computed values plus the trace that produced them.</t>
        </is>
      </c>
      <c r="C11" s="35" t="inlineStr">
        <is>
          <t>sum_of_diameters, sum_complete, nadir_sum, pct_change_from_nadir, *_derived, derivation_trace</t>
        </is>
      </c>
    </row>
    <row r="12">
      <c r="A12" s="22" t="inlineStr">
        <is>
          <t>DerivedSubjectSummary</t>
        </is>
      </c>
      <c r="B12" s="14" t="inlineStr">
        <is>
          <t>Subject-level derivation.</t>
        </is>
      </c>
      <c r="C12" s="34" t="inlineStr">
        <is>
          <t>best_overall_response_derived, bor_confirmation_status, first_pd_assessment_id, irecist_sequence</t>
        </is>
      </c>
    </row>
    <row r="13">
      <c r="A13" s="26" t="inlineStr">
        <is>
          <t>Query</t>
        </is>
      </c>
      <c r="B13" s="27" t="inlineStr">
        <is>
          <t>Historical query and answer from the query system.</t>
        </is>
      </c>
      <c r="C13" s="35" t="inlineStr">
        <is>
          <t>query_text, answer_text, status, opened/answered/closed dates, tea_rule_id</t>
        </is>
      </c>
    </row>
    <row r="14">
      <c r="A14" s="22" t="inlineStr">
        <is>
          <t>Finding</t>
        </is>
      </c>
      <c r="B14" s="14" t="inlineStr">
        <is>
          <t>The agent's unit of output.</t>
        </is>
      </c>
      <c r="C14" s="34" t="inlineStr">
        <is>
          <t>rule_id, dedupe_key, severity, determination_mode, evidence, five narrative fields, query_link_status, priority_score, provenance</t>
        </is>
      </c>
    </row>
    <row r="15">
      <c r="A15" s="26" t="inlineStr">
        <is>
          <t>ReviewRun</t>
        </is>
      </c>
      <c r="B15" s="27" t="inlineStr">
        <is>
          <t>One execution, with the full provenance stamp.</t>
        </is>
      </c>
      <c r="C15" s="35" t="inlineStr">
        <is>
          <t>dataset_snapshot_hash, engine/rulepack/prompt versions, llm_model_id, protocol_config_hash</t>
        </is>
      </c>
    </row>
    <row r="17">
      <c r="A17" s="6" t="inlineStr">
        <is>
          <t>Source mappings (CDISC SDTM profile)</t>
        </is>
      </c>
    </row>
    <row r="18" ht="30" customHeight="1">
      <c r="A18" s="12" t="inlineStr">
        <is>
          <t>Canonical</t>
        </is>
      </c>
      <c r="B18" s="12" t="inlineStr">
        <is>
          <t>SDTM source</t>
        </is>
      </c>
      <c r="C18" s="12" t="inlineStr">
        <is>
          <t>Notes</t>
        </is>
      </c>
    </row>
    <row r="19">
      <c r="A19" s="22" t="inlineStr">
        <is>
          <t>Lesion</t>
        </is>
      </c>
      <c r="B19" s="32" t="inlineStr">
        <is>
          <t>TU</t>
        </is>
      </c>
      <c r="C19" s="14" t="inlineStr">
        <is>
          <t>TULNKID is lesion identity; TUORRES gives TARGET / NON-TARGET / NEW; TULOC and TULAT give organ and laterality; TUEVAL the evaluator.</t>
        </is>
      </c>
    </row>
    <row r="20">
      <c r="A20" s="26" t="inlineStr">
        <is>
          <t>LesionMeasurement</t>
        </is>
      </c>
      <c r="B20" s="33" t="inlineStr">
        <is>
          <t>TR</t>
        </is>
      </c>
      <c r="C20" s="27" t="inlineStr">
        <is>
          <t>TRLNKID joins to TU; TRTESTCD in LDIAM, LPERP, SAXIS, TUMSTATE; TRSTRESN the value; TRSTAT and TRREASND for not-done.</t>
        </is>
      </c>
    </row>
    <row r="21">
      <c r="A21" s="22" t="inlineStr">
        <is>
          <t>ReportedResponse</t>
        </is>
      </c>
      <c r="B21" s="32" t="inlineStr">
        <is>
          <t>RS</t>
        </is>
      </c>
      <c r="C21" s="14" t="inlineStr">
        <is>
          <t>RSTESTCD in TRGRESP, NTRGRESP, NEWLPROG, OVRLRESP, BESTRESP; RSEVAL the evaluator.</t>
        </is>
      </c>
    </row>
    <row r="22">
      <c r="A22" s="26" t="inlineStr">
        <is>
          <t>Subject</t>
        </is>
      </c>
      <c r="B22" s="33" t="inlineStr">
        <is>
          <t>DM + EX + DS</t>
        </is>
      </c>
      <c r="C22" s="27" t="inlineStr">
        <is>
          <t>First dose from EX, discontinuation from DS, death from DM/DS.</t>
        </is>
      </c>
    </row>
    <row r="23">
      <c r="A23" s="22" t="inlineStr">
        <is>
          <t>(EDC raw profile)</t>
        </is>
      </c>
      <c r="B23" s="32" t="inlineStr">
        <is>
          <t>TBD</t>
        </is>
      </c>
      <c r="C23" s="14" t="inlineStr">
        <is>
          <t>Exact EDC and form design must be confirmed at OQ-01; a per-study mapping configuration file is expected rather than code.</t>
        </is>
      </c>
    </row>
  </sheetData>
  <mergeCells count="2">
    <mergeCell ref="A1:C1"/>
    <mergeCell ref="A2:C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4" customWidth="1" min="5" max="5"/>
    <col width="12" customWidth="1" min="6" max="6"/>
    <col width="20" customWidth="1" min="7" max="7"/>
    <col width="40" customWidth="1" min="8" max="8"/>
  </cols>
  <sheetData>
    <row r="1" ht="26" customHeight="1">
      <c r="A1" s="11" t="inlineStr">
        <is>
          <t>Review scope — 84 review points in 7 families</t>
        </is>
      </c>
    </row>
    <row r="2" ht="16" customHeight="1">
      <c r="A2" s="31" t="inlineStr">
        <is>
          <t>Full catalog with logic lives in TEA-SPEC-001. Confirm coverage here before the specification is detailed further.</t>
        </is>
      </c>
    </row>
    <row r="3" ht="30" customHeight="1">
      <c r="A3" s="12" t="inlineStr">
        <is>
          <t>Family</t>
        </is>
      </c>
      <c r="B3" s="12" t="inlineStr">
        <is>
          <t>Name</t>
        </is>
      </c>
      <c r="C3" s="12" t="inlineStr">
        <is>
          <t>Points</t>
        </is>
      </c>
      <c r="D3" s="12" t="inlineStr">
        <is>
          <t>Risk</t>
        </is>
      </c>
      <c r="E3" s="12" t="inlineStr">
        <is>
          <t>Coverage</t>
        </is>
      </c>
      <c r="F3" s="12" t="inlineStr">
        <is>
          <t>Decision</t>
        </is>
      </c>
      <c r="G3" s="12" t="inlineStr">
        <is>
          <t>Reviewer</t>
        </is>
      </c>
      <c r="H3" s="12" t="inlineStr">
        <is>
          <t>Comment</t>
        </is>
      </c>
    </row>
    <row r="4">
      <c r="A4" s="22" t="inlineStr">
        <is>
          <t>ST</t>
        </is>
      </c>
      <c r="B4" s="32" t="inlineStr">
        <is>
          <t>Structural and ingestion integrity</t>
        </is>
      </c>
      <c r="C4" s="32" t="n">
        <v>5</v>
      </c>
      <c r="D4" s="29" t="inlineStr">
        <is>
          <t>Medium</t>
        </is>
      </c>
      <c r="E4" s="14"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24" t="n"/>
      <c r="G4" s="24" t="n"/>
      <c r="H4" s="25" t="n"/>
    </row>
    <row r="5">
      <c r="A5" s="26" t="inlineStr">
        <is>
          <t>BL</t>
        </is>
      </c>
      <c r="B5" s="33" t="inlineStr">
        <is>
          <t>Baseline and lesion selection</t>
        </is>
      </c>
      <c r="C5" s="33" t="n">
        <v>17</v>
      </c>
      <c r="D5" s="28" t="inlineStr">
        <is>
          <t>High</t>
        </is>
      </c>
      <c r="E5" s="27"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4" t="n"/>
      <c r="G5" s="24" t="n"/>
      <c r="H5" s="25" t="n"/>
    </row>
    <row r="6">
      <c r="A6" s="22" t="inlineStr">
        <is>
          <t>FU</t>
        </is>
      </c>
      <c r="B6" s="32" t="inlineStr">
        <is>
          <t>Follow-up measurement integrity</t>
        </is>
      </c>
      <c r="C6" s="32" t="n">
        <v>14</v>
      </c>
      <c r="D6" s="23" t="inlineStr">
        <is>
          <t>High</t>
        </is>
      </c>
      <c r="E6" s="14"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24" t="n"/>
      <c r="G6" s="24" t="n"/>
      <c r="H6" s="25" t="n"/>
    </row>
    <row r="7">
      <c r="A7" s="26" t="inlineStr">
        <is>
          <t>RS</t>
        </is>
      </c>
      <c r="B7" s="33" t="inlineStr">
        <is>
          <t>Response derivation conformance</t>
        </is>
      </c>
      <c r="C7" s="33" t="n">
        <v>20</v>
      </c>
      <c r="D7" s="28" t="inlineStr">
        <is>
          <t>Critical</t>
        </is>
      </c>
      <c r="E7" s="27" t="inlineStr">
        <is>
          <t>All four response components versus derivation, nadir correctness, the 20%-plus-5mm rule, CR conditions including nodal short axis, unequivocal non-target progression, the overall response table, confirmation, best overall response, progression dating. These directly determine ORR, BOR, PFS and DoR.</t>
        </is>
      </c>
      <c r="F7" s="24" t="n"/>
      <c r="G7" s="24" t="n"/>
      <c r="H7" s="25" t="n"/>
    </row>
    <row r="8">
      <c r="A8" s="22" t="inlineStr">
        <is>
          <t>IR</t>
        </is>
      </c>
      <c r="B8" s="32" t="inlineStr">
        <is>
          <t>iRECIST conformance</t>
        </is>
      </c>
      <c r="C8" s="32" t="n">
        <v>10</v>
      </c>
      <c r="D8" s="23" t="inlineStr">
        <is>
          <t>Critical</t>
        </is>
      </c>
      <c r="E8" s="14"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24" t="n"/>
      <c r="G8" s="24" t="n"/>
      <c r="H8" s="25" t="n"/>
    </row>
    <row r="9">
      <c r="A9" s="26" t="inlineStr">
        <is>
          <t>XD</t>
        </is>
      </c>
      <c r="B9" s="33" t="inlineStr">
        <is>
          <t>Cross-domain consistency</t>
        </is>
      </c>
      <c r="C9" s="33" t="n">
        <v>12</v>
      </c>
      <c r="D9" s="28" t="inlineStr">
        <is>
          <t>High</t>
        </is>
      </c>
      <c r="E9" s="27"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4" t="n"/>
      <c r="G9" s="24" t="n"/>
      <c r="H9" s="25" t="n"/>
    </row>
    <row r="10">
      <c r="A10" s="22" t="inlineStr">
        <is>
          <t>QM</t>
        </is>
      </c>
      <c r="B10" s="32" t="inlineStr">
        <is>
          <t>Query management and recurrence</t>
        </is>
      </c>
      <c r="C10" s="32" t="n">
        <v>6</v>
      </c>
      <c r="D10" s="29" t="inlineStr">
        <is>
          <t>Medium</t>
        </is>
      </c>
      <c r="E10" s="14" t="inlineStr">
        <is>
          <t>Duplicate suppression, answered-but-unresolved escalation, recurrence across data cuts, site-level pattern detection, aging critical queries. Determines whether reviewers trust and adopt the tool.</t>
        </is>
      </c>
      <c r="F10" s="24" t="n"/>
      <c r="G10" s="24" t="n"/>
      <c r="H10" s="25" t="n"/>
    </row>
    <row r="11">
      <c r="B11" s="19" t="inlineStr">
        <is>
          <t>Total</t>
        </is>
      </c>
      <c r="C11" s="19">
        <f>SUM(C4:C10)</f>
        <v/>
      </c>
    </row>
  </sheetData>
  <mergeCells count="2">
    <mergeCell ref="A2:H2"/>
    <mergeCell ref="A1:H1"/>
  </mergeCells>
  <dataValidations count="1">
    <dataValidation sqref="F4:F10" showDropDown="0" showInputMessage="0" showErrorMessage="0" allowBlank="1" type="list">
      <formula1>"Accept,Amend,Reject,Discuss"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6"/>
  <sheetViews>
    <sheetView workbookViewId="0">
      <pane ySplit="3" topLeftCell="A4" activePane="bottomLeft" state="frozen"/>
      <selection pane="bottomLeft" activeCell="A1" sqref="A1"/>
    </sheetView>
  </sheetViews>
  <sheetFormatPr baseColWidth="8" defaultRowHeight="15"/>
  <cols>
    <col width="26" customWidth="1" min="1" max="1"/>
    <col width="40" customWidth="1" min="2" max="2"/>
    <col width="70" customWidth="1" min="3" max="3"/>
  </cols>
  <sheetData>
    <row r="1" ht="26" customHeight="1">
      <c r="A1" s="11" t="inlineStr">
        <is>
          <t>Architecture</t>
        </is>
      </c>
    </row>
    <row r="2" ht="16" customHeight="1">
      <c r="A2" s="31" t="inlineStr">
        <is>
          <t>Dependencies point inward only. Rules may not import an LLM client or a database client.</t>
        </is>
      </c>
    </row>
    <row r="3" ht="30" customHeight="1">
      <c r="A3" s="12" t="inlineStr">
        <is>
          <t>Layer</t>
        </is>
      </c>
      <c r="B3" s="12" t="inlineStr">
        <is>
          <t>Responsibility</t>
        </is>
      </c>
      <c r="C3" s="12" t="inlineStr"/>
    </row>
    <row r="4">
      <c r="A4" s="22" t="inlineStr">
        <is>
          <t>Adapters (inbound)</t>
        </is>
      </c>
      <c r="B4" s="14" t="inlineStr">
        <is>
          <t>Read SDTM and EDC extracts and query history; validate structurally; map to the canonical model. One module per source profile.</t>
        </is>
      </c>
      <c r="C4" s="32" t="inlineStr"/>
    </row>
    <row r="5">
      <c r="A5" s="26" t="inlineStr">
        <is>
          <t>Domain</t>
        </is>
      </c>
      <c r="B5" s="27" t="inlineStr">
        <is>
          <t>Canonical entities, enumerations, protocol configuration. No I/O, no LLM.</t>
        </is>
      </c>
      <c r="C5" s="33" t="inlineStr"/>
    </row>
    <row r="6">
      <c r="A6" s="22" t="inlineStr">
        <is>
          <t>Derivations</t>
        </is>
      </c>
      <c r="B6" s="14" t="inlineStr">
        <is>
          <t>Pure functions producing derived timepoints and subject summaries. Exhaustively unit-tested.</t>
        </is>
      </c>
      <c r="C6" s="32" t="inlineStr"/>
    </row>
    <row r="7">
      <c r="A7" s="26" t="inlineStr">
        <is>
          <t>Rules</t>
        </is>
      </c>
      <c r="B7" s="27" t="inlineStr">
        <is>
          <t>Declarative rule modules producing raw findings with structured evidence.</t>
        </is>
      </c>
      <c r="C7" s="33" t="inlineStr"/>
    </row>
    <row r="8">
      <c r="A8" s="22" t="inlineStr">
        <is>
          <t>Assembly</t>
        </is>
      </c>
      <c r="B8" s="14" t="inlineStr">
        <is>
          <t>Adjudication, query reconciliation, deduplication, prioritisation, narrative composition.</t>
        </is>
      </c>
      <c r="C8" s="32" t="inlineStr"/>
    </row>
    <row r="9">
      <c r="A9" s="26" t="inlineStr">
        <is>
          <t>Ports (outbound)</t>
        </is>
      </c>
      <c r="B9" s="27" t="inlineStr">
        <is>
          <t>LLM provider adapters, persistence, export, notification. Interface-defined and swappable.</t>
        </is>
      </c>
      <c r="C9" s="33" t="inlineStr"/>
    </row>
    <row r="10">
      <c r="A10" s="22" t="inlineStr">
        <is>
          <t>Presentation</t>
        </is>
      </c>
      <c r="B10" s="14" t="inlineStr">
        <is>
          <t>Read-only API for the web application plus disposition write-back.</t>
        </is>
      </c>
      <c r="C10" s="32" t="inlineStr"/>
    </row>
    <row r="12">
      <c r="A12" s="6" t="inlineStr">
        <is>
          <t>Technology proposal (pending OQ-07)</t>
        </is>
      </c>
    </row>
    <row r="13" ht="30" customHeight="1">
      <c r="A13" s="12" t="inlineStr">
        <is>
          <t>Area</t>
        </is>
      </c>
      <c r="B13" s="12" t="inlineStr">
        <is>
          <t>Proposal</t>
        </is>
      </c>
      <c r="C13" s="12" t="inlineStr">
        <is>
          <t>Rationale</t>
        </is>
      </c>
    </row>
    <row r="14">
      <c r="A14" s="22" t="inlineStr">
        <is>
          <t>Engine language</t>
        </is>
      </c>
      <c r="B14" s="32" t="inlineStr">
        <is>
          <t>Python 3.11+</t>
        </is>
      </c>
      <c r="C14" s="14" t="inlineStr">
        <is>
          <t>Clinical programming teams already read Python; strong data tooling; simple on-premise packaging.</t>
        </is>
      </c>
    </row>
    <row r="15">
      <c r="A15" s="26" t="inlineStr">
        <is>
          <t>Validation</t>
        </is>
      </c>
      <c r="B15" s="33" t="inlineStr">
        <is>
          <t>Pydantic models generated from the JSON contracts</t>
        </is>
      </c>
      <c r="C15" s="27" t="inlineStr">
        <is>
          <t>Contract and code cannot drift; validation errors are themselves reportable findings.</t>
        </is>
      </c>
    </row>
    <row r="16">
      <c r="A16" s="22" t="inlineStr">
        <is>
          <t>API</t>
        </is>
      </c>
      <c r="B16" s="32" t="inlineStr">
        <is>
          <t>FastAPI</t>
        </is>
      </c>
      <c r="C16" s="14" t="inlineStr">
        <is>
          <t>Schema-first, generates OpenAPI for the front end.</t>
        </is>
      </c>
    </row>
    <row r="17">
      <c r="A17" s="26" t="inlineStr">
        <is>
          <t>Web application</t>
        </is>
      </c>
      <c r="B17" s="33" t="inlineStr">
        <is>
          <t>React + TypeScript</t>
        </is>
      </c>
      <c r="C17" s="27" t="inlineStr">
        <is>
          <t>Matches the interaction complexity of commercial review tools; mature data-grid ecosystem.</t>
        </is>
      </c>
    </row>
    <row r="18">
      <c r="A18" s="22" t="inlineStr">
        <is>
          <t>Persistence</t>
        </is>
      </c>
      <c r="B18" s="32" t="inlineStr">
        <is>
          <t>PostgreSQL</t>
        </is>
      </c>
      <c r="C18" s="14" t="inlineStr">
        <is>
          <t>Run history, findings, dispositions and audit trail need relational integrity and retention.</t>
        </is>
      </c>
    </row>
    <row r="19">
      <c r="A19" s="26" t="inlineStr">
        <is>
          <t>LLM access</t>
        </is>
      </c>
      <c r="B19" s="33" t="inlineStr">
        <is>
          <t>Internal gateway with per-provider adapters</t>
        </is>
      </c>
      <c r="C19" s="27" t="inlineStr">
        <is>
          <t>Central place for redaction, rate limiting, logging and model pinning.</t>
        </is>
      </c>
    </row>
    <row r="20">
      <c r="A20" s="22" t="inlineStr">
        <is>
          <t>Deployment</t>
        </is>
      </c>
      <c r="B20" s="32" t="inlineStr">
        <is>
          <t>Containerised, fully on-premise capable</t>
        </is>
      </c>
      <c r="C20" s="14" t="inlineStr">
        <is>
          <t>Required for the local-LLM, no-external-egress configuration.</t>
        </is>
      </c>
    </row>
    <row r="22">
      <c r="A22" s="6" t="inlineStr">
        <is>
          <t>Deployment modes</t>
        </is>
      </c>
    </row>
    <row r="23" ht="30" customHeight="1">
      <c r="A23" s="12" t="inlineStr">
        <is>
          <t>Mode</t>
        </is>
      </c>
      <c r="B23" s="12" t="inlineStr">
        <is>
          <t>Name</t>
        </is>
      </c>
      <c r="C23" s="12" t="inlineStr">
        <is>
          <t>Description</t>
        </is>
      </c>
    </row>
    <row r="24">
      <c r="A24" s="22" t="inlineStr">
        <is>
          <t>A</t>
        </is>
      </c>
      <c r="B24" s="32" t="inlineStr">
        <is>
          <t>Cloud-assisted</t>
        </is>
      </c>
      <c r="C24" s="14" t="inlineStr">
        <is>
          <t>Commercial LLM API for narrative and adjudication. Requires an approved data transfer path and de-identification.</t>
        </is>
      </c>
    </row>
    <row r="25">
      <c r="A25" s="26" t="inlineStr">
        <is>
          <t>B</t>
        </is>
      </c>
      <c r="B25" s="33" t="inlineStr">
        <is>
          <t>On-premise with local LLM</t>
        </is>
      </c>
      <c r="C25" s="27" t="inlineStr">
        <is>
          <t>GLM or equivalent served internally; no subject data leaves the network. Expected steady-state mode.</t>
        </is>
      </c>
    </row>
    <row r="26">
      <c r="A26" s="22" t="inlineStr">
        <is>
          <t>C</t>
        </is>
      </c>
      <c r="B26" s="32" t="inlineStr">
        <is>
          <t>Deterministic-only</t>
        </is>
      </c>
      <c r="C26" s="14" t="inlineStr">
        <is>
          <t>No LLM. Full rule coverage with template-rendered narratives. Usable where any model access is prohibited.</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2" customWidth="1" min="3" max="3"/>
  </cols>
  <sheetData>
    <row r="1" ht="26" customHeight="1">
      <c r="A1" s="11" t="inlineStr">
        <is>
          <t>Web application concept</t>
        </is>
      </c>
    </row>
    <row r="2" ht="16" customHeight="1">
      <c r="A2" s="31" t="inlineStr">
        <is>
          <t>Final component design is produced and approved at Step 4 before any application code is written.</t>
        </is>
      </c>
    </row>
    <row r="3" ht="30" customHeight="1">
      <c r="A3" s="12" t="inlineStr">
        <is>
          <t>ID</t>
        </is>
      </c>
      <c r="B3" s="12" t="inlineStr">
        <is>
          <t>Screen</t>
        </is>
      </c>
      <c r="C3" s="12" t="inlineStr">
        <is>
          <t>Contents</t>
        </is>
      </c>
    </row>
    <row r="4">
      <c r="A4" s="22" t="inlineStr">
        <is>
          <t>S1</t>
        </is>
      </c>
      <c r="B4" s="32" t="inlineStr">
        <is>
          <t>Review dashboard</t>
        </is>
      </c>
      <c r="C4" s="14" t="inlineStr">
        <is>
          <t>Run summary, findings by severity and family, top sites and subjects, open critical items, trend since last run.</t>
        </is>
      </c>
    </row>
    <row r="5">
      <c r="A5" s="26" t="inlineStr">
        <is>
          <t>S2</t>
        </is>
      </c>
      <c r="B5" s="33" t="inlineStr">
        <is>
          <t>Issue worklist</t>
        </is>
      </c>
      <c r="C5" s="27" t="inlineStr">
        <is>
          <t>Filterable, sortable, groupable list; columns for severity, family, subject, visit, query link status, priority; bulk disposition.</t>
        </is>
      </c>
    </row>
    <row r="6">
      <c r="A6" s="22" t="inlineStr">
        <is>
          <t>S3</t>
        </is>
      </c>
      <c r="B6" s="32" t="inlineStr">
        <is>
          <t>Finding detail</t>
        </is>
      </c>
      <c r="C6" s="14" t="inlineStr">
        <is>
          <t>The five reviewer-facing elements, evidence table of observed versus expected, derivation trace, guideline citation, linked queries, query draft editor, disposition controls.</t>
        </is>
      </c>
    </row>
    <row r="7">
      <c r="A7" s="26" t="inlineStr">
        <is>
          <t>S4</t>
        </is>
      </c>
      <c r="B7" s="33" t="inlineStr">
        <is>
          <t>Subject tumor 360</t>
        </is>
      </c>
      <c r="C7" s="27" t="inlineStr">
        <is>
          <t>Lesion table across visits with a measurement heatmap, sum and nadir chart, response timeline reported versus derived, all findings and queries for the subject.</t>
        </is>
      </c>
    </row>
    <row r="8">
      <c r="A8" s="22" t="inlineStr">
        <is>
          <t>S5</t>
        </is>
      </c>
      <c r="B8" s="32" t="inlineStr">
        <is>
          <t>Cross-subject analytics</t>
        </is>
      </c>
      <c r="C8" s="14" t="inlineStr">
        <is>
          <t>Waterfall, spider and swimmer plots; rule-level and site-level issue rates.</t>
        </is>
      </c>
    </row>
    <row r="9">
      <c r="A9" s="26" t="inlineStr">
        <is>
          <t>S6</t>
        </is>
      </c>
      <c r="B9" s="33" t="inlineStr">
        <is>
          <t>Query workbench</t>
        </is>
      </c>
      <c r="C9" s="27" t="inlineStr">
        <is>
          <t>All agent-originated queries and their lifecycle; recurrence and aging views.</t>
        </is>
      </c>
    </row>
    <row r="10">
      <c r="A10" s="22" t="inlineStr">
        <is>
          <t>S7</t>
        </is>
      </c>
      <c r="B10" s="32" t="inlineStr">
        <is>
          <t>Configuration and versions</t>
        </is>
      </c>
      <c r="C10" s="14" t="inlineStr">
        <is>
          <t>Protocol configuration, active rule pack, model and prompt versions, run history with provenance.</t>
        </is>
      </c>
    </row>
    <row r="12">
      <c r="A12" s="6" t="inlineStr">
        <is>
          <t>Interaction patterns to emulate from established clinical review platforms</t>
        </is>
      </c>
    </row>
    <row r="13">
      <c r="B13" s="9" t="inlineStr">
        <is>
          <t>•  Issue worklist with faceted filtering, saved views and bulk actions.</t>
        </is>
      </c>
    </row>
    <row r="14">
      <c r="B14" s="9" t="inlineStr">
        <is>
          <t>•  Subject 360 — one page collecting all data relevant to a subject's issues.</t>
        </is>
      </c>
    </row>
    <row r="15">
      <c r="B15" s="9" t="inlineStr">
        <is>
          <t>•  Listing-plus-detail: click a row, get the full evidence panel without navigating away.</t>
        </is>
      </c>
    </row>
    <row r="16">
      <c r="B16" s="9" t="inlineStr">
        <is>
          <t>•  Source-versus-derived side-by-side comparison with differences highlighted.</t>
        </is>
      </c>
    </row>
    <row r="17">
      <c r="B17" s="9" t="inlineStr">
        <is>
          <t>•  Longitudinal visualisations standard in oncology review: waterfall, spider, swimmer.</t>
        </is>
      </c>
    </row>
    <row r="18">
      <c r="B18" s="9" t="inlineStr">
        <is>
          <t>•  Query drafting and issuance inline with the finding, editable before issue.</t>
        </is>
      </c>
    </row>
    <row r="19">
      <c r="B19" s="9" t="inlineStr">
        <is>
          <t>•  Signal and trend dashboard by site and by rule for risk-based monitoring.</t>
        </is>
      </c>
    </row>
    <row r="20">
      <c r="B20" s="9" t="inlineStr">
        <is>
          <t>•  Complete audit trail on every disposition and every version of a finding.</t>
        </is>
      </c>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5" customWidth="1" min="3" max="3"/>
    <col width="46" customWidth="1" min="4" max="4"/>
    <col width="40" customWidth="1" min="5" max="5"/>
    <col width="60" customWidth="1" min="6" max="6"/>
  </cols>
  <sheetData>
    <row r="1" ht="26" customHeight="1">
      <c r="A1" s="11" t="inlineStr">
        <is>
          <t>Delivery steps</t>
        </is>
      </c>
    </row>
    <row r="2" ht="30" customHeight="1">
      <c r="A2" s="12" t="inlineStr">
        <is>
          <t>Step</t>
        </is>
      </c>
      <c r="B2" s="12" t="inlineStr">
        <is>
          <t>Name</t>
        </is>
      </c>
      <c r="C2" s="12" t="inlineStr">
        <is>
          <t>Status</t>
        </is>
      </c>
      <c r="D2" s="12" t="inlineStr">
        <is>
          <t>Deliverable</t>
        </is>
      </c>
      <c r="E2" s="12" t="inlineStr">
        <is>
          <t>Entry criteria</t>
        </is>
      </c>
      <c r="F2" s="12" t="inlineStr">
        <is>
          <t>Exit criteria</t>
        </is>
      </c>
    </row>
    <row r="3">
      <c r="A3" s="22" t="n">
        <v>1</v>
      </c>
      <c r="B3" s="32" t="inlineStr">
        <is>
          <t>Development plan</t>
        </is>
      </c>
      <c r="C3" s="32" t="inlineStr">
        <is>
          <t>In review</t>
        </is>
      </c>
      <c r="D3" s="14" t="inlineStr">
        <is>
          <t>TEA-PLAN-001 — XML, version controlled.</t>
        </is>
      </c>
      <c r="E3" s="14" t="inlineStr">
        <is>
          <t>Requirements and considerations provided by the sponsor.</t>
        </is>
      </c>
      <c r="F3" s="14" t="inlineStr">
        <is>
          <t>Review completed; open questions OQ-01 to OQ-14 answered or explicitly deferred with an accepted working assumption; plan approved at version 1.0.0.</t>
        </is>
      </c>
    </row>
    <row r="4">
      <c r="A4" s="26" t="n">
        <v>2</v>
      </c>
      <c r="B4" s="33" t="inlineStr">
        <is>
          <t>Programming specification</t>
        </is>
      </c>
      <c r="C4" s="33" t="inlineStr">
        <is>
          <t>Draft provided</t>
        </is>
      </c>
      <c r="D4" s="27" t="inlineStr">
        <is>
          <t>TEA-SPEC-001 — XML, including the machine-readable rule catalog and the input/output data contracts.</t>
        </is>
      </c>
      <c r="E4" s="27" t="inlineStr">
        <is>
          <t>Approved plan; confirmed data contracts; access to a de-identified sample extract.</t>
        </is>
      </c>
      <c r="F4" s="27" t="inlineStr">
        <is>
          <t>Every review point reviewed and accepted, amended or removed by CDM and the Medical Monitor; rule pack frozen at 1.0.0; each rule has agreed severity and message templates.</t>
        </is>
      </c>
    </row>
    <row r="5">
      <c r="A5" s="22" t="n">
        <v>3</v>
      </c>
      <c r="B5" s="32" t="inlineStr">
        <is>
          <t>Prototype output on dummy data</t>
        </is>
      </c>
      <c r="C5" s="32" t="inlineStr">
        <is>
          <t>Not started</t>
        </is>
      </c>
      <c r="D5" s="14" t="inlineStr">
        <is>
          <t>Curated dummy dataset exercising normal and exceptional cases, plus the agent's findings rendered for human reading.</t>
        </is>
      </c>
      <c r="E5" s="14" t="inlineStr">
        <is>
          <t>Approved specification.</t>
        </is>
      </c>
      <c r="F5" s="14" t="inlineStr">
        <is>
          <t>Reviewers confirm findings are correct, sufficiently explained and correctly prioritised; measured precision and recall meet agreed thresholds.</t>
        </is>
      </c>
    </row>
    <row r="6">
      <c r="A6" s="26" t="n">
        <v>4</v>
      </c>
      <c r="B6" s="33" t="inlineStr">
        <is>
          <t>Web application UI design</t>
        </is>
      </c>
      <c r="C6" s="33" t="inlineStr">
        <is>
          <t>Not started</t>
        </is>
      </c>
      <c r="D6" s="27" t="inlineStr">
        <is>
          <t>High-level component design first, then a final UI design with concrete components and interaction states.</t>
        </is>
      </c>
      <c r="E6" s="27" t="inlineStr">
        <is>
          <t>Approved prototype output; agreed finding contract.</t>
        </is>
      </c>
      <c r="F6" s="27" t="inlineStr">
        <is>
          <t>Final design approved. No application code before this approval.</t>
        </is>
      </c>
    </row>
    <row r="7">
      <c r="A7" s="22" t="n">
        <v>5</v>
      </c>
      <c r="B7" s="32" t="inlineStr">
        <is>
          <t>Code generation</t>
        </is>
      </c>
      <c r="C7" s="32" t="inlineStr">
        <is>
          <t>Not started</t>
        </is>
      </c>
      <c r="D7" s="14" t="inlineStr">
        <is>
          <t>Engine, rule pack, API and web application with automated tests, plus the validation package.</t>
        </is>
      </c>
      <c r="E7" s="14" t="inlineStr">
        <is>
          <t>Approved UI design and specification.</t>
        </is>
      </c>
      <c r="F7" s="14" t="inlineStr">
        <is>
          <t>All rules implemented with tests; golden dataset regression green; conformance suite green across configured LLM providers; validation documentation complete.</t>
        </is>
      </c>
    </row>
    <row r="8">
      <c r="A8" s="26" t="n">
        <v>6</v>
      </c>
      <c r="B8" s="33" t="inlineStr">
        <is>
          <t>Finalisation</t>
        </is>
      </c>
      <c r="C8" s="33" t="inlineStr">
        <is>
          <t>Not started</t>
        </is>
      </c>
      <c r="D8" s="27" t="inlineStr">
        <is>
          <t>Released application, user documentation, training material, support and change-control model.</t>
        </is>
      </c>
      <c r="E8" s="27" t="inlineStr">
        <is>
          <t>Successful UAT on at least one real, de-identified study.</t>
        </is>
      </c>
      <c r="F8" s="27" t="inlineStr">
        <is>
          <t>Release approved; version 1.0.0 tagged across documents, rule pack and code; post-release monitoring in place.</t>
        </is>
      </c>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8" customWidth="1" min="4" max="4"/>
    <col width="10" customWidth="1" min="5" max="5"/>
    <col width="12" customWidth="1" min="6" max="6"/>
    <col width="20" customWidth="1" min="7" max="7"/>
  </cols>
  <sheetData>
    <row r="1" ht="26" customHeight="1">
      <c r="A1" s="11" t="inlineStr">
        <is>
          <t>Requirements — 17 functional, 11 non-functional, 7 regulatory</t>
        </is>
      </c>
    </row>
    <row r="2" ht="30" customHeight="1">
      <c r="A2" s="12" t="inlineStr">
        <is>
          <t>ID</t>
        </is>
      </c>
      <c r="B2" s="12" t="inlineStr">
        <is>
          <t>Type</t>
        </is>
      </c>
      <c r="C2" s="12" t="inlineStr">
        <is>
          <t>Category</t>
        </is>
      </c>
      <c r="D2" s="12" t="inlineStr">
        <is>
          <t>Requirement</t>
        </is>
      </c>
      <c r="E2" s="12" t="inlineStr">
        <is>
          <t>Priority</t>
        </is>
      </c>
      <c r="F2" s="12" t="inlineStr">
        <is>
          <t>Decision</t>
        </is>
      </c>
      <c r="G2" s="12" t="inlineStr">
        <is>
          <t>Reviewer</t>
        </is>
      </c>
    </row>
    <row r="3">
      <c r="A3" s="22" t="inlineStr">
        <is>
          <t>FR-01</t>
        </is>
      </c>
      <c r="B3" s="32" t="inlineStr">
        <is>
          <t>Functional</t>
        </is>
      </c>
      <c r="C3" s="32" t="inlineStr">
        <is>
          <t>Derivation</t>
        </is>
      </c>
      <c r="D3" s="14" t="inlineStr">
        <is>
          <t>Re-derive all RECIST and iRECIST quantities per timepoint and per subject from lesion-level data.</t>
        </is>
      </c>
      <c r="E3" s="23" t="inlineStr">
        <is>
          <t>Must</t>
        </is>
      </c>
      <c r="F3" s="24" t="n"/>
      <c r="G3" s="24" t="n"/>
      <c r="H3" s="25" t="n"/>
    </row>
    <row r="4">
      <c r="A4" s="26" t="inlineStr">
        <is>
          <t>FR-02</t>
        </is>
      </c>
      <c r="B4" s="33" t="inlineStr">
        <is>
          <t>Functional</t>
        </is>
      </c>
      <c r="C4" s="33" t="inlineStr">
        <is>
          <t>Detection</t>
        </is>
      </c>
      <c r="D4" s="27" t="inlineStr">
        <is>
          <t>Compare derived versus reported values and raise a finding on any discrepancy beyond configured tolerance.</t>
        </is>
      </c>
      <c r="E4" s="28" t="inlineStr">
        <is>
          <t>Must</t>
        </is>
      </c>
      <c r="F4" s="24" t="n"/>
      <c r="G4" s="24" t="n"/>
      <c r="H4" s="25" t="n"/>
    </row>
    <row r="5">
      <c r="A5" s="22" t="inlineStr">
        <is>
          <t>FR-03</t>
        </is>
      </c>
      <c r="B5" s="32" t="inlineStr">
        <is>
          <t>Functional</t>
        </is>
      </c>
      <c r="C5" s="32" t="inlineStr">
        <is>
          <t>Detection</t>
        </is>
      </c>
      <c r="D5" s="14" t="inlineStr">
        <is>
          <t>Evaluate the full rule catalog per run, with applicability driven by guideline version and protocol configuration.</t>
        </is>
      </c>
      <c r="E5" s="23" t="inlineStr">
        <is>
          <t>Must</t>
        </is>
      </c>
      <c r="F5" s="24" t="n"/>
      <c r="G5" s="24" t="n"/>
      <c r="H5" s="25" t="n"/>
    </row>
    <row r="6">
      <c r="A6" s="26" t="inlineStr">
        <is>
          <t>FR-04</t>
        </is>
      </c>
      <c r="B6" s="33" t="inlineStr">
        <is>
          <t>Functional</t>
        </is>
      </c>
      <c r="C6" s="33" t="inlineStr">
        <is>
          <t>Output</t>
        </is>
      </c>
      <c r="D6" s="27" t="inlineStr">
        <is>
          <t>Emit for each finding the five reviewer-facing elements plus structured evidence and guideline citations.</t>
        </is>
      </c>
      <c r="E6" s="28" t="inlineStr">
        <is>
          <t>Must</t>
        </is>
      </c>
      <c r="F6" s="24" t="n"/>
      <c r="G6" s="24" t="n"/>
      <c r="H6" s="25" t="n"/>
    </row>
    <row r="7">
      <c r="A7" s="22" t="inlineStr">
        <is>
          <t>FR-05</t>
        </is>
      </c>
      <c r="B7" s="32" t="inlineStr">
        <is>
          <t>Functional</t>
        </is>
      </c>
      <c r="C7" s="32" t="inlineStr">
        <is>
          <t>Query</t>
        </is>
      </c>
      <c r="D7" s="14" t="inlineStr">
        <is>
          <t>Import query history and classify each finding's relation to it; suppress duplicates and escalate answered-but-unresolved cases.</t>
        </is>
      </c>
      <c r="E7" s="23" t="inlineStr">
        <is>
          <t>Must</t>
        </is>
      </c>
      <c r="F7" s="24" t="n"/>
      <c r="G7" s="24" t="n"/>
      <c r="H7" s="25" t="n"/>
    </row>
    <row r="8">
      <c r="A8" s="26" t="inlineStr">
        <is>
          <t>FR-06</t>
        </is>
      </c>
      <c r="B8" s="33" t="inlineStr">
        <is>
          <t>Functional</t>
        </is>
      </c>
      <c r="C8" s="33" t="inlineStr">
        <is>
          <t>Configuration</t>
        </is>
      </c>
      <c r="D8" s="27" t="inlineStr">
        <is>
          <t>Support selectable guideline rule packs with per-study configuration overriding guideline defaults.</t>
        </is>
      </c>
      <c r="E8" s="28" t="inlineStr">
        <is>
          <t>Must</t>
        </is>
      </c>
      <c r="F8" s="24" t="n"/>
      <c r="G8" s="24" t="n"/>
      <c r="H8" s="25" t="n"/>
    </row>
    <row r="9">
      <c r="A9" s="22" t="inlineStr">
        <is>
          <t>FR-07</t>
        </is>
      </c>
      <c r="B9" s="32" t="inlineStr">
        <is>
          <t>Functional</t>
        </is>
      </c>
      <c r="C9" s="32" t="inlineStr">
        <is>
          <t>Interoperability</t>
        </is>
      </c>
      <c r="D9" s="14" t="inlineStr">
        <is>
          <t>Run with any configured LLM provider, including a local GLM deployment, and in deterministic-only mode.</t>
        </is>
      </c>
      <c r="E9" s="23" t="inlineStr">
        <is>
          <t>Must</t>
        </is>
      </c>
      <c r="F9" s="24" t="n"/>
      <c r="G9" s="24" t="n"/>
      <c r="H9" s="25" t="n"/>
    </row>
    <row r="10">
      <c r="A10" s="26" t="inlineStr">
        <is>
          <t>FR-08</t>
        </is>
      </c>
      <c r="B10" s="33" t="inlineStr">
        <is>
          <t>Functional</t>
        </is>
      </c>
      <c r="C10" s="33" t="inlineStr">
        <is>
          <t>Provenance</t>
        </is>
      </c>
      <c r="D10" s="27" t="inlineStr">
        <is>
          <t>Persist every run with a full provenance stamp and support re-running a historical run for reproduction.</t>
        </is>
      </c>
      <c r="E10" s="28" t="inlineStr">
        <is>
          <t>Must</t>
        </is>
      </c>
      <c r="F10" s="24" t="n"/>
      <c r="G10" s="24" t="n"/>
      <c r="H10" s="25" t="n"/>
    </row>
    <row r="11">
      <c r="A11" s="22" t="inlineStr">
        <is>
          <t>FR-09</t>
        </is>
      </c>
      <c r="B11" s="32" t="inlineStr">
        <is>
          <t>Functional</t>
        </is>
      </c>
      <c r="C11" s="32" t="inlineStr">
        <is>
          <t>Audit</t>
        </is>
      </c>
      <c r="D11" s="14" t="inlineStr">
        <is>
          <t>Record reviewer disposition per finding with attribution, timestamp and reason; maintain an immutable audit trail.</t>
        </is>
      </c>
      <c r="E11" s="23" t="inlineStr">
        <is>
          <t>Must</t>
        </is>
      </c>
      <c r="F11" s="24" t="n"/>
      <c r="G11" s="24" t="n"/>
      <c r="H11" s="25" t="n"/>
    </row>
    <row r="12">
      <c r="A12" s="26" t="inlineStr">
        <is>
          <t>FR-10</t>
        </is>
      </c>
      <c r="B12" s="33" t="inlineStr">
        <is>
          <t>Functional</t>
        </is>
      </c>
      <c r="C12" s="33" t="inlineStr">
        <is>
          <t>Output</t>
        </is>
      </c>
      <c r="D12" s="27" t="inlineStr">
        <is>
          <t>Deduplicate and cascade-group findings so one root cause is presented once with linked consequences.</t>
        </is>
      </c>
      <c r="E12" s="28" t="inlineStr">
        <is>
          <t>Must</t>
        </is>
      </c>
      <c r="F12" s="24" t="n"/>
      <c r="G12" s="24" t="n"/>
      <c r="H12" s="25" t="n"/>
    </row>
    <row r="13">
      <c r="A13" s="22" t="inlineStr">
        <is>
          <t>FR-11</t>
        </is>
      </c>
      <c r="B13" s="32" t="inlineStr">
        <is>
          <t>Functional</t>
        </is>
      </c>
      <c r="C13" s="32" t="inlineStr">
        <is>
          <t>Output</t>
        </is>
      </c>
      <c r="D13" s="14" t="inlineStr">
        <is>
          <t>Prioritise findings by a transparent, inspectable score.</t>
        </is>
      </c>
      <c r="E13" s="23" t="inlineStr">
        <is>
          <t>Must</t>
        </is>
      </c>
      <c r="F13" s="24" t="n"/>
      <c r="G13" s="24" t="n"/>
      <c r="H13" s="25" t="n"/>
    </row>
    <row r="14">
      <c r="A14" s="26" t="inlineStr">
        <is>
          <t>FR-12</t>
        </is>
      </c>
      <c r="B14" s="33" t="inlineStr">
        <is>
          <t>Functional</t>
        </is>
      </c>
      <c r="C14" s="33" t="inlineStr">
        <is>
          <t>Detection</t>
        </is>
      </c>
      <c r="D14" s="27" t="inlineStr">
        <is>
          <t>Compare investigator and BICR assessments where both are collected and flag discordance.</t>
        </is>
      </c>
      <c r="E14" s="30" t="inlineStr">
        <is>
          <t>Should</t>
        </is>
      </c>
      <c r="F14" s="24" t="n"/>
      <c r="G14" s="24" t="n"/>
      <c r="H14" s="25" t="n"/>
    </row>
    <row r="15">
      <c r="A15" s="22" t="inlineStr">
        <is>
          <t>FR-13</t>
        </is>
      </c>
      <c r="B15" s="32" t="inlineStr">
        <is>
          <t>Functional</t>
        </is>
      </c>
      <c r="C15" s="32" t="inlineStr">
        <is>
          <t>Output</t>
        </is>
      </c>
      <c r="D15" s="14" t="inlineStr">
        <is>
          <t>Export findings to XLSX and CSV plus a formatted report for offline review and the trial master file.</t>
        </is>
      </c>
      <c r="E15" s="29" t="inlineStr">
        <is>
          <t>Should</t>
        </is>
      </c>
      <c r="F15" s="24" t="n"/>
      <c r="G15" s="24" t="n"/>
      <c r="H15" s="25" t="n"/>
    </row>
    <row r="16">
      <c r="A16" s="26" t="inlineStr">
        <is>
          <t>FR-14</t>
        </is>
      </c>
      <c r="B16" s="33" t="inlineStr">
        <is>
          <t>Functional</t>
        </is>
      </c>
      <c r="C16" s="33" t="inlineStr">
        <is>
          <t>Detection</t>
        </is>
      </c>
      <c r="D16" s="27" t="inlineStr">
        <is>
          <t>Detect recurrence of the same issue across runs and across sites; surface site-level patterns.</t>
        </is>
      </c>
      <c r="E16" s="30" t="inlineStr">
        <is>
          <t>Should</t>
        </is>
      </c>
      <c r="F16" s="24" t="n"/>
      <c r="G16" s="24" t="n"/>
      <c r="H16" s="25" t="n"/>
    </row>
    <row r="17">
      <c r="A17" s="22" t="inlineStr">
        <is>
          <t>FR-15</t>
        </is>
      </c>
      <c r="B17" s="32" t="inlineStr">
        <is>
          <t>Functional</t>
        </is>
      </c>
      <c r="C17" s="32" t="inlineStr">
        <is>
          <t>UI</t>
        </is>
      </c>
      <c r="D17" s="14" t="inlineStr">
        <is>
          <t>Provide the subject 360 view with lesion history, derived quantities and longitudinal charts.</t>
        </is>
      </c>
      <c r="E17" s="29" t="inlineStr">
        <is>
          <t>Should</t>
        </is>
      </c>
      <c r="F17" s="24" t="n"/>
      <c r="G17" s="24" t="n"/>
      <c r="H17" s="25" t="n"/>
    </row>
    <row r="18">
      <c r="A18" s="26" t="inlineStr">
        <is>
          <t>FR-16</t>
        </is>
      </c>
      <c r="B18" s="33" t="inlineStr">
        <is>
          <t>Functional</t>
        </is>
      </c>
      <c r="C18" s="33" t="inlineStr">
        <is>
          <t>Performance</t>
        </is>
      </c>
      <c r="D18" s="27" t="inlineStr">
        <is>
          <t>Support incremental runs processing only data changed since the previous snapshot.</t>
        </is>
      </c>
      <c r="E18" s="36" t="inlineStr">
        <is>
          <t>Could</t>
        </is>
      </c>
      <c r="F18" s="24" t="n"/>
      <c r="G18" s="24" t="n"/>
      <c r="H18" s="25" t="n"/>
    </row>
    <row r="19">
      <c r="A19" s="22" t="inlineStr">
        <is>
          <t>FR-17</t>
        </is>
      </c>
      <c r="B19" s="32" t="inlineStr">
        <is>
          <t>Functional</t>
        </is>
      </c>
      <c r="C19" s="32" t="inlineStr">
        <is>
          <t>Configuration</t>
        </is>
      </c>
      <c r="D19" s="14" t="inlineStr">
        <is>
          <t>Allow reviewer-authored suppression rules for known-acceptable patterns, with expiry and audit.</t>
        </is>
      </c>
      <c r="E19" s="37" t="inlineStr">
        <is>
          <t>Could</t>
        </is>
      </c>
      <c r="F19" s="24" t="n"/>
      <c r="G19" s="24" t="n"/>
      <c r="H19" s="25" t="n"/>
    </row>
    <row r="20">
      <c r="A20" s="26" t="inlineStr">
        <is>
          <t>NFR-01</t>
        </is>
      </c>
      <c r="B20" s="33" t="inlineStr">
        <is>
          <t>Non-functional</t>
        </is>
      </c>
      <c r="C20" s="33" t="inlineStr">
        <is>
          <t>Reproducibility</t>
        </is>
      </c>
      <c r="D20" s="27" t="inlineStr">
        <is>
          <t>Given the same input snapshot, configuration and versions, deterministic findings are identical across runs and across LLM providers.</t>
        </is>
      </c>
      <c r="E20" s="28" t="inlineStr">
        <is>
          <t>Must</t>
        </is>
      </c>
      <c r="F20" s="24" t="n"/>
      <c r="G20" s="24" t="n"/>
      <c r="H20" s="25" t="n"/>
    </row>
    <row r="21">
      <c r="A21" s="22" t="inlineStr">
        <is>
          <t>NFR-02</t>
        </is>
      </c>
      <c r="B21" s="32" t="inlineStr">
        <is>
          <t>Non-functional</t>
        </is>
      </c>
      <c r="C21" s="32" t="inlineStr">
        <is>
          <t>Maintainability</t>
        </is>
      </c>
      <c r="D21" s="14" t="inlineStr">
        <is>
          <t>Adding a review point requires only a new rule module, its fixtures and a catalog entry — no engine change. Verified by a CI check.</t>
        </is>
      </c>
      <c r="E21" s="23" t="inlineStr">
        <is>
          <t>Must</t>
        </is>
      </c>
      <c r="F21" s="24" t="n"/>
      <c r="G21" s="24" t="n"/>
      <c r="H21" s="25" t="n"/>
    </row>
    <row r="22">
      <c r="A22" s="26" t="inlineStr">
        <is>
          <t>NFR-03</t>
        </is>
      </c>
      <c r="B22" s="33" t="inlineStr">
        <is>
          <t>Non-functional</t>
        </is>
      </c>
      <c r="C22" s="33" t="inlineStr">
        <is>
          <t>Performance</t>
        </is>
      </c>
      <c r="D22" s="27" t="inlineStr">
        <is>
          <t>500 subjects with 12 assessments each complete a deterministic full run in under 5 minutes on standard hardware.</t>
        </is>
      </c>
      <c r="E22" s="28" t="inlineStr">
        <is>
          <t>Must</t>
        </is>
      </c>
      <c r="F22" s="24" t="n"/>
      <c r="G22" s="24" t="n"/>
      <c r="H22" s="25" t="n"/>
    </row>
    <row r="23">
      <c r="A23" s="22" t="inlineStr">
        <is>
          <t>NFR-04</t>
        </is>
      </c>
      <c r="B23" s="32" t="inlineStr">
        <is>
          <t>Non-functional</t>
        </is>
      </c>
      <c r="C23" s="32" t="inlineStr">
        <is>
          <t>Performance</t>
        </is>
      </c>
      <c r="D23" s="14" t="inlineStr">
        <is>
          <t>Web application list views respond within 2 seconds at 10,000 findings.</t>
        </is>
      </c>
      <c r="E23" s="29" t="inlineStr">
        <is>
          <t>Should</t>
        </is>
      </c>
      <c r="F23" s="24" t="n"/>
      <c r="G23" s="24" t="n"/>
      <c r="H23" s="25" t="n"/>
    </row>
    <row r="24">
      <c r="A24" s="26" t="inlineStr">
        <is>
          <t>NFR-05</t>
        </is>
      </c>
      <c r="B24" s="33" t="inlineStr">
        <is>
          <t>Non-functional</t>
        </is>
      </c>
      <c r="C24" s="33" t="inlineStr">
        <is>
          <t>Portability</t>
        </is>
      </c>
      <c r="D24" s="27" t="inlineStr">
        <is>
          <t>No single LLM call exceeds a 32k-token prompt budget, so smaller local models remain viable; evidence is pre-summarised deterministically.</t>
        </is>
      </c>
      <c r="E24" s="28" t="inlineStr">
        <is>
          <t>Must</t>
        </is>
      </c>
      <c r="F24" s="24" t="n"/>
      <c r="G24" s="24" t="n"/>
      <c r="H24" s="25" t="n"/>
    </row>
    <row r="25">
      <c r="A25" s="22" t="inlineStr">
        <is>
          <t>NFR-06</t>
        </is>
      </c>
      <c r="B25" s="32" t="inlineStr">
        <is>
          <t>Non-functional</t>
        </is>
      </c>
      <c r="C25" s="32" t="inlineStr">
        <is>
          <t>Security</t>
        </is>
      </c>
      <c r="D25" s="14" t="inlineStr">
        <is>
          <t>Role-based access; subject data encrypted at rest and in transit; egress policy enforced by configuration.</t>
        </is>
      </c>
      <c r="E25" s="23" t="inlineStr">
        <is>
          <t>Must</t>
        </is>
      </c>
      <c r="F25" s="24" t="n"/>
      <c r="G25" s="24" t="n"/>
      <c r="H25" s="25" t="n"/>
    </row>
    <row r="26">
      <c r="A26" s="26" t="inlineStr">
        <is>
          <t>NFR-07</t>
        </is>
      </c>
      <c r="B26" s="33" t="inlineStr">
        <is>
          <t>Non-functional</t>
        </is>
      </c>
      <c r="C26" s="33" t="inlineStr">
        <is>
          <t>Compliance</t>
        </is>
      </c>
      <c r="D26" s="27" t="inlineStr">
        <is>
          <t>Audit trail meeting ALCOA+ expectations on all human actions and agent runs; records retained per sponsor policy.</t>
        </is>
      </c>
      <c r="E26" s="28" t="inlineStr">
        <is>
          <t>Must</t>
        </is>
      </c>
      <c r="F26" s="24" t="n"/>
      <c r="G26" s="24" t="n"/>
      <c r="H26" s="25" t="n"/>
    </row>
    <row r="27">
      <c r="A27" s="22" t="inlineStr">
        <is>
          <t>NFR-08</t>
        </is>
      </c>
      <c r="B27" s="32" t="inlineStr">
        <is>
          <t>Non-functional</t>
        </is>
      </c>
      <c r="C27" s="32" t="inlineStr">
        <is>
          <t>Usability</t>
        </is>
      </c>
      <c r="D27" s="14" t="inlineStr">
        <is>
          <t>A reviewer can go from a finding to full context and back in a single click, with no loss of filter state.</t>
        </is>
      </c>
      <c r="E27" s="29" t="inlineStr">
        <is>
          <t>Should</t>
        </is>
      </c>
      <c r="F27" s="24" t="n"/>
      <c r="G27" s="24" t="n"/>
      <c r="H27" s="25" t="n"/>
    </row>
    <row r="28">
      <c r="A28" s="26" t="inlineStr">
        <is>
          <t>NFR-09</t>
        </is>
      </c>
      <c r="B28" s="33" t="inlineStr">
        <is>
          <t>Non-functional</t>
        </is>
      </c>
      <c r="C28" s="33" t="inlineStr">
        <is>
          <t>Reliability</t>
        </is>
      </c>
      <c r="D28" s="27" t="inlineStr">
        <is>
          <t>An LLM outage degrades the system to deterministic-only mode rather than failing the run.</t>
        </is>
      </c>
      <c r="E28" s="28" t="inlineStr">
        <is>
          <t>Must</t>
        </is>
      </c>
      <c r="F28" s="24" t="n"/>
      <c r="G28" s="24" t="n"/>
      <c r="H28" s="25" t="n"/>
    </row>
    <row r="29">
      <c r="A29" s="22" t="inlineStr">
        <is>
          <t>NFR-10</t>
        </is>
      </c>
      <c r="B29" s="32" t="inlineStr">
        <is>
          <t>Non-functional</t>
        </is>
      </c>
      <c r="C29" s="32" t="inlineStr">
        <is>
          <t>Observability</t>
        </is>
      </c>
      <c r="D29" s="14" t="inlineStr">
        <is>
          <t>Every run emits metrics: rule hit counts, adjudication rates, model latency and failure rates, disposition outcomes.</t>
        </is>
      </c>
      <c r="E29" s="29" t="inlineStr">
        <is>
          <t>Should</t>
        </is>
      </c>
      <c r="F29" s="24" t="n"/>
      <c r="G29" s="24" t="n"/>
      <c r="H29" s="25" t="n"/>
    </row>
    <row r="30">
      <c r="A30" s="26" t="inlineStr">
        <is>
          <t>NFR-11</t>
        </is>
      </c>
      <c r="B30" s="33" t="inlineStr">
        <is>
          <t>Non-functional</t>
        </is>
      </c>
      <c r="C30" s="33" t="inlineStr">
        <is>
          <t>Internationalisation</t>
        </is>
      </c>
      <c r="D30" s="27" t="inlineStr">
        <is>
          <t>Query text templates support multiple languages where sites require them.</t>
        </is>
      </c>
      <c r="E30" s="36" t="inlineStr">
        <is>
          <t>Could</t>
        </is>
      </c>
      <c r="F30" s="24" t="n"/>
      <c r="G30" s="24" t="n"/>
      <c r="H30" s="25" t="n"/>
    </row>
    <row r="31">
      <c r="A31" s="22" t="inlineStr">
        <is>
          <t>REG-01</t>
        </is>
      </c>
      <c r="B31" s="32" t="inlineStr">
        <is>
          <t>Regulatory</t>
        </is>
      </c>
      <c r="C31" s="32" t="inlineStr">
        <is>
          <t>Intended use</t>
        </is>
      </c>
      <c r="D31" s="14" t="inlineStr">
        <is>
          <t>The system is decision support; a qualified human makes every determination and issues every query.</t>
        </is>
      </c>
      <c r="E31" s="23" t="inlineStr">
        <is>
          <t>Must</t>
        </is>
      </c>
      <c r="F31" s="24" t="n"/>
      <c r="G31" s="24" t="n"/>
      <c r="H31" s="25" t="n"/>
    </row>
    <row r="32">
      <c r="A32" s="26" t="inlineStr">
        <is>
          <t>REG-02</t>
        </is>
      </c>
      <c r="B32" s="33" t="inlineStr">
        <is>
          <t>Regulatory</t>
        </is>
      </c>
      <c r="C32" s="33" t="inlineStr">
        <is>
          <t>Validation</t>
        </is>
      </c>
      <c r="D32" s="27" t="inlineStr">
        <is>
          <t>Risk-based validation consistent with GAMP 5 (2nd ed.) and the FDA Computer Software Assurance approach, scaled to intended use and data-integrity impact.</t>
        </is>
      </c>
      <c r="E32" s="28" t="inlineStr">
        <is>
          <t>Must</t>
        </is>
      </c>
      <c r="F32" s="24" t="n"/>
      <c r="G32" s="24" t="n"/>
      <c r="H32" s="25" t="n"/>
    </row>
    <row r="33">
      <c r="A33" s="22" t="inlineStr">
        <is>
          <t>REG-03</t>
        </is>
      </c>
      <c r="B33" s="32" t="inlineStr">
        <is>
          <t>Regulatory</t>
        </is>
      </c>
      <c r="C33" s="32" t="inlineStr">
        <is>
          <t>Records</t>
        </is>
      </c>
      <c r="D33" s="14" t="inlineStr">
        <is>
          <t>Where used in a GxP process, 21 CFR Part 11 and EU Annex 11 expectations apply to audit trail, access control and record retention.</t>
        </is>
      </c>
      <c r="E33" s="23" t="inlineStr">
        <is>
          <t>Must</t>
        </is>
      </c>
      <c r="F33" s="24" t="n"/>
      <c r="G33" s="24" t="n"/>
      <c r="H33" s="25" t="n"/>
    </row>
    <row r="34">
      <c r="A34" s="26" t="inlineStr">
        <is>
          <t>REG-04</t>
        </is>
      </c>
      <c r="B34" s="33" t="inlineStr">
        <is>
          <t>Regulatory</t>
        </is>
      </c>
      <c r="C34" s="33" t="inlineStr">
        <is>
          <t>Traceability</t>
        </is>
      </c>
      <c r="D34" s="27" t="inlineStr">
        <is>
          <t>Specification-to-test traceability: every requirement and every rule traces to at least one test case.</t>
        </is>
      </c>
      <c r="E34" s="28" t="inlineStr">
        <is>
          <t>Must</t>
        </is>
      </c>
      <c r="F34" s="24" t="n"/>
      <c r="G34" s="24" t="n"/>
      <c r="H34" s="25" t="n"/>
    </row>
    <row r="35">
      <c r="A35" s="22" t="inlineStr">
        <is>
          <t>REG-05</t>
        </is>
      </c>
      <c r="B35" s="32" t="inlineStr">
        <is>
          <t>Regulatory</t>
        </is>
      </c>
      <c r="C35" s="32" t="inlineStr">
        <is>
          <t>Change control</t>
        </is>
      </c>
      <c r="D35" s="14" t="inlineStr">
        <is>
          <t>Rule pack and prompt changes follow documented review and approval, with impact assessment on previously issued findings.</t>
        </is>
      </c>
      <c r="E35" s="23" t="inlineStr">
        <is>
          <t>Must</t>
        </is>
      </c>
      <c r="F35" s="24" t="n"/>
      <c r="G35" s="24" t="n"/>
      <c r="H35" s="25" t="n"/>
    </row>
    <row r="36">
      <c r="A36" s="26" t="inlineStr">
        <is>
          <t>REG-06</t>
        </is>
      </c>
      <c r="B36" s="33" t="inlineStr">
        <is>
          <t>Regulatory</t>
        </is>
      </c>
      <c r="C36" s="33" t="inlineStr">
        <is>
          <t>GCP</t>
        </is>
      </c>
      <c r="D36" s="27" t="inlineStr">
        <is>
          <t>Alignment with ICH E6(R3) expectations on risk-proportionate, quality-by-design monitoring approaches.</t>
        </is>
      </c>
      <c r="E36" s="30" t="inlineStr">
        <is>
          <t>Should</t>
        </is>
      </c>
      <c r="F36" s="24" t="n"/>
      <c r="G36" s="24" t="n"/>
      <c r="H36" s="25" t="n"/>
    </row>
    <row r="37">
      <c r="A37" s="22" t="inlineStr">
        <is>
          <t>REG-07</t>
        </is>
      </c>
      <c r="B37" s="32" t="inlineStr">
        <is>
          <t>Regulatory</t>
        </is>
      </c>
      <c r="C37" s="32" t="inlineStr">
        <is>
          <t>Privacy</t>
        </is>
      </c>
      <c r="D37" s="14" t="inlineStr">
        <is>
          <t>Data privacy assessment completed before any subject data reaches an external model; deterministic-only or on-premise mode used until it is.</t>
        </is>
      </c>
      <c r="E37" s="23" t="inlineStr">
        <is>
          <t>Must</t>
        </is>
      </c>
      <c r="F37" s="24" t="n"/>
      <c r="G37" s="24" t="n"/>
      <c r="H37" s="25" t="n"/>
    </row>
  </sheetData>
  <autoFilter ref="A2:G37"/>
  <mergeCells count="1">
    <mergeCell ref="A1:G1"/>
  </mergeCells>
  <dataValidations count="1">
    <dataValidation sqref="F3:F37" showDropDown="0" showInputMessage="0" showErrorMessage="0" allowBlank="1" type="list">
      <formula1>"Accept,Amend,Reject,Discuss"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8" customWidth="1" min="5" max="5"/>
    <col width="62" customWidth="1" min="6" max="6"/>
    <col width="34" customWidth="1" min="7" max="7"/>
    <col width="12" customWidth="1" min="8" max="8"/>
    <col width="20" customWidth="1" min="9" max="9"/>
  </cols>
  <sheetData>
    <row r="1" ht="26" customHeight="1">
      <c r="A1" s="11" t="inlineStr">
        <is>
          <t>Risk register</t>
        </is>
      </c>
    </row>
    <row r="2" ht="30" customHeight="1">
      <c r="A2" s="12" t="inlineStr">
        <is>
          <t>ID</t>
        </is>
      </c>
      <c r="B2" s="12" t="inlineStr">
        <is>
          <t>Category</t>
        </is>
      </c>
      <c r="C2" s="12" t="inlineStr">
        <is>
          <t>Likelihood</t>
        </is>
      </c>
      <c r="D2" s="12" t="inlineStr">
        <is>
          <t>Impact</t>
        </is>
      </c>
      <c r="E2" s="12" t="inlineStr">
        <is>
          <t>Risk</t>
        </is>
      </c>
      <c r="F2" s="12" t="inlineStr">
        <is>
          <t>Mitigation</t>
        </is>
      </c>
      <c r="G2" s="12" t="inlineStr">
        <is>
          <t>Residual</t>
        </is>
      </c>
      <c r="H2" s="12" t="inlineStr">
        <is>
          <t>Decision</t>
        </is>
      </c>
      <c r="I2" s="12" t="inlineStr">
        <is>
          <t>Reviewer</t>
        </is>
      </c>
    </row>
    <row r="3">
      <c r="A3" s="22" t="inlineStr">
        <is>
          <t>RSK-01</t>
        </is>
      </c>
      <c r="B3" s="32" t="inlineStr">
        <is>
          <t>AI quality</t>
        </is>
      </c>
      <c r="C3" s="23" t="inlineStr">
        <is>
          <t>High</t>
        </is>
      </c>
      <c r="D3" s="23" t="inlineStr">
        <is>
          <t>High</t>
        </is>
      </c>
      <c r="E3" s="14" t="inlineStr">
        <is>
          <t>The model fabricates or subtly misstates facts in the narrative, and a reviewer acts on the narrative rather than the evidence.</t>
        </is>
      </c>
      <c r="F3" s="14" t="inlineStr">
        <is>
          <t>Narrative rendered from a validated evidence object; numbers injected from computed values, not generated; evidence table always displayed adjacent to the narrative; template fallback available.</t>
        </is>
      </c>
      <c r="G3" s="14" t="inlineStr">
        <is>
          <t>Low-moderate, mitigated further by training reviewers that the evidence panel is authoritative.</t>
        </is>
      </c>
      <c r="H3" s="25" t="n"/>
      <c r="I3" s="25" t="n"/>
    </row>
    <row r="4">
      <c r="A4" s="26" t="inlineStr">
        <is>
          <t>RSK-02</t>
        </is>
      </c>
      <c r="B4" s="33" t="inlineStr">
        <is>
          <t>AI quality</t>
        </is>
      </c>
      <c r="C4" s="28" t="inlineStr">
        <is>
          <t>High</t>
        </is>
      </c>
      <c r="D4" s="30" t="inlineStr">
        <is>
          <t>Medium</t>
        </is>
      </c>
      <c r="E4" s="27" t="inlineStr">
        <is>
          <t>False positives erode trust and the tool is abandoned.</t>
        </is>
      </c>
      <c r="F4" s="27" t="inlineStr">
        <is>
          <t>False-positive guards per rule; query-history suppression; prioritisation; Step 3 tuning against a scored dummy dataset; mandatory rejection reason codes; an INFO tier for low-confidence signals.</t>
        </is>
      </c>
      <c r="G4" s="27" t="inlineStr">
        <is>
          <t>Moderate — managed as an ongoing metric, not a one-time fix.</t>
        </is>
      </c>
      <c r="H4" s="25" t="n"/>
      <c r="I4" s="25" t="n"/>
    </row>
    <row r="5">
      <c r="A5" s="22" t="inlineStr">
        <is>
          <t>RSK-03</t>
        </is>
      </c>
      <c r="B5" s="32" t="inlineStr">
        <is>
          <t>AI quality</t>
        </is>
      </c>
      <c r="C5" s="29" t="inlineStr">
        <is>
          <t>Medium</t>
        </is>
      </c>
      <c r="D5" s="23" t="inlineStr">
        <is>
          <t>High</t>
        </is>
      </c>
      <c r="E5" s="14" t="inlineStr">
        <is>
          <t>False negatives: reviewers assume full coverage and stop looking, while the agent misses an issue class.</t>
        </is>
      </c>
      <c r="F5" s="14" t="inlineStr">
        <is>
          <t>Published coverage statement per rule family; the UI states what was checked and what was not; recall measured on the golden dataset; manual review retained for uncovered areas.</t>
        </is>
      </c>
      <c r="G5" s="14" t="inlineStr">
        <is>
          <t>Moderate. Requires clear communication that the agent augments rather than replaces review.</t>
        </is>
      </c>
      <c r="H5" s="25" t="n"/>
      <c r="I5" s="25" t="n"/>
    </row>
    <row r="6">
      <c r="A6" s="26" t="inlineStr">
        <is>
          <t>RSK-04</t>
        </is>
      </c>
      <c r="B6" s="33" t="inlineStr">
        <is>
          <t>Data privacy</t>
        </is>
      </c>
      <c r="C6" s="30" t="inlineStr">
        <is>
          <t>Medium</t>
        </is>
      </c>
      <c r="D6" s="28" t="inlineStr">
        <is>
          <t>High</t>
        </is>
      </c>
      <c r="E6" s="27" t="inlineStr">
        <is>
          <t>Subject data leaves the approved boundary through an external model call.</t>
        </is>
      </c>
      <c r="F6" s="27" t="inlineStr">
        <is>
          <t>Egress policy enforced in configuration; de-identification layer; on-premise GLM as steady-state mode; deterministic-only mode available; prompt logging inside the trust boundary.</t>
        </is>
      </c>
      <c r="G6" s="27" t="inlineStr">
        <is>
          <t>Low once the privacy assessment under REG-07 is complete.</t>
        </is>
      </c>
      <c r="H6" s="25" t="n"/>
      <c r="I6" s="25" t="n"/>
    </row>
    <row r="7">
      <c r="A7" s="22" t="inlineStr">
        <is>
          <t>RSK-05</t>
        </is>
      </c>
      <c r="B7" s="32" t="inlineStr">
        <is>
          <t>Security</t>
        </is>
      </c>
      <c r="C7" s="29" t="inlineStr">
        <is>
          <t>Medium</t>
        </is>
      </c>
      <c r="D7" s="29" t="inlineStr">
        <is>
          <t>Medium</t>
        </is>
      </c>
      <c r="E7" s="14" t="inlineStr">
        <is>
          <t>Prompt injection via site-entered free text, redirecting the agent.</t>
        </is>
      </c>
      <c r="F7" s="14" t="inlineStr">
        <is>
          <t>Free text passed inside an explicit data envelope; output schema-constrained; the LLM cannot alter deterministic verdicts or trigger actions; suspicious instruction-like content is itself flagged.</t>
        </is>
      </c>
      <c r="G7" s="14" t="inlineStr">
        <is>
          <t>Low, because the model has no tool authority over external systems.</t>
        </is>
      </c>
      <c r="H7" s="25" t="n"/>
      <c r="I7" s="25" t="n"/>
    </row>
    <row r="8">
      <c r="A8" s="26" t="inlineStr">
        <is>
          <t>RSK-06</t>
        </is>
      </c>
      <c r="B8" s="33" t="inlineStr">
        <is>
          <t>Guideline interpretation</t>
        </is>
      </c>
      <c r="C8" s="28" t="inlineStr">
        <is>
          <t>High</t>
        </is>
      </c>
      <c r="D8" s="30" t="inlineStr">
        <is>
          <t>Medium</t>
        </is>
      </c>
      <c r="E8" s="27" t="inlineStr">
        <is>
          <t>Genuinely ambiguous guideline areas — reappearing lesions, too-small-to-measure conventions, unequivocal progression thresholds — are implemented one way and the sponsor expects another.</t>
        </is>
      </c>
      <c r="F8" s="27" t="inlineStr">
        <is>
          <t>All ambiguous points surfaced as explicit configuration with a documented default and listed for decision at the Step 2 gate; the specification records the interpretation chosen and its rationale.</t>
        </is>
      </c>
      <c r="G8" s="27" t="inlineStr">
        <is>
          <t>Low after Step 2 sign-off, provided protocol-specific decisions are captured per study.</t>
        </is>
      </c>
      <c r="H8" s="25" t="n"/>
      <c r="I8" s="25" t="n"/>
    </row>
    <row r="9">
      <c r="A9" s="22" t="inlineStr">
        <is>
          <t>RSK-07</t>
        </is>
      </c>
      <c r="B9" s="32" t="inlineStr">
        <is>
          <t>Protocol variability</t>
        </is>
      </c>
      <c r="C9" s="23" t="inlineStr">
        <is>
          <t>High</t>
        </is>
      </c>
      <c r="D9" s="29" t="inlineStr">
        <is>
          <t>Medium</t>
        </is>
      </c>
      <c r="E9" s="14" t="inlineStr">
        <is>
          <t>Each protocol deviates from guideline defaults; hard-coding one study's rules makes the tool unusable for the next.</t>
        </is>
      </c>
      <c r="F9" s="14" t="inlineStr">
        <is>
          <t>Protocol configuration object with every threshold externalised; configuration reviewed and signed off per study; configuration hash recorded in provenance.</t>
        </is>
      </c>
      <c r="G9" s="14" t="inlineStr">
        <is>
          <t>Low.</t>
        </is>
      </c>
      <c r="H9" s="25" t="n"/>
      <c r="I9" s="25" t="n"/>
    </row>
    <row r="10">
      <c r="A10" s="26" t="inlineStr">
        <is>
          <t>RSK-08</t>
        </is>
      </c>
      <c r="B10" s="33" t="inlineStr">
        <is>
          <t>Data availability</t>
        </is>
      </c>
      <c r="C10" s="30" t="inlineStr">
        <is>
          <t>Medium</t>
        </is>
      </c>
      <c r="D10" s="30" t="inlineStr">
        <is>
          <t>Medium</t>
        </is>
      </c>
      <c r="E10" s="27" t="inlineStr">
        <is>
          <t>Fields needed by some rules — slice thickness, prior irradiation, per-modality scan dates — are not collected.</t>
        </is>
      </c>
      <c r="F10" s="27" t="inlineStr">
        <is>
          <t>Rules declare required fields; unavailable fields deactivate the rule with an explicit 'not evaluated' statement in the coverage report rather than a silent pass.</t>
        </is>
      </c>
      <c r="G10" s="27" t="inlineStr">
        <is>
          <t>Low, but reduces coverage; feeds a recommendation on eCRF design.</t>
        </is>
      </c>
      <c r="H10" s="25" t="n"/>
      <c r="I10" s="25" t="n"/>
    </row>
    <row r="11">
      <c r="A11" s="22" t="inlineStr">
        <is>
          <t>RSK-09</t>
        </is>
      </c>
      <c r="B11" s="32" t="inlineStr">
        <is>
          <t>Model portability</t>
        </is>
      </c>
      <c r="C11" s="29" t="inlineStr">
        <is>
          <t>Medium</t>
        </is>
      </c>
      <c r="D11" s="29" t="inlineStr">
        <is>
          <t>Medium</t>
        </is>
      </c>
      <c r="E11" s="14" t="inlineStr">
        <is>
          <t>A local GLM deployment lacks reliable structured output or tool calling, producing malformed responses.</t>
        </is>
      </c>
      <c r="F11" s="14" t="inlineStr">
        <is>
          <t>Capability matrix per adapter; schema validation with bounded repair; deterministic template fallback; conformance suite run per provider before use.</t>
        </is>
      </c>
      <c r="G11" s="14" t="inlineStr">
        <is>
          <t>Low — worst case is degraded narrative quality, never a wrong verdict.</t>
        </is>
      </c>
      <c r="H11" s="25" t="n"/>
      <c r="I11" s="25" t="n"/>
    </row>
    <row r="12">
      <c r="A12" s="26" t="inlineStr">
        <is>
          <t>RSK-10</t>
        </is>
      </c>
      <c r="B12" s="33" t="inlineStr">
        <is>
          <t>Validation</t>
        </is>
      </c>
      <c r="C12" s="30" t="inlineStr">
        <is>
          <t>Medium</t>
        </is>
      </c>
      <c r="D12" s="28" t="inlineStr">
        <is>
          <t>High</t>
        </is>
      </c>
      <c r="E12" s="27" t="inlineStr">
        <is>
          <t>Validation effort is underestimated because the system touches endpoint-critical data.</t>
        </is>
      </c>
      <c r="F12" s="27" t="inlineStr">
        <is>
          <t>Validation approach agreed with QA at the Step 1 gate; risk-based scope; the deterministic-versus-LLM split confines the hardest validation questions to the narrative layer, which does not affect verdicts.</t>
        </is>
      </c>
      <c r="G12" s="27" t="inlineStr">
        <is>
          <t>Moderate until QA sign-off.</t>
        </is>
      </c>
      <c r="H12" s="25" t="n"/>
      <c r="I12" s="25" t="n"/>
    </row>
    <row r="13">
      <c r="A13" s="22" t="inlineStr">
        <is>
          <t>RSK-11</t>
        </is>
      </c>
      <c r="B13" s="32" t="inlineStr">
        <is>
          <t>Adoption</t>
        </is>
      </c>
      <c r="C13" s="29" t="inlineStr">
        <is>
          <t>Medium</t>
        </is>
      </c>
      <c r="D13" s="29" t="inlineStr">
        <is>
          <t>Medium</t>
        </is>
      </c>
      <c r="E13" s="14" t="inlineStr">
        <is>
          <t>Reviewers treat agent output as authoritative — automation bias — and stop applying judgement.</t>
        </is>
      </c>
      <c r="F13" s="14" t="inlineStr">
        <is>
          <t>Findings phrased as suspicions requiring confirmation; confidence and determination mode always visible; training emphasises accountability; rejection is a first-class, frictionless action.</t>
        </is>
      </c>
      <c r="G13" s="14" t="inlineStr">
        <is>
          <t>Moderate; monitored via disposition statistics.</t>
        </is>
      </c>
      <c r="H13" s="25" t="n"/>
      <c r="I13" s="25" t="n"/>
    </row>
    <row r="14">
      <c r="A14" s="26" t="inlineStr">
        <is>
          <t>RSK-12</t>
        </is>
      </c>
      <c r="B14" s="33" t="inlineStr">
        <is>
          <t>Operations</t>
        </is>
      </c>
      <c r="C14" s="30" t="inlineStr">
        <is>
          <t>Medium</t>
        </is>
      </c>
      <c r="D14" s="30" t="inlineStr">
        <is>
          <t>Medium</t>
        </is>
      </c>
      <c r="E14" s="27" t="inlineStr">
        <is>
          <t>Query flooding: a systemic data-entry misunderstanding at one site generates hundreds of findings, overwhelming the site.</t>
        </is>
      </c>
      <c r="F14" s="27" t="inlineStr">
        <is>
          <t>Cascade grouping; site-level pattern detection promoting many findings into one systemic signal; reviewer-controlled issuance; rate awareness in the dashboard.</t>
        </is>
      </c>
      <c r="G14" s="27" t="inlineStr">
        <is>
          <t>Low.</t>
        </is>
      </c>
      <c r="H14" s="25" t="n"/>
      <c r="I14" s="25" t="n"/>
    </row>
    <row r="15">
      <c r="A15" s="22" t="inlineStr">
        <is>
          <t>RSK-13</t>
        </is>
      </c>
      <c r="B15" s="32" t="inlineStr">
        <is>
          <t>Scope</t>
        </is>
      </c>
      <c r="C15" s="29" t="inlineStr">
        <is>
          <t>Medium</t>
        </is>
      </c>
      <c r="D15" s="29" t="inlineStr">
        <is>
          <t>Medium</t>
        </is>
      </c>
      <c r="E15" s="14" t="inlineStr">
        <is>
          <t>Pressure to add other criteria — Lugano, RANO, mRECIST, PCWG3 — before the core is stable.</t>
        </is>
      </c>
      <c r="F15" s="14" t="inlineStr">
        <is>
          <t>Rule pack architecture makes later addition cheap; explicit out-of-scope statement for release 1; a decision gate for each addition.</t>
        </is>
      </c>
      <c r="G15" s="14" t="inlineStr">
        <is>
          <t>Low.</t>
        </is>
      </c>
      <c r="H15" s="25" t="n"/>
      <c r="I15" s="25" t="n"/>
    </row>
    <row r="16">
      <c r="A16" s="26" t="inlineStr">
        <is>
          <t>RSK-14</t>
        </is>
      </c>
      <c r="B16" s="33" t="inlineStr">
        <is>
          <t>Drift</t>
        </is>
      </c>
      <c r="C16" s="30" t="inlineStr">
        <is>
          <t>Medium</t>
        </is>
      </c>
      <c r="D16" s="30" t="inlineStr">
        <is>
          <t>Medium</t>
        </is>
      </c>
      <c r="E16" s="27" t="inlineStr">
        <is>
          <t>Specification and implementation drift as rules are patched under time pressure.</t>
        </is>
      </c>
      <c r="F16" s="27" t="inlineStr">
        <is>
          <t>The rule catalog in the specification is the source artifact for the rule pack; a CI check asserts that every implemented rule exists in the catalog at the same version and vice versa.</t>
        </is>
      </c>
      <c r="G16" s="27" t="inlineStr">
        <is>
          <t>Low.</t>
        </is>
      </c>
      <c r="H16" s="25" t="n"/>
      <c r="I16" s="25" t="n"/>
    </row>
  </sheetData>
  <autoFilter ref="A2:I16"/>
  <mergeCells count="1">
    <mergeCell ref="A1:I1"/>
  </mergeCells>
  <dataValidations count="1">
    <dataValidation sqref="H3:H16" showDropDown="0" showInputMessage="0" showErrorMessage="0" allowBlank="1" type="list">
      <formula1>"Accept,Amend,Reject,Discuss"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7"/>
  <sheetViews>
    <sheetView workbookViewId="0">
      <pane ySplit="3" topLeftCell="A4" activePane="bottomLeft" state="frozen"/>
      <selection pane="bottomLeft" activeCell="A1" sqref="A1"/>
    </sheetView>
  </sheetViews>
  <sheetFormatPr baseColWidth="8" defaultRowHeight="15"/>
  <cols>
    <col width="38" customWidth="1" min="1" max="1"/>
    <col width="96" customWidth="1" min="2" max="2"/>
  </cols>
  <sheetData>
    <row r="1" ht="26" customHeight="1">
      <c r="A1" s="11" t="inlineStr">
        <is>
          <t>Validation and compliance</t>
        </is>
      </c>
    </row>
    <row r="2" ht="16" customHeight="1">
      <c r="A2" s="31" t="inlineStr">
        <is>
          <t>Risk-based and proportionate. Concentrates rigour on deterministic derivations and rules; the narrative layer is verified for accuracy of injected values and absence of unsupported claims.</t>
        </is>
      </c>
    </row>
    <row r="3" ht="30" customHeight="1">
      <c r="A3" s="12" t="inlineStr">
        <is>
          <t>Activity</t>
        </is>
      </c>
      <c r="B3" s="12" t="inlineStr">
        <is>
          <t>Content</t>
        </is>
      </c>
    </row>
    <row r="4">
      <c r="A4" s="22" t="inlineStr">
        <is>
          <t>Requirements traceability matrix</t>
        </is>
      </c>
      <c r="B4" s="14" t="inlineStr">
        <is>
          <t>Requirements → specification sections → rules → test cases → test results.</t>
        </is>
      </c>
    </row>
    <row r="5">
      <c r="A5" s="26" t="inlineStr">
        <is>
          <t>Unit testing</t>
        </is>
      </c>
      <c r="B5" s="27" t="inlineStr">
        <is>
          <t>Every derivation function and every rule with positive, negative and boundary fixtures. Boundary tests explicitly cover the 20%/5 mm PD boundary, the 30% PR boundary, the 10 mm and 15 mm nodal thresholds and the iRECIST 5 mm confirmation increment.</t>
        </is>
      </c>
    </row>
    <row r="6">
      <c r="A6" s="22" t="inlineStr">
        <is>
          <t>Golden dataset regression</t>
        </is>
      </c>
      <c r="B6" s="14" t="inlineStr">
        <is>
          <t>A curated dataset with a signed-off expected finding list, run on every commit. Changes require acknowledgement in the rule pack change history.</t>
        </is>
      </c>
    </row>
    <row r="7">
      <c r="A7" s="26" t="inlineStr">
        <is>
          <t>Provider conformance testing</t>
        </is>
      </c>
      <c r="B7" s="27" t="inlineStr">
        <is>
          <t>The same fixture set through every configured LLM provider. Deterministic verdicts must be identical; narrative outputs scored against a rubric.</t>
        </is>
      </c>
    </row>
    <row r="8">
      <c r="A8" s="22" t="inlineStr">
        <is>
          <t>User acceptance testing</t>
        </is>
      </c>
      <c r="B8" s="14" t="inlineStr">
        <is>
          <t>Reviewers run realistic tasks on a de-identified real study, against criteria agreed at the Step 3 gate.</t>
        </is>
      </c>
    </row>
    <row r="9">
      <c r="A9" s="26" t="inlineStr">
        <is>
          <t>Installation &amp; operational qualification</t>
        </is>
      </c>
      <c r="B9" s="27" t="inlineStr">
        <is>
          <t>Environment, configuration, access control, backup and audit trail verification, scaled per deployment mode.</t>
        </is>
      </c>
    </row>
    <row r="10">
      <c r="A10" s="22" t="inlineStr">
        <is>
          <t>Periodic review</t>
        </is>
      </c>
      <c r="B10" s="14" t="inlineStr">
        <is>
          <t>Rule pack effectiveness reviewed per data cut using disposition statistics; model and prompt versions re-verified when changed.</t>
        </is>
      </c>
    </row>
    <row r="12">
      <c r="A12" s="6" t="inlineStr">
        <is>
          <t>Reference frameworks</t>
        </is>
      </c>
    </row>
    <row r="13">
      <c r="B13" s="38" t="inlineStr">
        <is>
          <t>•  ISPE GAMP 5 (2nd edition) risk-based approach to compliant GxP computerised systems.</t>
        </is>
      </c>
    </row>
    <row r="14">
      <c r="B14" s="38" t="inlineStr">
        <is>
          <t>•  FDA guidance on Computer Software Assurance for production and quality system software.</t>
        </is>
      </c>
    </row>
    <row r="15">
      <c r="B15" s="38" t="inlineStr">
        <is>
          <t>•  21 CFR Part 11 and EU GMP Annex 11 — audit trail, access control, records.</t>
        </is>
      </c>
    </row>
    <row r="16">
      <c r="B16" s="38" t="inlineStr">
        <is>
          <t>•  ICH E6(R3) Good Clinical Practice.</t>
        </is>
      </c>
    </row>
    <row r="17">
      <c r="B17" s="38" t="inlineStr">
        <is>
          <t>•  ALCOA+ data integrity principles.</t>
        </is>
      </c>
    </row>
  </sheetData>
  <mergeCells count="2">
    <mergeCell ref="A2:B2"/>
    <mergeCell ref="A1:B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32" customWidth="1" min="1" max="1"/>
    <col width="46" customWidth="1" min="2" max="2"/>
    <col width="24" customWidth="1" min="3" max="3"/>
  </cols>
  <sheetData>
    <row r="1" ht="26" customHeight="1">
      <c r="A1" s="11" t="inlineStr">
        <is>
          <t>Version control</t>
        </is>
      </c>
    </row>
    <row r="2" ht="16" customHeight="1">
      <c r="A2" s="31" t="inlineStr">
        <is>
          <t>Everything that can change a finding is versioned and stamped into that finding.</t>
        </is>
      </c>
    </row>
    <row r="3" ht="30" customHeight="1">
      <c r="A3" s="12" t="inlineStr">
        <is>
          <t>Artifact</t>
        </is>
      </c>
      <c r="B3" s="12" t="inlineStr">
        <is>
          <t>Scheme</t>
        </is>
      </c>
      <c r="C3" s="12" t="inlineStr">
        <is>
          <t>Tag</t>
        </is>
      </c>
    </row>
    <row r="4">
      <c r="A4" s="22" t="inlineStr">
        <is>
          <t>Development plan</t>
        </is>
      </c>
      <c r="B4" s="32" t="inlineStr">
        <is>
          <t>SemVer</t>
        </is>
      </c>
      <c r="C4" s="39" t="inlineStr">
        <is>
          <t>plan-vX.Y.Z</t>
        </is>
      </c>
    </row>
    <row r="5">
      <c r="A5" s="26" t="inlineStr">
        <is>
          <t>Programming specification</t>
        </is>
      </c>
      <c r="B5" s="33" t="inlineStr">
        <is>
          <t>SemVer</t>
        </is>
      </c>
      <c r="C5" s="40" t="inlineStr">
        <is>
          <t>spec-vX.Y.Z</t>
        </is>
      </c>
    </row>
    <row r="6">
      <c r="A6" s="22" t="inlineStr">
        <is>
          <t>Rule pack</t>
        </is>
      </c>
      <c r="B6" s="32" t="inlineStr">
        <is>
          <t>SemVer, independent of the specification</t>
        </is>
      </c>
      <c r="C6" s="39" t="inlineStr">
        <is>
          <t>rulepack-vX.Y.Z</t>
        </is>
      </c>
    </row>
    <row r="7">
      <c r="A7" s="26" t="inlineStr">
        <is>
          <t>Prompt bundle</t>
        </is>
      </c>
      <c r="B7" s="33" t="inlineStr">
        <is>
          <t>SemVer</t>
        </is>
      </c>
      <c r="C7" s="40" t="inlineStr">
        <is>
          <t>prompts-vX.Y.Z</t>
        </is>
      </c>
    </row>
    <row r="8">
      <c r="A8" s="22" t="inlineStr">
        <is>
          <t>Engine and application</t>
        </is>
      </c>
      <c r="B8" s="32" t="inlineStr">
        <is>
          <t>SemVer</t>
        </is>
      </c>
      <c r="C8" s="39" t="inlineStr">
        <is>
          <t>vX.Y.Z</t>
        </is>
      </c>
    </row>
    <row r="9">
      <c r="A9" s="26" t="inlineStr">
        <is>
          <t>Protocol configuration</t>
        </is>
      </c>
      <c r="B9" s="33" t="inlineStr">
        <is>
          <t>Per-study version plus content hash</t>
        </is>
      </c>
      <c r="C9" s="40" t="inlineStr">
        <is>
          <t>n/a</t>
        </is>
      </c>
    </row>
    <row r="10">
      <c r="A10" s="22" t="inlineStr">
        <is>
          <t>Guideline corpus</t>
        </is>
      </c>
      <c r="B10" s="32" t="inlineStr">
        <is>
          <t>Per-source version plus content hash</t>
        </is>
      </c>
      <c r="C10" s="39" t="inlineStr">
        <is>
          <t>n/a</t>
        </is>
      </c>
    </row>
    <row r="12" ht="42" customHeight="1">
      <c r="A12" s="41" t="inlineStr">
        <is>
          <t>Output versioning</t>
        </is>
      </c>
      <c r="B12" s="9" t="inlineStr">
        <is>
          <t>Findings are never edited in place. A re-run produces a new run with new finding records; findings are correlated across runs by their dedupe key, which lets the UI show first seen, still open, resolved and recurred without mutating history.</t>
        </is>
      </c>
    </row>
    <row r="13" ht="42" customHeight="1">
      <c r="A13" s="41" t="inlineStr">
        <is>
          <t>Branching</t>
        </is>
      </c>
      <c r="B13" s="9" t="inlineStr">
        <is>
          <t>Trunk-based with short-lived feature branches. Rule pack changes require an explicit reviewer from CDM or Medical Monitoring in addition to a technical reviewer.</t>
        </is>
      </c>
    </row>
    <row r="14" ht="42" customHeight="1">
      <c r="A14" s="41" t="inlineStr">
        <is>
          <t>Impact assessment</t>
        </is>
      </c>
      <c r="B14" s="9" t="inlineStr">
        <is>
          <t>Any major rule pack change triggers a documented impact assessment on findings already issued under the previous version.</t>
        </is>
      </c>
    </row>
  </sheetData>
  <mergeCells count="5">
    <mergeCell ref="B13:C13"/>
    <mergeCell ref="A1:C1"/>
    <mergeCell ref="B14:C14"/>
    <mergeCell ref="A2:C2"/>
    <mergeCell ref="B12:C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3" topLeftCell="A4" activePane="bottomLeft" state="frozen"/>
      <selection pane="bottomLeft" activeCell="A1" sqref="A1"/>
    </sheetView>
  </sheetViews>
  <sheetFormatPr baseColWidth="8" defaultRowHeight="15"/>
  <cols>
    <col width="34" customWidth="1" min="1" max="1"/>
    <col width="56" customWidth="1" min="2" max="2"/>
    <col width="38" customWidth="1" min="3" max="3"/>
    <col width="12" customWidth="1" min="4" max="4"/>
    <col width="20" customWidth="1" min="5" max="5"/>
    <col width="34" customWidth="1" min="6" max="6"/>
  </cols>
  <sheetData>
    <row r="1" ht="26" customHeight="1">
      <c r="A1" s="11" t="inlineStr">
        <is>
          <t>Quality metrics</t>
        </is>
      </c>
    </row>
    <row r="2" ht="16" customHeight="1">
      <c r="A2" s="31" t="inlineStr">
        <is>
          <t>Targets are proposed and require confirmation at OQ-09.</t>
        </is>
      </c>
    </row>
    <row r="3" ht="30" customHeight="1">
      <c r="A3" s="12" t="inlineStr">
        <is>
          <t>Metric</t>
        </is>
      </c>
      <c r="B3" s="12" t="inlineStr">
        <is>
          <t>Definition</t>
        </is>
      </c>
      <c r="C3" s="12" t="inlineStr">
        <is>
          <t>Target</t>
        </is>
      </c>
      <c r="D3" s="12" t="inlineStr">
        <is>
          <t>Decision</t>
        </is>
      </c>
      <c r="E3" s="12" t="inlineStr">
        <is>
          <t>Reviewer</t>
        </is>
      </c>
      <c r="F3" s="12" t="inlineStr">
        <is>
          <t>Comment</t>
        </is>
      </c>
    </row>
    <row r="4">
      <c r="A4" s="22" t="inlineStr">
        <is>
          <t>Precision — finding acceptance rate</t>
        </is>
      </c>
      <c r="B4" s="14" t="inlineStr">
        <is>
          <t>Accepted findings ÷ dispositioned findings</t>
        </is>
      </c>
      <c r="C4" s="14" t="inlineStr">
        <is>
          <t>≥ 0.80 for critical and major at release</t>
        </is>
      </c>
      <c r="D4" s="24" t="n"/>
      <c r="E4" s="24" t="n"/>
      <c r="F4" s="25" t="n"/>
    </row>
    <row r="5">
      <c r="A5" s="26" t="inlineStr">
        <is>
          <t>Recall on golden dataset</t>
        </is>
      </c>
      <c r="B5" s="27" t="inlineStr">
        <is>
          <t>Seeded issues detected ÷ seeded issues</t>
        </is>
      </c>
      <c r="C5" s="27" t="inlineStr">
        <is>
          <t>1.00 deterministic; ≥ 0.85 judgement rules</t>
        </is>
      </c>
      <c r="D5" s="24" t="n"/>
      <c r="E5" s="24" t="n"/>
      <c r="F5" s="25" t="n"/>
    </row>
    <row r="6">
      <c r="A6" s="22" t="inlineStr">
        <is>
          <t>Duplicate suppression accuracy</t>
        </is>
      </c>
      <c r="B6" s="14" t="inlineStr">
        <is>
          <t>Correctly suppressed ÷ should-have-been suppressed</t>
        </is>
      </c>
      <c r="C6" s="14" t="inlineStr">
        <is>
          <t>≥ 0.95, zero incorrect critical suppression</t>
        </is>
      </c>
      <c r="D6" s="24" t="n"/>
      <c r="E6" s="24" t="n"/>
      <c r="F6" s="25" t="n"/>
    </row>
    <row r="7">
      <c r="A7" s="26" t="inlineStr">
        <is>
          <t>Narrative faithfulness</t>
        </is>
      </c>
      <c r="B7" s="27" t="inlineStr">
        <is>
          <t>Sampled findings whose narrative contains no statement unsupported by the evidence object</t>
        </is>
      </c>
      <c r="C7" s="27" t="inlineStr">
        <is>
          <t>≥ 0.98, audited per release and model change</t>
        </is>
      </c>
      <c r="D7" s="24" t="n"/>
      <c r="E7" s="24" t="n"/>
      <c r="F7" s="25" t="n"/>
    </row>
    <row r="8">
      <c r="A8" s="22" t="inlineStr">
        <is>
          <t>Time to review</t>
        </is>
      </c>
      <c r="B8" s="14" t="inlineStr">
        <is>
          <t>Median reviewer minutes per subject per data cut versus baseline</t>
        </is>
      </c>
      <c r="C8" s="14" t="inlineStr">
        <is>
          <t>Measured at UAT — the business case</t>
        </is>
      </c>
      <c r="D8" s="24" t="n"/>
      <c r="E8" s="24" t="n"/>
      <c r="F8" s="25" t="n"/>
    </row>
    <row r="9">
      <c r="A9" s="26" t="inlineStr">
        <is>
          <t>Provider verdict identity</t>
        </is>
      </c>
      <c r="B9" s="27" t="inlineStr">
        <is>
          <t>Deterministic verdicts identical across providers</t>
        </is>
      </c>
      <c r="C9" s="27" t="inlineStr">
        <is>
          <t>1.00, enforced by CI</t>
        </is>
      </c>
      <c r="D9" s="24" t="n"/>
      <c r="E9" s="24" t="n"/>
      <c r="F9" s="25" t="n"/>
    </row>
  </sheetData>
  <mergeCells count="2">
    <mergeCell ref="A2:F2"/>
    <mergeCell ref="A1:F1"/>
  </mergeCells>
  <dataValidations count="1">
    <dataValidation sqref="D4:D9" showDropDown="0" showInputMessage="0" showErrorMessage="0" allowBlank="1" type="list">
      <formula1>"Accept,Amend,Reject,Discuss"</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8" customWidth="1" min="3" max="3"/>
    <col width="12" customWidth="1" min="4" max="4"/>
    <col width="20" customWidth="1" min="5" max="5"/>
    <col width="40" customWidth="1" min="6" max="6"/>
  </cols>
  <sheetData>
    <row r="1" ht="26" customHeight="1">
      <c r="A1" s="11" t="inlineStr">
        <is>
          <t>Recommendations</t>
        </is>
      </c>
    </row>
    <row r="2" ht="30" customHeight="1">
      <c r="A2" s="12" t="inlineStr">
        <is>
          <t>ID</t>
        </is>
      </c>
      <c r="B2" s="12" t="inlineStr">
        <is>
          <t>Priority</t>
        </is>
      </c>
      <c r="C2" s="12" t="inlineStr">
        <is>
          <t>Recommendation</t>
        </is>
      </c>
      <c r="D2" s="12" t="inlineStr">
        <is>
          <t>Decision</t>
        </is>
      </c>
      <c r="E2" s="12" t="inlineStr">
        <is>
          <t>Reviewer</t>
        </is>
      </c>
      <c r="F2" s="12" t="inlineStr">
        <is>
          <t>Comment</t>
        </is>
      </c>
    </row>
    <row r="3">
      <c r="A3" s="22" t="inlineStr">
        <is>
          <t>REC-01</t>
        </is>
      </c>
      <c r="B3" s="23" t="inlineStr">
        <is>
          <t>High</t>
        </is>
      </c>
      <c r="C3" s="14" t="inlineStr">
        <is>
          <t>Keep the deterministic-versus-LLM split absolute. It is what makes local-LLM portability, validation and reproducibility tractable at once. Resist letting the model decide borderline cases; make them configuration instead.</t>
        </is>
      </c>
      <c r="D3" s="24" t="n"/>
      <c r="E3" s="24" t="n"/>
      <c r="F3" s="25" t="n"/>
    </row>
    <row r="4">
      <c r="A4" s="26" t="inlineStr">
        <is>
          <t>REC-02</t>
        </is>
      </c>
      <c r="B4" s="28" t="inlineStr">
        <is>
          <t>High</t>
        </is>
      </c>
      <c r="C4" s="27" t="inlineStr">
        <is>
          <t>Treat the rule catalog in the specification as the source of truth from which rule modules are generated or validated. This is the single most effective defence against specification drift over a multi-year maintenance life.</t>
        </is>
      </c>
      <c r="D4" s="24" t="n"/>
      <c r="E4" s="24" t="n"/>
      <c r="F4" s="25" t="n"/>
    </row>
    <row r="5">
      <c r="A5" s="22" t="inlineStr">
        <is>
          <t>REC-03</t>
        </is>
      </c>
      <c r="B5" s="23" t="inlineStr">
        <is>
          <t>High</t>
        </is>
      </c>
      <c r="C5" s="14" t="inlineStr">
        <is>
          <t>Invest in the golden dataset early, during Step 3. It is simultaneously the acceptance criterion, the regression suite and the training material, and costs far less to build before implementation than after.</t>
        </is>
      </c>
      <c r="D5" s="24" t="n"/>
      <c r="E5" s="24" t="n"/>
      <c r="F5" s="25" t="n"/>
    </row>
    <row r="6">
      <c r="A6" s="26" t="inlineStr">
        <is>
          <t>REC-04</t>
        </is>
      </c>
      <c r="B6" s="28" t="inlineStr">
        <is>
          <t>High</t>
        </is>
      </c>
      <c r="C6" s="27" t="inlineStr">
        <is>
          <t>Start with one indication and one protocol, then generalise. Pilot study selection is a live decision: build order is not in question (iRECIST extends RECIST 1.1 and 74 of 84 review points are shared), but an iRECIST pilot maximises learning while a plain RECIST 1.1 pilot is lower risk with cleaner ground truth. Decided by portfolio shape — see OQ-05.</t>
        </is>
      </c>
      <c r="D6" s="24" t="n"/>
      <c r="E6" s="24" t="n"/>
      <c r="F6" s="25" t="n"/>
    </row>
    <row r="7">
      <c r="A7" s="22" t="inlineStr">
        <is>
          <t>REC-05</t>
        </is>
      </c>
      <c r="B7" s="29" t="inlineStr">
        <is>
          <t>Medium</t>
        </is>
      </c>
      <c r="C7" s="14" t="inlineStr">
        <is>
          <t>Report coverage, not just findings. Each run should state which rules ran, which were deactivated for missing data, and which subjects were not evaluable — so a clean report is informative rather than merely empty.</t>
        </is>
      </c>
      <c r="D7" s="24" t="n"/>
      <c r="E7" s="24" t="n"/>
      <c r="F7" s="25" t="n"/>
    </row>
    <row r="8">
      <c r="A8" s="26" t="inlineStr">
        <is>
          <t>REC-06</t>
        </is>
      </c>
      <c r="B8" s="30" t="inlineStr">
        <is>
          <t>Medium</t>
        </is>
      </c>
      <c r="C8" s="27" t="inlineStr">
        <is>
          <t>Feed eCRF design back into the process. Several high-value checks depend on fields often not collected — prior irradiation flag, slice thickness, per-modality scan dates, lesion state vocabulary. Collecting them is cheap at study start-up and unlocks whole rule families.</t>
        </is>
      </c>
      <c r="D8" s="24" t="n"/>
      <c r="E8" s="24" t="n"/>
      <c r="F8" s="25" t="n"/>
    </row>
    <row r="9">
      <c r="A9" s="22" t="inlineStr">
        <is>
          <t>REC-07</t>
        </is>
      </c>
      <c r="B9" s="29" t="inlineStr">
        <is>
          <t>Medium</t>
        </is>
      </c>
      <c r="C9" s="14" t="inlineStr">
        <is>
          <t>Run the agent against the BICR stream as well as the investigator stream where both exist. Investigator-versus-BICR discordance detection is often the highest-yield single check where BICR drives the primary endpoint.</t>
        </is>
      </c>
      <c r="D9" s="24" t="n"/>
      <c r="E9" s="24" t="n"/>
      <c r="F9" s="25" t="n"/>
    </row>
    <row r="10">
      <c r="A10" s="26" t="inlineStr">
        <is>
          <t>REC-08</t>
        </is>
      </c>
      <c r="B10" s="30" t="inlineStr">
        <is>
          <t>Medium</t>
        </is>
      </c>
      <c r="C10" s="27" t="inlineStr">
        <is>
          <t>Make rejection cheap and informative. Reviewer rejection reasons are the primary tuning signal; free-text-only rejection wastes that signal, so use a short coded list plus optional text.</t>
        </is>
      </c>
      <c r="D10" s="24" t="n"/>
      <c r="E10" s="24" t="n"/>
      <c r="F10" s="25" t="n"/>
    </row>
    <row r="11">
      <c r="A11" s="22" t="inlineStr">
        <is>
          <t>REC-09</t>
        </is>
      </c>
      <c r="B11" s="29" t="inlineStr">
        <is>
          <t>Medium</t>
        </is>
      </c>
      <c r="C11" s="14" t="inlineStr">
        <is>
          <t>Pin model versions per study and record them. A silent model upgrade mid-study changes narrative behaviour; deterministic verdicts will not move, but reviewers will notice and lose confidence if the change is unexplained.</t>
        </is>
      </c>
      <c r="D11" s="24" t="n"/>
      <c r="E11" s="24" t="n"/>
      <c r="F11" s="25" t="n"/>
    </row>
    <row r="12">
      <c r="A12" s="26" t="inlineStr">
        <is>
          <t>REC-10</t>
        </is>
      </c>
      <c r="B12" s="36" t="inlineStr">
        <is>
          <t>Low</t>
        </is>
      </c>
      <c r="C12" s="27" t="inlineStr">
        <is>
          <t>Plan for a reviewer notebook — reviewer-authored notes attached to a subject that persist across runs. In practice this is what reviewers ask for first once issue triage works.</t>
        </is>
      </c>
      <c r="D12" s="24" t="n"/>
      <c r="E12" s="24" t="n"/>
      <c r="F12" s="25" t="n"/>
    </row>
  </sheetData>
  <autoFilter ref="A2:F12"/>
  <mergeCells count="1">
    <mergeCell ref="A1:F1"/>
  </mergeCells>
  <dataValidations count="1">
    <dataValidation sqref="D3:D12" showDropDown="0" showInputMessage="0" showErrorMessage="0" allowBlank="1" type="list">
      <formula1>"Accept,Amend,Reject,Discuss"</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10" customWidth="1" min="3" max="3"/>
    <col width="74" customWidth="1" min="4" max="4"/>
    <col width="60" customWidth="1" min="5" max="5"/>
    <col width="40" customWidth="1" min="6" max="6"/>
    <col width="20" customWidth="1" min="7" max="7"/>
    <col width="12" customWidth="1" min="8" max="8"/>
  </cols>
  <sheetData>
    <row r="1" ht="26" customHeight="1">
      <c r="A1" s="11" t="inlineStr">
        <is>
          <t>Open questions — the main input to the Step 1 review</t>
        </is>
      </c>
    </row>
    <row r="2" ht="16" customHeight="1">
      <c r="A2" s="31" t="inlineStr">
        <is>
          <t>Each question carries the working assumption the current drafts rely on. An assumption left unchallenged becomes a commitment that is expensive to reverse after Step 2.</t>
        </is>
      </c>
    </row>
    <row r="3" ht="30" customHeight="1">
      <c r="A3" s="12" t="inlineStr">
        <is>
          <t>ID</t>
        </is>
      </c>
      <c r="B3" s="12" t="inlineStr">
        <is>
          <t>Topic</t>
        </is>
      </c>
      <c r="C3" s="12" t="inlineStr">
        <is>
          <t>Impact</t>
        </is>
      </c>
      <c r="D3" s="12" t="inlineStr">
        <is>
          <t>Question</t>
        </is>
      </c>
      <c r="E3" s="12" t="inlineStr">
        <is>
          <t>Working assumption</t>
        </is>
      </c>
      <c r="F3" s="12" t="inlineStr">
        <is>
          <t>Answer / decision</t>
        </is>
      </c>
      <c r="G3" s="12" t="inlineStr">
        <is>
          <t>Status</t>
        </is>
      </c>
      <c r="H3" s="12" t="inlineStr">
        <is>
          <t>Date</t>
        </is>
      </c>
    </row>
    <row r="4">
      <c r="A4" s="22" t="inlineStr">
        <is>
          <t>OQ-01</t>
        </is>
      </c>
      <c r="B4" s="32" t="inlineStr">
        <is>
          <t>Data source</t>
        </is>
      </c>
      <c r="C4" s="23" t="inlineStr">
        <is>
          <t>High</t>
        </is>
      </c>
      <c r="D4" s="14" t="inlineStr">
        <is>
          <t>Will the agent consume CDISC SDTM (TU/TR/RS) extracts, raw EDC exports, or both? If EDC, which system, and can a de-identified sample extract plus the eCRF specification be provided?</t>
        </is>
      </c>
      <c r="E4" s="14" t="inlineStr">
        <is>
          <t>Both profiles supported; SDTM implemented first because it is standardised.</t>
        </is>
      </c>
      <c r="F4" s="25" t="n"/>
      <c r="G4" s="24" t="n"/>
      <c r="H4" s="24" t="n"/>
    </row>
    <row r="5">
      <c r="A5" s="26" t="inlineStr">
        <is>
          <t>OQ-02</t>
        </is>
      </c>
      <c r="B5" s="33" t="inlineStr">
        <is>
          <t>Query history interface</t>
        </is>
      </c>
      <c r="C5" s="28" t="inlineStr">
        <is>
          <t>High</t>
        </is>
      </c>
      <c r="D5" s="27" t="inlineStr">
        <is>
          <t>What is the source, format and refresh cadence of the query history, and does it contain a machine-readable link to the queried form, field or record? Should approved queries be written back automatically, or exported for manual issuance?</t>
        </is>
      </c>
      <c r="E5" s="27" t="inlineStr">
        <is>
          <t>Imported as a periodic extract with subject, visit, form, field, text, status and dates; issuance is manual export in release 1.</t>
        </is>
      </c>
      <c r="F5" s="25" t="n"/>
      <c r="G5" s="24" t="n"/>
      <c r="H5" s="24" t="n"/>
    </row>
    <row r="6">
      <c r="A6" s="22" t="inlineStr">
        <is>
          <t>OQ-03</t>
        </is>
      </c>
      <c r="B6" s="32" t="inlineStr">
        <is>
          <t>LLM deployment</t>
        </is>
      </c>
      <c r="C6" s="23" t="inlineStr">
        <is>
          <t>High</t>
        </is>
      </c>
      <c r="D6" s="14" t="inlineStr">
        <is>
          <t>Which GLM version and serving stack will be used internally — native API, OpenAI-compatible gateway, vLLM? What context window and throughput are available, and does it support constrained JSON output or tool calling?</t>
        </is>
      </c>
      <c r="E6" s="14" t="inlineStr">
        <is>
          <t>An OpenAI-compatible gateway with JSON mode but without reliable constrained decoding; prompts designed for a 32k budget with schema validation and repair.</t>
        </is>
      </c>
      <c r="F6" s="25" t="n"/>
      <c r="G6" s="24" t="n"/>
      <c r="H6" s="24" t="n"/>
    </row>
    <row r="7">
      <c r="A7" s="26" t="inlineStr">
        <is>
          <t>OQ-04</t>
        </is>
      </c>
      <c r="B7" s="33" t="inlineStr">
        <is>
          <t>Protocol parameters</t>
        </is>
      </c>
      <c r="C7" s="28" t="inlineStr">
        <is>
          <t>High</t>
        </is>
      </c>
      <c r="D7" s="27" t="inlineStr">
        <is>
          <t>For the first target study: is response confirmation required, what is the assessment interval and window, what is the minimum SD duration, is iRECIST in use and with what confirmation window, and are tumor markers used in the CR definition?</t>
        </is>
      </c>
      <c r="E7" s="27" t="inlineStr">
        <is>
          <t>Guideline defaults; confirmation not required; iRECIST confirmation window 4–8 weeks.</t>
        </is>
      </c>
      <c r="F7" s="25" t="n"/>
      <c r="G7" s="24" t="n"/>
      <c r="H7" s="24" t="n"/>
    </row>
    <row r="8">
      <c r="A8" s="22" t="inlineStr">
        <is>
          <t>OQ-05</t>
        </is>
      </c>
      <c r="B8" s="32" t="inlineStr">
        <is>
          <t>Indications</t>
        </is>
      </c>
      <c r="C8" s="29" t="inlineStr">
        <is>
          <t>Medium</t>
        </is>
      </c>
      <c r="D8" s="14" t="inlineStr">
        <is>
          <t>Which indications should release 1 cover, and are there indication-specific conventions in use — bone-only disease handling in breast cancer, pleural effusion and cavitation handling in NSCLC?</t>
        </is>
      </c>
      <c r="E8" s="14" t="inlineStr">
        <is>
          <t>NSCLC and breast cancer, with indication context notes limited to measurability guidance.</t>
        </is>
      </c>
      <c r="F8" s="25" t="n"/>
      <c r="G8" s="24" t="n"/>
      <c r="H8" s="24" t="n"/>
    </row>
    <row r="9">
      <c r="A9" s="26" t="inlineStr">
        <is>
          <t>OQ-06</t>
        </is>
      </c>
      <c r="B9" s="33" t="inlineStr">
        <is>
          <t>Scope of criteria</t>
        </is>
      </c>
      <c r="C9" s="30" t="inlineStr">
        <is>
          <t>Medium</t>
        </is>
      </c>
      <c r="D9" s="27" t="inlineStr">
        <is>
          <t>Is RECIST 1.0 support genuinely needed for active studies, and should mRECIST, Choi, RANO, Lugano or PCWG3 be on the roadmap?</t>
        </is>
      </c>
      <c r="E9" s="27" t="inlineStr">
        <is>
          <t>RECIST 1.0 supported as a rule pack for legacy studies; other criteria out of scope for release 1, architecture kept open.</t>
        </is>
      </c>
      <c r="F9" s="25" t="n"/>
      <c r="G9" s="24" t="n"/>
      <c r="H9" s="24" t="n"/>
    </row>
    <row r="10">
      <c r="A10" s="22" t="inlineStr">
        <is>
          <t>OQ-07</t>
        </is>
      </c>
      <c r="B10" s="32" t="inlineStr">
        <is>
          <t>Technology constraints</t>
        </is>
      </c>
      <c r="C10" s="29" t="inlineStr">
        <is>
          <t>Medium</t>
        </is>
      </c>
      <c r="D10" s="14" t="inlineStr">
        <is>
          <t>Are there mandated platform, language, hosting or authentication standards the solution must adopt — an existing internal web platform, an SSO provider, an approved database?</t>
        </is>
      </c>
      <c r="E10" s="14" t="inlineStr">
        <is>
          <t>Python engine, React front end, PostgreSQL, containerised on-premise deployment.</t>
        </is>
      </c>
      <c r="F10" s="25" t="n"/>
      <c r="G10" s="24" t="n"/>
      <c r="H10" s="24" t="n"/>
    </row>
    <row r="11">
      <c r="A11" s="26" t="inlineStr">
        <is>
          <t>OQ-08</t>
        </is>
      </c>
      <c r="B11" s="33" t="inlineStr">
        <is>
          <t>Users and roles</t>
        </is>
      </c>
      <c r="C11" s="30" t="inlineStr">
        <is>
          <t>Medium</t>
        </is>
      </c>
      <c r="D11" s="27" t="inlineStr">
        <is>
          <t>Which roles need which permissions — data manager, medical monitor, CRA, biostatistician, read-only auditor — and is segregation of duties required between the person who accepts a finding and the person who issues the query?</t>
        </is>
      </c>
      <c r="E11" s="27" t="inlineStr">
        <is>
          <t>Four roles — reviewer, approver, read-only, administrator; approval and issuance may be performed by the same reviewer.</t>
        </is>
      </c>
      <c r="F11" s="25" t="n"/>
      <c r="G11" s="24" t="n"/>
      <c r="H11" s="24" t="n"/>
    </row>
    <row r="12">
      <c r="A12" s="22" t="inlineStr">
        <is>
          <t>OQ-09</t>
        </is>
      </c>
      <c r="B12" s="32" t="inlineStr">
        <is>
          <t>Acceptance thresholds</t>
        </is>
      </c>
      <c r="C12" s="23" t="inlineStr">
        <is>
          <t>High</t>
        </is>
      </c>
      <c r="D12" s="14" t="inlineStr">
        <is>
          <t>Are the proposed precision and recall targets acceptable, and who signs off the golden dataset as the acceptance basis?</t>
        </is>
      </c>
      <c r="E12" s="14" t="inlineStr">
        <is>
          <t>Targets as stated on the Metrics sheet; golden dataset signed off jointly by the CDM lead and the Medical Monitor.</t>
        </is>
      </c>
      <c r="F12" s="25" t="n"/>
      <c r="G12" s="24" t="n"/>
      <c r="H12" s="24" t="n"/>
    </row>
    <row r="13">
      <c r="A13" s="26" t="inlineStr">
        <is>
          <t>OQ-10</t>
        </is>
      </c>
      <c r="B13" s="33" t="inlineStr">
        <is>
          <t>Data privacy</t>
        </is>
      </c>
      <c r="C13" s="28" t="inlineStr">
        <is>
          <t>High</t>
        </is>
      </c>
      <c r="D13" s="27" t="inlineStr">
        <is>
          <t>May subject-level data be sent to a commercial LLM API under existing agreements, or must the first release run on-premise or deterministic-only?</t>
        </is>
      </c>
      <c r="E13" s="27" t="inlineStr">
        <is>
          <t>On-premise or deterministic-only until a privacy assessment is complete.</t>
        </is>
      </c>
      <c r="F13" s="25" t="n"/>
      <c r="G13" s="24" t="n"/>
      <c r="H13" s="24" t="n"/>
    </row>
    <row r="14">
      <c r="A14" s="22" t="inlineStr">
        <is>
          <t>OQ-11</t>
        </is>
      </c>
      <c r="B14" s="32" t="inlineStr">
        <is>
          <t>Language</t>
        </is>
      </c>
      <c r="C14" s="37" t="inlineStr">
        <is>
          <t>Low</t>
        </is>
      </c>
      <c r="D14" s="14" t="inlineStr">
        <is>
          <t>Do any participating sites require query text in a language other than English?</t>
        </is>
      </c>
      <c r="E14" s="14" t="inlineStr">
        <is>
          <t>English only in release 1; templates structured to allow localisation later.</t>
        </is>
      </c>
      <c r="F14" s="25" t="n"/>
      <c r="G14" s="24" t="n"/>
      <c r="H14" s="24" t="n"/>
    </row>
    <row r="15">
      <c r="A15" s="26" t="inlineStr">
        <is>
          <t>OQ-12</t>
        </is>
      </c>
      <c r="B15" s="33" t="inlineStr">
        <is>
          <t>Run cadence and volume</t>
        </is>
      </c>
      <c r="C15" s="30" t="inlineStr">
        <is>
          <t>Medium</t>
        </is>
      </c>
      <c r="D15" s="27" t="inlineStr">
        <is>
          <t>How often should reviews run — on demand, nightly, per data cut — and what are the expected subject and assessment volumes at peak?</t>
        </is>
      </c>
      <c r="E15" s="27" t="inlineStr">
        <is>
          <t>Nightly incremental plus on-demand; sizing per NFR-03.</t>
        </is>
      </c>
      <c r="F15" s="25" t="n"/>
      <c r="G15" s="24" t="n"/>
      <c r="H15" s="24" t="n"/>
    </row>
    <row r="16">
      <c r="A16" s="22" t="inlineStr">
        <is>
          <t>OQ-13</t>
        </is>
      </c>
      <c r="B16" s="32" t="inlineStr">
        <is>
          <t>Independent central review</t>
        </is>
      </c>
      <c r="C16" s="29" t="inlineStr">
        <is>
          <t>Medium</t>
        </is>
      </c>
      <c r="D16" s="14" t="inlineStr">
        <is>
          <t>Is BICR data available to the agent, and at what latency relative to investigator data? Should investigator-versus-BICR discordance be reported, given that some sponsors deliberately keep the streams separate?</t>
        </is>
      </c>
      <c r="E16" s="14" t="inlineStr">
        <is>
          <t>Discordance detection is built but disabled by configuration unless explicitly enabled.</t>
        </is>
      </c>
      <c r="F16" s="25" t="n"/>
      <c r="G16" s="24" t="n"/>
      <c r="H16" s="24" t="n"/>
    </row>
    <row r="17">
      <c r="A17" s="26" t="inlineStr">
        <is>
          <t>OQ-14</t>
        </is>
      </c>
      <c r="B17" s="33" t="inlineStr">
        <is>
          <t>Validation expectations</t>
        </is>
      </c>
      <c r="C17" s="28" t="inlineStr">
        <is>
          <t>High</t>
        </is>
      </c>
      <c r="D17" s="27" t="inlineStr">
        <is>
          <t>What validation deliverables does QA expect for a decision-support system of this type, and is an existing internal AI governance procedure applicable?</t>
        </is>
      </c>
      <c r="E17" s="27" t="inlineStr">
        <is>
          <t>Risk-based validation package as described on the Validation sheet, to be confirmed with QA at the Step 1 gate.</t>
        </is>
      </c>
      <c r="F17" s="25" t="n"/>
      <c r="G17" s="24" t="n"/>
      <c r="H17" s="24" t="n"/>
    </row>
  </sheetData>
  <autoFilter ref="A3:H17"/>
  <mergeCells count="2">
    <mergeCell ref="A2:H2"/>
    <mergeCell ref="A1:H1"/>
  </mergeCells>
  <dataValidations count="1">
    <dataValidation sqref="G4:G17" showDropDown="0" showInputMessage="0" showErrorMessage="0" allowBlank="1" type="list">
      <formula1>"Answered,Assumption accepted,Deferred,Needs discussion"</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7"/>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11" t="inlineStr">
        <is>
          <t>Assumptions</t>
        </is>
      </c>
    </row>
    <row r="2" ht="30" customHeight="1">
      <c r="A2" s="12" t="inlineStr">
        <is>
          <t>ID</t>
        </is>
      </c>
      <c r="B2" s="12" t="inlineStr">
        <is>
          <t>Assumption</t>
        </is>
      </c>
    </row>
    <row r="3">
      <c r="A3" s="22" t="inlineStr">
        <is>
          <t>ASM-01</t>
        </is>
      </c>
      <c r="B3" s="14" t="inlineStr">
        <is>
          <t>Source data is available as a periodic extract; the agent does not connect directly to the production EDC.</t>
        </is>
      </c>
    </row>
    <row r="4">
      <c r="A4" s="26" t="inlineStr">
        <is>
          <t>ASM-02</t>
        </is>
      </c>
      <c r="B4" s="27" t="inlineStr">
        <is>
          <t>Lesion identity is stable across visits and carries a usable link identifier; where it is not, the ingestion layer raises structural findings.</t>
        </is>
      </c>
    </row>
    <row r="5">
      <c r="A5" s="22" t="inlineStr">
        <is>
          <t>ASM-03</t>
        </is>
      </c>
      <c r="B5" s="14" t="inlineStr">
        <is>
          <t>Protocol configuration can be obtained and signed off per study before the first run.</t>
        </is>
      </c>
    </row>
    <row r="6">
      <c r="A6" s="26" t="inlineStr">
        <is>
          <t>ASM-04</t>
        </is>
      </c>
      <c r="B6" s="27" t="inlineStr">
        <is>
          <t>Reviewers, not the agent, remain accountable for every query issued and every issue closed.</t>
        </is>
      </c>
    </row>
    <row r="7">
      <c r="A7" s="22" t="inlineStr">
        <is>
          <t>ASM-05</t>
        </is>
      </c>
      <c r="B7" s="14" t="inlineStr">
        <is>
          <t>Imaging source documents and DICOM are out of reach; all checks operate on collected data.</t>
        </is>
      </c>
    </row>
  </sheetData>
  <mergeCells count="1">
    <mergeCell ref="A1:B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1"/>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11" t="inlineStr">
        <is>
          <t>Glossary</t>
        </is>
      </c>
    </row>
    <row r="2" ht="30" customHeight="1">
      <c r="A2" s="12" t="inlineStr">
        <is>
          <t>Term</t>
        </is>
      </c>
      <c r="B2" s="12" t="inlineStr">
        <is>
          <t>Definition</t>
        </is>
      </c>
    </row>
    <row r="3">
      <c r="A3" s="22" t="inlineStr">
        <is>
          <t>BOR</t>
        </is>
      </c>
      <c r="B3" s="14" t="inlineStr">
        <is>
          <t>Best overall response — the best timepoint response recorded from treatment start until progression, subject to confirmation rules.</t>
        </is>
      </c>
    </row>
    <row r="4">
      <c r="A4" s="26" t="inlineStr">
        <is>
          <t>BICR</t>
        </is>
      </c>
      <c r="B4" s="27" t="inlineStr">
        <is>
          <t>Blinded independent central review.</t>
        </is>
      </c>
    </row>
    <row r="5">
      <c r="A5" s="22" t="inlineStr">
        <is>
          <t>Nadir</t>
        </is>
      </c>
      <c r="B5" s="14" t="inlineStr">
        <is>
          <t>The smallest sum of diameters recorded on study, including baseline; the reference for progression.</t>
        </is>
      </c>
    </row>
    <row r="6">
      <c r="A6" s="26" t="inlineStr">
        <is>
          <t>Non-target lesion</t>
        </is>
      </c>
      <c r="B6" s="27" t="inlineStr">
        <is>
          <t>A lesion recorded at baseline but not measured quantitatively; assessed qualitatively.</t>
        </is>
      </c>
    </row>
    <row r="7">
      <c r="A7" s="22" t="inlineStr">
        <is>
          <t>iUPD / iCPD</t>
        </is>
      </c>
      <c r="B7" s="14" t="inlineStr">
        <is>
          <t>iRECIST unconfirmed and confirmed progressive disease.</t>
        </is>
      </c>
    </row>
    <row r="8">
      <c r="A8" s="26" t="inlineStr">
        <is>
          <t>Unequivocal progression</t>
        </is>
      </c>
      <c r="B8" s="27" t="inlineStr">
        <is>
          <t>Non-target worsening substantial enough to warrant progression, comparable in magnitude to what would be required in measurable disease.</t>
        </is>
      </c>
    </row>
    <row r="9">
      <c r="A9" s="22" t="inlineStr">
        <is>
          <t>Finding</t>
        </is>
      </c>
      <c r="B9" s="14" t="inlineStr">
        <is>
          <t>One suspected issue produced by the agent for human review.</t>
        </is>
      </c>
    </row>
    <row r="10">
      <c r="A10" s="26" t="inlineStr">
        <is>
          <t>Rule pack</t>
        </is>
      </c>
      <c r="B10" s="27" t="inlineStr">
        <is>
          <t>The versioned collection of review points applicable to a guideline version.</t>
        </is>
      </c>
    </row>
    <row r="11">
      <c r="A11" s="22" t="inlineStr">
        <is>
          <t>Dedupe key</t>
        </is>
      </c>
      <c r="B11" s="14" t="inlineStr">
        <is>
          <t>The stable identity of an issue across runs, independent of the run that produced it.</t>
        </is>
      </c>
    </row>
  </sheetData>
  <mergeCells count="1">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0"/>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11" t="inlineStr">
        <is>
          <t>References</t>
        </is>
      </c>
    </row>
    <row r="2" ht="30" customHeight="1">
      <c r="A2" s="12" t="inlineStr">
        <is>
          <t>ID</t>
        </is>
      </c>
      <c r="B2" s="12" t="inlineStr">
        <is>
          <t>Reference</t>
        </is>
      </c>
    </row>
    <row r="3">
      <c r="A3" s="22" t="inlineStr">
        <is>
          <t>R-01</t>
        </is>
      </c>
      <c r="B3" s="14" t="inlineStr">
        <is>
          <t>Eisenhauer EA, Therasse P, Bogaerts J, et al. New response evaluation criteria in solid tumours: revised RECIST guideline (version 1.1). Eur J Cancer. 2009;45(2):228-247.</t>
        </is>
      </c>
    </row>
    <row r="4">
      <c r="A4" s="26" t="inlineStr">
        <is>
          <t>R-02</t>
        </is>
      </c>
      <c r="B4" s="27" t="inlineStr">
        <is>
          <t>Therasse P, Arbuck SG, Eisenhauer EA, et al. New guidelines to evaluate the response to treatment in solid tumors. J Natl Cancer Inst. 2000;92(3):205-216.</t>
        </is>
      </c>
    </row>
    <row r="5">
      <c r="A5" s="22" t="inlineStr">
        <is>
          <t>R-03</t>
        </is>
      </c>
      <c r="B5" s="14" t="inlineStr">
        <is>
          <t>Seymour L, Bogaerts J, Perrone A, et al. iRECIST: guidelines for response criteria for use in trials testing immunotherapeutics. Lancet Oncol. 2017;18(3):e143-e152.</t>
        </is>
      </c>
    </row>
    <row r="6">
      <c r="A6" s="26" t="inlineStr">
        <is>
          <t>R-04</t>
        </is>
      </c>
      <c r="B6" s="27" t="inlineStr">
        <is>
          <t>Schwartz LH, Litiere S, de Vries E, et al. RECIST 1.1 - update and clarification: from the RECIST committee. Eur J Cancer. 2016;62:132-137.</t>
        </is>
      </c>
    </row>
    <row r="7">
      <c r="A7" s="22" t="inlineStr">
        <is>
          <t>R-05</t>
        </is>
      </c>
      <c r="B7" s="14" t="inlineStr">
        <is>
          <t>ISPE GAMP 5: A Risk-Based Approach to Compliant GxP Computerized Systems, 2nd edition.</t>
        </is>
      </c>
    </row>
    <row r="8">
      <c r="A8" s="26" t="inlineStr">
        <is>
          <t>R-06</t>
        </is>
      </c>
      <c r="B8" s="27" t="inlineStr">
        <is>
          <t>FDA Draft Guidance: Computer Software Assurance for Production and Quality System Software.</t>
        </is>
      </c>
    </row>
    <row r="9">
      <c r="A9" s="22" t="inlineStr">
        <is>
          <t>R-07</t>
        </is>
      </c>
      <c r="B9" s="14" t="inlineStr">
        <is>
          <t>ICH E6(R3) Guideline for Good Clinical Practice.</t>
        </is>
      </c>
    </row>
    <row r="10">
      <c r="A10" s="26" t="inlineStr">
        <is>
          <t>R-08</t>
        </is>
      </c>
      <c r="B10" s="27" t="inlineStr">
        <is>
          <t>CDISC SDTM Implementation Guide - Tumor and Response domains (TU, TR, RS).</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2026-08-13T08:47:11Z</dcterms:created>
  <dcterms:modified xsi:type="dcterms:W3CDTF">2026-08-13T08:47:12Z</dcterms:modified>
</cp:coreProperties>
</file>