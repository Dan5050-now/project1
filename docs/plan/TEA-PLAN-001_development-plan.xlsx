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'Requirements'!$A$3:$H$42</definedName>
    <definedName name="_xlnm._FilterDatabase" localSheetId="15" hidden="1">'Risks'!$A$3:$I$19</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1.2.0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v1.1.0, issued 2026-08-22</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v2.0.0 — APPROVED 2026-08-21, rule pack frozen</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21 functional, 11 non-functional, 7 regulatory</t>
        </is>
      </c>
      <c r="C17" s="16">
        <f>COUNTA(Requirements!A4:A42)</f>
        <v/>
      </c>
      <c r="D17" s="17" t="inlineStr">
        <is>
          <t>9</t>
        </is>
      </c>
      <c r="E17" s="15" t="inlineStr">
        <is>
          <t>FR-18 to FR-20 new</t>
        </is>
      </c>
    </row>
    <row r="18">
      <c r="A18" s="11" t="inlineStr">
        <is>
          <t>Risks</t>
        </is>
      </c>
      <c r="B18" s="12" t="inlineStr">
        <is>
          <t>15 risks with mitigation and residual rating</t>
        </is>
      </c>
      <c r="C18" s="16">
        <f>COUNTA(Risks!A4:A19)</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FR-21</t>
        </is>
      </c>
      <c r="B24" s="21" t="inlineStr">
        <is>
          <t>Functional</t>
        </is>
      </c>
      <c r="C24" s="21" t="inlineStr">
        <is>
          <t>Configuration</t>
        </is>
      </c>
      <c r="D24" s="12" t="inlineStr">
        <is>
          <t>Record for every protocol parameter whether it was found in the source document, with its location, or defaulted because it was not found — and show the two differently at the intake screen. A defaulted parameter is the one a reviewer most needs to see.</t>
        </is>
      </c>
      <c r="E24" s="19" t="inlineStr">
        <is>
          <t>Must</t>
        </is>
      </c>
      <c r="F24" s="21" t="inlineStr">
        <is>
          <t>NEW v1.2.0</t>
        </is>
      </c>
      <c r="G24" s="18" t="inlineStr">
        <is>
          <t>Accept</t>
        </is>
      </c>
      <c r="H24" s="21" t="inlineStr">
        <is>
          <t>Daniel</t>
        </is>
      </c>
    </row>
    <row r="25">
      <c r="A25" s="22" t="inlineStr">
        <is>
          <t>NFR-01</t>
        </is>
      </c>
      <c r="B25" s="26" t="inlineStr">
        <is>
          <t>Non-functional</t>
        </is>
      </c>
      <c r="C25" s="26" t="inlineStr">
        <is>
          <t>Reproducibility</t>
        </is>
      </c>
      <c r="D25" s="23" t="inlineStr">
        <is>
          <t>Given the same input snapshot, configuration and versions, deterministic findings are identical across runs, and identical whether GLM v5.2 is used or the deterministic-only mode is.</t>
        </is>
      </c>
      <c r="E25" s="24" t="inlineStr">
        <is>
          <t>Must</t>
        </is>
      </c>
      <c r="F25" s="28" t="inlineStr">
        <is>
          <t>AMENDED</t>
        </is>
      </c>
      <c r="G25" s="22" t="inlineStr">
        <is>
          <t>Accept</t>
        </is>
      </c>
      <c r="H25" s="26" t="inlineStr">
        <is>
          <t>Daniel</t>
        </is>
      </c>
    </row>
    <row r="26">
      <c r="A26" s="18" t="inlineStr">
        <is>
          <t>NFR-02</t>
        </is>
      </c>
      <c r="B26" s="21" t="inlineStr">
        <is>
          <t>Non-functional</t>
        </is>
      </c>
      <c r="C26" s="21" t="inlineStr">
        <is>
          <t>Maintainability</t>
        </is>
      </c>
      <c r="D26" s="12" t="inlineStr">
        <is>
          <t>Adding a review point requires only a new rule module, its fixtures and a catalog entry. Verified by a CI check.</t>
        </is>
      </c>
      <c r="E26" s="19" t="inlineStr">
        <is>
          <t>Must</t>
        </is>
      </c>
      <c r="F26" s="20" t="inlineStr">
        <is>
          <t>CARRIED</t>
        </is>
      </c>
      <c r="G26" s="18" t="inlineStr">
        <is>
          <t>Accept</t>
        </is>
      </c>
      <c r="H26" s="21" t="inlineStr">
        <is>
          <t>Daniel</t>
        </is>
      </c>
    </row>
    <row r="27">
      <c r="A27" s="22" t="inlineStr">
        <is>
          <t>NFR-03</t>
        </is>
      </c>
      <c r="B27" s="26" t="inlineStr">
        <is>
          <t>Non-functional</t>
        </is>
      </c>
      <c r="C27" s="26" t="inlineStr">
        <is>
          <t>Performance</t>
        </is>
      </c>
      <c r="D27" s="23" t="inlineStr">
        <is>
          <t>500 subjects with 12 assessments each complete a deterministic full run in under 5 minutes on standard hardware.</t>
        </is>
      </c>
      <c r="E27" s="24" t="inlineStr">
        <is>
          <t>Must</t>
        </is>
      </c>
      <c r="F27" s="25" t="inlineStr">
        <is>
          <t>CARRIED</t>
        </is>
      </c>
      <c r="G27" s="22" t="inlineStr">
        <is>
          <t>Accept</t>
        </is>
      </c>
      <c r="H27" s="26" t="inlineStr">
        <is>
          <t>Daniel</t>
        </is>
      </c>
    </row>
    <row r="28">
      <c r="A28" s="18" t="inlineStr">
        <is>
          <t>NFR-04</t>
        </is>
      </c>
      <c r="B28" s="21" t="inlineStr">
        <is>
          <t>Non-functional</t>
        </is>
      </c>
      <c r="C28" s="21" t="inlineStr">
        <is>
          <t>Performance</t>
        </is>
      </c>
      <c r="D28" s="12" t="inlineStr">
        <is>
          <t>Web application list views respond within 2 seconds at 10,000 findings.</t>
        </is>
      </c>
      <c r="E28" s="27" t="inlineStr">
        <is>
          <t>Should</t>
        </is>
      </c>
      <c r="F28" s="20" t="inlineStr">
        <is>
          <t>CARRIED</t>
        </is>
      </c>
      <c r="G28" s="18" t="inlineStr">
        <is>
          <t>Accept</t>
        </is>
      </c>
      <c r="H28" s="21" t="inlineStr">
        <is>
          <t>Daniel</t>
        </is>
      </c>
    </row>
    <row r="29">
      <c r="A29" s="22" t="inlineStr">
        <is>
          <t>NFR-05</t>
        </is>
      </c>
      <c r="B29" s="26" t="inlineStr">
        <is>
          <t>Non-functional</t>
        </is>
      </c>
      <c r="C29" s="26" t="inlineStr">
        <is>
          <t>Portability</t>
        </is>
      </c>
      <c r="D29" s="23" t="inlineStr">
        <is>
          <t>No single model call exceeds the prompt budget confirmed against the GLM v5.2 deployment. The 32k assumption from OQ-03 is carried forward as a working figure and must be verified, not assumed.</t>
        </is>
      </c>
      <c r="E29" s="24" t="inlineStr">
        <is>
          <t>Must</t>
        </is>
      </c>
      <c r="F29" s="28" t="inlineStr">
        <is>
          <t>AMENDED</t>
        </is>
      </c>
      <c r="G29" s="22" t="inlineStr">
        <is>
          <t>Accept</t>
        </is>
      </c>
      <c r="H29" s="26" t="inlineStr">
        <is>
          <t>Daniel</t>
        </is>
      </c>
    </row>
    <row r="30">
      <c r="A30" s="18" t="inlineStr">
        <is>
          <t>NFR-06</t>
        </is>
      </c>
      <c r="B30" s="21" t="inlineStr">
        <is>
          <t>Non-functional</t>
        </is>
      </c>
      <c r="C30" s="21" t="inlineStr">
        <is>
          <t>Security</t>
        </is>
      </c>
      <c r="D30" s="12" t="inlineStr">
        <is>
          <t>Subject data encrypted at rest and in transit, and never leaves the company network — there is no external model call to make. Release 1 does not enforce role separation (OQ-08).</t>
        </is>
      </c>
      <c r="E30" s="19" t="inlineStr">
        <is>
          <t>Must</t>
        </is>
      </c>
      <c r="F30" s="27" t="inlineStr">
        <is>
          <t>AMENDED</t>
        </is>
      </c>
      <c r="G30" s="18" t="inlineStr">
        <is>
          <t>Accept</t>
        </is>
      </c>
      <c r="H30" s="21" t="inlineStr">
        <is>
          <t>Daniel</t>
        </is>
      </c>
    </row>
    <row r="31">
      <c r="A31" s="22" t="inlineStr">
        <is>
          <t>NFR-07</t>
        </is>
      </c>
      <c r="B31" s="26" t="inlineStr">
        <is>
          <t>Non-functional</t>
        </is>
      </c>
      <c r="C31" s="26" t="inlineStr">
        <is>
          <t>Compliance</t>
        </is>
      </c>
      <c r="D31" s="23" t="inlineStr">
        <is>
          <t>Audit trail meeting ALCOA+ expectations on all human actions and agent runs; records retained per sponsor policy.</t>
        </is>
      </c>
      <c r="E31" s="24" t="inlineStr">
        <is>
          <t>Must</t>
        </is>
      </c>
      <c r="F31" s="25" t="inlineStr">
        <is>
          <t>CARRIED</t>
        </is>
      </c>
      <c r="G31" s="22" t="inlineStr">
        <is>
          <t>Accept</t>
        </is>
      </c>
      <c r="H31" s="26" t="inlineStr">
        <is>
          <t>Daniel</t>
        </is>
      </c>
    </row>
    <row r="32">
      <c r="A32" s="18" t="inlineStr">
        <is>
          <t>NFR-08</t>
        </is>
      </c>
      <c r="B32" s="21" t="inlineStr">
        <is>
          <t>Non-functional</t>
        </is>
      </c>
      <c r="C32" s="21" t="inlineStr">
        <is>
          <t>Usability</t>
        </is>
      </c>
      <c r="D32" s="12" t="inlineStr">
        <is>
          <t>A reviewer can go from a finding to full context and back in a single click, with no loss of filter state.</t>
        </is>
      </c>
      <c r="E32" s="27" t="inlineStr">
        <is>
          <t>Should</t>
        </is>
      </c>
      <c r="F32" s="20" t="inlineStr">
        <is>
          <t>CARRIED</t>
        </is>
      </c>
      <c r="G32" s="18" t="inlineStr">
        <is>
          <t>Accept</t>
        </is>
      </c>
      <c r="H32" s="21" t="inlineStr">
        <is>
          <t>Daniel</t>
        </is>
      </c>
    </row>
    <row r="33">
      <c r="A33" s="22" t="inlineStr">
        <is>
          <t>NFR-09</t>
        </is>
      </c>
      <c r="B33" s="26" t="inlineStr">
        <is>
          <t>Non-functional</t>
        </is>
      </c>
      <c r="C33" s="26" t="inlineStr">
        <is>
          <t>Reliability</t>
        </is>
      </c>
      <c r="D33" s="23" t="inlineStr">
        <is>
          <t>An LLM outage degrades the system to deterministic-only mode rather than failing the run.</t>
        </is>
      </c>
      <c r="E33" s="24" t="inlineStr">
        <is>
          <t>Must</t>
        </is>
      </c>
      <c r="F33" s="25" t="inlineStr">
        <is>
          <t>CARRIED</t>
        </is>
      </c>
      <c r="G33" s="22" t="inlineStr">
        <is>
          <t>Accept</t>
        </is>
      </c>
      <c r="H33" s="26" t="inlineStr">
        <is>
          <t>Daniel</t>
        </is>
      </c>
    </row>
    <row r="34">
      <c r="A34" s="18" t="inlineStr">
        <is>
          <t>NFR-10</t>
        </is>
      </c>
      <c r="B34" s="21" t="inlineStr">
        <is>
          <t>Non-functional</t>
        </is>
      </c>
      <c r="C34" s="21" t="inlineStr">
        <is>
          <t>Observability</t>
        </is>
      </c>
      <c r="D34" s="12" t="inlineStr">
        <is>
          <t>Every run emits metrics: rule hit counts, adjudication rates, confidence calibration, model latency, disposition outcomes.</t>
        </is>
      </c>
      <c r="E34" s="27" t="inlineStr">
        <is>
          <t>Should</t>
        </is>
      </c>
      <c r="F34" s="27" t="inlineStr">
        <is>
          <t>AMENDED</t>
        </is>
      </c>
      <c r="G34" s="18" t="inlineStr">
        <is>
          <t>Accept</t>
        </is>
      </c>
      <c r="H34" s="21" t="inlineStr">
        <is>
          <t>Daniel</t>
        </is>
      </c>
    </row>
    <row r="35">
      <c r="A35" s="22" t="inlineStr">
        <is>
          <t>NFR-11</t>
        </is>
      </c>
      <c r="B35" s="26" t="inlineStr">
        <is>
          <t>Non-functional</t>
        </is>
      </c>
      <c r="C35" s="26" t="inlineStr">
        <is>
          <t>Internationalisation</t>
        </is>
      </c>
      <c r="D35" s="23" t="inlineStr">
        <is>
          <t>English only in release 1; templates structured to allow localisation later (OQ-11).</t>
        </is>
      </c>
      <c r="E35" s="34" t="inlineStr">
        <is>
          <t>Could</t>
        </is>
      </c>
      <c r="F35" s="28" t="inlineStr">
        <is>
          <t>AMENDED</t>
        </is>
      </c>
      <c r="G35" s="22" t="inlineStr">
        <is>
          <t>Accept</t>
        </is>
      </c>
      <c r="H35" s="26" t="inlineStr">
        <is>
          <t>Daniel</t>
        </is>
      </c>
    </row>
    <row r="36">
      <c r="A36" s="18" t="inlineStr">
        <is>
          <t>REG-01</t>
        </is>
      </c>
      <c r="B36" s="21" t="inlineStr">
        <is>
          <t>Regulatory</t>
        </is>
      </c>
      <c r="C36" s="21" t="inlineStr">
        <is>
          <t>Intended use</t>
        </is>
      </c>
      <c r="D36" s="12" t="inlineStr">
        <is>
          <t>The system is decision support; a qualified human makes every determination and issues every query manually.</t>
        </is>
      </c>
      <c r="E36" s="19" t="inlineStr">
        <is>
          <t>Must</t>
        </is>
      </c>
      <c r="F36" s="20" t="inlineStr">
        <is>
          <t>CARRIED</t>
        </is>
      </c>
      <c r="G36" s="18" t="inlineStr">
        <is>
          <t>Accept</t>
        </is>
      </c>
      <c r="H36" s="21" t="inlineStr">
        <is>
          <t>Daniel</t>
        </is>
      </c>
    </row>
    <row r="37">
      <c r="A37" s="22" t="inlineStr">
        <is>
          <t>REG-02</t>
        </is>
      </c>
      <c r="B37" s="26" t="inlineStr">
        <is>
          <t>Regulatory</t>
        </is>
      </c>
      <c r="C37" s="26" t="inlineStr">
        <is>
          <t>Validation</t>
        </is>
      </c>
      <c r="D37" s="23" t="inlineStr">
        <is>
          <t>Risk-based validation consistent with GAMP 5 (2nd ed.) and the FDA Computer Software Assurance approach.</t>
        </is>
      </c>
      <c r="E37" s="24" t="inlineStr">
        <is>
          <t>Must</t>
        </is>
      </c>
      <c r="F37" s="25" t="inlineStr">
        <is>
          <t>CARRIED</t>
        </is>
      </c>
      <c r="G37" s="22" t="inlineStr">
        <is>
          <t>Accept</t>
        </is>
      </c>
      <c r="H37" s="26" t="inlineStr">
        <is>
          <t>Daniel</t>
        </is>
      </c>
    </row>
    <row r="38">
      <c r="A38" s="18" t="inlineStr">
        <is>
          <t>REG-03</t>
        </is>
      </c>
      <c r="B38" s="21" t="inlineStr">
        <is>
          <t>Regulatory</t>
        </is>
      </c>
      <c r="C38" s="21" t="inlineStr">
        <is>
          <t>Records</t>
        </is>
      </c>
      <c r="D38" s="12" t="inlineStr">
        <is>
          <t>Where used in a GxP process, 21 CFR Part 11 and EU Annex 11 expectations apply to audit trail, access control and record retention.</t>
        </is>
      </c>
      <c r="E38" s="19" t="inlineStr">
        <is>
          <t>Must</t>
        </is>
      </c>
      <c r="F38" s="20" t="inlineStr">
        <is>
          <t>CARRIED</t>
        </is>
      </c>
      <c r="G38" s="18" t="inlineStr">
        <is>
          <t>Accept</t>
        </is>
      </c>
      <c r="H38" s="21" t="inlineStr">
        <is>
          <t>Daniel</t>
        </is>
      </c>
    </row>
    <row r="39">
      <c r="A39" s="22" t="inlineStr">
        <is>
          <t>REG-04</t>
        </is>
      </c>
      <c r="B39" s="26" t="inlineStr">
        <is>
          <t>Regulatory</t>
        </is>
      </c>
      <c r="C39" s="26" t="inlineStr">
        <is>
          <t>Traceability</t>
        </is>
      </c>
      <c r="D39" s="23" t="inlineStr">
        <is>
          <t>Specification-to-test traceability: every requirement and every rule traces to at least one test case.</t>
        </is>
      </c>
      <c r="E39" s="24" t="inlineStr">
        <is>
          <t>Must</t>
        </is>
      </c>
      <c r="F39" s="25" t="inlineStr">
        <is>
          <t>CARRIED</t>
        </is>
      </c>
      <c r="G39" s="22" t="inlineStr">
        <is>
          <t>Accept</t>
        </is>
      </c>
      <c r="H39" s="26" t="inlineStr">
        <is>
          <t>Daniel</t>
        </is>
      </c>
    </row>
    <row r="40">
      <c r="A40" s="18" t="inlineStr">
        <is>
          <t>REG-05</t>
        </is>
      </c>
      <c r="B40" s="21" t="inlineStr">
        <is>
          <t>Regulatory</t>
        </is>
      </c>
      <c r="C40" s="21" t="inlineStr">
        <is>
          <t>Change control</t>
        </is>
      </c>
      <c r="D40" s="12" t="inlineStr">
        <is>
          <t>Rule pack and prompt changes follow documented review and approval, with impact assessment on previously issued findings.</t>
        </is>
      </c>
      <c r="E40" s="19" t="inlineStr">
        <is>
          <t>Must</t>
        </is>
      </c>
      <c r="F40" s="20" t="inlineStr">
        <is>
          <t>CARRIED</t>
        </is>
      </c>
      <c r="G40" s="18" t="inlineStr">
        <is>
          <t>Accept</t>
        </is>
      </c>
      <c r="H40" s="21" t="inlineStr">
        <is>
          <t>Daniel</t>
        </is>
      </c>
    </row>
    <row r="41">
      <c r="A41" s="22" t="inlineStr">
        <is>
          <t>REG-06</t>
        </is>
      </c>
      <c r="B41" s="26" t="inlineStr">
        <is>
          <t>Regulatory</t>
        </is>
      </c>
      <c r="C41" s="26" t="inlineStr">
        <is>
          <t>GCP</t>
        </is>
      </c>
      <c r="D41" s="23" t="inlineStr">
        <is>
          <t>Alignment with ICH E6(R3) expectations on risk-proportionate, quality-by-design monitoring approaches.</t>
        </is>
      </c>
      <c r="E41" s="28" t="inlineStr">
        <is>
          <t>Should</t>
        </is>
      </c>
      <c r="F41" s="25" t="inlineStr">
        <is>
          <t>CARRIED</t>
        </is>
      </c>
      <c r="G41" s="22" t="inlineStr">
        <is>
          <t>Accept</t>
        </is>
      </c>
      <c r="H41" s="26" t="inlineStr">
        <is>
          <t>Daniel</t>
        </is>
      </c>
    </row>
    <row r="42">
      <c r="A42" s="18" t="inlineStr">
        <is>
          <t>REG-07</t>
        </is>
      </c>
      <c r="B42" s="21" t="inlineStr">
        <is>
          <t>Regulatory</t>
        </is>
      </c>
      <c r="C42" s="21" t="inlineStr">
        <is>
          <t>Privacy</t>
        </is>
      </c>
      <c r="D42" s="12" t="inlineStr">
        <is>
          <t>No subject data reaches an external model, because no external model is used. The privacy assessment records the on-premise architecture rather than gating release, as it did at v1.0.0.</t>
        </is>
      </c>
      <c r="E42" s="19" t="inlineStr">
        <is>
          <t>Must</t>
        </is>
      </c>
      <c r="F42" s="27" t="inlineStr">
        <is>
          <t>AMENDED</t>
        </is>
      </c>
      <c r="G42" s="18" t="inlineStr">
        <is>
          <t>Accept</t>
        </is>
      </c>
      <c r="H42" s="21" t="inlineStr">
        <is>
          <t>Daniel</t>
        </is>
      </c>
    </row>
  </sheetData>
  <autoFilter ref="A3:H42"/>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sheetData>
  <autoFilter ref="A3:I19"/>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9"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and OI-06 closed. Three remain — OI-05 is the one blocking Step 3, not OI-03.</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ESCALATED v1.2.0. This was an entry criterion for Step 2 and was never delivered — Step 2 closed on the strength of the rule review alone. It is now the real blocker for Step 3: the synthetic dataset has to be shaped like an actual CRF, and TE-BL-011 and TE-FU-001 are CONDITIONAL on whether the sum is site-entered, which cannot be settled for a real study without the CRF specification.</t>
        </is>
      </c>
      <c r="D8" s="21" t="inlineStr">
        <is>
          <t>Daniel</t>
        </is>
      </c>
      <c r="E8" s="21" t="inlineStr">
        <is>
          <t>BLOCKING Step 3</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2026-08-27T00:16:41Z</dcterms:created>
  <dcterms:modified xmlns:dcterms="http://purl.org/dc/terms/" xmlns:xsi="http://www.w3.org/2001/XMLSchema-instance" xsi:type="dcterms:W3CDTF">2026-08-27T00:16:42Z</dcterms:modified>
</cp:coreProperties>
</file>