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Contents" sheetId="2" state="visible" r:id="rId2"/>
    <sheet name="Objectives" sheetId="3" state="visible" r:id="rId3"/>
    <sheet name="Scope" sheetId="4" state="visible" r:id="rId4"/>
    <sheet name="Principles" sheetId="5" state="visible" r:id="rId5"/>
    <sheet name="Components" sheetId="6" state="visible" r:id="rId6"/>
    <sheet name="Confidence_Model" sheetId="7" state="visible" r:id="rId7"/>
    <sheet name="Query_Handling" sheetId="8" state="visible" r:id="rId8"/>
    <sheet name="LLM_Policy" sheetId="9" state="visible" r:id="rId9"/>
    <sheet name="Data_Model" sheetId="10" state="visible" r:id="rId10"/>
    <sheet name="Review_Scope" sheetId="11" state="visible" r:id="rId11"/>
    <sheet name="Architecture" sheetId="12" state="visible" r:id="rId12"/>
    <sheet name="Web_App" sheetId="13" state="visible" r:id="rId13"/>
    <sheet name="Delivery_Steps" sheetId="14" state="visible" r:id="rId14"/>
    <sheet name="Requirements" sheetId="15" state="visible" r:id="rId15"/>
    <sheet name="Risks" sheetId="16" state="visible" r:id="rId16"/>
    <sheet name="Metrics" sheetId="17" state="visible" r:id="rId17"/>
    <sheet name="Recommendations" sheetId="18" state="visible" r:id="rId18"/>
    <sheet name="Decisions" sheetId="19" state="visible" r:id="rId19"/>
    <sheet name="Open_Items" sheetId="20" state="visible" r:id="rId20"/>
    <sheet name="Validation" sheetId="21" state="visible" r:id="rId21"/>
    <sheet name="Version_Control" sheetId="22" state="visible" r:id="rId22"/>
    <sheet name="Assumptions" sheetId="23" state="visible" r:id="rId23"/>
    <sheet name="Glossary" sheetId="24" state="visible" r:id="rId24"/>
    <sheet name="References" sheetId="25" state="visible" r:id="rId25"/>
  </sheets>
  <definedNames>
    <definedName name="_xlnm._FilterDatabase" localSheetId="2" hidden="1">'Objectives'!$A$3:$G$12</definedName>
    <definedName name="_xlnm._FilterDatabase" localSheetId="14" hidden="1">'Requirements'!$A$3:$H$42</definedName>
    <definedName name="_xlnm._FilterDatabase" localSheetId="15" hidden="1">'Risks'!$A$3:$I$21</definedName>
    <definedName name="_xlnm._FilterDatabase" localSheetId="18" hidden="1">'Decisions'!$A$3:$F$17</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D4A3A"/>
      <sz val="20"/>
    </font>
    <font>
      <name val="Arial"/>
      <color rgb="0016201C"/>
      <sz val="14"/>
    </font>
    <font>
      <name val="Arial"/>
      <color rgb="00414D47"/>
      <sz val="10"/>
    </font>
    <font>
      <name val="Arial"/>
      <b val="1"/>
      <color rgb="006B7770"/>
      <sz val="9"/>
    </font>
    <font>
      <name val="Arial"/>
      <color rgb="0016201C"/>
      <sz val="10"/>
    </font>
    <font>
      <name val="Arial"/>
      <b val="1"/>
      <color rgb="001D4A3A"/>
      <sz val="11"/>
    </font>
    <font>
      <name val="Arial"/>
      <color rgb="0016201C"/>
      <sz val="9"/>
    </font>
    <font>
      <name val="Arial"/>
      <b val="1"/>
      <color rgb="001D4A3A"/>
      <sz val="13"/>
    </font>
    <font>
      <name val="Arial"/>
      <i val="1"/>
      <color rgb="006B7770"/>
      <sz val="9"/>
    </font>
    <font>
      <name val="Arial"/>
      <b val="1"/>
      <color rgb="00FFFFFF"/>
      <sz val="9"/>
    </font>
    <font>
      <name val="Arial"/>
      <b val="1"/>
      <color rgb="001D4A3A"/>
      <sz val="9"/>
    </font>
    <font>
      <name val="Arial"/>
      <b val="1"/>
      <color rgb="008C2F39"/>
      <sz val="9"/>
    </font>
    <font>
      <name val="Arial"/>
      <b val="1"/>
      <color rgb="00B06A1F"/>
      <sz val="9"/>
    </font>
    <font>
      <name val="Arial"/>
      <b val="1"/>
      <color rgb="004A6B8A"/>
      <sz val="9"/>
    </font>
    <font>
      <name val="Consolas"/>
      <color rgb="0016201C"/>
      <sz val="8.5"/>
    </font>
    <font>
      <name val="Arial"/>
      <b val="1"/>
      <color rgb="0016201C"/>
      <sz val="9"/>
    </font>
    <font>
      <name val="Arial"/>
      <color rgb="006B7770"/>
      <sz val="9"/>
    </font>
  </fonts>
  <fills count="4">
    <fill>
      <patternFill/>
    </fill>
    <fill>
      <patternFill patternType="gray125"/>
    </fill>
    <fill>
      <patternFill patternType="solid">
        <fgColor rgb="001D4A3A"/>
      </patternFill>
    </fill>
    <fill>
      <patternFill patternType="solid">
        <fgColor rgb="00F6F7F5"/>
      </patternFill>
    </fill>
  </fills>
  <borders count="2">
    <border>
      <left/>
      <right/>
      <top/>
      <bottom/>
      <diagonal/>
    </border>
    <border>
      <bottom style="thin">
        <color rgb="00D9DED8"/>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center"/>
    </xf>
    <xf numFmtId="0" fontId="9" fillId="0" borderId="0" applyAlignment="1" pivotButton="0" quotePrefix="0" xfId="0">
      <alignment vertical="center" wrapText="1"/>
    </xf>
    <xf numFmtId="0" fontId="10" fillId="2" borderId="0" applyAlignment="1" pivotButton="0" quotePrefix="0" xfId="0">
      <alignment vertical="center" wrapText="1"/>
    </xf>
    <xf numFmtId="0" fontId="11" fillId="0" borderId="1" pivotButton="0" quotePrefix="0" xfId="0"/>
    <xf numFmtId="0" fontId="7" fillId="0" borderId="1" applyAlignment="1" pivotButton="0" quotePrefix="0" xfId="0">
      <alignment vertical="top" wrapText="1"/>
    </xf>
    <xf numFmtId="0" fontId="0" fillId="0" borderId="1" pivotButton="0" quotePrefix="0" xfId="0"/>
    <xf numFmtId="0" fontId="17" fillId="0" borderId="1" applyAlignment="1" pivotButton="0" quotePrefix="0" xfId="0">
      <alignment horizontal="center"/>
    </xf>
    <xf numFmtId="0" fontId="17" fillId="0" borderId="1" applyAlignment="1" pivotButton="0" quotePrefix="0" xfId="0">
      <alignment vertical="top" wrapText="1"/>
    </xf>
    <xf numFmtId="0" fontId="7" fillId="0" borderId="1" applyAlignment="1" pivotButton="0" quotePrefix="0" xfId="0">
      <alignment horizontal="center"/>
    </xf>
    <xf numFmtId="0" fontId="13" fillId="0" borderId="1" applyAlignment="1" pivotButton="0" quotePrefix="0" xfId="0">
      <alignment horizontal="center"/>
    </xf>
    <xf numFmtId="0" fontId="11" fillId="0" borderId="1" applyAlignment="1" pivotButton="0" quotePrefix="0" xfId="0">
      <alignment vertical="top"/>
    </xf>
    <xf numFmtId="0" fontId="12" fillId="0" borderId="1" applyAlignment="1" pivotButton="0" quotePrefix="0" xfId="0">
      <alignment vertical="top"/>
    </xf>
    <xf numFmtId="0" fontId="4" fillId="0" borderId="1" applyAlignment="1" pivotButton="0" quotePrefix="0" xfId="0">
      <alignment vertical="top"/>
    </xf>
    <xf numFmtId="0" fontId="7" fillId="0" borderId="1" applyAlignment="1" pivotButton="0" quotePrefix="0" xfId="0">
      <alignment vertical="top"/>
    </xf>
    <xf numFmtId="0" fontId="11" fillId="3" borderId="1" applyAlignment="1" pivotButton="0" quotePrefix="0" xfId="0">
      <alignment vertical="top"/>
    </xf>
    <xf numFmtId="0" fontId="7" fillId="3" borderId="1" applyAlignment="1" pivotButton="0" quotePrefix="0" xfId="0">
      <alignment vertical="top" wrapText="1"/>
    </xf>
    <xf numFmtId="0" fontId="12" fillId="3" borderId="1" applyAlignment="1" pivotButton="0" quotePrefix="0" xfId="0">
      <alignment vertical="top"/>
    </xf>
    <xf numFmtId="0" fontId="4" fillId="3" borderId="1" applyAlignment="1" pivotButton="0" quotePrefix="0" xfId="0">
      <alignment vertical="top"/>
    </xf>
    <xf numFmtId="0" fontId="7" fillId="3" borderId="1" applyAlignment="1" pivotButton="0" quotePrefix="0" xfId="0">
      <alignment vertical="top"/>
    </xf>
    <xf numFmtId="0" fontId="13" fillId="0" borderId="1" applyAlignment="1" pivotButton="0" quotePrefix="0" xfId="0">
      <alignment vertical="top"/>
    </xf>
    <xf numFmtId="0" fontId="13" fillId="3" borderId="1" applyAlignment="1" pivotButton="0" quotePrefix="0" xfId="0">
      <alignment vertical="top"/>
    </xf>
    <xf numFmtId="0" fontId="14" fillId="0" borderId="1" applyAlignment="1" pivotButton="0" quotePrefix="0" xfId="0">
      <alignment vertical="top"/>
    </xf>
    <xf numFmtId="0" fontId="11" fillId="0" borderId="0" applyAlignment="1" pivotButton="0" quotePrefix="0" xfId="0">
      <alignment vertical="top" wrapText="1"/>
    </xf>
    <xf numFmtId="0" fontId="15" fillId="0" borderId="1" applyAlignment="1" pivotButton="0" quotePrefix="0" xfId="0">
      <alignment vertical="top" wrapText="1"/>
    </xf>
    <xf numFmtId="0" fontId="15" fillId="3" borderId="1" applyAlignment="1" pivotButton="0" quotePrefix="0" xfId="0">
      <alignment vertical="top" wrapText="1"/>
    </xf>
    <xf numFmtId="0" fontId="11" fillId="0" borderId="0" pivotButton="0" quotePrefix="0" xfId="0"/>
    <xf numFmtId="0" fontId="14" fillId="3" borderId="1" applyAlignment="1" pivotButton="0" quotePrefix="0" xfId="0">
      <alignment vertical="top"/>
    </xf>
    <xf numFmtId="0" fontId="16" fillId="0" borderId="1" applyAlignment="1" pivotButton="0" quotePrefix="0" xfId="0">
      <alignment vertical="top"/>
    </xf>
    <xf numFmtId="0" fontId="16" fillId="3" borderId="1" applyAlignment="1" pivotButton="0" quotePrefix="0" xfId="0">
      <alignment vertical="top"/>
    </xf>
    <xf numFmtId="0" fontId="15" fillId="0" borderId="1" applyAlignment="1" pivotButton="0" quotePrefix="0" xfId="0">
      <alignment vertical="top"/>
    </xf>
    <xf numFmtId="0" fontId="15"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24" customWidth="1" min="1" max="1"/>
    <col width="34" customWidth="1" min="2" max="2"/>
    <col width="20" customWidth="1" min="3" max="3"/>
    <col width="20" customWidth="1" min="4" max="4"/>
    <col width="22" customWidth="1" min="5" max="5"/>
    <col width="20" customWidth="1" min="6" max="6"/>
  </cols>
  <sheetData>
    <row r="1">
      <c r="A1" s="1" t="inlineStr">
        <is>
          <t>Tumor Evaluation Review Agent</t>
        </is>
      </c>
    </row>
    <row r="2">
      <c r="A2" s="2" t="inlineStr">
        <is>
          <t>Development Plan</t>
        </is>
      </c>
    </row>
    <row r="4">
      <c r="A4" s="3" t="inlineStr">
        <is>
          <t>An AI-assisted data review agent that re-derives RECIST 1.1 and iRECIST response data, reconciles it against the query history, and presents suspected issues for human adjudication.</t>
        </is>
      </c>
    </row>
    <row r="5"/>
    <row r="7">
      <c r="A7" s="4" t="inlineStr">
        <is>
          <t>Document ID</t>
        </is>
      </c>
      <c r="B7" s="5" t="inlineStr">
        <is>
          <t>TEA-PLAN-001</t>
        </is>
      </c>
    </row>
    <row r="8">
      <c r="A8" s="4" t="inlineStr">
        <is>
          <t>Version</t>
        </is>
      </c>
      <c r="B8" s="5" t="inlineStr">
        <is>
          <t>1.6.0</t>
        </is>
      </c>
    </row>
    <row r="9">
      <c r="A9" s="4" t="inlineStr">
        <is>
          <t>Status</t>
        </is>
      </c>
      <c r="B9" s="5" t="inlineStr">
        <is>
          <t>APPROVED — amended under change control 2026-08-22</t>
        </is>
      </c>
    </row>
    <row r="10">
      <c r="A10" s="4" t="inlineStr">
        <is>
          <t>Issue date</t>
        </is>
      </c>
      <c r="B10" s="5" t="inlineStr">
        <is>
          <t>2026-08-22</t>
        </is>
      </c>
    </row>
    <row r="11">
      <c r="A11" s="4" t="inlineStr">
        <is>
          <t>Supersedes</t>
        </is>
      </c>
      <c r="B11" s="5" t="inlineStr">
        <is>
          <t>v1.5.0, issued 2026-08-22</t>
        </is>
      </c>
    </row>
    <row r="12">
      <c r="A12" s="4" t="inlineStr">
        <is>
          <t>Guidelines covered</t>
        </is>
      </c>
      <c r="B12" s="5" t="inlineStr">
        <is>
          <t>RECIST 1.1 and iRECIST  (RECIST 1.0 removed at review — see OBJ-06)</t>
        </is>
      </c>
    </row>
    <row r="13">
      <c r="A13" s="4" t="inlineStr">
        <is>
          <t>Language model</t>
        </is>
      </c>
      <c r="B13" s="5" t="inlineStr">
        <is>
          <t>Company-hosted GLM v5.2 only. No external or commercial LLM service is used.</t>
        </is>
      </c>
    </row>
    <row r="14">
      <c r="A14" s="4" t="inlineStr">
        <is>
          <t>Indications, release 1</t>
        </is>
      </c>
      <c r="B14" s="5" t="inlineStr">
        <is>
          <t>NSCLC and breast cancer</t>
        </is>
      </c>
    </row>
    <row r="15">
      <c r="A15" s="4" t="inlineStr">
        <is>
          <t>Review points</t>
        </is>
      </c>
      <c r="B15" s="5" t="inlineStr">
        <is>
          <t>85 across 7 families — all families accepted; one rule added post-review</t>
        </is>
      </c>
    </row>
    <row r="16">
      <c r="A16" s="4" t="inlineStr">
        <is>
          <t>Review disposition</t>
        </is>
      </c>
      <c r="B16" s="5" t="inlineStr">
        <is>
          <t>95 items: 78 Accept, 3 Amend, 14 questions closed</t>
        </is>
      </c>
    </row>
    <row r="17">
      <c r="A17" s="4" t="inlineStr">
        <is>
          <t>Reviewed by</t>
        </is>
      </c>
      <c r="B17" s="5" t="inlineStr">
        <is>
          <t>Daniel — 2026-08-17</t>
        </is>
      </c>
    </row>
    <row r="18">
      <c r="A18" s="4" t="inlineStr">
        <is>
          <t>Child document</t>
        </is>
      </c>
      <c r="B18" s="5" t="inlineStr">
        <is>
          <t>TEA-SPEC-001 v2.6.0 — APPROVED, rule pack frozen at 2.0.0</t>
        </is>
      </c>
    </row>
    <row r="19">
      <c r="A19" s="4" t="inlineStr">
        <is>
          <t>Next gate</t>
        </is>
      </c>
      <c r="B19" s="5" t="inlineStr">
        <is>
          <t>Step 3 — prototype output on a curated dummy dataset</t>
        </is>
      </c>
    </row>
    <row r="20">
      <c r="A20" s="6" t="inlineStr">
        <is>
          <t>WHAT CHANGED AT v1.1.0 — SINGLE-MODEL AMENDMENT</t>
        </is>
      </c>
      <c r="B20" s="5" t="inlineStr">
        <is>
          <t>Unaffected by this amendment. Still FROZEN at 2.0.0.</t>
        </is>
      </c>
    </row>
    <row r="21" ht="26" customHeight="1">
      <c r="A21" s="7" t="inlineStr">
        <is>
          <t>•  The agent now runs on the company-hosted GLM v5.2 and nothing else. Commercial and externally hosted LLM services are out of scope, not merely deprioritised.</t>
        </is>
      </c>
    </row>
    <row r="22" ht="26" customHeight="1">
      <c r="A22" s="7" t="inlineStr">
        <is>
          <t>•  Deployment mode A (cloud-assisted) is removed. Two modes remain: GLM v5.2 on-premise, and deterministic-only.</t>
        </is>
      </c>
    </row>
    <row r="23" ht="26" customHeight="1">
      <c r="A23" s="7" t="inlineStr">
        <is>
          <t>•  Provider adapters reduce from four to two — GLM v5.2, and the null adapter that runs deterministic-only.</t>
        </is>
      </c>
    </row>
    <row r="24" ht="26" customHeight="1">
      <c r="A24" s="7" t="inlineStr">
        <is>
          <t>•  REG-07 no longer gates release: no subject data reaches an external model because there is no external model. The privacy assessment becomes a record, not a blocker.</t>
        </is>
      </c>
    </row>
    <row r="25" ht="26" customHeight="1">
      <c r="A25" s="7" t="inlineStr">
        <is>
          <t>•  RSK-04 (data leaving the boundary) drops to negligible. RSK-16 is added in its place: with one model there is no second provider to fall back to.</t>
        </is>
      </c>
    </row>
    <row r="26" ht="26" customHeight="1">
      <c r="A26" s="7" t="inlineStr">
        <is>
          <t>•  Cross-provider conformance testing is replaced, not deleted. See the note below — this matters more than it looks.</t>
        </is>
      </c>
    </row>
    <row r="27" ht="26" customHeight="1">
      <c r="A27" s="7" t="inlineStr">
        <is>
          <t>•  The rule pack is untouched. No rule references a provider, so the 2.0.0 freeze holds and no rule change control is triggered.</t>
        </is>
      </c>
    </row>
    <row r="28" ht="26" customHeight="1"/>
    <row r="29" ht="26" customHeight="1">
      <c r="A29" s="6" t="inlineStr">
        <is>
          <t>HOW TO USE THIS WORKBOOK</t>
        </is>
      </c>
    </row>
    <row r="30" ht="26" customHeight="1">
      <c r="A30" s="7" t="inlineStr">
        <is>
          <t>•  Yellow cells are for reviewers. Every other cell is controlled content — please do not overwrite it.</t>
        </is>
      </c>
    </row>
    <row r="31" ht="26" customHeight="1">
      <c r="A31" s="7" t="inlineStr">
        <is>
          <t>•  Decisions recorded at the Step 1 review are preserved on each register sheet in the Decision / Reviewer / Comment columns.</t>
        </is>
      </c>
    </row>
    <row r="32" ht="26" customHeight="1">
      <c r="A32" s="7" t="inlineStr">
        <is>
          <t>•  Open_Items lists what is still outstanding after this review. Everything else is closed.</t>
        </is>
      </c>
    </row>
    <row r="33" ht="26" customHeight="1">
      <c r="A33" s="7" t="inlineStr">
        <is>
          <t>•  Contents tracks item counts and remaining decisions with live formulas.</t>
        </is>
      </c>
    </row>
  </sheetData>
  <mergeCells count="28">
    <mergeCell ref="B7:F7"/>
    <mergeCell ref="B16:F16"/>
    <mergeCell ref="A27:F27"/>
    <mergeCell ref="A26:F26"/>
    <mergeCell ref="A21:F21"/>
    <mergeCell ref="B18:F18"/>
    <mergeCell ref="A33:F33"/>
    <mergeCell ref="B12:F12"/>
    <mergeCell ref="B11:F11"/>
    <mergeCell ref="A23:F23"/>
    <mergeCell ref="A32:F32"/>
    <mergeCell ref="A22:F22"/>
    <mergeCell ref="B14:F14"/>
    <mergeCell ref="B8:F8"/>
    <mergeCell ref="B17:F17"/>
    <mergeCell ref="A29:F29"/>
    <mergeCell ref="B13:F13"/>
    <mergeCell ref="A28:F28"/>
    <mergeCell ref="B10:F10"/>
    <mergeCell ref="B19:F19"/>
    <mergeCell ref="A31:F31"/>
    <mergeCell ref="A30:F30"/>
    <mergeCell ref="B9:F9"/>
    <mergeCell ref="A24:F24"/>
    <mergeCell ref="B20:F20"/>
    <mergeCell ref="B15:F15"/>
    <mergeCell ref="A4: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3" topLeftCell="A4" activePane="bottomLeft" state="frozen"/>
      <selection pane="bottomLeft" activeCell="A1" sqref="A1"/>
    </sheetView>
  </sheetViews>
  <sheetFormatPr baseColWidth="8" defaultRowHeight="15"/>
  <cols>
    <col width="22" customWidth="1" min="1" max="1"/>
    <col width="52" customWidth="1" min="2" max="2"/>
    <col width="10" customWidth="1" min="3" max="3"/>
    <col width="18" customWidth="1" min="4" max="4"/>
    <col width="34" customWidth="1" min="5" max="5"/>
  </cols>
  <sheetData>
    <row r="1" ht="26" customHeight="1">
      <c r="A1" s="8" t="inlineStr">
        <is>
          <t>Contents</t>
        </is>
      </c>
    </row>
    <row r="2" ht="26" customHeight="1">
      <c r="A2" s="9" t="inlineStr">
        <is>
          <t>TEA-PLAN-001 v1.0.0 — approved at the Step 1 review, 2026-08-17.</t>
        </is>
      </c>
    </row>
    <row r="3" ht="30" customHeight="1">
      <c r="A3" s="10" t="inlineStr">
        <is>
          <t>Sheet</t>
        </is>
      </c>
      <c r="B3" s="10" t="inlineStr">
        <is>
          <t>Content</t>
        </is>
      </c>
      <c r="C3" s="10" t="inlineStr">
        <is>
          <t>Items</t>
        </is>
      </c>
      <c r="D3" s="10" t="inlineStr">
        <is>
          <t>Amended at review</t>
        </is>
      </c>
      <c r="E3" s="10" t="inlineStr">
        <is>
          <t>Notes</t>
        </is>
      </c>
    </row>
    <row r="4">
      <c r="A4" s="11" t="inlineStr">
        <is>
          <t>Cover</t>
        </is>
      </c>
      <c r="B4" s="12" t="inlineStr">
        <is>
          <t>Document control, what changed, how to use the workbook</t>
        </is>
      </c>
      <c r="C4" s="13" t="n"/>
      <c r="D4" s="14" t="inlineStr"/>
      <c r="E4" s="15" t="inlineStr"/>
    </row>
    <row r="5">
      <c r="A5" s="11" t="inlineStr">
        <is>
          <t>Objectives</t>
        </is>
      </c>
      <c r="B5" s="12" t="inlineStr">
        <is>
          <t>9 objectives with review disposition</t>
        </is>
      </c>
      <c r="C5" s="16">
        <f>COUNTA(Objectives!A4:A12)</f>
        <v/>
      </c>
      <c r="D5" s="17" t="inlineStr">
        <is>
          <t>3</t>
        </is>
      </c>
      <c r="E5" s="15" t="inlineStr">
        <is>
          <t>OBJ-03, OBJ-04, OBJ-06</t>
        </is>
      </c>
    </row>
    <row r="6">
      <c r="A6" s="11" t="inlineStr">
        <is>
          <t>Scope</t>
        </is>
      </c>
      <c r="B6" s="12" t="inlineStr">
        <is>
          <t>Release 1 boundaries and post-release roadmap</t>
        </is>
      </c>
      <c r="C6" s="16">
        <f>COUNTA(Scope!A4:A21)</f>
        <v/>
      </c>
      <c r="D6" s="17" t="inlineStr">
        <is>
          <t>yes</t>
        </is>
      </c>
      <c r="E6" s="15" t="inlineStr">
        <is>
          <t>RECIST 1.0 removed</t>
        </is>
      </c>
    </row>
    <row r="7">
      <c r="A7" s="11" t="inlineStr">
        <is>
          <t>Principles</t>
        </is>
      </c>
      <c r="B7" s="12" t="inlineStr">
        <is>
          <t>9 design principles</t>
        </is>
      </c>
      <c r="C7" s="16">
        <f>COUNTA(Principles!A3:A20)</f>
        <v/>
      </c>
      <c r="D7" s="17" t="inlineStr">
        <is>
          <t>1</t>
        </is>
      </c>
      <c r="E7" s="15" t="inlineStr">
        <is>
          <t>DP-09 added</t>
        </is>
      </c>
    </row>
    <row r="8">
      <c r="A8" s="11" t="inlineStr">
        <is>
          <t>Components</t>
        </is>
      </c>
      <c r="B8" s="12" t="inlineStr">
        <is>
          <t>11 pipeline components</t>
        </is>
      </c>
      <c r="C8" s="16">
        <f>COUNTA(Components!A4:A20)</f>
        <v/>
      </c>
      <c r="D8" s="17" t="inlineStr">
        <is>
          <t>3</t>
        </is>
      </c>
      <c r="E8" s="15" t="inlineStr">
        <is>
          <t>AC-11 added; AC-06, AC-07 amended</t>
        </is>
      </c>
    </row>
    <row r="9">
      <c r="A9" s="11" t="inlineStr">
        <is>
          <t>Confidence_Model</t>
        </is>
      </c>
      <c r="B9" s="12" t="inlineStr">
        <is>
          <t>How the confidence rate is defined and computed</t>
        </is>
      </c>
      <c r="C9" s="13" t="n"/>
      <c r="D9" s="17" t="inlineStr">
        <is>
          <t>NEW</t>
        </is>
      </c>
      <c r="E9" s="15" t="inlineStr">
        <is>
          <t>OBJ-03</t>
        </is>
      </c>
    </row>
    <row r="10">
      <c r="A10" s="11" t="inlineStr">
        <is>
          <t>Query_Handling</t>
        </is>
      </c>
      <c r="B10" s="12" t="inlineStr">
        <is>
          <t>Query reconciliation outcomes and answer assessment</t>
        </is>
      </c>
      <c r="C10" s="13" t="n"/>
      <c r="D10" s="17" t="inlineStr">
        <is>
          <t>NEW</t>
        </is>
      </c>
      <c r="E10" s="15" t="inlineStr">
        <is>
          <t>OBJ-04</t>
        </is>
      </c>
    </row>
    <row r="11">
      <c r="A11" s="11" t="inlineStr">
        <is>
          <t>LLM_Policy</t>
        </is>
      </c>
      <c r="B11" s="12" t="inlineStr">
        <is>
          <t>Permitted and forbidden LLM tasks; provider adapters</t>
        </is>
      </c>
      <c r="C11" s="13" t="n"/>
      <c r="D11" s="17" t="inlineStr">
        <is>
          <t>yes</t>
        </is>
      </c>
      <c r="E11" s="15" t="inlineStr">
        <is>
          <t>3 tasks added</t>
        </is>
      </c>
    </row>
    <row r="12">
      <c r="A12" s="11" t="inlineStr">
        <is>
          <t>Data_Model</t>
        </is>
      </c>
      <c r="B12" s="12" t="inlineStr">
        <is>
          <t>12 canonical entities; Veeva primary source mapping</t>
        </is>
      </c>
      <c r="C12" s="13" t="n"/>
      <c r="D12" s="17" t="inlineStr">
        <is>
          <t>yes</t>
        </is>
      </c>
      <c r="E12" s="15" t="inlineStr">
        <is>
          <t>OQ-01</t>
        </is>
      </c>
    </row>
    <row r="13">
      <c r="A13" s="11" t="inlineStr">
        <is>
          <t>Review_Scope</t>
        </is>
      </c>
      <c r="B13" s="12" t="inlineStr">
        <is>
          <t>7 rule families, 85 review points</t>
        </is>
      </c>
      <c r="C13" s="16">
        <f>SUM(Review_Scope!C4:C10)</f>
        <v/>
      </c>
      <c r="D13" s="17" t="inlineStr">
        <is>
          <t>1</t>
        </is>
      </c>
      <c r="E13" s="15" t="inlineStr">
        <is>
          <t>TE-RS-021 added</t>
        </is>
      </c>
    </row>
    <row r="14">
      <c r="A14" s="11" t="inlineStr">
        <is>
          <t>Architecture</t>
        </is>
      </c>
      <c r="B14" s="12" t="inlineStr">
        <is>
          <t>Layers, technology, deployment modes</t>
        </is>
      </c>
      <c r="C14" s="13" t="n"/>
      <c r="D14" s="14" t="inlineStr">
        <is>
          <t>no</t>
        </is>
      </c>
      <c r="E14" s="15" t="inlineStr"/>
    </row>
    <row r="15">
      <c r="A15" s="11" t="inlineStr">
        <is>
          <t>Web_App</t>
        </is>
      </c>
      <c r="B15" s="12" t="inlineStr">
        <is>
          <t>8 planned screens</t>
        </is>
      </c>
      <c r="C15" s="16">
        <f>COUNTA(Web_App!A4:A11)</f>
        <v/>
      </c>
      <c r="D15" s="17" t="inlineStr">
        <is>
          <t>1</t>
        </is>
      </c>
      <c r="E15" s="15" t="inlineStr">
        <is>
          <t>S7 protocol intake added</t>
        </is>
      </c>
    </row>
    <row r="16">
      <c r="A16" s="11" t="inlineStr">
        <is>
          <t>Delivery_Steps</t>
        </is>
      </c>
      <c r="B16" s="12" t="inlineStr">
        <is>
          <t>6 steps with entry and exit criteria</t>
        </is>
      </c>
      <c r="C16" s="16">
        <f>COUNTA(Delivery_Steps!A3:A8)</f>
        <v/>
      </c>
      <c r="D16" s="17" t="inlineStr">
        <is>
          <t>yes</t>
        </is>
      </c>
      <c r="E16" s="15" t="inlineStr">
        <is>
          <t>Step 1 complete</t>
        </is>
      </c>
    </row>
    <row r="17">
      <c r="A17" s="11" t="inlineStr">
        <is>
          <t>Requirements</t>
        </is>
      </c>
      <c r="B17" s="12" t="inlineStr">
        <is>
          <t>21 functional, 11 non-functional, 7 regulatory</t>
        </is>
      </c>
      <c r="C17" s="16">
        <f>COUNTA(Requirements!A4:A42)</f>
        <v/>
      </c>
      <c r="D17" s="17" t="inlineStr">
        <is>
          <t>9</t>
        </is>
      </c>
      <c r="E17" s="15" t="inlineStr">
        <is>
          <t>FR-18 to FR-20 new</t>
        </is>
      </c>
    </row>
    <row r="18">
      <c r="A18" s="11" t="inlineStr">
        <is>
          <t>Risks</t>
        </is>
      </c>
      <c r="B18" s="12" t="inlineStr">
        <is>
          <t>15 risks with mitigation and residual rating</t>
        </is>
      </c>
      <c r="C18" s="16">
        <f>COUNTA(Risks!A4:A21)</f>
        <v/>
      </c>
      <c r="D18" s="17" t="inlineStr">
        <is>
          <t>1</t>
        </is>
      </c>
      <c r="E18" s="15" t="inlineStr">
        <is>
          <t>RSK-15 added</t>
        </is>
      </c>
    </row>
    <row r="19">
      <c r="A19" s="11" t="inlineStr">
        <is>
          <t>Metrics</t>
        </is>
      </c>
      <c r="B19" s="12" t="inlineStr">
        <is>
          <t>8 quality metrics</t>
        </is>
      </c>
      <c r="C19" s="16">
        <f>COUNTA(Metrics!A4:A11)</f>
        <v/>
      </c>
      <c r="D19" s="17" t="inlineStr">
        <is>
          <t>2</t>
        </is>
      </c>
      <c r="E19" s="15" t="inlineStr">
        <is>
          <t>calibration metrics added</t>
        </is>
      </c>
    </row>
    <row r="20">
      <c r="A20" s="11" t="inlineStr">
        <is>
          <t>Recommendations</t>
        </is>
      </c>
      <c r="B20" s="12" t="inlineStr">
        <is>
          <t>10 recommendations</t>
        </is>
      </c>
      <c r="C20" s="16">
        <f>COUNTA(Recommendations!A4:A13)</f>
        <v/>
      </c>
      <c r="D20" s="17" t="inlineStr">
        <is>
          <t>5</t>
        </is>
      </c>
      <c r="E20" s="15" t="inlineStr">
        <is>
          <t>all accepted</t>
        </is>
      </c>
    </row>
    <row r="21">
      <c r="A21" s="11" t="inlineStr">
        <is>
          <t>Decisions</t>
        </is>
      </c>
      <c r="B21" s="12" t="inlineStr">
        <is>
          <t>14 questions closed at review</t>
        </is>
      </c>
      <c r="C21" s="16">
        <f>COUNTA(Decisions!A4:A17)</f>
        <v/>
      </c>
      <c r="D21" s="14" t="inlineStr">
        <is>
          <t>—</t>
        </is>
      </c>
      <c r="E21" s="15" t="inlineStr">
        <is>
          <t>binding inputs to Step 2</t>
        </is>
      </c>
    </row>
    <row r="22">
      <c r="A22" s="11" t="inlineStr">
        <is>
          <t>Open_Items</t>
        </is>
      </c>
      <c r="B22" s="12" t="inlineStr">
        <is>
          <t>What remains outstanding</t>
        </is>
      </c>
      <c r="C22" s="16">
        <f>COUNTA(Open_Items!A4:A12)</f>
        <v/>
      </c>
      <c r="D22" s="14" t="inlineStr">
        <is>
          <t>—</t>
        </is>
      </c>
      <c r="E22" s="15" t="inlineStr">
        <is>
          <t>6 items</t>
        </is>
      </c>
    </row>
    <row r="23">
      <c r="A23" s="11" t="inlineStr">
        <is>
          <t>Validation</t>
        </is>
      </c>
      <c r="B23" s="12" t="inlineStr">
        <is>
          <t>Validation activities and frameworks</t>
        </is>
      </c>
      <c r="C23" s="13" t="n"/>
      <c r="D23" s="17" t="inlineStr">
        <is>
          <t>1</t>
        </is>
      </c>
      <c r="E23" s="15" t="inlineStr">
        <is>
          <t>drift check added</t>
        </is>
      </c>
    </row>
    <row r="24">
      <c r="A24" s="11" t="inlineStr">
        <is>
          <t>Version_Control</t>
        </is>
      </c>
      <c r="B24" s="12" t="inlineStr">
        <is>
          <t>Versioned artifacts and change control</t>
        </is>
      </c>
      <c r="C24" s="13" t="n"/>
      <c r="D24" s="17" t="inlineStr">
        <is>
          <t>yes</t>
        </is>
      </c>
      <c r="E24" s="15" t="inlineStr">
        <is>
          <t>xlsx supersedes XML</t>
        </is>
      </c>
    </row>
    <row r="25">
      <c r="A25" s="11" t="inlineStr">
        <is>
          <t>Assumptions</t>
        </is>
      </c>
      <c r="B25" s="12" t="inlineStr">
        <is>
          <t>6 stated assumptions</t>
        </is>
      </c>
      <c r="C25" s="16">
        <f>COUNTA(Assumptions!A3:A20)</f>
        <v/>
      </c>
      <c r="D25" s="17" t="inlineStr">
        <is>
          <t>1</t>
        </is>
      </c>
      <c r="E25" s="15" t="inlineStr">
        <is>
          <t>ASM-06 added</t>
        </is>
      </c>
    </row>
    <row r="26">
      <c r="A26" s="11" t="inlineStr">
        <is>
          <t>Glossary</t>
        </is>
      </c>
      <c r="B26" s="12" t="inlineStr">
        <is>
          <t>11 terms</t>
        </is>
      </c>
      <c r="C26" s="16">
        <f>COUNTA(Glossary!A3:A20)</f>
        <v/>
      </c>
      <c r="D26" s="17" t="inlineStr">
        <is>
          <t>2</t>
        </is>
      </c>
      <c r="E26" s="15" t="inlineStr"/>
    </row>
    <row r="27">
      <c r="A27" s="11" t="inlineStr">
        <is>
          <t>References</t>
        </is>
      </c>
      <c r="B27" s="12" t="inlineStr">
        <is>
          <t>7 source references</t>
        </is>
      </c>
      <c r="C27" s="16">
        <f>COUNTA(References!A3:A20)</f>
        <v/>
      </c>
      <c r="D27" s="17" t="inlineStr">
        <is>
          <t>1</t>
        </is>
      </c>
      <c r="E27" s="15" t="inlineStr">
        <is>
          <t>RECIST 1.0 removed</t>
        </is>
      </c>
    </row>
  </sheetData>
  <mergeCells count="2">
    <mergeCell ref="A2:E2"/>
    <mergeCell ref="A1:E1"/>
  </mergeCells>
  <hyperlinks>
    <hyperlink ref="A4" location="Cover!A1"/>
    <hyperlink ref="A5" location="Objectives!A1"/>
    <hyperlink ref="A6" location="Scope!A1"/>
    <hyperlink ref="A7" location="Principles!A1"/>
    <hyperlink ref="A8" location="Components!A1"/>
    <hyperlink ref="A9" location="Confidence_Model!A1"/>
    <hyperlink ref="A10" location="Query_Handling!A1"/>
    <hyperlink ref="A11" location="LLM_Policy!A1"/>
    <hyperlink ref="A12" location="Data_Model!A1"/>
    <hyperlink ref="A13" location="Review_Scope!A1"/>
    <hyperlink ref="A14" location="Architecture!A1"/>
    <hyperlink ref="A15" location="Web_App!A1"/>
    <hyperlink ref="A16" location="Delivery_Steps!A1"/>
    <hyperlink ref="A17" location="Requirements!A1"/>
    <hyperlink ref="A18" location="Risks!A1"/>
    <hyperlink ref="A19" location="Metrics!A1"/>
    <hyperlink ref="A20" location="Recommendations!A1"/>
    <hyperlink ref="A21" location="Decisions!A1"/>
    <hyperlink ref="A22" location="Open_Items!A1"/>
    <hyperlink ref="A23" location="Validation!A1"/>
    <hyperlink ref="A24" location="Version_Control!A1"/>
    <hyperlink ref="A25" location="Assumptions!A1"/>
    <hyperlink ref="A26" location="Glossary!A1"/>
    <hyperlink ref="A27" location="Reference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74" customWidth="1" min="2" max="2"/>
    <col width="10" customWidth="1" min="3" max="3"/>
    <col width="12" customWidth="1" min="4" max="4"/>
    <col width="11" customWidth="1" min="5" max="5"/>
    <col width="11" customWidth="1" min="6" max="6"/>
    <col width="46" customWidth="1" min="7" max="7"/>
  </cols>
  <sheetData>
    <row r="1" ht="26" customHeight="1">
      <c r="A1" s="8" t="inlineStr">
        <is>
          <t>Objectives</t>
        </is>
      </c>
    </row>
    <row r="2" ht="26" customHeight="1">
      <c r="A2" s="9" t="inlineStr">
        <is>
          <t>Amended objectives carry the reviewer's wording. Status column shows what changed at the Step 1 review.</t>
        </is>
      </c>
    </row>
    <row r="3" ht="30" customHeight="1">
      <c r="A3" s="10" t="inlineStr">
        <is>
          <t>ID</t>
        </is>
      </c>
      <c r="B3" s="10" t="inlineStr">
        <is>
          <t>Objective</t>
        </is>
      </c>
      <c r="C3" s="10" t="inlineStr">
        <is>
          <t>Priority</t>
        </is>
      </c>
      <c r="D3" s="10" t="inlineStr">
        <is>
          <t>Status</t>
        </is>
      </c>
      <c r="E3" s="10" t="inlineStr">
        <is>
          <t>Decision</t>
        </is>
      </c>
      <c r="F3" s="10" t="inlineStr">
        <is>
          <t>Reviewer</t>
        </is>
      </c>
      <c r="G3" s="10" t="inlineStr">
        <is>
          <t>Review comment</t>
        </is>
      </c>
    </row>
    <row r="4">
      <c r="A4" s="18" t="inlineStr">
        <is>
          <t>OBJ-01</t>
        </is>
      </c>
      <c r="B4" s="12" t="inlineStr">
        <is>
          <t>Re-derive, for every subject and timepoint, the sum of diameters, percent change from baseline and from nadir, target response, non-target response, new-lesion status, overall timepoint response and best overall response — under the guideline version and protocol parameters that apply to the study.</t>
        </is>
      </c>
      <c r="C4" s="19" t="inlineStr">
        <is>
          <t>Must</t>
        </is>
      </c>
      <c r="D4" s="20" t="inlineStr">
        <is>
          <t>CARRIED</t>
        </is>
      </c>
      <c r="E4" s="18" t="inlineStr">
        <is>
          <t>Accept</t>
        </is>
      </c>
      <c r="F4" s="21" t="inlineStr">
        <is>
          <t>Daniel</t>
        </is>
      </c>
      <c r="G4" s="12" t="n"/>
    </row>
    <row r="5">
      <c r="A5" s="22" t="inlineStr">
        <is>
          <t>OBJ-02</t>
        </is>
      </c>
      <c r="B5" s="23" t="inlineStr">
        <is>
          <t>Detect and report discrepancies between derived and collected values, plus guideline-conformance issues that are not simple mismatches, such as ineligible target lesion selection or a missing confirmation assessment.</t>
        </is>
      </c>
      <c r="C5" s="24" t="inlineStr">
        <is>
          <t>Must</t>
        </is>
      </c>
      <c r="D5" s="25" t="inlineStr">
        <is>
          <t>CARRIED</t>
        </is>
      </c>
      <c r="E5" s="22" t="inlineStr">
        <is>
          <t>Accept</t>
        </is>
      </c>
      <c r="F5" s="26" t="inlineStr">
        <is>
          <t>Daniel</t>
        </is>
      </c>
      <c r="G5" s="23" t="n"/>
    </row>
    <row r="6">
      <c r="A6" s="18" t="inlineStr">
        <is>
          <t>OBJ-03</t>
        </is>
      </c>
      <c r="B6" s="12" t="inlineStr">
        <is>
          <t>Present each issue with the five reviewer-facing elements (review point, issue and data location, reason with current-versus-expected, suggested query text, additional information) AND a confidence rate expressed as a percentage, where 100% means a very clear discrepancy with high accuracy and 0% means very low confidence with high potential for a wrong query.</t>
        </is>
      </c>
      <c r="C6" s="19" t="inlineStr">
        <is>
          <t>Must</t>
        </is>
      </c>
      <c r="D6" s="27" t="inlineStr">
        <is>
          <t>AMENDED</t>
        </is>
      </c>
      <c r="E6" s="27" t="inlineStr">
        <is>
          <t>Amend</t>
        </is>
      </c>
      <c r="F6" s="21" t="inlineStr">
        <is>
          <t>Daniel</t>
        </is>
      </c>
      <c r="G6" s="12" t="inlineStr">
        <is>
          <t>Add confidence rate information (xx.x%) in the presented information. Confidence rate means 100% is very clear and very high accuracy on the discrepancy and 0% is very low and high potential wrong query.</t>
        </is>
      </c>
    </row>
    <row r="7">
      <c r="A7" s="22" t="inlineStr">
        <is>
          <t>OBJ-04</t>
        </is>
      </c>
      <c r="B7" s="23" t="inlineStr">
        <is>
          <t>Reconcile findings against the query history: suppress duplicates of open queries, and for answered or closed queries assess whether the site's answer was reasonable and remains consistent with the current data — escalating only where it does not, rather than wherever the data still fails the check.</t>
        </is>
      </c>
      <c r="C7" s="24" t="inlineStr">
        <is>
          <t>Must</t>
        </is>
      </c>
      <c r="D7" s="28" t="inlineStr">
        <is>
          <t>AMENDED</t>
        </is>
      </c>
      <c r="E7" s="28" t="inlineStr">
        <is>
          <t>Amend</t>
        </is>
      </c>
      <c r="F7" s="26" t="inlineStr">
        <is>
          <t>Daniel</t>
        </is>
      </c>
      <c r="G7" s="23" t="inlineStr">
        <is>
          <t>Even the query was closed, it may correct treat on the data because sites may provide reasonable answer. LLM should review past query answers and whether it seems their answers are reasonable, aligned with current data.</t>
        </is>
      </c>
    </row>
    <row r="8">
      <c r="A8" s="18" t="inlineStr">
        <is>
          <t>OBJ-05</t>
        </is>
      </c>
      <c r="B8" s="12" t="inlineStr">
        <is>
          <t>Run entirely on the company-hosted GLM v5.2, with no dependency on any external or commercial LLM service. Deterministic verdicts must be identical whether the model is available or not, which the deterministic-only mode exists to prove.</t>
        </is>
      </c>
      <c r="C8" s="19" t="inlineStr">
        <is>
          <t>Must</t>
        </is>
      </c>
      <c r="D8" s="27" t="inlineStr">
        <is>
          <t>AMENDED</t>
        </is>
      </c>
      <c r="E8" s="27" t="inlineStr">
        <is>
          <t>Amend</t>
        </is>
      </c>
      <c r="F8" s="21" t="inlineStr">
        <is>
          <t>Daniel</t>
        </is>
      </c>
      <c r="G8" s="12" t="inlineStr">
        <is>
          <t>Consider GLM v5.2 working and exclude other commercialized LLM. Focusing on the internal company GLM.</t>
        </is>
      </c>
    </row>
    <row r="9">
      <c r="A9" s="22" t="inlineStr">
        <is>
          <t>OBJ-06</t>
        </is>
      </c>
      <c r="B9" s="23" t="inlineStr">
        <is>
          <t>Support RECIST 1.1 and iRECIST as selectable, versioned rule packs; be extensible to indication-specific criteria without touching the engine. RECIST 1.0 is out of scope.</t>
        </is>
      </c>
      <c r="C9" s="24" t="inlineStr">
        <is>
          <t>Must</t>
        </is>
      </c>
      <c r="D9" s="28" t="inlineStr">
        <is>
          <t>AMENDED</t>
        </is>
      </c>
      <c r="E9" s="28" t="inlineStr">
        <is>
          <t>Amend</t>
        </is>
      </c>
      <c r="F9" s="26" t="inlineStr">
        <is>
          <t>Daniel</t>
        </is>
      </c>
      <c r="G9" s="23" t="inlineStr">
        <is>
          <t>RECIST v1.0 is no need to consider anymore because of RECIST v1.1 has majority already.</t>
        </is>
      </c>
    </row>
    <row r="10">
      <c r="A10" s="18" t="inlineStr">
        <is>
          <t>OBJ-07</t>
        </is>
      </c>
      <c r="B10" s="12" t="inlineStr">
        <is>
          <t>Provide a holistic review environment: subject-level timelines, cross-subject and cross-site issue patterns, saved reviewer worklists — not just a flat issue list.</t>
        </is>
      </c>
      <c r="C10" s="27" t="inlineStr">
        <is>
          <t>Should</t>
        </is>
      </c>
      <c r="D10" s="20" t="inlineStr">
        <is>
          <t>CARRIED</t>
        </is>
      </c>
      <c r="E10" s="18" t="inlineStr">
        <is>
          <t>Accept</t>
        </is>
      </c>
      <c r="F10" s="21" t="inlineStr">
        <is>
          <t>Daniel</t>
        </is>
      </c>
      <c r="G10" s="12" t="n"/>
    </row>
    <row r="11">
      <c r="A11" s="22" t="inlineStr">
        <is>
          <t>OBJ-08</t>
        </is>
      </c>
      <c r="B11" s="23" t="inlineStr">
        <is>
          <t>Achieve a false-positive rate low enough that reviewers trust the output.</t>
        </is>
      </c>
      <c r="C11" s="28" t="inlineStr">
        <is>
          <t>Should</t>
        </is>
      </c>
      <c r="D11" s="25" t="inlineStr">
        <is>
          <t>CARRIED</t>
        </is>
      </c>
      <c r="E11" s="22" t="inlineStr">
        <is>
          <t>Accept</t>
        </is>
      </c>
      <c r="F11" s="26" t="inlineStr">
        <is>
          <t>Daniel</t>
        </is>
      </c>
      <c r="G11" s="23" t="n"/>
    </row>
    <row r="12">
      <c r="A12" s="18" t="inlineStr">
        <is>
          <t>OBJ-09</t>
        </is>
      </c>
      <c r="B12" s="12" t="inlineStr">
        <is>
          <t>Be maintainable by a clinical programming team: adding a review point is a self-contained declarative change with its own tests, requiring no change to the engine.</t>
        </is>
      </c>
      <c r="C12" s="19" t="inlineStr">
        <is>
          <t>Must</t>
        </is>
      </c>
      <c r="D12" s="20" t="inlineStr">
        <is>
          <t>CARRIED</t>
        </is>
      </c>
      <c r="E12" s="18" t="inlineStr">
        <is>
          <t>Accept</t>
        </is>
      </c>
      <c r="F12" s="21" t="inlineStr">
        <is>
          <t>Daniel</t>
        </is>
      </c>
      <c r="G12" s="12" t="n"/>
    </row>
  </sheetData>
  <autoFilter ref="A3:G12"/>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pane ySplit="3" topLeftCell="A4" activePane="bottomLeft" state="frozen"/>
      <selection pane="bottomLeft" activeCell="A1" sqref="A1"/>
    </sheetView>
  </sheetViews>
  <sheetFormatPr baseColWidth="8" defaultRowHeight="15"/>
  <cols>
    <col width="14" customWidth="1" min="1" max="1"/>
    <col width="88" customWidth="1" min="2" max="2"/>
    <col width="22" customWidth="1" min="3" max="3"/>
  </cols>
  <sheetData>
    <row r="1" ht="26" customHeight="1">
      <c r="A1" s="8" t="inlineStr">
        <is>
          <t>Scope</t>
        </is>
      </c>
    </row>
    <row r="2" ht="26" customHeight="1">
      <c r="A2" s="9" t="inlineStr">
        <is>
          <t>Release 1 boundaries as settled at the Step 1 review.</t>
        </is>
      </c>
    </row>
    <row r="3" ht="30" customHeight="1">
      <c r="A3" s="10" t="inlineStr">
        <is>
          <t>Boundary</t>
        </is>
      </c>
      <c r="B3" s="10" t="inlineStr">
        <is>
          <t>Item</t>
        </is>
      </c>
      <c r="C3" s="10" t="inlineStr">
        <is>
          <t>Source</t>
        </is>
      </c>
    </row>
    <row r="4">
      <c r="A4" s="18" t="inlineStr">
        <is>
          <t>In scope</t>
        </is>
      </c>
      <c r="B4" s="12" t="inlineStr">
        <is>
          <t>Solid-tumor response assessment data collected under RECIST 1.1 and iRECIST.</t>
        </is>
      </c>
      <c r="C4" s="12" t="inlineStr">
        <is>
          <t>OBJ-06 amended</t>
        </is>
      </c>
    </row>
    <row r="5">
      <c r="A5" s="22" t="inlineStr">
        <is>
          <t>In scope</t>
        </is>
      </c>
      <c r="B5" s="23" t="inlineStr">
        <is>
          <t>Indications: NSCLC and breast cancer.</t>
        </is>
      </c>
      <c r="C5" s="23" t="inlineStr">
        <is>
          <t>OQ-05</t>
        </is>
      </c>
    </row>
    <row r="6">
      <c r="A6" s="18" t="inlineStr">
        <is>
          <t>In scope</t>
        </is>
      </c>
      <c r="B6" s="12" t="inlineStr">
        <is>
          <t>Investigator assessments; where collected, BICR assessments and investigator-versus-BICR reconciliation flags (built, disabled by default).</t>
        </is>
      </c>
      <c r="C6" s="12" t="inlineStr">
        <is>
          <t>OQ-13</t>
        </is>
      </c>
    </row>
    <row r="7">
      <c r="A7" s="22" t="inlineStr">
        <is>
          <t>In scope</t>
        </is>
      </c>
      <c r="B7" s="23" t="inlineStr">
        <is>
          <t>Lesion-level identification and measurement data, timepoint response data, best overall response, progression dates.</t>
        </is>
      </c>
      <c r="C7" s="23" t="inlineStr">
        <is>
          <t>Carried</t>
        </is>
      </c>
    </row>
    <row r="8">
      <c r="A8" s="18" t="inlineStr">
        <is>
          <t>In scope</t>
        </is>
      </c>
      <c r="B8" s="12" t="inlineStr">
        <is>
          <t>Query history from Veeva EDC — open, answered and closed queries — imported manually.</t>
        </is>
      </c>
      <c r="C8" s="12" t="inlineStr">
        <is>
          <t>OQ-02</t>
        </is>
      </c>
    </row>
    <row r="9">
      <c r="A9" s="22" t="inlineStr">
        <is>
          <t>In scope</t>
        </is>
      </c>
      <c r="B9" s="23" t="inlineStr">
        <is>
          <t>Supporting cross-domain data: visit dates, first dose, disposition, death date, anticancer therapy, radiotherapy and surgery, adverse events indicating progression.</t>
        </is>
      </c>
      <c r="C9" s="23" t="inlineStr">
        <is>
          <t>Carried</t>
        </is>
      </c>
    </row>
    <row r="10">
      <c r="A10" s="18" t="inlineStr">
        <is>
          <t>In scope</t>
        </is>
      </c>
      <c r="B10" s="12" t="inlineStr">
        <is>
          <t>A web application presenting agent output for human review and query drafting.</t>
        </is>
      </c>
      <c r="C10" s="12" t="inlineStr">
        <is>
          <t>Step 4</t>
        </is>
      </c>
    </row>
    <row r="11">
      <c r="A11" s="22" t="inlineStr">
        <is>
          <t>In scope</t>
        </is>
      </c>
      <c r="B11" s="23" t="inlineStr">
        <is>
          <t>Protocol intake: the agent summarises protocol parameter checkpoints for user confirmation before the first run.</t>
        </is>
      </c>
      <c r="C11" s="23" t="inlineStr">
        <is>
          <t>OQ-04 — new</t>
        </is>
      </c>
    </row>
    <row r="12">
      <c r="A12" s="19" t="inlineStr">
        <is>
          <t>Out of scope</t>
        </is>
      </c>
      <c r="B12" s="12" t="inlineStr">
        <is>
          <t>RECIST 1.0. Removed at review; version 1.1 covers the active portfolio.</t>
        </is>
      </c>
      <c r="C12" s="12" t="inlineStr">
        <is>
          <t>OBJ-06 / OQ-06</t>
        </is>
      </c>
    </row>
    <row r="13">
      <c r="A13" s="24" t="inlineStr">
        <is>
          <t>Out of scope</t>
        </is>
      </c>
      <c r="B13" s="23" t="inlineStr">
        <is>
          <t>Reading or interpreting the images themselves. The agent reviews recorded data, not DICOM.</t>
        </is>
      </c>
      <c r="C13" s="23" t="inlineStr">
        <is>
          <t>Carried</t>
        </is>
      </c>
    </row>
    <row r="14">
      <c r="A14" s="19" t="inlineStr">
        <is>
          <t>Out of scope</t>
        </is>
      </c>
      <c r="B14" s="12" t="inlineStr">
        <is>
          <t>Automatic posting of queries into the EDC. Approved query text is provided to a user who issues it manually.</t>
        </is>
      </c>
      <c r="C14" s="12" t="inlineStr">
        <is>
          <t>OQ-02 / REG-01</t>
        </is>
      </c>
    </row>
    <row r="15">
      <c r="A15" s="24" t="inlineStr">
        <is>
          <t>Out of scope</t>
        </is>
      </c>
      <c r="B15" s="23" t="inlineStr">
        <is>
          <t>Nightly or scheduled runs. Release 1 is on-demand only.</t>
        </is>
      </c>
      <c r="C15" s="23" t="inlineStr">
        <is>
          <t>OQ-12</t>
        </is>
      </c>
    </row>
    <row r="16">
      <c r="A16" s="19" t="inlineStr">
        <is>
          <t>Out of scope</t>
        </is>
      </c>
      <c r="B16" s="12" t="inlineStr">
        <is>
          <t>Strict role-based access control. All role types may review and approve in release 1.</t>
        </is>
      </c>
      <c r="C16" s="12" t="inlineStr">
        <is>
          <t>OQ-08</t>
        </is>
      </c>
    </row>
    <row r="17">
      <c r="A17" s="24" t="inlineStr">
        <is>
          <t>Out of scope</t>
        </is>
      </c>
      <c r="B17" s="23" t="inlineStr">
        <is>
          <t>Commercial and externally hosted LLM services. The agent uses the company-hosted GLM v5.2 only, and no subject data leaves the network.</t>
        </is>
      </c>
      <c r="C17" s="23" t="inlineStr">
        <is>
          <t>OBJ-05 amended v1.1.0</t>
        </is>
      </c>
    </row>
    <row r="18">
      <c r="A18" s="19" t="inlineStr">
        <is>
          <t>Out of scope</t>
        </is>
      </c>
      <c r="B18" s="12" t="inlineStr">
        <is>
          <t>Languages other than English.</t>
        </is>
      </c>
      <c r="C18" s="12" t="inlineStr">
        <is>
          <t>OQ-11</t>
        </is>
      </c>
    </row>
    <row r="19">
      <c r="A19" s="24" t="inlineStr">
        <is>
          <t>Out of scope</t>
        </is>
      </c>
      <c r="B19" s="23" t="inlineStr">
        <is>
          <t>Non-solid-tumor criteria (Lugano, IMWG, PCWG3, RANO) and modality variants (mRECIST, Choi).</t>
        </is>
      </c>
      <c r="C19" s="23" t="inlineStr">
        <is>
          <t>OQ-06</t>
        </is>
      </c>
    </row>
    <row r="20">
      <c r="A20" s="19" t="inlineStr">
        <is>
          <t>Out of scope</t>
        </is>
      </c>
      <c r="B20" s="12" t="inlineStr">
        <is>
          <t>Endpoint derivation for submission, which remains owned by biostatistics.</t>
        </is>
      </c>
      <c r="C20" s="12" t="inlineStr">
        <is>
          <t>Carried</t>
        </is>
      </c>
    </row>
    <row r="21">
      <c r="A21" s="24" t="inlineStr">
        <is>
          <t>Out of scope</t>
        </is>
      </c>
      <c r="B21" s="23" t="inlineStr">
        <is>
          <t>Medical decision-making. The agent produces suspicions for human adjudication.</t>
        </is>
      </c>
      <c r="C21" s="23" t="inlineStr">
        <is>
          <t>REG-01</t>
        </is>
      </c>
    </row>
    <row r="22">
      <c r="A22" s="29" t="inlineStr">
        <is>
          <t>Roadmap</t>
        </is>
      </c>
      <c r="B22" s="12" t="inlineStr">
        <is>
          <t>Further indications after release 1: prostate, colorectal, pancreatic, head and neck, ovarian cancer.</t>
        </is>
      </c>
      <c r="C22" s="12" t="inlineStr">
        <is>
          <t>OQ-05</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10" customWidth="1" min="1" max="1"/>
    <col width="32" customWidth="1" min="2" max="2"/>
    <col width="88" customWidth="1" min="3" max="3"/>
  </cols>
  <sheetData>
    <row r="1" ht="26" customHeight="1">
      <c r="A1" s="8" t="inlineStr">
        <is>
          <t>Design principles</t>
        </is>
      </c>
    </row>
    <row r="2" ht="30" customHeight="1">
      <c r="A2" s="10" t="inlineStr">
        <is>
          <t>ID</t>
        </is>
      </c>
      <c r="B2" s="10" t="inlineStr">
        <is>
          <t>Principle</t>
        </is>
      </c>
      <c r="C2" s="10" t="inlineStr">
        <is>
          <t>Detail</t>
        </is>
      </c>
    </row>
    <row r="3">
      <c r="A3" s="18" t="inlineStr">
        <is>
          <t>DP-01</t>
        </is>
      </c>
      <c r="B3" s="12" t="inlineStr">
        <is>
          <t>Deterministic-first, LLM-assisted</t>
        </is>
      </c>
      <c r="C3" s="12" t="inlineStr">
        <is>
          <t>Every numeric derivation and rule verdict is computed by rule-pack code. The LLM may only adjudicate rules declared judgement-based, assess free text, explain, and draft language. Verdicts are therefore identical whether GLM v5.2 answers, returns nonsense, or is switched off entirely.</t>
        </is>
      </c>
    </row>
    <row r="4">
      <c r="A4" s="22" t="inlineStr">
        <is>
          <t>DP-02</t>
        </is>
      </c>
      <c r="B4" s="23" t="inlineStr">
        <is>
          <t>Evidence before language</t>
        </is>
      </c>
      <c r="C4" s="23" t="inlineStr">
        <is>
          <t>A finding is assembled from structured evidence first — exact records, values, computed quantities. Narrative is generated from that evidence and cannot introduce facts absent from it.</t>
        </is>
      </c>
    </row>
    <row r="5">
      <c r="A5" s="18" t="inlineStr">
        <is>
          <t>DP-03</t>
        </is>
      </c>
      <c r="B5" s="12" t="inlineStr">
        <is>
          <t>Declarative review points</t>
        </is>
      </c>
      <c r="C5" s="12" t="inlineStr">
        <is>
          <t>Each review point is a versioned declarative unit: identity, guideline basis, applicability, severity, confidence base rate, logic, message templates, false-positive guards, test cases.</t>
        </is>
      </c>
    </row>
    <row r="6">
      <c r="A6" s="22" t="inlineStr">
        <is>
          <t>DP-04</t>
        </is>
      </c>
      <c r="B6" s="23" t="inlineStr">
        <is>
          <t>Human-in-the-loop by construction</t>
        </is>
      </c>
      <c r="C6" s="23" t="inlineStr">
        <is>
          <t>The agent proposes; a qualified reviewer disposes. No query is issued by the agent; approved text is handed to a person who issues it.</t>
        </is>
      </c>
    </row>
    <row r="7">
      <c r="A7" s="18" t="inlineStr">
        <is>
          <t>DP-05</t>
        </is>
      </c>
      <c r="B7" s="12" t="inlineStr">
        <is>
          <t>Explain like a senior reviewer</t>
        </is>
      </c>
      <c r="C7" s="12" t="inlineStr">
        <is>
          <t>Output is written for a data manager who knows the trial but may not know the guideline clause. Every finding cites the guideline provision and states current versus expected data.</t>
        </is>
      </c>
    </row>
    <row r="8">
      <c r="A8" s="22" t="inlineStr">
        <is>
          <t>DP-06</t>
        </is>
      </c>
      <c r="B8" s="23" t="inlineStr">
        <is>
          <t>Protocol over guideline</t>
        </is>
      </c>
      <c r="C8" s="23" t="inlineStr">
        <is>
          <t>The guideline provides defaults; the protocol overrides them. All thresholds, windows, counts and confirmation requirements are configuration, confirmed with the user at intake.</t>
        </is>
      </c>
    </row>
    <row r="9">
      <c r="A9" s="18" t="inlineStr">
        <is>
          <t>DP-07</t>
        </is>
      </c>
      <c r="B9" s="12" t="inlineStr">
        <is>
          <t>Untrusted free text</t>
        </is>
      </c>
      <c r="C9" s="12" t="inlineStr">
        <is>
          <t>Site-authored text — query answers, comments, lesion descriptions — is data to be analysed, never instructions to be followed.</t>
        </is>
      </c>
    </row>
    <row r="10">
      <c r="A10" s="22" t="inlineStr">
        <is>
          <t>DP-08</t>
        </is>
      </c>
      <c r="B10" s="23" t="inlineStr">
        <is>
          <t>Silence is a feature</t>
        </is>
      </c>
      <c r="C10" s="23" t="inlineStr">
        <is>
          <t>A reviewer who receives 400 findings reviews none of them. Deduplication, query-history reconciliation and confidence-weighted prioritisation are first-class components.</t>
        </is>
      </c>
    </row>
    <row r="11">
      <c r="A11" s="18" t="inlineStr">
        <is>
          <t>DP-09</t>
        </is>
      </c>
      <c r="B11" s="12" t="inlineStr">
        <is>
          <t>State uncertainty, do not hide it</t>
        </is>
      </c>
      <c r="C11" s="12" t="inlineStr">
        <is>
          <t>Every finding shows how confident the agent is that it is a correct query. A low-confidence finding is still shown, but ranked and labelled so reviewer attention goes where it pays.</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16" customWidth="1" min="3" max="3"/>
    <col width="88" customWidth="1" min="4" max="4"/>
  </cols>
  <sheetData>
    <row r="1" ht="26" customHeight="1">
      <c r="A1" s="8" t="inlineStr">
        <is>
          <t>Pipeline components</t>
        </is>
      </c>
    </row>
    <row r="2" ht="26" customHeight="1">
      <c r="A2" s="9" t="inlineStr">
        <is>
          <t>Order: AC-11 (once per study) → AC-01 → AC-02 → AC-03 → AC-04 → AC-05 → AC-06 → AC-07 → AC-08 → AC-09 → AC-10</t>
        </is>
      </c>
    </row>
    <row r="3" ht="30" customHeight="1">
      <c r="A3" s="10" t="inlineStr">
        <is>
          <t>ID</t>
        </is>
      </c>
      <c r="B3" s="10" t="inlineStr">
        <is>
          <t>Component</t>
        </is>
      </c>
      <c r="C3" s="10" t="inlineStr">
        <is>
          <t>Mode</t>
        </is>
      </c>
      <c r="D3" s="10" t="inlineStr">
        <is>
          <t>Responsibility</t>
        </is>
      </c>
    </row>
    <row r="4">
      <c r="A4" s="18" t="inlineStr">
        <is>
          <t>AC-11</t>
        </is>
      </c>
      <c r="B4" s="21" t="inlineStr">
        <is>
          <t>Protocol Intake Assistant</t>
        </is>
      </c>
      <c r="C4" s="21" t="inlineStr">
        <is>
          <t>LLM-assisted</t>
        </is>
      </c>
      <c r="D4" s="12" t="inlineStr">
        <is>
          <t>AMENDED v1.3.0. Reads a protocol summary prepared beforehand by the study data manager against a content selection rule agreed with the Medical Monitor — not the full protocol. Summarises every parameter the rule pack depends on — confirmation requirement, assessment interval and window, minimum SD duration, iRECIST confirmation window, marker usage, target lesion limits — and presents them as checkpoints for the user to confirm or correct before the first run, each marked as found in the summary or defaulted because it was absent (FR-21). Output is the signed-off protocol configuration.</t>
        </is>
      </c>
    </row>
    <row r="5">
      <c r="A5" s="22" t="inlineStr">
        <is>
          <t>AC-01</t>
        </is>
      </c>
      <c r="B5" s="26" t="inlineStr">
        <is>
          <t>Ingestion &amp; Normalisation</t>
        </is>
      </c>
      <c r="C5" s="26" t="inlineStr">
        <is>
          <t>Deterministic</t>
        </is>
      </c>
      <c r="D5" s="23" t="inlineStr">
        <is>
          <t>Reads the Veeva EDC export using the supplied structured CRF specification, maps to the canonical model, normalises units, resolves lesion identity across visits. Structural defects become findings in their own right.</t>
        </is>
      </c>
    </row>
    <row r="6">
      <c r="A6" s="18" t="inlineStr">
        <is>
          <t>AC-02</t>
        </is>
      </c>
      <c r="B6" s="21" t="inlineStr">
        <is>
          <t>Protocol Context Resolver</t>
        </is>
      </c>
      <c r="C6" s="21" t="inlineStr">
        <is>
          <t>Deterministic</t>
        </is>
      </c>
      <c r="D6" s="12" t="inlineStr">
        <is>
          <t>Loads the confirmed configuration from AC-11, resolves effective parameters against guideline defaults, and computes the config hash used in provenance.</t>
        </is>
      </c>
    </row>
    <row r="7">
      <c r="A7" s="22" t="inlineStr">
        <is>
          <t>AC-03</t>
        </is>
      </c>
      <c r="B7" s="26" t="inlineStr">
        <is>
          <t>Derivation Engine</t>
        </is>
      </c>
      <c r="C7" s="26" t="inlineStr">
        <is>
          <t>Deterministic</t>
        </is>
      </c>
      <c r="D7" s="23" t="inlineStr">
        <is>
          <t>Computes sums, nadir, percent changes, all four response components, best overall response and the iRECIST state sequence. Purely functional, exhaustively unit-tested.</t>
        </is>
      </c>
    </row>
    <row r="8">
      <c r="A8" s="18" t="inlineStr">
        <is>
          <t>AC-04</t>
        </is>
      </c>
      <c r="B8" s="21" t="inlineStr">
        <is>
          <t>Rule Engine</t>
        </is>
      </c>
      <c r="C8" s="21" t="inlineStr">
        <is>
          <t>Deterministic</t>
        </is>
      </c>
      <c r="D8" s="12" t="inlineStr">
        <is>
          <t>Executes the rule pack, producing raw findings with structured evidence and a base confidence.</t>
        </is>
      </c>
    </row>
    <row r="9">
      <c r="A9" s="22" t="inlineStr">
        <is>
          <t>AC-05</t>
        </is>
      </c>
      <c r="B9" s="26" t="inlineStr">
        <is>
          <t>Judgement Adjudicator</t>
        </is>
      </c>
      <c r="C9" s="26" t="inlineStr">
        <is>
          <t>LLM-assisted</t>
        </is>
      </c>
      <c r="D9" s="23" t="inlineStr">
        <is>
          <t>Handles irreducibly qualitative points: whether non-target worsening is unequivocal, whether a new lesion is unequivocal or equivocal, whether a description implies non-measurability. Returns a verdict with its own confidence.</t>
        </is>
      </c>
    </row>
    <row r="10">
      <c r="A10" s="18" t="inlineStr">
        <is>
          <t>AC-06</t>
        </is>
      </c>
      <c r="B10" s="21" t="inlineStr">
        <is>
          <t>Query History Reconciler</t>
        </is>
      </c>
      <c r="C10" s="21" t="inlineStr">
        <is>
          <t>Hybrid</t>
        </is>
      </c>
      <c r="D10" s="12" t="inlineStr">
        <is>
          <t>AMENDED at review. Matches findings against prior queries, and for answered or closed queries assesses whether the site's answer was reasonable and remains consistent with current data. Classifies as new, duplicate, justified-by-answer, unresolved or recurrent.</t>
        </is>
      </c>
    </row>
    <row r="11">
      <c r="A11" s="22" t="inlineStr">
        <is>
          <t>AC-07</t>
        </is>
      </c>
      <c r="B11" s="26" t="inlineStr">
        <is>
          <t>Confidence &amp; Prioritisation</t>
        </is>
      </c>
      <c r="C11" s="26" t="inlineStr">
        <is>
          <t>Deterministic</t>
        </is>
      </c>
      <c r="D11" s="23" t="inlineStr">
        <is>
          <t>AMENDED at review. Computes the final confidence rate per finding from the rule base rate, evidence completeness, adjudication confidence and reviewer acceptance history; collapses cascades; scores priority.</t>
        </is>
      </c>
    </row>
    <row r="12">
      <c r="A12" s="18" t="inlineStr">
        <is>
          <t>AC-08</t>
        </is>
      </c>
      <c r="B12" s="21" t="inlineStr">
        <is>
          <t>Narrative Composer</t>
        </is>
      </c>
      <c r="C12" s="21" t="inlineStr">
        <is>
          <t>LLM-assisted</t>
        </is>
      </c>
      <c r="D12" s="12" t="inlineStr">
        <is>
          <t>Renders the five reviewer-facing elements from evidence using versioned templates. A deterministic template fallback exists for every message.</t>
        </is>
      </c>
    </row>
    <row r="13">
      <c r="A13" s="22" t="inlineStr">
        <is>
          <t>AC-09</t>
        </is>
      </c>
      <c r="B13" s="26" t="inlineStr">
        <is>
          <t>Reporting &amp; Export</t>
        </is>
      </c>
      <c r="C13" s="26" t="inlineStr">
        <is>
          <t>Deterministic</t>
        </is>
      </c>
      <c r="D13" s="23" t="inlineStr">
        <is>
          <t>Persists the run, emits findings in the output contract, serves the web application and exports.</t>
        </is>
      </c>
    </row>
    <row r="14">
      <c r="A14" s="18" t="inlineStr">
        <is>
          <t>AC-10</t>
        </is>
      </c>
      <c r="B14" s="21" t="inlineStr">
        <is>
          <t>Feedback Recorder</t>
        </is>
      </c>
      <c r="C14" s="21" t="inlineStr">
        <is>
          <t>Deterministic</t>
        </is>
      </c>
      <c r="D14" s="12" t="inlineStr">
        <is>
          <t>Captures reviewer dispositions, which feed both rule tuning and the confidence calibration in AC-07.</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0" customWidth="1" min="1" max="1"/>
    <col width="18" customWidth="1" min="2" max="2"/>
    <col width="46" customWidth="1" min="3" max="3"/>
    <col width="74" customWidth="1" min="4" max="4"/>
  </cols>
  <sheetData>
    <row r="1" ht="26" customHeight="1">
      <c r="A1" s="8" t="inlineStr">
        <is>
          <t>Confidence rate model</t>
        </is>
      </c>
    </row>
    <row r="2" ht="26" customHeight="1">
      <c r="A2" s="9" t="inlineStr">
        <is>
          <t>NEW at review (OBJ-03). Every finding carries a confidence rate: the estimated probability that it is a correct query.</t>
        </is>
      </c>
    </row>
    <row r="3">
      <c r="A3" s="6" t="inlineStr">
        <is>
          <t>What the number means</t>
        </is>
      </c>
    </row>
    <row r="4" ht="58" customHeight="1">
      <c r="A4" s="30" t="inlineStr">
        <is>
          <t>Definition</t>
        </is>
      </c>
      <c r="B4" s="7" t="inlineStr">
        <is>
          <t>Confidence is the agent's estimate of P(this finding is a genuine issue worth querying). 100% means a very clear discrepancy the reviewer can act on directly; 0% means very low confidence with a high chance the query would be wrong.</t>
        </is>
      </c>
    </row>
    <row r="5" ht="58" customHeight="1">
      <c r="A5" s="30" t="inlineStr">
        <is>
          <t>Not certainty of logic</t>
        </is>
      </c>
      <c r="B5" s="7" t="inlineStr">
        <is>
          <t>This is deliberately NOT 'did the rule fire correctly'. A deterministic rule fires with certainty and can still deserve a low confidence rate, because the underlying data pattern is often legitimately explained. TE-BL-012 (a non-target lesion larger than a target lesion) is arithmetically certain but frequently explained by poor reproducibility of the larger lesion.</t>
        </is>
      </c>
    </row>
    <row r="6" ht="58" customHeight="1">
      <c r="A6" s="30" t="inlineStr">
        <is>
          <t>Why it matters</t>
        </is>
      </c>
      <c r="B6" s="7" t="inlineStr">
        <is>
          <t>It is what lets a reviewer triage 400 findings. It also protects site relationships: a query issued on a 35% finding without reading the evidence is how a data manager loses credibility with a site.</t>
        </is>
      </c>
    </row>
    <row r="8">
      <c r="A8" s="6" t="inlineStr">
        <is>
          <t>How it is computed</t>
        </is>
      </c>
    </row>
    <row r="9" ht="30" customHeight="1">
      <c r="A9" s="10" t="inlineStr">
        <is>
          <t>Factor</t>
        </is>
      </c>
      <c r="B9" s="10" t="inlineStr">
        <is>
          <t>Range</t>
        </is>
      </c>
      <c r="C9" s="10" t="inlineStr">
        <is>
          <t>Source</t>
        </is>
      </c>
      <c r="D9" s="10" t="inlineStr">
        <is>
          <t>Rationale</t>
        </is>
      </c>
    </row>
    <row r="10">
      <c r="A10" s="18" t="inlineStr">
        <is>
          <t>Rule base rate</t>
        </is>
      </c>
      <c r="B10" s="21" t="inlineStr">
        <is>
          <t>0.05 – 1.00</t>
        </is>
      </c>
      <c r="C10" s="12" t="inlineStr">
        <is>
          <t>Assigned per rule in TEA-SPEC-001 and reviewed at the Step 2 gate</t>
        </is>
      </c>
      <c r="D10" s="12" t="inlineStr">
        <is>
          <t>The prior probability that this rule firing represents a real issue. Arithmetic mismatches sit near 1.00; heuristics such as target selection rationale sit far lower.</t>
        </is>
      </c>
    </row>
    <row r="11">
      <c r="A11" s="22" t="inlineStr">
        <is>
          <t>Evidence completeness</t>
        </is>
      </c>
      <c r="B11" s="26" t="inlineStr">
        <is>
          <t>×0.6 – ×1.00</t>
        </is>
      </c>
      <c r="C11" s="23" t="inlineStr">
        <is>
          <t>Computed from the finding's evidence object</t>
        </is>
      </c>
      <c r="D11" s="23" t="inlineStr">
        <is>
          <t>A finding resting on partial data — a missing measurement, an unevaluable timepoint — is less certain than one resting on a complete assessment.</t>
        </is>
      </c>
    </row>
    <row r="12">
      <c r="A12" s="18" t="inlineStr">
        <is>
          <t>Adjudication confidence</t>
        </is>
      </c>
      <c r="B12" s="21" t="inlineStr">
        <is>
          <t>×0.0 – ×1.00</t>
        </is>
      </c>
      <c r="C12" s="12" t="inlineStr">
        <is>
          <t>Returned by AC-05 for LLM-adjudicated rules only</t>
        </is>
      </c>
      <c r="D12" s="12" t="inlineStr">
        <is>
          <t>Deterministic rules take 1.00. Judgement rules inherit the model's calibrated confidence.</t>
        </is>
      </c>
    </row>
    <row r="13">
      <c r="A13" s="22" t="inlineStr">
        <is>
          <t>Reviewer acceptance history</t>
        </is>
      </c>
      <c r="B13" s="26" t="inlineStr">
        <is>
          <t>×0.7 – ×1.15</t>
        </is>
      </c>
      <c r="C13" s="23" t="inlineStr">
        <is>
          <t>Rolling acceptance rate for this rule on this study, from AC-10</t>
        </is>
      </c>
      <c r="D13" s="23" t="inlineStr">
        <is>
          <t>The strongest signal available. A rule reviewers keep rejecting is down-weighted automatically rather than waiting for a rule-pack release.</t>
        </is>
      </c>
    </row>
    <row r="14">
      <c r="A14" s="18" t="inlineStr">
        <is>
          <t>Query-history modifier</t>
        </is>
      </c>
      <c r="B14" s="21" t="inlineStr">
        <is>
          <t>×0.8 – ×1.10</t>
        </is>
      </c>
      <c r="C14" s="12" t="inlineStr">
        <is>
          <t>From AC-06</t>
        </is>
      </c>
      <c r="D14" s="12" t="inlineStr">
        <is>
          <t>A finding whose prior query was answered with a reasonable justification is down-weighted; a recurrent issue is up-weighted.</t>
        </is>
      </c>
    </row>
    <row r="16">
      <c r="A16" s="6" t="inlineStr">
        <is>
          <t>Presentation and safeguards</t>
        </is>
      </c>
    </row>
    <row r="17">
      <c r="A17" s="7" t="inlineStr">
        <is>
          <t>•  Displayed as xx.x% on every finding, in the worklist and on the finding detail, alongside the determination mode.</t>
        </is>
      </c>
    </row>
    <row r="18">
      <c r="A18" s="7" t="inlineStr">
        <is>
          <t>•  Banded for scanning: 90%+ act, 70–89% verify, 40–69% judgement needed, under 40% shown but not recommended for a query without investigation.</t>
        </is>
      </c>
    </row>
    <row r="19">
      <c r="A19" s="7" t="inlineStr">
        <is>
          <t>•  Confidence never suppresses a CRITICAL finding. Low confidence changes rank and labelling, never visibility.</t>
        </is>
      </c>
    </row>
    <row r="20">
      <c r="A20" s="7" t="inlineStr">
        <is>
          <t>•  Calibration is measured, not asserted: the Metrics sheet adds a calibration error metric comparing predicted confidence against actual acceptance.</t>
        </is>
      </c>
    </row>
    <row r="21">
      <c r="A21" s="7" t="inlineStr">
        <is>
          <t>•  The factors are shown to the reviewer on demand, so a surprising score can be understood rather than guessed at.</t>
        </is>
      </c>
    </row>
  </sheetData>
  <mergeCells count="5">
    <mergeCell ref="A1:D1"/>
    <mergeCell ref="B5:D5"/>
    <mergeCell ref="B4:D4"/>
    <mergeCell ref="A2:D2"/>
    <mergeCell ref="B6:D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24" customWidth="1" min="1" max="1"/>
    <col width="52" customWidth="1" min="2" max="2"/>
    <col width="74" customWidth="1" min="3" max="3"/>
    <col width="22" customWidth="1" min="4" max="4"/>
  </cols>
  <sheetData>
    <row r="1" ht="26" customHeight="1">
      <c r="A1" s="8" t="inlineStr">
        <is>
          <t>Query history reconciliation</t>
        </is>
      </c>
    </row>
    <row r="2" ht="26" customHeight="1">
      <c r="A2" s="9" t="inlineStr">
        <is>
          <t>AMENDED at review (OBJ-04). A closed query may legitimately have settled the data; the agent now judges the answer rather than assuming the issue survives.</t>
        </is>
      </c>
    </row>
    <row r="3" ht="30" customHeight="1">
      <c r="A3" s="10" t="inlineStr">
        <is>
          <t>Outcome</t>
        </is>
      </c>
      <c r="B3" s="10" t="inlineStr">
        <is>
          <t>When it applies</t>
        </is>
      </c>
      <c r="C3" s="10" t="inlineStr">
        <is>
          <t>Agent behaviour</t>
        </is>
      </c>
      <c r="D3" s="10" t="inlineStr">
        <is>
          <t>Confidence effect</t>
        </is>
      </c>
    </row>
    <row r="4">
      <c r="A4" s="18" t="inlineStr">
        <is>
          <t>NEW</t>
        </is>
      </c>
      <c r="B4" s="12" t="inlineStr">
        <is>
          <t>No prior query covers this finding.</t>
        </is>
      </c>
      <c r="C4" s="12" t="inlineStr">
        <is>
          <t>Surface normally.</t>
        </is>
      </c>
      <c r="D4" s="12" t="inlineStr">
        <is>
          <t>No modifier.</t>
        </is>
      </c>
    </row>
    <row r="5">
      <c r="A5" s="22" t="inlineStr">
        <is>
          <t>DUPLICATE_OPEN</t>
        </is>
      </c>
      <c r="B5" s="23" t="inlineStr">
        <is>
          <t>An open query already covers it.</t>
        </is>
      </c>
      <c r="C5" s="23" t="inlineStr">
        <is>
          <t>Link and suppress from the default worklist until the query is answered.</t>
        </is>
      </c>
      <c r="D5" s="23" t="inlineStr">
        <is>
          <t>n/a — suppressed.</t>
        </is>
      </c>
    </row>
    <row r="6">
      <c r="A6" s="18" t="inlineStr">
        <is>
          <t>JUSTIFIED_BY_ANSWER</t>
        </is>
      </c>
      <c r="B6" s="12" t="inlineStr">
        <is>
          <t>A prior query was answered or closed, and the site's answer gives a reasonable explanation consistent with the current data.</t>
        </is>
      </c>
      <c r="C6" s="12" t="inlineStr">
        <is>
          <t>NEW at review. Record the justification against the finding and suppress it permanently, so it is not re-raised at every data cut. The rationale is visible in the suppressed-findings view.</t>
        </is>
      </c>
      <c r="D6" s="12" t="inlineStr">
        <is>
          <t>×0.8, and the finding is not surfaced.</t>
        </is>
      </c>
    </row>
    <row r="7">
      <c r="A7" s="22" t="inlineStr">
        <is>
          <t>ANSWERED_UNRESOLVED</t>
        </is>
      </c>
      <c r="B7" s="23" t="inlineStr">
        <is>
          <t>A prior query was answered or closed, but the answer does not address the issue or is inconsistent with the current data.</t>
        </is>
      </c>
      <c r="C7" s="23" t="inlineStr">
        <is>
          <t>Escalate one severity level and surface, quoting the original answer so the reviewer can see what was already said.</t>
        </is>
      </c>
      <c r="D7" s="23" t="inlineStr">
        <is>
          <t>×1.10.</t>
        </is>
      </c>
    </row>
    <row r="8">
      <c r="A8" s="18" t="inlineStr">
        <is>
          <t>RECURRENT</t>
        </is>
      </c>
      <c r="B8" s="12" t="inlineStr">
        <is>
          <t>The same dedupe key was raised, resolved, and has reappeared in a later run.</t>
        </is>
      </c>
      <c r="C8" s="12" t="inlineStr">
        <is>
          <t>Surface with the prior resolution date and the audit trail of the changed field.</t>
        </is>
      </c>
      <c r="D8" s="12" t="inlineStr">
        <is>
          <t>×1.10.</t>
        </is>
      </c>
    </row>
    <row r="10">
      <c r="A10" s="6" t="inlineStr">
        <is>
          <t>How the answer is assessed</t>
        </is>
      </c>
    </row>
    <row r="11" ht="58" customHeight="1">
      <c r="A11" s="30" t="inlineStr">
        <is>
          <t>Method</t>
        </is>
      </c>
      <c r="B11" s="7" t="inlineStr">
        <is>
          <t>The model receives the original query text, the site's answer, and the current values of the fields the query concerned. It classifies the answer as: justifies the current data / promises a correction not yet made / does not address the question / unrelated. It returns a confidence with the classification.</t>
        </is>
      </c>
    </row>
    <row r="12" ht="58" customHeight="1">
      <c r="A12" s="30" t="inlineStr">
        <is>
          <t>Safeguard</t>
        </is>
      </c>
      <c r="B12" s="7" t="inlineStr">
        <is>
          <t>The model cannot suppress a CRITICAL finding on its own. For CRITICAL and MAJOR findings a justification classification links the answer and flags the finding as 'possibly justified' but leaves it visible for a human to close.</t>
        </is>
      </c>
    </row>
    <row r="13" ht="58" customHeight="1">
      <c r="A13" s="30" t="inlineStr">
        <is>
          <t>Untrusted input</t>
        </is>
      </c>
      <c r="B13" s="7" t="inlineStr">
        <is>
          <t>Site answers are free text from outside the trust boundary. They are passed as data inside an explicit envelope, and any instruction-like content is itself flagged (DP-07).</t>
        </is>
      </c>
    </row>
  </sheetData>
  <mergeCells count="5">
    <mergeCell ref="A1:D1"/>
    <mergeCell ref="B11:D11"/>
    <mergeCell ref="B13:D13"/>
    <mergeCell ref="A2:D2"/>
    <mergeCell ref="B12:D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24" customWidth="1" min="1" max="1"/>
    <col width="16" customWidth="1" min="2" max="2"/>
    <col width="34" customWidth="1" min="3" max="3"/>
    <col width="62" customWidth="1" min="4" max="4"/>
  </cols>
  <sheetData>
    <row r="1" ht="26" customHeight="1">
      <c r="A1" s="8" t="inlineStr">
        <is>
          <t>LLM usage policy and model adapters</t>
        </is>
      </c>
    </row>
    <row r="2" ht="30" customHeight="1">
      <c r="A2" s="10" t="inlineStr">
        <is>
          <t>Category</t>
        </is>
      </c>
      <c r="B2" s="10" t="inlineStr">
        <is>
          <t>Task</t>
        </is>
      </c>
      <c r="C2" s="10" t="inlineStr"/>
      <c r="D2" s="10" t="inlineStr"/>
    </row>
    <row r="3">
      <c r="A3" s="18" t="inlineStr">
        <is>
          <t>Permitted</t>
        </is>
      </c>
      <c r="B3" s="12" t="inlineStr">
        <is>
          <t>Narrative rendering of reviewer-facing text from a validated evidence object.</t>
        </is>
      </c>
      <c r="C3" s="21" t="inlineStr"/>
      <c r="D3" s="21" t="inlineStr"/>
    </row>
    <row r="4">
      <c r="A4" s="22" t="inlineStr">
        <is>
          <t>Permitted</t>
        </is>
      </c>
      <c r="B4" s="23" t="inlineStr">
        <is>
          <t>Drafting the initial query message in the sponsor's query style.</t>
        </is>
      </c>
      <c r="C4" s="26" t="inlineStr"/>
      <c r="D4" s="26" t="inlineStr"/>
    </row>
    <row r="5">
      <c r="A5" s="18" t="inlineStr">
        <is>
          <t>Permitted</t>
        </is>
      </c>
      <c r="B5" s="12" t="inlineStr">
        <is>
          <t>Semantic matching of a candidate finding to historical free-text queries.</t>
        </is>
      </c>
      <c r="C5" s="21" t="inlineStr"/>
      <c r="D5" s="21" t="inlineStr"/>
    </row>
    <row r="6">
      <c r="A6" s="22" t="inlineStr">
        <is>
          <t>Permitted</t>
        </is>
      </c>
      <c r="B6" s="23" t="inlineStr">
        <is>
          <t>Assessing whether a site's answer to a prior query is reasonable and consistent with current data.</t>
        </is>
      </c>
      <c r="C6" s="26" t="inlineStr"/>
      <c r="D6" s="26" t="inlineStr"/>
    </row>
    <row r="7">
      <c r="A7" s="18" t="inlineStr">
        <is>
          <t>Permitted</t>
        </is>
      </c>
      <c r="B7" s="12" t="inlineStr">
        <is>
          <t>Adjudicating explicitly declared judgement rules, returning a structured verdict plus confidence.</t>
        </is>
      </c>
      <c r="C7" s="21" t="inlineStr"/>
      <c r="D7" s="21" t="inlineStr"/>
    </row>
    <row r="8">
      <c r="A8" s="22" t="inlineStr">
        <is>
          <t>Permitted</t>
        </is>
      </c>
      <c r="B8" s="23" t="inlineStr">
        <is>
          <t>Interpreting free-text lesion descriptions for measurability and anatomical consistency signals.</t>
        </is>
      </c>
      <c r="C8" s="26" t="inlineStr"/>
      <c r="D8" s="26" t="inlineStr"/>
    </row>
    <row r="9">
      <c r="A9" s="18" t="inlineStr">
        <is>
          <t>Permitted</t>
        </is>
      </c>
      <c r="B9" s="12" t="inlineStr">
        <is>
          <t>Summarising protocol parameter checkpoints for user confirmation at intake (AC-11).</t>
        </is>
      </c>
      <c r="C9" s="21" t="inlineStr"/>
      <c r="D9" s="21" t="inlineStr"/>
    </row>
    <row r="10">
      <c r="A10" s="24" t="inlineStr">
        <is>
          <t>Forbidden</t>
        </is>
      </c>
      <c r="B10" s="23" t="inlineStr">
        <is>
          <t>Performing arithmetic, percent change, nadir selection or table lookups.</t>
        </is>
      </c>
      <c r="C10" s="26" t="inlineStr"/>
      <c r="D10" s="26" t="inlineStr"/>
    </row>
    <row r="11">
      <c r="A11" s="19" t="inlineStr">
        <is>
          <t>Forbidden</t>
        </is>
      </c>
      <c r="B11" s="12" t="inlineStr">
        <is>
          <t>Overriding, suppressing or creating a deterministic rule verdict.</t>
        </is>
      </c>
      <c r="C11" s="21" t="inlineStr"/>
      <c r="D11" s="21" t="inlineStr"/>
    </row>
    <row r="12">
      <c r="A12" s="24" t="inlineStr">
        <is>
          <t>Forbidden</t>
        </is>
      </c>
      <c r="B12" s="23" t="inlineStr">
        <is>
          <t>Suppressing a CRITICAL finding, including on the basis of a query answer.</t>
        </is>
      </c>
      <c r="C12" s="26" t="inlineStr"/>
      <c r="D12" s="26" t="inlineStr"/>
    </row>
    <row r="13">
      <c r="A13" s="19" t="inlineStr">
        <is>
          <t>Forbidden</t>
        </is>
      </c>
      <c r="B13" s="12" t="inlineStr">
        <is>
          <t>Setting the final confidence rate directly — it contributes one factor, computed in AC-07.</t>
        </is>
      </c>
      <c r="C13" s="21" t="inlineStr"/>
      <c r="D13" s="21" t="inlineStr"/>
    </row>
    <row r="14">
      <c r="A14" s="24" t="inlineStr">
        <is>
          <t>Forbidden</t>
        </is>
      </c>
      <c r="B14" s="23" t="inlineStr">
        <is>
          <t>Inferring a data value that is missing from the source.</t>
        </is>
      </c>
      <c r="C14" s="26" t="inlineStr"/>
      <c r="D14" s="26" t="inlineStr"/>
    </row>
    <row r="15">
      <c r="A15" s="19" t="inlineStr">
        <is>
          <t>Forbidden</t>
        </is>
      </c>
      <c r="B15" s="12" t="inlineStr">
        <is>
          <t>Deciding the clinical management or eligibility of a subject.</t>
        </is>
      </c>
      <c r="C15" s="21" t="inlineStr"/>
      <c r="D15" s="21" t="inlineStr"/>
    </row>
    <row r="16">
      <c r="A16" s="24" t="inlineStr">
        <is>
          <t>Forbidden</t>
        </is>
      </c>
      <c r="B16" s="23" t="inlineStr">
        <is>
          <t>Acting on instructions found inside site-entered free text.</t>
        </is>
      </c>
      <c r="C16" s="26" t="inlineStr"/>
      <c r="D16" s="26" t="inlineStr"/>
    </row>
    <row r="18">
      <c r="A18" s="6" t="inlineStr">
        <is>
          <t>Model adapters — one model, plus the deterministic-only reference (v1.1.0)</t>
        </is>
      </c>
    </row>
    <row r="19" ht="30" customHeight="1">
      <c r="A19" s="10" t="inlineStr">
        <is>
          <t>Adapter</t>
        </is>
      </c>
      <c r="B19" s="10" t="inlineStr">
        <is>
          <t>Transport</t>
        </is>
      </c>
      <c r="C19" s="10" t="inlineStr">
        <is>
          <t>Structured output</t>
        </is>
      </c>
      <c r="D19" s="10" t="inlineStr">
        <is>
          <t>Notes</t>
        </is>
      </c>
    </row>
    <row r="20">
      <c r="A20" s="18" t="inlineStr">
        <is>
          <t>GLM v5.2 (company-hosted)</t>
        </is>
      </c>
      <c r="B20" s="21" t="inlineStr">
        <is>
          <t>Internal gateway</t>
        </is>
      </c>
      <c r="C20" s="21" t="inlineStr">
        <is>
          <t>To be confirmed against the deployment</t>
        </is>
      </c>
      <c r="D20" s="12" t="inlineStr">
        <is>
          <t>The only model adapter. Transport, structured-output support and context limit are configuration confirmed against the actual v5.2 deployment at Step 5, not assumed here.</t>
        </is>
      </c>
    </row>
    <row r="21">
      <c r="A21" s="22" t="inlineStr">
        <is>
          <t>Null / deterministic-only</t>
        </is>
      </c>
      <c r="B21" s="26" t="inlineStr">
        <is>
          <t>n/a</t>
        </is>
      </c>
      <c r="C21" s="26" t="inlineStr">
        <is>
          <t>None</t>
        </is>
      </c>
      <c r="D21" s="23" t="inlineStr">
        <is>
          <t>Not a fallback of last resort but the reference implementation: it defines the verdicts GLM must not change. Every conformance run compares GLM output against it.</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24" customWidth="1" min="1" max="1"/>
    <col width="56" customWidth="1" min="2" max="2"/>
    <col width="64" customWidth="1" min="3" max="3"/>
  </cols>
  <sheetData>
    <row r="1" ht="26" customHeight="1">
      <c r="A1" s="8" t="inlineStr">
        <is>
          <t>Canonical data model</t>
        </is>
      </c>
    </row>
    <row r="2" ht="26" customHeight="1">
      <c r="A2" s="9" t="inlineStr">
        <is>
          <t>A canonical model sits between source data and the rules, so rules never encode a source system's quirks.</t>
        </is>
      </c>
    </row>
    <row r="3" ht="30" customHeight="1">
      <c r="A3" s="10" t="inlineStr">
        <is>
          <t>Entity</t>
        </is>
      </c>
      <c r="B3" s="10" t="inlineStr">
        <is>
          <t>Purpose</t>
        </is>
      </c>
      <c r="C3" s="10" t="inlineStr">
        <is>
          <t>Key attributes</t>
        </is>
      </c>
    </row>
    <row r="4">
      <c r="A4" s="18" t="inlineStr">
        <is>
          <t>Study</t>
        </is>
      </c>
      <c r="B4" s="12" t="inlineStr">
        <is>
          <t>Trial-level identity and guideline selection.</t>
        </is>
      </c>
      <c r="C4" s="31" t="inlineStr">
        <is>
          <t>study_id, indication, guideline_version (RECIST_1_1 | RECIST_1_1_PLUS_iRECIST)</t>
        </is>
      </c>
    </row>
    <row r="5">
      <c r="A5" s="22" t="inlineStr">
        <is>
          <t>ProtocolConfig</t>
        </is>
      </c>
      <c r="B5" s="23" t="inlineStr">
        <is>
          <t>Every guideline default the protocol may override. Confirmed via AC-11 intake, hashed into provenance.</t>
        </is>
      </c>
      <c r="C5" s="32" t="inlineStr">
        <is>
          <t>max_target_lesions_total, min_measurable_nodal_short_axis_mm, pd_absolute_increase_mm, response_confirmation_required, irecist_confirmation_window_days</t>
        </is>
      </c>
    </row>
    <row r="6">
      <c r="A6" s="18" t="inlineStr">
        <is>
          <t>Subject</t>
        </is>
      </c>
      <c r="B6" s="12" t="inlineStr">
        <is>
          <t>Subject-level dates driving cross-domain checks.</t>
        </is>
      </c>
      <c r="C6" s="31" t="inlineStr">
        <is>
          <t>subject_id, site_id, first_dose_date, discontinuation_date, death_date</t>
        </is>
      </c>
    </row>
    <row r="7">
      <c r="A7" s="22" t="inlineStr">
        <is>
          <t>Assessment</t>
        </is>
      </c>
      <c r="B7" s="23" t="inlineStr">
        <is>
          <t>One tumor assessment timepoint for one evaluator.</t>
        </is>
      </c>
      <c r="C7" s="32" t="inlineStr">
        <is>
          <t>assessment_date, scan_dates, is_baseline, evaluator</t>
        </is>
      </c>
    </row>
    <row r="8">
      <c r="A8" s="18" t="inlineStr">
        <is>
          <t>Lesion</t>
        </is>
      </c>
      <c r="B8" s="12" t="inlineStr">
        <is>
          <t>A lesion identity persisting across assessments.</t>
        </is>
      </c>
      <c r="C8" s="31" t="inlineStr">
        <is>
          <t>category, is_nodal, organ, laterality, method, previously_irradiated</t>
        </is>
      </c>
    </row>
    <row r="9">
      <c r="A9" s="22" t="inlineStr">
        <is>
          <t>LesionMeasurement</t>
        </is>
      </c>
      <c r="B9" s="23" t="inlineStr">
        <is>
          <t>One lesion at one assessment.</t>
        </is>
      </c>
      <c r="C9" s="32" t="inlineStr">
        <is>
          <t>value_mm, original_unit, state, non_target_state, comment_text</t>
        </is>
      </c>
    </row>
    <row r="10">
      <c r="A10" s="18" t="inlineStr">
        <is>
          <t>ReportedResponse</t>
        </is>
      </c>
      <c r="B10" s="12" t="inlineStr">
        <is>
          <t>Response as collected — never overwritten by the agent.</t>
        </is>
      </c>
      <c r="C10" s="31" t="inlineStr">
        <is>
          <t>target_response, non_target_response, new_lesion, overall_response, irecist_response, best_overall_response</t>
        </is>
      </c>
    </row>
    <row r="11">
      <c r="A11" s="22" t="inlineStr">
        <is>
          <t>DerivedTimepoint</t>
        </is>
      </c>
      <c r="B11" s="23" t="inlineStr">
        <is>
          <t>Agent-computed values plus the trace that produced them.</t>
        </is>
      </c>
      <c r="C11" s="32" t="inlineStr">
        <is>
          <t>sum_of_diameters, sum_complete, nadir_sum, pct_change_from_nadir, *_derived, derivation_trace</t>
        </is>
      </c>
    </row>
    <row r="12">
      <c r="A12" s="18" t="inlineStr">
        <is>
          <t>DerivedSubjectSummary</t>
        </is>
      </c>
      <c r="B12" s="12" t="inlineStr">
        <is>
          <t>Subject-level derivation.</t>
        </is>
      </c>
      <c r="C12" s="31" t="inlineStr">
        <is>
          <t>best_overall_response_derived, bor_confirmation_status, first_pd_assessment_id, irecist_sequence</t>
        </is>
      </c>
    </row>
    <row r="13">
      <c r="A13" s="22" t="inlineStr">
        <is>
          <t>Query</t>
        </is>
      </c>
      <c r="B13" s="23" t="inlineStr">
        <is>
          <t>Historical query and answer imported from Veeva EDC.</t>
        </is>
      </c>
      <c r="C13" s="32" t="inlineStr">
        <is>
          <t>query_text, answer_text, status, opened/answered/closed dates, answer_assessment (new)</t>
        </is>
      </c>
    </row>
    <row r="14">
      <c r="A14" s="18" t="inlineStr">
        <is>
          <t>Finding</t>
        </is>
      </c>
      <c r="B14" s="12" t="inlineStr">
        <is>
          <t>The agent's unit of output.</t>
        </is>
      </c>
      <c r="C14" s="31" t="inlineStr">
        <is>
          <t>rule_id, dedupe_key, severity, determination_mode, confidence_rate, confidence_factors, evidence, five narrative fields, query_link_status, priority_score, provenance</t>
        </is>
      </c>
    </row>
    <row r="15">
      <c r="A15" s="22" t="inlineStr">
        <is>
          <t>ReviewRun</t>
        </is>
      </c>
      <c r="B15" s="23" t="inlineStr">
        <is>
          <t>One execution, with the full provenance stamp.</t>
        </is>
      </c>
      <c r="C15" s="32" t="inlineStr">
        <is>
          <t>dataset_snapshot_hash, engine/rulepack/prompt versions, llm_model_id, protocol_config_hash</t>
        </is>
      </c>
    </row>
    <row r="17">
      <c r="A17" s="6" t="inlineStr">
        <is>
          <t>Source mappings — Veeva EDC is the primary profile (OQ-01)</t>
        </is>
      </c>
    </row>
    <row r="18" ht="30" customHeight="1">
      <c r="A18" s="10" t="inlineStr">
        <is>
          <t>Canonical</t>
        </is>
      </c>
      <c r="B18" s="10" t="inlineStr">
        <is>
          <t>Source</t>
        </is>
      </c>
      <c r="C18" s="10" t="inlineStr">
        <is>
          <t>Notes</t>
        </is>
      </c>
    </row>
    <row r="19">
      <c r="A19" s="18" t="inlineStr">
        <is>
          <t>All entities</t>
        </is>
      </c>
      <c r="B19" s="21" t="inlineStr">
        <is>
          <t>Veeva EDC export + structured CRF specification</t>
        </is>
      </c>
      <c r="C19" s="12" t="inlineStr">
        <is>
          <t>PRIMARY. The sponsor supplies the CRF specification as structured data, so the per-study mapping configuration is largely generated from it rather than hand-written.</t>
        </is>
      </c>
    </row>
    <row r="20">
      <c r="A20" s="22" t="inlineStr">
        <is>
          <t>Query</t>
        </is>
      </c>
      <c r="B20" s="26" t="inlineStr">
        <is>
          <t>Veeva EDC query report</t>
        </is>
      </c>
      <c r="C20" s="23" t="inlineStr">
        <is>
          <t>Open, answered and all closed queries. Imported manually per run (OQ-02).</t>
        </is>
      </c>
    </row>
    <row r="21">
      <c r="A21" s="18" t="inlineStr">
        <is>
          <t>Lesion</t>
        </is>
      </c>
      <c r="B21" s="21" t="inlineStr">
        <is>
          <t>SDTM TU</t>
        </is>
      </c>
      <c r="C21" s="12" t="inlineStr">
        <is>
          <t>SECONDARY profile. TULNKID is lesion identity; TUORRES gives TARGET / NON-TARGET / NEW.</t>
        </is>
      </c>
    </row>
    <row r="22">
      <c r="A22" s="22" t="inlineStr">
        <is>
          <t>LesionMeasurement</t>
        </is>
      </c>
      <c r="B22" s="26" t="inlineStr">
        <is>
          <t>SDTM TR</t>
        </is>
      </c>
      <c r="C22" s="23" t="inlineStr">
        <is>
          <t>TRLNKID joins to TU; TRTESTCD in LDIAM, LPERP, SAXIS, TUMSTATE.</t>
        </is>
      </c>
    </row>
    <row r="23">
      <c r="A23" s="18" t="inlineStr">
        <is>
          <t>ReportedResponse</t>
        </is>
      </c>
      <c r="B23" s="21" t="inlineStr">
        <is>
          <t>SDTM RS</t>
        </is>
      </c>
      <c r="C23" s="12" t="inlineStr">
        <is>
          <t>RSTESTCD in TRGRESP, NTRGRESP, NEWLPROG, OVRLRESP, BESTRESP.</t>
        </is>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8" customWidth="1" min="3" max="3"/>
    <col width="10" customWidth="1" min="4" max="4"/>
    <col width="70" customWidth="1" min="5" max="5"/>
    <col width="11" customWidth="1" min="6" max="6"/>
    <col width="11" customWidth="1" min="7" max="7"/>
    <col width="30" customWidth="1" min="8" max="8"/>
  </cols>
  <sheetData>
    <row r="1" ht="26" customHeight="1">
      <c r="A1" s="8" t="inlineStr">
        <is>
          <t>Review scope — 85 review points in 7 families, 83 live</t>
        </is>
      </c>
    </row>
    <row r="2" ht="26" customHeight="1">
      <c r="A2" s="9" t="inlineStr">
        <is>
          <t>All seven families accepted at Step 1. At the Step 2 review all 85 rules were dispositioned over two rounds; TE-RS-010 and TE-RS-011 were retired, and their ids are retained permanently. Full catalog lives in TEA-SPEC-001.</t>
        </is>
      </c>
    </row>
    <row r="3" ht="30" customHeight="1">
      <c r="A3" s="10" t="inlineStr">
        <is>
          <t>Family</t>
        </is>
      </c>
      <c r="B3" s="10" t="inlineStr">
        <is>
          <t>Name</t>
        </is>
      </c>
      <c r="C3" s="10" t="inlineStr">
        <is>
          <t>Points</t>
        </is>
      </c>
      <c r="D3" s="10" t="inlineStr">
        <is>
          <t>Risk</t>
        </is>
      </c>
      <c r="E3" s="10" t="inlineStr">
        <is>
          <t>Coverage</t>
        </is>
      </c>
      <c r="F3" s="10" t="inlineStr">
        <is>
          <t>Decision</t>
        </is>
      </c>
      <c r="G3" s="10" t="inlineStr">
        <is>
          <t>Reviewer</t>
        </is>
      </c>
      <c r="H3" s="10" t="inlineStr">
        <is>
          <t>Comment</t>
        </is>
      </c>
    </row>
    <row r="4">
      <c r="A4" s="18" t="inlineStr">
        <is>
          <t>ST</t>
        </is>
      </c>
      <c r="B4" s="21" t="inlineStr">
        <is>
          <t>Structural and ingestion integrity</t>
        </is>
      </c>
      <c r="C4" s="21" t="n">
        <v>5</v>
      </c>
      <c r="D4" s="27" t="inlineStr">
        <is>
          <t>Medium</t>
        </is>
      </c>
      <c r="E4" s="12" t="inlineStr">
        <is>
          <t>Referential integrity between lesion identification and measurement, duplicate lesions, nodal measurement axis, unit and precision consistency, visit chronology. Structural defects make every downstream check unreliable, so they are reported first and are the root of most finding cascades.</t>
        </is>
      </c>
      <c r="F4" s="18" t="inlineStr">
        <is>
          <t>Accept</t>
        </is>
      </c>
      <c r="G4" s="21" t="inlineStr">
        <is>
          <t>Daniel</t>
        </is>
      </c>
      <c r="H4" s="12" t="n"/>
    </row>
    <row r="5">
      <c r="A5" s="22" t="inlineStr">
        <is>
          <t>BL</t>
        </is>
      </c>
      <c r="B5" s="26" t="inlineStr">
        <is>
          <t>Baseline and lesion selection</t>
        </is>
      </c>
      <c r="C5" s="26" t="n">
        <v>17</v>
      </c>
      <c r="D5" s="24" t="inlineStr">
        <is>
          <t>High</t>
        </is>
      </c>
      <c r="E5" s="23" t="inlineStr">
        <is>
          <t>Target counts and per-organ limits, measurability thresholds including nodal short axis, non-measurable presentations wrongly selected as target, previously irradiated lesions, baseline timing and completeness. An invalid baseline invalidates every downstream response for that subject.</t>
        </is>
      </c>
      <c r="F5" s="22" t="inlineStr">
        <is>
          <t>Accept</t>
        </is>
      </c>
      <c r="G5" s="26" t="inlineStr">
        <is>
          <t>Daniel</t>
        </is>
      </c>
      <c r="H5" s="23" t="n"/>
    </row>
    <row r="6">
      <c r="A6" s="18" t="inlineStr">
        <is>
          <t>FU</t>
        </is>
      </c>
      <c r="B6" s="21" t="inlineStr">
        <is>
          <t>Follow-up measurement integrity</t>
        </is>
      </c>
      <c r="C6" s="21" t="n">
        <v>14</v>
      </c>
      <c r="D6" s="19" t="inlineStr">
        <is>
          <t>High</t>
        </is>
      </c>
      <c r="E6" s="12" t="inlineStr">
        <is>
          <t>Sum recomputation, missing measurements without reason, non-evaluable handling, implausible changes, unit consistency, disappear-and-reappear handling, visit windows and assessment gaps. Measurement errors propagate silently into nadir, progression determination and PFS.</t>
        </is>
      </c>
      <c r="F6" s="18" t="inlineStr">
        <is>
          <t>Accept</t>
        </is>
      </c>
      <c r="G6" s="21" t="inlineStr">
        <is>
          <t>Daniel</t>
        </is>
      </c>
      <c r="H6" s="12" t="n"/>
    </row>
    <row r="7">
      <c r="A7" s="22" t="inlineStr">
        <is>
          <t>RS</t>
        </is>
      </c>
      <c r="B7" s="26" t="inlineStr">
        <is>
          <t>Response derivation conformance</t>
        </is>
      </c>
      <c r="C7" s="26" t="n">
        <v>21</v>
      </c>
      <c r="D7" s="24" t="inlineStr">
        <is>
          <t>Critical</t>
        </is>
      </c>
      <c r="E7" s="23" t="inlineStr">
        <is>
          <t>All four response components versus derivation, nadir correctness, the 20%-plus-5mm rule, CR conditions including nodal short axis, unequivocal non-target progression, the overall response table, confirmation, best overall response, progression dating, and cytological confirmation of an effusion driving progression. These directly determine ORR, BOR, PFS and DoR.</t>
        </is>
      </c>
      <c r="F7" s="22" t="inlineStr">
        <is>
          <t>Accept</t>
        </is>
      </c>
      <c r="G7" s="26" t="inlineStr">
        <is>
          <t>Daniel</t>
        </is>
      </c>
      <c r="H7" s="23" t="n"/>
    </row>
    <row r="8">
      <c r="A8" s="18" t="inlineStr">
        <is>
          <t>IR</t>
        </is>
      </c>
      <c r="B8" s="21" t="inlineStr">
        <is>
          <t>iRECIST conformance</t>
        </is>
      </c>
      <c r="C8" s="21" t="n">
        <v>10</v>
      </c>
      <c r="D8" s="19" t="inlineStr">
        <is>
          <t>Critical</t>
        </is>
      </c>
      <c r="E8" s="12" t="inlineStr">
        <is>
          <t>iUPD assignment, confirmation window compliance, iCPD criteria by progression driver, separate tracking of new lesion sums, resets after unconfirmed progression, treatment beyond progression. iRECIST errors are systematically under-detected because reviewers apply RECIST 1.1 habits to immunotherapy data.</t>
        </is>
      </c>
      <c r="F8" s="18" t="inlineStr">
        <is>
          <t>Accept</t>
        </is>
      </c>
      <c r="G8" s="21" t="inlineStr">
        <is>
          <t>Daniel</t>
        </is>
      </c>
      <c r="H8" s="12" t="n"/>
    </row>
    <row r="9">
      <c r="A9" s="22" t="inlineStr">
        <is>
          <t>XD</t>
        </is>
      </c>
      <c r="B9" s="26" t="inlineStr">
        <is>
          <t>Cross-domain consistency</t>
        </is>
      </c>
      <c r="C9" s="26" t="n">
        <v>12</v>
      </c>
      <c r="D9" s="24" t="inlineStr">
        <is>
          <t>High</t>
        </is>
      </c>
      <c r="E9" s="23" t="inlineStr">
        <is>
          <t>Response versus disposition, death date, new anticancer therapy, local therapy to a target lesion, adverse event of progression, end-of-treatment reason, investigator-versus-BICR discordance. The most defensible issues are those visible only when tumor data is read with the rest of the trial.</t>
        </is>
      </c>
      <c r="F9" s="22" t="inlineStr">
        <is>
          <t>Accept</t>
        </is>
      </c>
      <c r="G9" s="26" t="inlineStr">
        <is>
          <t>Daniel</t>
        </is>
      </c>
      <c r="H9" s="23" t="n"/>
    </row>
    <row r="10">
      <c r="A10" s="18" t="inlineStr">
        <is>
          <t>QM</t>
        </is>
      </c>
      <c r="B10" s="21" t="inlineStr">
        <is>
          <t>Query management and recurrence</t>
        </is>
      </c>
      <c r="C10" s="21" t="n">
        <v>6</v>
      </c>
      <c r="D10" s="27" t="inlineStr">
        <is>
          <t>Medium</t>
        </is>
      </c>
      <c r="E10" s="12" t="inlineStr">
        <is>
          <t>Duplicate suppression, assessment of whether a site's answer justified the data, recurrence across data cuts, site-level pattern detection, aging critical queries.</t>
        </is>
      </c>
      <c r="F10" s="18" t="inlineStr">
        <is>
          <t>Accept</t>
        </is>
      </c>
      <c r="G10" s="21" t="inlineStr">
        <is>
          <t>Daniel</t>
        </is>
      </c>
      <c r="H10" s="12" t="n"/>
    </row>
    <row r="11">
      <c r="B11" s="33" t="inlineStr">
        <is>
          <t>Total</t>
        </is>
      </c>
      <c r="C11" s="33">
        <f>SUM(C4:C10)</f>
        <v/>
      </c>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5"/>
  <sheetViews>
    <sheetView workbookViewId="0">
      <pane ySplit="3" topLeftCell="A4" activePane="bottomLeft" state="frozen"/>
      <selection pane="bottomLeft" activeCell="A1" sqref="A1"/>
    </sheetView>
  </sheetViews>
  <sheetFormatPr baseColWidth="8" defaultRowHeight="15"/>
  <cols>
    <col width="26" customWidth="1" min="1" max="1"/>
    <col width="44" customWidth="1" min="2" max="2"/>
    <col width="70" customWidth="1" min="3" max="3"/>
  </cols>
  <sheetData>
    <row r="1" ht="26" customHeight="1">
      <c r="A1" s="8" t="inlineStr">
        <is>
          <t>Architecture</t>
        </is>
      </c>
    </row>
    <row r="2" ht="26" customHeight="1">
      <c r="A2" s="9" t="inlineStr">
        <is>
          <t>Dependencies point inward only. Rules may not import an LLM client or a database client.</t>
        </is>
      </c>
    </row>
    <row r="3" ht="30" customHeight="1">
      <c r="A3" s="10" t="inlineStr">
        <is>
          <t>Layer</t>
        </is>
      </c>
      <c r="B3" s="10" t="inlineStr">
        <is>
          <t>Responsibility</t>
        </is>
      </c>
      <c r="C3" s="10" t="inlineStr"/>
    </row>
    <row r="4">
      <c r="A4" s="18" t="inlineStr">
        <is>
          <t>Adapters (inbound)</t>
        </is>
      </c>
      <c r="B4" s="12" t="inlineStr">
        <is>
          <t>Read the Veeva EDC export and query report; validate structurally; map to the canonical model. One module per source profile.</t>
        </is>
      </c>
      <c r="C4" s="21" t="inlineStr"/>
    </row>
    <row r="5">
      <c r="A5" s="22" t="inlineStr">
        <is>
          <t>Domain</t>
        </is>
      </c>
      <c r="B5" s="23" t="inlineStr">
        <is>
          <t>Canonical entities, enumerations, protocol configuration. No I/O, no LLM.</t>
        </is>
      </c>
      <c r="C5" s="26" t="inlineStr"/>
    </row>
    <row r="6">
      <c r="A6" s="18" t="inlineStr">
        <is>
          <t>Derivations</t>
        </is>
      </c>
      <c r="B6" s="12" t="inlineStr">
        <is>
          <t>Pure functions producing derived timepoints and subject summaries. Exhaustively unit-tested.</t>
        </is>
      </c>
      <c r="C6" s="21" t="inlineStr"/>
    </row>
    <row r="7">
      <c r="A7" s="22" t="inlineStr">
        <is>
          <t>Rules</t>
        </is>
      </c>
      <c r="B7" s="23" t="inlineStr">
        <is>
          <t>Declarative rule modules producing raw findings with structured evidence and a base confidence.</t>
        </is>
      </c>
      <c r="C7" s="26" t="inlineStr"/>
    </row>
    <row r="8">
      <c r="A8" s="18" t="inlineStr">
        <is>
          <t>Assembly</t>
        </is>
      </c>
      <c r="B8" s="12" t="inlineStr">
        <is>
          <t>Adjudication, query reconciliation, confidence computation, deduplication, prioritisation, narrative composition.</t>
        </is>
      </c>
      <c r="C8" s="21" t="inlineStr"/>
    </row>
    <row r="9">
      <c r="A9" s="22" t="inlineStr">
        <is>
          <t>Ports (outbound)</t>
        </is>
      </c>
      <c r="B9" s="23" t="inlineStr">
        <is>
          <t>LLM provider adapters, persistence, export. Interface-defined and swappable.</t>
        </is>
      </c>
      <c r="C9" s="26" t="inlineStr"/>
    </row>
    <row r="10">
      <c r="A10" s="18" t="inlineStr">
        <is>
          <t>Presentation</t>
        </is>
      </c>
      <c r="B10" s="12" t="inlineStr">
        <is>
          <t>Read-only API for the web application plus disposition write-back.</t>
        </is>
      </c>
      <c r="C10" s="21" t="inlineStr"/>
    </row>
    <row r="12">
      <c r="A12" s="6" t="inlineStr">
        <is>
          <t>Technology (assumption accepted at OQ-07)</t>
        </is>
      </c>
    </row>
    <row r="13" ht="30" customHeight="1">
      <c r="A13" s="10" t="inlineStr">
        <is>
          <t>Area</t>
        </is>
      </c>
      <c r="B13" s="10" t="inlineStr">
        <is>
          <t>Choice</t>
        </is>
      </c>
      <c r="C13" s="10" t="inlineStr">
        <is>
          <t>Rationale</t>
        </is>
      </c>
    </row>
    <row r="14">
      <c r="A14" s="18" t="inlineStr">
        <is>
          <t>Engine language</t>
        </is>
      </c>
      <c r="B14" s="21" t="inlineStr">
        <is>
          <t>Python 3.11+</t>
        </is>
      </c>
      <c r="C14" s="12" t="inlineStr">
        <is>
          <t>Clinical programming teams already read Python; strong data tooling; simple on-premise packaging.</t>
        </is>
      </c>
    </row>
    <row r="15">
      <c r="A15" s="22" t="inlineStr">
        <is>
          <t>Validation</t>
        </is>
      </c>
      <c r="B15" s="26" t="inlineStr">
        <is>
          <t>Pydantic models generated from the data contracts</t>
        </is>
      </c>
      <c r="C15" s="23" t="inlineStr">
        <is>
          <t>Contract and code cannot drift; validation errors are themselves reportable findings.</t>
        </is>
      </c>
    </row>
    <row r="16">
      <c r="A16" s="18" t="inlineStr">
        <is>
          <t>API</t>
        </is>
      </c>
      <c r="B16" s="21" t="inlineStr">
        <is>
          <t>FastAPI</t>
        </is>
      </c>
      <c r="C16" s="12" t="inlineStr">
        <is>
          <t>Schema-first, generates OpenAPI for the front end.</t>
        </is>
      </c>
    </row>
    <row r="17">
      <c r="A17" s="22" t="inlineStr">
        <is>
          <t>Web application</t>
        </is>
      </c>
      <c r="B17" s="26" t="inlineStr">
        <is>
          <t>React + TypeScript</t>
        </is>
      </c>
      <c r="C17" s="23" t="inlineStr">
        <is>
          <t>Matches the interaction complexity of commercial review tools.</t>
        </is>
      </c>
    </row>
    <row r="18">
      <c r="A18" s="18" t="inlineStr">
        <is>
          <t>Persistence</t>
        </is>
      </c>
      <c r="B18" s="21" t="inlineStr">
        <is>
          <t>PostgreSQL</t>
        </is>
      </c>
      <c r="C18" s="12" t="inlineStr">
        <is>
          <t>Run history, findings, dispositions and audit trail need relational integrity and retention.</t>
        </is>
      </c>
    </row>
    <row r="19">
      <c r="A19" s="22" t="inlineStr">
        <is>
          <t>LLM access</t>
        </is>
      </c>
      <c r="B19" s="26" t="inlineStr">
        <is>
          <t>Company-hosted GLM v5.2 via the internal gateway</t>
        </is>
      </c>
      <c r="C19" s="23" t="inlineStr">
        <is>
          <t>One model. The gateway remains the place for rate limiting, logging and version pinning; redaction is much lighter now that nothing leaves the network.</t>
        </is>
      </c>
    </row>
    <row r="20">
      <c r="A20" s="18" t="inlineStr">
        <is>
          <t>Deployment</t>
        </is>
      </c>
      <c r="B20" s="21" t="inlineStr">
        <is>
          <t>Containerised, on-premise</t>
        </is>
      </c>
      <c r="C20" s="12" t="inlineStr">
        <is>
          <t>No external egress at all. This is now the only configuration, not one option among several.</t>
        </is>
      </c>
    </row>
    <row r="22">
      <c r="A22" s="6" t="inlineStr">
        <is>
          <t>Deployment modes</t>
        </is>
      </c>
    </row>
    <row r="23" ht="30" customHeight="1">
      <c r="A23" s="10" t="inlineStr">
        <is>
          <t>Mode</t>
        </is>
      </c>
      <c r="B23" s="10" t="inlineStr">
        <is>
          <t>Name</t>
        </is>
      </c>
      <c r="C23" s="10" t="inlineStr">
        <is>
          <t>Description</t>
        </is>
      </c>
    </row>
    <row r="24">
      <c r="A24" s="18" t="inlineStr">
        <is>
          <t>A</t>
        </is>
      </c>
      <c r="B24" s="21" t="inlineStr">
        <is>
          <t>On-premise with GLM v5.2</t>
        </is>
      </c>
      <c r="C24" s="12" t="inlineStr">
        <is>
          <t>The steady-state and only production mode. GLM v5.2 served internally; no subject data leaves the network.</t>
        </is>
      </c>
    </row>
    <row r="25">
      <c r="A25" s="22" t="inlineStr">
        <is>
          <t>B</t>
        </is>
      </c>
      <c r="B25" s="26" t="inlineStr">
        <is>
          <t>Deterministic-only</t>
        </is>
      </c>
      <c r="C25" s="23" t="inlineStr">
        <is>
          <t>No model at all. Full rule coverage, template narratives, and confidence from the rule base rate and evidence completeness alone. Runs in CI on every commit as the verdict reference, and is the operating mode if GLM is unavailable.</t>
        </is>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96" customWidth="1" min="3" max="3"/>
  </cols>
  <sheetData>
    <row r="1" ht="26" customHeight="1">
      <c r="A1" s="8" t="inlineStr">
        <is>
          <t>Web application concept</t>
        </is>
      </c>
    </row>
    <row r="2" ht="26" customHeight="1">
      <c r="A2" s="9" t="inlineStr">
        <is>
          <t>Component design is produced and approved at Step 4 before any application code is written.</t>
        </is>
      </c>
    </row>
    <row r="3" ht="30" customHeight="1">
      <c r="A3" s="10" t="inlineStr">
        <is>
          <t>ID</t>
        </is>
      </c>
      <c r="B3" s="10" t="inlineStr">
        <is>
          <t>Screen</t>
        </is>
      </c>
      <c r="C3" s="10" t="inlineStr">
        <is>
          <t>Contents</t>
        </is>
      </c>
    </row>
    <row r="4">
      <c r="A4" s="18" t="inlineStr">
        <is>
          <t>S1</t>
        </is>
      </c>
      <c r="B4" s="21" t="inlineStr">
        <is>
          <t>Review dashboard</t>
        </is>
      </c>
      <c r="C4" s="12" t="inlineStr">
        <is>
          <t>Run summary, findings by severity, family and confidence band, top sites and subjects, open critical items, trend since last run.</t>
        </is>
      </c>
    </row>
    <row r="5">
      <c r="A5" s="22" t="inlineStr">
        <is>
          <t>S2</t>
        </is>
      </c>
      <c r="B5" s="26" t="inlineStr">
        <is>
          <t>Issue worklist</t>
        </is>
      </c>
      <c r="C5" s="23" t="inlineStr">
        <is>
          <t>Filterable, sortable, groupable list; columns for severity, confidence rate, family, subject, visit, query link status, priority; bulk disposition.</t>
        </is>
      </c>
    </row>
    <row r="6">
      <c r="A6" s="18" t="inlineStr">
        <is>
          <t>S3</t>
        </is>
      </c>
      <c r="B6" s="21" t="inlineStr">
        <is>
          <t>Finding detail</t>
        </is>
      </c>
      <c r="C6" s="12" t="inlineStr">
        <is>
          <t>The five reviewer-facing elements, the confidence rate with its contributing factors, evidence table of observed versus expected, derivation trace, guideline citation, linked queries and their answers, query draft editor, disposition controls.</t>
        </is>
      </c>
    </row>
    <row r="7">
      <c r="A7" s="22" t="inlineStr">
        <is>
          <t>S4</t>
        </is>
      </c>
      <c r="B7" s="26" t="inlineStr">
        <is>
          <t>Subject tumor 360</t>
        </is>
      </c>
      <c r="C7" s="23" t="inlineStr">
        <is>
          <t>Lesion table across visits with a measurement heatmap, sum and nadir chart, response timeline reported versus derived, all findings and queries for the subject.</t>
        </is>
      </c>
    </row>
    <row r="8">
      <c r="A8" s="18" t="inlineStr">
        <is>
          <t>S5</t>
        </is>
      </c>
      <c r="B8" s="21" t="inlineStr">
        <is>
          <t>Cross-subject analytics</t>
        </is>
      </c>
      <c r="C8" s="12" t="inlineStr">
        <is>
          <t>Waterfall, spider and swimmer plots; rule-level and site-level issue rates; confidence calibration chart.</t>
        </is>
      </c>
    </row>
    <row r="9">
      <c r="A9" s="22" t="inlineStr">
        <is>
          <t>S6</t>
        </is>
      </c>
      <c r="B9" s="26" t="inlineStr">
        <is>
          <t>Query workbench</t>
        </is>
      </c>
      <c r="C9" s="23" t="inlineStr">
        <is>
          <t>Approved query text ready for manual issuance, query lifecycle, suppressed-by-justification view, recurrence and aging.</t>
        </is>
      </c>
    </row>
    <row r="10">
      <c r="A10" s="18" t="inlineStr">
        <is>
          <t>S7</t>
        </is>
      </c>
      <c r="B10" s="21" t="inlineStr">
        <is>
          <t>Protocol intake</t>
        </is>
      </c>
      <c r="C10" s="12" t="inlineStr">
        <is>
          <t>NEW. The parameter checkpoints summarised from the protocol, with confirm or correct actions and a sign-off record.</t>
        </is>
      </c>
    </row>
    <row r="11">
      <c r="A11" s="22" t="inlineStr">
        <is>
          <t>S8</t>
        </is>
      </c>
      <c r="B11" s="26" t="inlineStr">
        <is>
          <t>Configuration and versions</t>
        </is>
      </c>
      <c r="C11" s="23" t="inlineStr">
        <is>
          <t>Protocol configuration, active rule pack, model and prompt versions, run history with provenance.</t>
        </is>
      </c>
    </row>
    <row r="13">
      <c r="A13" s="6" t="inlineStr">
        <is>
          <t>Interaction patterns to emulate from established clinical review platforms</t>
        </is>
      </c>
    </row>
    <row r="14">
      <c r="B14" s="7" t="inlineStr">
        <is>
          <t>•  Issue worklist with faceted filtering, saved views and bulk actions.</t>
        </is>
      </c>
    </row>
    <row r="15">
      <c r="B15" s="7" t="inlineStr">
        <is>
          <t>•  Subject 360 — one page collecting all data relevant to a subject's issues.</t>
        </is>
      </c>
    </row>
    <row r="16">
      <c r="B16" s="7" t="inlineStr">
        <is>
          <t>•  Listing-plus-detail: click a row, get the full evidence panel without navigating away.</t>
        </is>
      </c>
    </row>
    <row r="17">
      <c r="B17" s="7" t="inlineStr">
        <is>
          <t>•  Source-versus-derived side-by-side comparison with differences highlighted.</t>
        </is>
      </c>
    </row>
    <row r="18">
      <c r="B18" s="7" t="inlineStr">
        <is>
          <t>•  Longitudinal visualisations standard in oncology review: waterfall, spider, swimmer.</t>
        </is>
      </c>
    </row>
    <row r="19">
      <c r="B19" s="7" t="inlineStr">
        <is>
          <t>•  Query drafting inline with the finding, editable before it is handed over for issuance.</t>
        </is>
      </c>
    </row>
    <row r="20">
      <c r="B20" s="7" t="inlineStr">
        <is>
          <t>•  Signal and trend dashboard by site and by rule for risk-based monitoring.</t>
        </is>
      </c>
    </row>
    <row r="21">
      <c r="B21" s="7" t="inlineStr">
        <is>
          <t>•  Complete audit trail on every disposition and every version of a finding.</t>
        </is>
      </c>
    </row>
  </sheetData>
  <mergeCells count="2">
    <mergeCell ref="A1:C1"/>
    <mergeCell ref="A2:C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8" customWidth="1" min="2" max="2"/>
    <col width="14" customWidth="1" min="3" max="3"/>
    <col width="46" customWidth="1" min="4" max="4"/>
    <col width="42" customWidth="1" min="5" max="5"/>
    <col width="58" customWidth="1" min="6" max="6"/>
  </cols>
  <sheetData>
    <row r="1" ht="26" customHeight="1">
      <c r="A1" s="8" t="inlineStr">
        <is>
          <t>Delivery steps</t>
        </is>
      </c>
    </row>
    <row r="2" ht="30" customHeight="1">
      <c r="A2" s="10" t="inlineStr">
        <is>
          <t>Step</t>
        </is>
      </c>
      <c r="B2" s="10" t="inlineStr">
        <is>
          <t>Name</t>
        </is>
      </c>
      <c r="C2" s="10" t="inlineStr">
        <is>
          <t>Status</t>
        </is>
      </c>
      <c r="D2" s="10" t="inlineStr">
        <is>
          <t>Deliverable</t>
        </is>
      </c>
      <c r="E2" s="10" t="inlineStr">
        <is>
          <t>Entry criteria</t>
        </is>
      </c>
      <c r="F2" s="10" t="inlineStr">
        <is>
          <t>Exit criteria</t>
        </is>
      </c>
    </row>
    <row r="3">
      <c r="A3" s="18" t="n">
        <v>1</v>
      </c>
      <c r="B3" s="21" t="inlineStr">
        <is>
          <t>Development plan</t>
        </is>
      </c>
      <c r="C3" s="18" t="inlineStr">
        <is>
          <t>COMPLETE</t>
        </is>
      </c>
      <c r="D3" s="12" t="inlineStr">
        <is>
          <t>TEA-PLAN-001 v1.0.0 (this workbook).</t>
        </is>
      </c>
      <c r="E3" s="12" t="inlineStr">
        <is>
          <t>Requirements and considerations provided by the sponsor.</t>
        </is>
      </c>
      <c r="F3" s="12" t="inlineStr">
        <is>
          <t>PASSED 2026-08-17. All 95 review items dispositioned; 14 open questions closed; 3 amendments applied.</t>
        </is>
      </c>
    </row>
    <row r="4">
      <c r="A4" s="22" t="n">
        <v>2</v>
      </c>
      <c r="B4" s="26" t="inlineStr">
        <is>
          <t>Programming specification</t>
        </is>
      </c>
      <c r="C4" s="22" t="inlineStr">
        <is>
          <t>COMPLETE</t>
        </is>
      </c>
      <c r="D4" s="23" t="inlineStr">
        <is>
          <t>TEA-SPEC-001 workbook, plus the machine-readable rule catalog maintained alongside it.</t>
        </is>
      </c>
      <c r="E4" s="23" t="inlineStr">
        <is>
          <t>Approved plan; confirmed data contracts; a de-identified Veeva export and the structured CRF specification.</t>
        </is>
      </c>
      <c r="F4" s="23" t="inlineStr">
        <is>
          <t>PASSED 2026-08-21. All 85 rules, all 85 query messages and all 9 open questions accepted over three review rounds; a reviewer-lens pass then changed 27 rules and was approved at the gate. Rule pack FROZEN at 2.0.0. Approved as a reasonableness review — see the specification's Approval sheet.</t>
        </is>
      </c>
    </row>
    <row r="5">
      <c r="A5" s="18" t="n">
        <v>3</v>
      </c>
      <c r="B5" s="21" t="inlineStr">
        <is>
          <t>Prototype output on dummy data</t>
        </is>
      </c>
      <c r="C5" s="27" t="inlineStr">
        <is>
          <t>NEXT</t>
        </is>
      </c>
      <c r="D5" s="12" t="inlineStr">
        <is>
          <t>Curated dummy dataset exercising normal and exceptional cases, plus the agent's findings rendered for human reading.</t>
        </is>
      </c>
      <c r="E5" s="12" t="inlineStr">
        <is>
          <t>Approved specification.</t>
        </is>
      </c>
      <c r="F5" s="12" t="inlineStr">
        <is>
          <t>Reviewers confirm findings are correct, sufficiently explained and correctly prioritised; precision, recall and confidence calibration meet agreed thresholds.</t>
        </is>
      </c>
    </row>
    <row r="6">
      <c r="A6" s="22" t="n">
        <v>4</v>
      </c>
      <c r="B6" s="26" t="inlineStr">
        <is>
          <t>Web application UI design</t>
        </is>
      </c>
      <c r="C6" s="25" t="inlineStr">
        <is>
          <t>Not started</t>
        </is>
      </c>
      <c r="D6" s="23" t="inlineStr">
        <is>
          <t>High-level component design first, then a final UI design with concrete components and interaction states.</t>
        </is>
      </c>
      <c r="E6" s="23" t="inlineStr">
        <is>
          <t>Approved prototype output; agreed finding contract.</t>
        </is>
      </c>
      <c r="F6" s="23" t="inlineStr">
        <is>
          <t>Final design approved. No application code before this approval.</t>
        </is>
      </c>
    </row>
    <row r="7">
      <c r="A7" s="18" t="n">
        <v>5</v>
      </c>
      <c r="B7" s="21" t="inlineStr">
        <is>
          <t>Code generation</t>
        </is>
      </c>
      <c r="C7" s="20" t="inlineStr">
        <is>
          <t>Not started</t>
        </is>
      </c>
      <c r="D7" s="12" t="inlineStr">
        <is>
          <t>Engine, rule pack, API and web application with automated tests, plus the validation package.</t>
        </is>
      </c>
      <c r="E7" s="12" t="inlineStr">
        <is>
          <t>Approved UI design and specification.</t>
        </is>
      </c>
      <c r="F7" s="12" t="inlineStr">
        <is>
          <t>All rules implemented with tests; golden dataset regression green; catalog drift check green; verdict identity green between GLM v5.2 and deterministic-only.</t>
        </is>
      </c>
    </row>
    <row r="8">
      <c r="A8" s="22" t="n">
        <v>6</v>
      </c>
      <c r="B8" s="26" t="inlineStr">
        <is>
          <t>Finalisation</t>
        </is>
      </c>
      <c r="C8" s="25" t="inlineStr">
        <is>
          <t>Not started</t>
        </is>
      </c>
      <c r="D8" s="23" t="inlineStr">
        <is>
          <t>Released application, user documentation, training material, support and change-control model.</t>
        </is>
      </c>
      <c r="E8" s="23" t="inlineStr">
        <is>
          <t>Successful UAT on at least one real, de-identified study.</t>
        </is>
      </c>
      <c r="F8" s="23" t="inlineStr">
        <is>
          <t>Release approved; version 1.0.0 tagged across documents, rule pack and code.</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5" customWidth="1" min="2" max="2"/>
    <col width="17" customWidth="1" min="3" max="3"/>
    <col width="74" customWidth="1" min="4" max="4"/>
    <col width="10" customWidth="1" min="5" max="5"/>
    <col width="11" customWidth="1" min="6" max="6"/>
    <col width="11" customWidth="1" min="7" max="7"/>
    <col width="11" customWidth="1" min="8" max="8"/>
  </cols>
  <sheetData>
    <row r="1" ht="26" customHeight="1">
      <c r="A1" s="8" t="inlineStr">
        <is>
          <t>Requirements</t>
        </is>
      </c>
    </row>
    <row r="2" ht="26" customHeight="1">
      <c r="A2" s="9" t="inlineStr">
        <is>
          <t>All 35 requirements accepted at review. FR-18 to FR-20 added and three amended to reflect the review outcome.</t>
        </is>
      </c>
    </row>
    <row r="3" ht="30" customHeight="1">
      <c r="A3" s="10" t="inlineStr">
        <is>
          <t>ID</t>
        </is>
      </c>
      <c r="B3" s="10" t="inlineStr">
        <is>
          <t>Type</t>
        </is>
      </c>
      <c r="C3" s="10" t="inlineStr">
        <is>
          <t>Category</t>
        </is>
      </c>
      <c r="D3" s="10" t="inlineStr">
        <is>
          <t>Requirement</t>
        </is>
      </c>
      <c r="E3" s="10" t="inlineStr">
        <is>
          <t>Priority</t>
        </is>
      </c>
      <c r="F3" s="10" t="inlineStr">
        <is>
          <t>Status</t>
        </is>
      </c>
      <c r="G3" s="10" t="inlineStr">
        <is>
          <t>Decision</t>
        </is>
      </c>
      <c r="H3" s="10" t="inlineStr">
        <is>
          <t>Reviewer</t>
        </is>
      </c>
    </row>
    <row r="4">
      <c r="A4" s="18" t="inlineStr">
        <is>
          <t>FR-01</t>
        </is>
      </c>
      <c r="B4" s="21" t="inlineStr">
        <is>
          <t>Functional</t>
        </is>
      </c>
      <c r="C4" s="21" t="inlineStr">
        <is>
          <t>Derivation</t>
        </is>
      </c>
      <c r="D4" s="12" t="inlineStr">
        <is>
          <t>Re-derive all RECIST 1.1 and iRECIST quantities per timepoint and per subject from lesion-level data.</t>
        </is>
      </c>
      <c r="E4" s="19" t="inlineStr">
        <is>
          <t>Must</t>
        </is>
      </c>
      <c r="F4" s="20" t="inlineStr">
        <is>
          <t>CARRIED</t>
        </is>
      </c>
      <c r="G4" s="18" t="inlineStr">
        <is>
          <t>Accept</t>
        </is>
      </c>
      <c r="H4" s="21" t="inlineStr">
        <is>
          <t>Daniel</t>
        </is>
      </c>
    </row>
    <row r="5">
      <c r="A5" s="22" t="inlineStr">
        <is>
          <t>FR-02</t>
        </is>
      </c>
      <c r="B5" s="26" t="inlineStr">
        <is>
          <t>Functional</t>
        </is>
      </c>
      <c r="C5" s="26" t="inlineStr">
        <is>
          <t>Detection</t>
        </is>
      </c>
      <c r="D5" s="23" t="inlineStr">
        <is>
          <t>Compare derived versus reported values and raise a finding on any discrepancy beyond configured tolerance.</t>
        </is>
      </c>
      <c r="E5" s="24" t="inlineStr">
        <is>
          <t>Must</t>
        </is>
      </c>
      <c r="F5" s="25" t="inlineStr">
        <is>
          <t>CARRIED</t>
        </is>
      </c>
      <c r="G5" s="22" t="inlineStr">
        <is>
          <t>Accept</t>
        </is>
      </c>
      <c r="H5" s="26" t="inlineStr">
        <is>
          <t>Daniel</t>
        </is>
      </c>
    </row>
    <row r="6">
      <c r="A6" s="18" t="inlineStr">
        <is>
          <t>FR-03</t>
        </is>
      </c>
      <c r="B6" s="21" t="inlineStr">
        <is>
          <t>Functional</t>
        </is>
      </c>
      <c r="C6" s="21" t="inlineStr">
        <is>
          <t>Detection</t>
        </is>
      </c>
      <c r="D6" s="12" t="inlineStr">
        <is>
          <t>Evaluate the full rule catalog per run, with applicability driven by guideline version and protocol configuration.</t>
        </is>
      </c>
      <c r="E6" s="19" t="inlineStr">
        <is>
          <t>Must</t>
        </is>
      </c>
      <c r="F6" s="20" t="inlineStr">
        <is>
          <t>CARRIED</t>
        </is>
      </c>
      <c r="G6" s="18" t="inlineStr">
        <is>
          <t>Accept</t>
        </is>
      </c>
      <c r="H6" s="21" t="inlineStr">
        <is>
          <t>Daniel</t>
        </is>
      </c>
    </row>
    <row r="7">
      <c r="A7" s="22" t="inlineStr">
        <is>
          <t>FR-04</t>
        </is>
      </c>
      <c r="B7" s="26" t="inlineStr">
        <is>
          <t>Functional</t>
        </is>
      </c>
      <c r="C7" s="26" t="inlineStr">
        <is>
          <t>Output</t>
        </is>
      </c>
      <c r="D7" s="23" t="inlineStr">
        <is>
          <t>Emit for each finding the five reviewer-facing elements plus structured evidence and guideline citations.</t>
        </is>
      </c>
      <c r="E7" s="24" t="inlineStr">
        <is>
          <t>Must</t>
        </is>
      </c>
      <c r="F7" s="25" t="inlineStr">
        <is>
          <t>CARRIED</t>
        </is>
      </c>
      <c r="G7" s="22" t="inlineStr">
        <is>
          <t>Accept</t>
        </is>
      </c>
      <c r="H7" s="26" t="inlineStr">
        <is>
          <t>Daniel</t>
        </is>
      </c>
    </row>
    <row r="8">
      <c r="A8" s="18" t="inlineStr">
        <is>
          <t>FR-05</t>
        </is>
      </c>
      <c r="B8" s="21" t="inlineStr">
        <is>
          <t>Functional</t>
        </is>
      </c>
      <c r="C8" s="21" t="inlineStr">
        <is>
          <t>Query</t>
        </is>
      </c>
      <c r="D8" s="12" t="inlineStr">
        <is>
          <t>Import the Veeva EDC query report and classify each finding against it, including assessment of whether a past answer justified the data.</t>
        </is>
      </c>
      <c r="E8" s="19" t="inlineStr">
        <is>
          <t>Must</t>
        </is>
      </c>
      <c r="F8" s="27" t="inlineStr">
        <is>
          <t>AMENDED</t>
        </is>
      </c>
      <c r="G8" s="18" t="inlineStr">
        <is>
          <t>Accept</t>
        </is>
      </c>
      <c r="H8" s="21" t="inlineStr">
        <is>
          <t>Daniel</t>
        </is>
      </c>
    </row>
    <row r="9">
      <c r="A9" s="22" t="inlineStr">
        <is>
          <t>FR-06</t>
        </is>
      </c>
      <c r="B9" s="26" t="inlineStr">
        <is>
          <t>Functional</t>
        </is>
      </c>
      <c r="C9" s="26" t="inlineStr">
        <is>
          <t>Configuration</t>
        </is>
      </c>
      <c r="D9" s="23" t="inlineStr">
        <is>
          <t>Support selectable guideline rule packs (RECIST 1.1, iRECIST) with per-study configuration overriding guideline defaults.</t>
        </is>
      </c>
      <c r="E9" s="24" t="inlineStr">
        <is>
          <t>Must</t>
        </is>
      </c>
      <c r="F9" s="28" t="inlineStr">
        <is>
          <t>AMENDED</t>
        </is>
      </c>
      <c r="G9" s="22" t="inlineStr">
        <is>
          <t>Accept</t>
        </is>
      </c>
      <c r="H9" s="26" t="inlineStr">
        <is>
          <t>Daniel</t>
        </is>
      </c>
    </row>
    <row r="10">
      <c r="A10" s="18" t="inlineStr">
        <is>
          <t>FR-07</t>
        </is>
      </c>
      <c r="B10" s="21" t="inlineStr">
        <is>
          <t>Functional</t>
        </is>
      </c>
      <c r="C10" s="21" t="inlineStr">
        <is>
          <t>Interoperability</t>
        </is>
      </c>
      <c r="D10" s="12" t="inlineStr">
        <is>
          <t>Run against the company-hosted GLM v5.2, and in deterministic-only mode. The model adapter stays behind an interface so a future model change is an adapter, not a rewrite.</t>
        </is>
      </c>
      <c r="E10" s="19" t="inlineStr">
        <is>
          <t>Must</t>
        </is>
      </c>
      <c r="F10" s="27" t="inlineStr">
        <is>
          <t>AMENDED</t>
        </is>
      </c>
      <c r="G10" s="18" t="inlineStr">
        <is>
          <t>Accept</t>
        </is>
      </c>
      <c r="H10" s="21" t="inlineStr">
        <is>
          <t>Daniel</t>
        </is>
      </c>
    </row>
    <row r="11">
      <c r="A11" s="22" t="inlineStr">
        <is>
          <t>FR-08</t>
        </is>
      </c>
      <c r="B11" s="26" t="inlineStr">
        <is>
          <t>Functional</t>
        </is>
      </c>
      <c r="C11" s="26" t="inlineStr">
        <is>
          <t>Provenance</t>
        </is>
      </c>
      <c r="D11" s="23" t="inlineStr">
        <is>
          <t>Persist every run with a full provenance stamp and support re-running a historical run for reproduction.</t>
        </is>
      </c>
      <c r="E11" s="24" t="inlineStr">
        <is>
          <t>Must</t>
        </is>
      </c>
      <c r="F11" s="25" t="inlineStr">
        <is>
          <t>CARRIED</t>
        </is>
      </c>
      <c r="G11" s="22" t="inlineStr">
        <is>
          <t>Accept</t>
        </is>
      </c>
      <c r="H11" s="26" t="inlineStr">
        <is>
          <t>Daniel</t>
        </is>
      </c>
    </row>
    <row r="12">
      <c r="A12" s="18" t="inlineStr">
        <is>
          <t>FR-09</t>
        </is>
      </c>
      <c r="B12" s="21" t="inlineStr">
        <is>
          <t>Functional</t>
        </is>
      </c>
      <c r="C12" s="21" t="inlineStr">
        <is>
          <t>Audit</t>
        </is>
      </c>
      <c r="D12" s="12" t="inlineStr">
        <is>
          <t>Record reviewer disposition per finding with attribution, timestamp and reason; maintain an immutable audit trail.</t>
        </is>
      </c>
      <c r="E12" s="19" t="inlineStr">
        <is>
          <t>Must</t>
        </is>
      </c>
      <c r="F12" s="20" t="inlineStr">
        <is>
          <t>CARRIED</t>
        </is>
      </c>
      <c r="G12" s="18" t="inlineStr">
        <is>
          <t>Accept</t>
        </is>
      </c>
      <c r="H12" s="21" t="inlineStr">
        <is>
          <t>Daniel</t>
        </is>
      </c>
    </row>
    <row r="13">
      <c r="A13" s="22" t="inlineStr">
        <is>
          <t>FR-10</t>
        </is>
      </c>
      <c r="B13" s="26" t="inlineStr">
        <is>
          <t>Functional</t>
        </is>
      </c>
      <c r="C13" s="26" t="inlineStr">
        <is>
          <t>Output</t>
        </is>
      </c>
      <c r="D13" s="23" t="inlineStr">
        <is>
          <t>Deduplicate and cascade-group findings so one root cause is presented once with linked consequences.</t>
        </is>
      </c>
      <c r="E13" s="24" t="inlineStr">
        <is>
          <t>Must</t>
        </is>
      </c>
      <c r="F13" s="25" t="inlineStr">
        <is>
          <t>CARRIED</t>
        </is>
      </c>
      <c r="G13" s="22" t="inlineStr">
        <is>
          <t>Accept</t>
        </is>
      </c>
      <c r="H13" s="26" t="inlineStr">
        <is>
          <t>Daniel</t>
        </is>
      </c>
    </row>
    <row r="14">
      <c r="A14" s="18" t="inlineStr">
        <is>
          <t>FR-11</t>
        </is>
      </c>
      <c r="B14" s="21" t="inlineStr">
        <is>
          <t>Functional</t>
        </is>
      </c>
      <c r="C14" s="21" t="inlineStr">
        <is>
          <t>Output</t>
        </is>
      </c>
      <c r="D14" s="12" t="inlineStr">
        <is>
          <t>Prioritise findings by a transparent, inspectable score incorporating the confidence rate.</t>
        </is>
      </c>
      <c r="E14" s="19" t="inlineStr">
        <is>
          <t>Must</t>
        </is>
      </c>
      <c r="F14" s="27" t="inlineStr">
        <is>
          <t>AMENDED</t>
        </is>
      </c>
      <c r="G14" s="18" t="inlineStr">
        <is>
          <t>Accept</t>
        </is>
      </c>
      <c r="H14" s="21" t="inlineStr">
        <is>
          <t>Daniel</t>
        </is>
      </c>
    </row>
    <row r="15">
      <c r="A15" s="22" t="inlineStr">
        <is>
          <t>FR-12</t>
        </is>
      </c>
      <c r="B15" s="26" t="inlineStr">
        <is>
          <t>Functional</t>
        </is>
      </c>
      <c r="C15" s="26" t="inlineStr">
        <is>
          <t>Detection</t>
        </is>
      </c>
      <c r="D15" s="23" t="inlineStr">
        <is>
          <t>Compare investigator and BICR assessments where both are collected and flag discordance. Disabled by default.</t>
        </is>
      </c>
      <c r="E15" s="28" t="inlineStr">
        <is>
          <t>Should</t>
        </is>
      </c>
      <c r="F15" s="25" t="inlineStr">
        <is>
          <t>CARRIED</t>
        </is>
      </c>
      <c r="G15" s="22" t="inlineStr">
        <is>
          <t>Accept</t>
        </is>
      </c>
      <c r="H15" s="26" t="inlineStr">
        <is>
          <t>Daniel</t>
        </is>
      </c>
    </row>
    <row r="16">
      <c r="A16" s="18" t="inlineStr">
        <is>
          <t>FR-13</t>
        </is>
      </c>
      <c r="B16" s="21" t="inlineStr">
        <is>
          <t>Functional</t>
        </is>
      </c>
      <c r="C16" s="21" t="inlineStr">
        <is>
          <t>Output</t>
        </is>
      </c>
      <c r="D16" s="12" t="inlineStr">
        <is>
          <t>Export findings to XLSX and CSV plus a formatted report for offline review and the trial master file.</t>
        </is>
      </c>
      <c r="E16" s="27" t="inlineStr">
        <is>
          <t>Should</t>
        </is>
      </c>
      <c r="F16" s="20" t="inlineStr">
        <is>
          <t>CARRIED</t>
        </is>
      </c>
      <c r="G16" s="18" t="inlineStr">
        <is>
          <t>Accept</t>
        </is>
      </c>
      <c r="H16" s="21" t="inlineStr">
        <is>
          <t>Daniel</t>
        </is>
      </c>
    </row>
    <row r="17">
      <c r="A17" s="22" t="inlineStr">
        <is>
          <t>FR-14</t>
        </is>
      </c>
      <c r="B17" s="26" t="inlineStr">
        <is>
          <t>Functional</t>
        </is>
      </c>
      <c r="C17" s="26" t="inlineStr">
        <is>
          <t>Detection</t>
        </is>
      </c>
      <c r="D17" s="23" t="inlineStr">
        <is>
          <t>Detect recurrence of the same issue across runs and across sites; surface site-level patterns.</t>
        </is>
      </c>
      <c r="E17" s="28" t="inlineStr">
        <is>
          <t>Should</t>
        </is>
      </c>
      <c r="F17" s="25" t="inlineStr">
        <is>
          <t>CARRIED</t>
        </is>
      </c>
      <c r="G17" s="22" t="inlineStr">
        <is>
          <t>Accept</t>
        </is>
      </c>
      <c r="H17" s="26" t="inlineStr">
        <is>
          <t>Daniel</t>
        </is>
      </c>
    </row>
    <row r="18">
      <c r="A18" s="18" t="inlineStr">
        <is>
          <t>FR-15</t>
        </is>
      </c>
      <c r="B18" s="21" t="inlineStr">
        <is>
          <t>Functional</t>
        </is>
      </c>
      <c r="C18" s="21" t="inlineStr">
        <is>
          <t>UI</t>
        </is>
      </c>
      <c r="D18" s="12" t="inlineStr">
        <is>
          <t>Provide the subject 360 view with lesion history, derived quantities and longitudinal charts.</t>
        </is>
      </c>
      <c r="E18" s="27" t="inlineStr">
        <is>
          <t>Should</t>
        </is>
      </c>
      <c r="F18" s="20" t="inlineStr">
        <is>
          <t>CARRIED</t>
        </is>
      </c>
      <c r="G18" s="18" t="inlineStr">
        <is>
          <t>Accept</t>
        </is>
      </c>
      <c r="H18" s="21" t="inlineStr">
        <is>
          <t>Daniel</t>
        </is>
      </c>
    </row>
    <row r="19">
      <c r="A19" s="22" t="inlineStr">
        <is>
          <t>FR-16</t>
        </is>
      </c>
      <c r="B19" s="26" t="inlineStr">
        <is>
          <t>Functional</t>
        </is>
      </c>
      <c r="C19" s="26" t="inlineStr">
        <is>
          <t>Performance</t>
        </is>
      </c>
      <c r="D19" s="23" t="inlineStr">
        <is>
          <t>Support incremental runs processing only data changed since the previous snapshot. Deferred beyond release 1 — runs are on-demand (OQ-12).</t>
        </is>
      </c>
      <c r="E19" s="34" t="inlineStr">
        <is>
          <t>Could</t>
        </is>
      </c>
      <c r="F19" s="28" t="inlineStr">
        <is>
          <t>AMENDED</t>
        </is>
      </c>
      <c r="G19" s="22" t="inlineStr">
        <is>
          <t>Accept</t>
        </is>
      </c>
      <c r="H19" s="26" t="inlineStr">
        <is>
          <t>Daniel</t>
        </is>
      </c>
    </row>
    <row r="20">
      <c r="A20" s="18" t="inlineStr">
        <is>
          <t>FR-17</t>
        </is>
      </c>
      <c r="B20" s="21" t="inlineStr">
        <is>
          <t>Functional</t>
        </is>
      </c>
      <c r="C20" s="21" t="inlineStr">
        <is>
          <t>Configuration</t>
        </is>
      </c>
      <c r="D20" s="12" t="inlineStr">
        <is>
          <t>Allow reviewer-authored suppression rules for known-acceptable patterns, with expiry and audit.</t>
        </is>
      </c>
      <c r="E20" s="29" t="inlineStr">
        <is>
          <t>Could</t>
        </is>
      </c>
      <c r="F20" s="20" t="inlineStr">
        <is>
          <t>CARRIED</t>
        </is>
      </c>
      <c r="G20" s="18" t="inlineStr">
        <is>
          <t>Accept</t>
        </is>
      </c>
      <c r="H20" s="21" t="inlineStr">
        <is>
          <t>Daniel</t>
        </is>
      </c>
    </row>
    <row r="21">
      <c r="A21" s="22" t="inlineStr">
        <is>
          <t>FR-18</t>
        </is>
      </c>
      <c r="B21" s="26" t="inlineStr">
        <is>
          <t>Functional</t>
        </is>
      </c>
      <c r="C21" s="26" t="inlineStr">
        <is>
          <t>Output</t>
        </is>
      </c>
      <c r="D21" s="23" t="inlineStr">
        <is>
          <t>Compute and display a confidence rate (xx.x%) on every finding, with its contributing factors available to the reviewer.</t>
        </is>
      </c>
      <c r="E21" s="24" t="inlineStr">
        <is>
          <t>Must</t>
        </is>
      </c>
      <c r="F21" s="24" t="inlineStr">
        <is>
          <t>NEW</t>
        </is>
      </c>
      <c r="G21" s="22" t="inlineStr">
        <is>
          <t>Accept</t>
        </is>
      </c>
      <c r="H21" s="26" t="inlineStr">
        <is>
          <t>Daniel</t>
        </is>
      </c>
    </row>
    <row r="22">
      <c r="A22" s="18" t="inlineStr">
        <is>
          <t>FR-19</t>
        </is>
      </c>
      <c r="B22" s="21" t="inlineStr">
        <is>
          <t>Functional</t>
        </is>
      </c>
      <c r="C22" s="21" t="inlineStr">
        <is>
          <t>Query</t>
        </is>
      </c>
      <c r="D22" s="12" t="inlineStr">
        <is>
          <t>Assess whether a site's answer to a prior query is reasonable and consistent with current data, and suppress or escalate accordingly.</t>
        </is>
      </c>
      <c r="E22" s="19" t="inlineStr">
        <is>
          <t>Must</t>
        </is>
      </c>
      <c r="F22" s="19" t="inlineStr">
        <is>
          <t>NEW</t>
        </is>
      </c>
      <c r="G22" s="18" t="inlineStr">
        <is>
          <t>Accept</t>
        </is>
      </c>
      <c r="H22" s="21" t="inlineStr">
        <is>
          <t>Daniel</t>
        </is>
      </c>
    </row>
    <row r="23">
      <c r="A23" s="22" t="inlineStr">
        <is>
          <t>FR-20</t>
        </is>
      </c>
      <c r="B23" s="26" t="inlineStr">
        <is>
          <t>Functional</t>
        </is>
      </c>
      <c r="C23" s="26" t="inlineStr">
        <is>
          <t>Configuration</t>
        </is>
      </c>
      <c r="D23" s="23" t="inlineStr">
        <is>
          <t>Summarise protocol parameter checkpoints from the protocol document and capture the user's confirmation before the first run.</t>
        </is>
      </c>
      <c r="E23" s="24" t="inlineStr">
        <is>
          <t>Must</t>
        </is>
      </c>
      <c r="F23" s="24" t="inlineStr">
        <is>
          <t>NEW</t>
        </is>
      </c>
      <c r="G23" s="22" t="inlineStr">
        <is>
          <t>Accept</t>
        </is>
      </c>
      <c r="H23" s="26" t="inlineStr">
        <is>
          <t>Daniel</t>
        </is>
      </c>
    </row>
    <row r="24">
      <c r="A24" s="18" t="inlineStr">
        <is>
          <t>FR-21</t>
        </is>
      </c>
      <c r="B24" s="21" t="inlineStr">
        <is>
          <t>Functional</t>
        </is>
      </c>
      <c r="C24" s="21" t="inlineStr">
        <is>
          <t>Configuration</t>
        </is>
      </c>
      <c r="D24" s="12" t="inlineStr">
        <is>
          <t>Record for every protocol parameter whether it was found in the source document, with its location, or defaulted because it was not found — and show the two differently at the intake screen. A defaulted parameter is the one a reviewer most needs to see.</t>
        </is>
      </c>
      <c r="E24" s="19" t="inlineStr">
        <is>
          <t>Must</t>
        </is>
      </c>
      <c r="F24" s="21" t="inlineStr">
        <is>
          <t>NEW v1.2.0</t>
        </is>
      </c>
      <c r="G24" s="18" t="inlineStr">
        <is>
          <t>Accept</t>
        </is>
      </c>
      <c r="H24" s="21" t="inlineStr">
        <is>
          <t>Daniel</t>
        </is>
      </c>
    </row>
    <row r="25">
      <c r="A25" s="22" t="inlineStr">
        <is>
          <t>NFR-01</t>
        </is>
      </c>
      <c r="B25" s="26" t="inlineStr">
        <is>
          <t>Non-functional</t>
        </is>
      </c>
      <c r="C25" s="26" t="inlineStr">
        <is>
          <t>Reproducibility</t>
        </is>
      </c>
      <c r="D25" s="23" t="inlineStr">
        <is>
          <t>Given the same input snapshot, configuration and versions, deterministic findings are identical across runs, and identical whether GLM v5.2 is used or the deterministic-only mode is.</t>
        </is>
      </c>
      <c r="E25" s="24" t="inlineStr">
        <is>
          <t>Must</t>
        </is>
      </c>
      <c r="F25" s="28" t="inlineStr">
        <is>
          <t>AMENDED</t>
        </is>
      </c>
      <c r="G25" s="22" t="inlineStr">
        <is>
          <t>Accept</t>
        </is>
      </c>
      <c r="H25" s="26" t="inlineStr">
        <is>
          <t>Daniel</t>
        </is>
      </c>
    </row>
    <row r="26">
      <c r="A26" s="18" t="inlineStr">
        <is>
          <t>NFR-02</t>
        </is>
      </c>
      <c r="B26" s="21" t="inlineStr">
        <is>
          <t>Non-functional</t>
        </is>
      </c>
      <c r="C26" s="21" t="inlineStr">
        <is>
          <t>Maintainability</t>
        </is>
      </c>
      <c r="D26" s="12" t="inlineStr">
        <is>
          <t>Adding a review point requires only a new rule module, its fixtures and a catalog entry. Verified by a CI check.</t>
        </is>
      </c>
      <c r="E26" s="19" t="inlineStr">
        <is>
          <t>Must</t>
        </is>
      </c>
      <c r="F26" s="20" t="inlineStr">
        <is>
          <t>CARRIED</t>
        </is>
      </c>
      <c r="G26" s="18" t="inlineStr">
        <is>
          <t>Accept</t>
        </is>
      </c>
      <c r="H26" s="21" t="inlineStr">
        <is>
          <t>Daniel</t>
        </is>
      </c>
    </row>
    <row r="27">
      <c r="A27" s="22" t="inlineStr">
        <is>
          <t>NFR-03</t>
        </is>
      </c>
      <c r="B27" s="26" t="inlineStr">
        <is>
          <t>Non-functional</t>
        </is>
      </c>
      <c r="C27" s="26" t="inlineStr">
        <is>
          <t>Performance</t>
        </is>
      </c>
      <c r="D27" s="23" t="inlineStr">
        <is>
          <t>500 subjects with 12 assessments each complete a deterministic full run in under 5 minutes on standard hardware.</t>
        </is>
      </c>
      <c r="E27" s="24" t="inlineStr">
        <is>
          <t>Must</t>
        </is>
      </c>
      <c r="F27" s="25" t="inlineStr">
        <is>
          <t>CARRIED</t>
        </is>
      </c>
      <c r="G27" s="22" t="inlineStr">
        <is>
          <t>Accept</t>
        </is>
      </c>
      <c r="H27" s="26" t="inlineStr">
        <is>
          <t>Daniel</t>
        </is>
      </c>
    </row>
    <row r="28">
      <c r="A28" s="18" t="inlineStr">
        <is>
          <t>NFR-04</t>
        </is>
      </c>
      <c r="B28" s="21" t="inlineStr">
        <is>
          <t>Non-functional</t>
        </is>
      </c>
      <c r="C28" s="21" t="inlineStr">
        <is>
          <t>Performance</t>
        </is>
      </c>
      <c r="D28" s="12" t="inlineStr">
        <is>
          <t>Web application list views respond within 2 seconds at 10,000 findings.</t>
        </is>
      </c>
      <c r="E28" s="27" t="inlineStr">
        <is>
          <t>Should</t>
        </is>
      </c>
      <c r="F28" s="20" t="inlineStr">
        <is>
          <t>CARRIED</t>
        </is>
      </c>
      <c r="G28" s="18" t="inlineStr">
        <is>
          <t>Accept</t>
        </is>
      </c>
      <c r="H28" s="21" t="inlineStr">
        <is>
          <t>Daniel</t>
        </is>
      </c>
    </row>
    <row r="29">
      <c r="A29" s="22" t="inlineStr">
        <is>
          <t>NFR-05</t>
        </is>
      </c>
      <c r="B29" s="26" t="inlineStr">
        <is>
          <t>Non-functional</t>
        </is>
      </c>
      <c r="C29" s="26" t="inlineStr">
        <is>
          <t>Portability</t>
        </is>
      </c>
      <c r="D29" s="23" t="inlineStr">
        <is>
          <t>No single model call exceeds the prompt budget confirmed against the GLM v5.2 deployment. The 32k assumption from OQ-03 is carried forward as a working figure and must be verified, not assumed.</t>
        </is>
      </c>
      <c r="E29" s="24" t="inlineStr">
        <is>
          <t>Must</t>
        </is>
      </c>
      <c r="F29" s="28" t="inlineStr">
        <is>
          <t>AMENDED</t>
        </is>
      </c>
      <c r="G29" s="22" t="inlineStr">
        <is>
          <t>Accept</t>
        </is>
      </c>
      <c r="H29" s="26" t="inlineStr">
        <is>
          <t>Daniel</t>
        </is>
      </c>
    </row>
    <row r="30">
      <c r="A30" s="18" t="inlineStr">
        <is>
          <t>NFR-06</t>
        </is>
      </c>
      <c r="B30" s="21" t="inlineStr">
        <is>
          <t>Non-functional</t>
        </is>
      </c>
      <c r="C30" s="21" t="inlineStr">
        <is>
          <t>Security</t>
        </is>
      </c>
      <c r="D30" s="12" t="inlineStr">
        <is>
          <t>Subject data encrypted at rest and in transit, and never leaves the company network — there is no external model call to make. Release 1 does not enforce role separation (OQ-08).</t>
        </is>
      </c>
      <c r="E30" s="19" t="inlineStr">
        <is>
          <t>Must</t>
        </is>
      </c>
      <c r="F30" s="27" t="inlineStr">
        <is>
          <t>AMENDED</t>
        </is>
      </c>
      <c r="G30" s="18" t="inlineStr">
        <is>
          <t>Accept</t>
        </is>
      </c>
      <c r="H30" s="21" t="inlineStr">
        <is>
          <t>Daniel</t>
        </is>
      </c>
    </row>
    <row r="31">
      <c r="A31" s="22" t="inlineStr">
        <is>
          <t>NFR-07</t>
        </is>
      </c>
      <c r="B31" s="26" t="inlineStr">
        <is>
          <t>Non-functional</t>
        </is>
      </c>
      <c r="C31" s="26" t="inlineStr">
        <is>
          <t>Compliance</t>
        </is>
      </c>
      <c r="D31" s="23" t="inlineStr">
        <is>
          <t>Audit trail meeting ALCOA+ expectations on all human actions and agent runs; records retained per sponsor policy.</t>
        </is>
      </c>
      <c r="E31" s="24" t="inlineStr">
        <is>
          <t>Must</t>
        </is>
      </c>
      <c r="F31" s="25" t="inlineStr">
        <is>
          <t>CARRIED</t>
        </is>
      </c>
      <c r="G31" s="22" t="inlineStr">
        <is>
          <t>Accept</t>
        </is>
      </c>
      <c r="H31" s="26" t="inlineStr">
        <is>
          <t>Daniel</t>
        </is>
      </c>
    </row>
    <row r="32">
      <c r="A32" s="18" t="inlineStr">
        <is>
          <t>NFR-08</t>
        </is>
      </c>
      <c r="B32" s="21" t="inlineStr">
        <is>
          <t>Non-functional</t>
        </is>
      </c>
      <c r="C32" s="21" t="inlineStr">
        <is>
          <t>Usability</t>
        </is>
      </c>
      <c r="D32" s="12" t="inlineStr">
        <is>
          <t>A reviewer can go from a finding to full context and back in a single click, with no loss of filter state.</t>
        </is>
      </c>
      <c r="E32" s="27" t="inlineStr">
        <is>
          <t>Should</t>
        </is>
      </c>
      <c r="F32" s="20" t="inlineStr">
        <is>
          <t>CARRIED</t>
        </is>
      </c>
      <c r="G32" s="18" t="inlineStr">
        <is>
          <t>Accept</t>
        </is>
      </c>
      <c r="H32" s="21" t="inlineStr">
        <is>
          <t>Daniel</t>
        </is>
      </c>
    </row>
    <row r="33">
      <c r="A33" s="22" t="inlineStr">
        <is>
          <t>NFR-09</t>
        </is>
      </c>
      <c r="B33" s="26" t="inlineStr">
        <is>
          <t>Non-functional</t>
        </is>
      </c>
      <c r="C33" s="26" t="inlineStr">
        <is>
          <t>Reliability</t>
        </is>
      </c>
      <c r="D33" s="23" t="inlineStr">
        <is>
          <t>An LLM outage degrades the system to deterministic-only mode rather than failing the run.</t>
        </is>
      </c>
      <c r="E33" s="24" t="inlineStr">
        <is>
          <t>Must</t>
        </is>
      </c>
      <c r="F33" s="25" t="inlineStr">
        <is>
          <t>CARRIED</t>
        </is>
      </c>
      <c r="G33" s="22" t="inlineStr">
        <is>
          <t>Accept</t>
        </is>
      </c>
      <c r="H33" s="26" t="inlineStr">
        <is>
          <t>Daniel</t>
        </is>
      </c>
    </row>
    <row r="34">
      <c r="A34" s="18" t="inlineStr">
        <is>
          <t>NFR-10</t>
        </is>
      </c>
      <c r="B34" s="21" t="inlineStr">
        <is>
          <t>Non-functional</t>
        </is>
      </c>
      <c r="C34" s="21" t="inlineStr">
        <is>
          <t>Observability</t>
        </is>
      </c>
      <c r="D34" s="12" t="inlineStr">
        <is>
          <t>Every run emits metrics: rule hit counts, adjudication rates, confidence calibration, model latency, disposition outcomes.</t>
        </is>
      </c>
      <c r="E34" s="27" t="inlineStr">
        <is>
          <t>Should</t>
        </is>
      </c>
      <c r="F34" s="27" t="inlineStr">
        <is>
          <t>AMENDED</t>
        </is>
      </c>
      <c r="G34" s="18" t="inlineStr">
        <is>
          <t>Accept</t>
        </is>
      </c>
      <c r="H34" s="21" t="inlineStr">
        <is>
          <t>Daniel</t>
        </is>
      </c>
    </row>
    <row r="35">
      <c r="A35" s="22" t="inlineStr">
        <is>
          <t>NFR-11</t>
        </is>
      </c>
      <c r="B35" s="26" t="inlineStr">
        <is>
          <t>Non-functional</t>
        </is>
      </c>
      <c r="C35" s="26" t="inlineStr">
        <is>
          <t>Internationalisation</t>
        </is>
      </c>
      <c r="D35" s="23" t="inlineStr">
        <is>
          <t>English only in release 1; templates structured to allow localisation later (OQ-11).</t>
        </is>
      </c>
      <c r="E35" s="34" t="inlineStr">
        <is>
          <t>Could</t>
        </is>
      </c>
      <c r="F35" s="28" t="inlineStr">
        <is>
          <t>AMENDED</t>
        </is>
      </c>
      <c r="G35" s="22" t="inlineStr">
        <is>
          <t>Accept</t>
        </is>
      </c>
      <c r="H35" s="26" t="inlineStr">
        <is>
          <t>Daniel</t>
        </is>
      </c>
    </row>
    <row r="36">
      <c r="A36" s="18" t="inlineStr">
        <is>
          <t>REG-01</t>
        </is>
      </c>
      <c r="B36" s="21" t="inlineStr">
        <is>
          <t>Regulatory</t>
        </is>
      </c>
      <c r="C36" s="21" t="inlineStr">
        <is>
          <t>Intended use</t>
        </is>
      </c>
      <c r="D36" s="12" t="inlineStr">
        <is>
          <t>The system is decision support; a qualified human makes every determination and issues every query manually.</t>
        </is>
      </c>
      <c r="E36" s="19" t="inlineStr">
        <is>
          <t>Must</t>
        </is>
      </c>
      <c r="F36" s="20" t="inlineStr">
        <is>
          <t>CARRIED</t>
        </is>
      </c>
      <c r="G36" s="18" t="inlineStr">
        <is>
          <t>Accept</t>
        </is>
      </c>
      <c r="H36" s="21" t="inlineStr">
        <is>
          <t>Daniel</t>
        </is>
      </c>
    </row>
    <row r="37">
      <c r="A37" s="22" t="inlineStr">
        <is>
          <t>REG-02</t>
        </is>
      </c>
      <c r="B37" s="26" t="inlineStr">
        <is>
          <t>Regulatory</t>
        </is>
      </c>
      <c r="C37" s="26" t="inlineStr">
        <is>
          <t>Validation</t>
        </is>
      </c>
      <c r="D37" s="23" t="inlineStr">
        <is>
          <t>Risk-based validation consistent with GAMP 5 (2nd ed.) and the FDA Computer Software Assurance approach.</t>
        </is>
      </c>
      <c r="E37" s="24" t="inlineStr">
        <is>
          <t>Must</t>
        </is>
      </c>
      <c r="F37" s="25" t="inlineStr">
        <is>
          <t>CARRIED</t>
        </is>
      </c>
      <c r="G37" s="22" t="inlineStr">
        <is>
          <t>Accept</t>
        </is>
      </c>
      <c r="H37" s="26" t="inlineStr">
        <is>
          <t>Daniel</t>
        </is>
      </c>
    </row>
    <row r="38">
      <c r="A38" s="18" t="inlineStr">
        <is>
          <t>REG-03</t>
        </is>
      </c>
      <c r="B38" s="21" t="inlineStr">
        <is>
          <t>Regulatory</t>
        </is>
      </c>
      <c r="C38" s="21" t="inlineStr">
        <is>
          <t>Records</t>
        </is>
      </c>
      <c r="D38" s="12" t="inlineStr">
        <is>
          <t>Where used in a GxP process, 21 CFR Part 11 and EU Annex 11 expectations apply to audit trail, access control and record retention.</t>
        </is>
      </c>
      <c r="E38" s="19" t="inlineStr">
        <is>
          <t>Must</t>
        </is>
      </c>
      <c r="F38" s="20" t="inlineStr">
        <is>
          <t>CARRIED</t>
        </is>
      </c>
      <c r="G38" s="18" t="inlineStr">
        <is>
          <t>Accept</t>
        </is>
      </c>
      <c r="H38" s="21" t="inlineStr">
        <is>
          <t>Daniel</t>
        </is>
      </c>
    </row>
    <row r="39">
      <c r="A39" s="22" t="inlineStr">
        <is>
          <t>REG-04</t>
        </is>
      </c>
      <c r="B39" s="26" t="inlineStr">
        <is>
          <t>Regulatory</t>
        </is>
      </c>
      <c r="C39" s="26" t="inlineStr">
        <is>
          <t>Traceability</t>
        </is>
      </c>
      <c r="D39" s="23" t="inlineStr">
        <is>
          <t>Specification-to-test traceability: every requirement and every rule traces to at least one test case.</t>
        </is>
      </c>
      <c r="E39" s="24" t="inlineStr">
        <is>
          <t>Must</t>
        </is>
      </c>
      <c r="F39" s="25" t="inlineStr">
        <is>
          <t>CARRIED</t>
        </is>
      </c>
      <c r="G39" s="22" t="inlineStr">
        <is>
          <t>Accept</t>
        </is>
      </c>
      <c r="H39" s="26" t="inlineStr">
        <is>
          <t>Daniel</t>
        </is>
      </c>
    </row>
    <row r="40">
      <c r="A40" s="18" t="inlineStr">
        <is>
          <t>REG-05</t>
        </is>
      </c>
      <c r="B40" s="21" t="inlineStr">
        <is>
          <t>Regulatory</t>
        </is>
      </c>
      <c r="C40" s="21" t="inlineStr">
        <is>
          <t>Change control</t>
        </is>
      </c>
      <c r="D40" s="12" t="inlineStr">
        <is>
          <t>Rule pack and prompt changes follow documented review and approval, with impact assessment on previously issued findings.</t>
        </is>
      </c>
      <c r="E40" s="19" t="inlineStr">
        <is>
          <t>Must</t>
        </is>
      </c>
      <c r="F40" s="20" t="inlineStr">
        <is>
          <t>CARRIED</t>
        </is>
      </c>
      <c r="G40" s="18" t="inlineStr">
        <is>
          <t>Accept</t>
        </is>
      </c>
      <c r="H40" s="21" t="inlineStr">
        <is>
          <t>Daniel</t>
        </is>
      </c>
    </row>
    <row r="41">
      <c r="A41" s="22" t="inlineStr">
        <is>
          <t>REG-06</t>
        </is>
      </c>
      <c r="B41" s="26" t="inlineStr">
        <is>
          <t>Regulatory</t>
        </is>
      </c>
      <c r="C41" s="26" t="inlineStr">
        <is>
          <t>GCP</t>
        </is>
      </c>
      <c r="D41" s="23" t="inlineStr">
        <is>
          <t>Alignment with ICH E6(R3) expectations on risk-proportionate, quality-by-design monitoring approaches.</t>
        </is>
      </c>
      <c r="E41" s="28" t="inlineStr">
        <is>
          <t>Should</t>
        </is>
      </c>
      <c r="F41" s="25" t="inlineStr">
        <is>
          <t>CARRIED</t>
        </is>
      </c>
      <c r="G41" s="22" t="inlineStr">
        <is>
          <t>Accept</t>
        </is>
      </c>
      <c r="H41" s="26" t="inlineStr">
        <is>
          <t>Daniel</t>
        </is>
      </c>
    </row>
    <row r="42">
      <c r="A42" s="18" t="inlineStr">
        <is>
          <t>REG-07</t>
        </is>
      </c>
      <c r="B42" s="21" t="inlineStr">
        <is>
          <t>Regulatory</t>
        </is>
      </c>
      <c r="C42" s="21" t="inlineStr">
        <is>
          <t>Privacy</t>
        </is>
      </c>
      <c r="D42" s="12" t="inlineStr">
        <is>
          <t>No subject data reaches an external model, because no external model is used. The privacy assessment records the on-premise architecture rather than gating release, as it did at v1.0.0.</t>
        </is>
      </c>
      <c r="E42" s="19" t="inlineStr">
        <is>
          <t>Must</t>
        </is>
      </c>
      <c r="F42" s="27" t="inlineStr">
        <is>
          <t>AMENDED</t>
        </is>
      </c>
      <c r="G42" s="18" t="inlineStr">
        <is>
          <t>Accept</t>
        </is>
      </c>
      <c r="H42" s="21" t="inlineStr">
        <is>
          <t>Daniel</t>
        </is>
      </c>
    </row>
  </sheetData>
  <autoFilter ref="A3:H42"/>
  <mergeCells count="2">
    <mergeCell ref="A2:H2"/>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12" customWidth="1" min="3" max="3"/>
    <col width="10" customWidth="1" min="4" max="4"/>
    <col width="56" customWidth="1" min="5" max="5"/>
    <col width="60" customWidth="1" min="6" max="6"/>
    <col width="32" customWidth="1" min="7" max="7"/>
    <col width="11" customWidth="1" min="8" max="8"/>
    <col width="11" customWidth="1" min="9" max="9"/>
  </cols>
  <sheetData>
    <row r="1" ht="26" customHeight="1">
      <c r="A1" s="8" t="inlineStr">
        <is>
          <t>Risk register</t>
        </is>
      </c>
    </row>
    <row r="2" ht="26" customHeight="1">
      <c r="A2" s="9" t="inlineStr">
        <is>
          <t>All 14 original risks accepted at review. RSK-15 added as a direct consequence of the confidence rate (OBJ-03).</t>
        </is>
      </c>
    </row>
    <row r="3" ht="30" customHeight="1">
      <c r="A3" s="10" t="inlineStr">
        <is>
          <t>ID</t>
        </is>
      </c>
      <c r="B3" s="10" t="inlineStr">
        <is>
          <t>Category</t>
        </is>
      </c>
      <c r="C3" s="10" t="inlineStr">
        <is>
          <t>Likelihood</t>
        </is>
      </c>
      <c r="D3" s="10" t="inlineStr">
        <is>
          <t>Impact</t>
        </is>
      </c>
      <c r="E3" s="10" t="inlineStr">
        <is>
          <t>Risk</t>
        </is>
      </c>
      <c r="F3" s="10" t="inlineStr">
        <is>
          <t>Mitigation</t>
        </is>
      </c>
      <c r="G3" s="10" t="inlineStr">
        <is>
          <t>Residual</t>
        </is>
      </c>
      <c r="H3" s="10" t="inlineStr">
        <is>
          <t>Decision</t>
        </is>
      </c>
      <c r="I3" s="10" t="inlineStr">
        <is>
          <t>Reviewer</t>
        </is>
      </c>
    </row>
    <row r="4">
      <c r="A4" s="18" t="inlineStr">
        <is>
          <t>RSK-01</t>
        </is>
      </c>
      <c r="B4" s="21" t="inlineStr">
        <is>
          <t>AI quality</t>
        </is>
      </c>
      <c r="C4" s="19" t="inlineStr">
        <is>
          <t>High</t>
        </is>
      </c>
      <c r="D4" s="19" t="inlineStr">
        <is>
          <t>High</t>
        </is>
      </c>
      <c r="E4" s="12" t="inlineStr">
        <is>
          <t>The model fabricates or subtly misstates facts in the narrative, and a reviewer acts on the narrative rather than the evidence.</t>
        </is>
      </c>
      <c r="F4" s="12" t="inlineStr">
        <is>
          <t>Narrative rendered from a validated evidence object; numbers injected from computed values; evidence table always displayed adjacent to the narrative; template fallback available.</t>
        </is>
      </c>
      <c r="G4" s="12" t="inlineStr">
        <is>
          <t>Low-moderate, mitigated by training reviewers that the evidence panel is authoritative.</t>
        </is>
      </c>
      <c r="H4" s="18" t="inlineStr">
        <is>
          <t>Accept</t>
        </is>
      </c>
      <c r="I4" s="21" t="inlineStr">
        <is>
          <t>Daniel</t>
        </is>
      </c>
    </row>
    <row r="5">
      <c r="A5" s="22" t="inlineStr">
        <is>
          <t>RSK-02</t>
        </is>
      </c>
      <c r="B5" s="26" t="inlineStr">
        <is>
          <t>AI quality</t>
        </is>
      </c>
      <c r="C5" s="24" t="inlineStr">
        <is>
          <t>High</t>
        </is>
      </c>
      <c r="D5" s="28" t="inlineStr">
        <is>
          <t>Medium</t>
        </is>
      </c>
      <c r="E5" s="23" t="inlineStr">
        <is>
          <t>False positives erode trust and the tool is abandoned.</t>
        </is>
      </c>
      <c r="F5" s="23" t="inlineStr">
        <is>
          <t>Confidence rate surfaces weak findings before a reviewer spends time on them; false-positive guards per rule; query-history reconciliation; Step 3 tuning; rejection reason codes feed the confidence model directly.</t>
        </is>
      </c>
      <c r="G5" s="23" t="inlineStr">
        <is>
          <t>Moderate — managed as an ongoing metric.</t>
        </is>
      </c>
      <c r="H5" s="22" t="inlineStr">
        <is>
          <t>Accept</t>
        </is>
      </c>
      <c r="I5" s="26" t="inlineStr">
        <is>
          <t>Daniel</t>
        </is>
      </c>
    </row>
    <row r="6">
      <c r="A6" s="18" t="inlineStr">
        <is>
          <t>RSK-03</t>
        </is>
      </c>
      <c r="B6" s="21" t="inlineStr">
        <is>
          <t>AI quality</t>
        </is>
      </c>
      <c r="C6" s="27" t="inlineStr">
        <is>
          <t>Medium</t>
        </is>
      </c>
      <c r="D6" s="19" t="inlineStr">
        <is>
          <t>High</t>
        </is>
      </c>
      <c r="E6" s="12" t="inlineStr">
        <is>
          <t>False negatives: reviewers assume full coverage and stop looking, while the agent misses an issue class.</t>
        </is>
      </c>
      <c r="F6" s="12" t="inlineStr">
        <is>
          <t>Published coverage statement per rule family; the UI states what was checked and what was not; recall measured on the golden dataset; manual review retained for uncovered areas.</t>
        </is>
      </c>
      <c r="G6" s="12" t="inlineStr">
        <is>
          <t>Moderate. Requires clear communication that the agent augments rather than replaces review.</t>
        </is>
      </c>
      <c r="H6" s="18" t="inlineStr">
        <is>
          <t>Accept</t>
        </is>
      </c>
      <c r="I6" s="21" t="inlineStr">
        <is>
          <t>Daniel</t>
        </is>
      </c>
    </row>
    <row r="7">
      <c r="A7" s="22" t="inlineStr">
        <is>
          <t>RSK-04</t>
        </is>
      </c>
      <c r="B7" s="26" t="inlineStr">
        <is>
          <t>Data privacy</t>
        </is>
      </c>
      <c r="C7" s="34" t="inlineStr">
        <is>
          <t>Low</t>
        </is>
      </c>
      <c r="D7" s="24" t="inlineStr">
        <is>
          <t>High</t>
        </is>
      </c>
      <c r="E7" s="23" t="inlineStr">
        <is>
          <t>Subject data leaves the approved boundary through an external model call.</t>
        </is>
      </c>
      <c r="F7" s="23" t="inlineStr">
        <is>
          <t>Structurally removed at v1.1.0: there is no external model adapter to call. The only paths are the internal GLM v5.2 gateway and deterministic-only.</t>
        </is>
      </c>
      <c r="G7" s="23" t="inlineStr">
        <is>
          <t>Negligible. The risk is now a deployment-configuration error rather than a design exposure.</t>
        </is>
      </c>
      <c r="H7" s="22" t="inlineStr">
        <is>
          <t>Accept</t>
        </is>
      </c>
      <c r="I7" s="26" t="inlineStr">
        <is>
          <t>Daniel</t>
        </is>
      </c>
    </row>
    <row r="8">
      <c r="A8" s="18" t="inlineStr">
        <is>
          <t>RSK-05</t>
        </is>
      </c>
      <c r="B8" s="21" t="inlineStr">
        <is>
          <t>Security</t>
        </is>
      </c>
      <c r="C8" s="27" t="inlineStr">
        <is>
          <t>Medium</t>
        </is>
      </c>
      <c r="D8" s="27" t="inlineStr">
        <is>
          <t>Medium</t>
        </is>
      </c>
      <c r="E8" s="12" t="inlineStr">
        <is>
          <t>Prompt injection via site-entered free text, including query answers now read by the agent.</t>
        </is>
      </c>
      <c r="F8" s="12" t="inlineStr">
        <is>
          <t>Free text passed inside an explicit data envelope; output schema-constrained; the model cannot suppress a CRITICAL finding or set a verdict; instruction-like content is itself flagged.</t>
        </is>
      </c>
      <c r="G8" s="12" t="inlineStr">
        <is>
          <t>Low, because the model has no tool authority over external systems.</t>
        </is>
      </c>
      <c r="H8" s="18" t="inlineStr">
        <is>
          <t>Accept</t>
        </is>
      </c>
      <c r="I8" s="21" t="inlineStr">
        <is>
          <t>Daniel</t>
        </is>
      </c>
    </row>
    <row r="9">
      <c r="A9" s="22" t="inlineStr">
        <is>
          <t>RSK-06</t>
        </is>
      </c>
      <c r="B9" s="26" t="inlineStr">
        <is>
          <t>Guideline interpretation</t>
        </is>
      </c>
      <c r="C9" s="24" t="inlineStr">
        <is>
          <t>High</t>
        </is>
      </c>
      <c r="D9" s="28" t="inlineStr">
        <is>
          <t>Medium</t>
        </is>
      </c>
      <c r="E9" s="23" t="inlineStr">
        <is>
          <t>Genuinely ambiguous guideline areas are implemented one way and the sponsor expects another.</t>
        </is>
      </c>
      <c r="F9" s="23" t="inlineStr">
        <is>
          <t>All ambiguous points surfaced as explicit configuration with a documented default, confirmed at the AC-11 intake and listed for decision at the Step 2 gate.</t>
        </is>
      </c>
      <c r="G9" s="23" t="inlineStr">
        <is>
          <t>Low after Step 2 sign-off.</t>
        </is>
      </c>
      <c r="H9" s="22" t="inlineStr">
        <is>
          <t>Accept</t>
        </is>
      </c>
      <c r="I9" s="26" t="inlineStr">
        <is>
          <t>Daniel</t>
        </is>
      </c>
    </row>
    <row r="10">
      <c r="A10" s="18" t="inlineStr">
        <is>
          <t>RSK-07</t>
        </is>
      </c>
      <c r="B10" s="21" t="inlineStr">
        <is>
          <t>Protocol variability</t>
        </is>
      </c>
      <c r="C10" s="19" t="inlineStr">
        <is>
          <t>High</t>
        </is>
      </c>
      <c r="D10" s="27" t="inlineStr">
        <is>
          <t>Medium</t>
        </is>
      </c>
      <c r="E10" s="12" t="inlineStr">
        <is>
          <t>Each protocol deviates from guideline defaults; hard-coding one study's rules makes the tool unusable for the next.</t>
        </is>
      </c>
      <c r="F10" s="12" t="inlineStr">
        <is>
          <t>Protocol configuration object with every threshold externalised; AC-11 intake confirms them per study; configuration hash recorded in provenance.</t>
        </is>
      </c>
      <c r="G10" s="12" t="inlineStr">
        <is>
          <t>Low.</t>
        </is>
      </c>
      <c r="H10" s="18" t="inlineStr">
        <is>
          <t>Accept</t>
        </is>
      </c>
      <c r="I10" s="21" t="inlineStr">
        <is>
          <t>Daniel</t>
        </is>
      </c>
    </row>
    <row r="11">
      <c r="A11" s="22" t="inlineStr">
        <is>
          <t>RSK-08</t>
        </is>
      </c>
      <c r="B11" s="26" t="inlineStr">
        <is>
          <t>Data availability</t>
        </is>
      </c>
      <c r="C11" s="28" t="inlineStr">
        <is>
          <t>Medium</t>
        </is>
      </c>
      <c r="D11" s="28" t="inlineStr">
        <is>
          <t>Medium</t>
        </is>
      </c>
      <c r="E11" s="23" t="inlineStr">
        <is>
          <t>Fields needed by some rules — slice thickness, prior irradiation, per-modality scan dates — are not collected in the Veeva CRF.</t>
        </is>
      </c>
      <c r="F11" s="23" t="inlineStr">
        <is>
          <t>Rules declare required fields; unavailable fields deactivate the rule with an explicit 'not evaluated' statement in the coverage report rather than a silent pass. The structured CRF specification lets this be determined before the first run.</t>
        </is>
      </c>
      <c r="G11" s="23" t="inlineStr">
        <is>
          <t>Low, but reduces coverage; feeds a recommendation on eCRF design.</t>
        </is>
      </c>
      <c r="H11" s="22" t="inlineStr">
        <is>
          <t>Accept</t>
        </is>
      </c>
      <c r="I11" s="26" t="inlineStr">
        <is>
          <t>Daniel</t>
        </is>
      </c>
    </row>
    <row r="12">
      <c r="A12" s="18" t="inlineStr">
        <is>
          <t>RSK-09</t>
        </is>
      </c>
      <c r="B12" s="21" t="inlineStr">
        <is>
          <t>Model capability</t>
        </is>
      </c>
      <c r="C12" s="27" t="inlineStr">
        <is>
          <t>Medium</t>
        </is>
      </c>
      <c r="D12" s="27" t="inlineStr">
        <is>
          <t>Medium</t>
        </is>
      </c>
      <c r="E12" s="12" t="inlineStr">
        <is>
          <t>GLM v5.2 lacks reliable structured output, or its context limit is smaller than the 32k assumed at OQ-03, producing malformed or truncated responses.</t>
        </is>
      </c>
      <c r="F12" s="12" t="inlineStr">
        <is>
          <t>Capability confirmed against the actual v5.2 deployment before Step 5 rather than assumed; schema validation with bounded repair; deterministic template fallback on every LLM task.</t>
        </is>
      </c>
      <c r="G12" s="12" t="inlineStr">
        <is>
          <t>Low — worst case is degraded narrative quality, never a wrong verdict. But the capability check is now a real task, not a formality.</t>
        </is>
      </c>
      <c r="H12" s="18" t="inlineStr">
        <is>
          <t>Accept</t>
        </is>
      </c>
      <c r="I12" s="21" t="inlineStr">
        <is>
          <t>Daniel</t>
        </is>
      </c>
    </row>
    <row r="13">
      <c r="A13" s="22" t="inlineStr">
        <is>
          <t>RSK-10</t>
        </is>
      </c>
      <c r="B13" s="26" t="inlineStr">
        <is>
          <t>Validation</t>
        </is>
      </c>
      <c r="C13" s="28" t="inlineStr">
        <is>
          <t>Medium</t>
        </is>
      </c>
      <c r="D13" s="24" t="inlineStr">
        <is>
          <t>High</t>
        </is>
      </c>
      <c r="E13" s="23" t="inlineStr">
        <is>
          <t>Validation effort is underestimated because the system touches endpoint-critical data.</t>
        </is>
      </c>
      <c r="F13" s="23" t="inlineStr">
        <is>
          <t>Validation approach agreed with QA; risk-based scope; the deterministic-versus-LLM split confines the hardest validation questions to the narrative and confidence layers, which do not affect verdicts.</t>
        </is>
      </c>
      <c r="G13" s="23" t="inlineStr">
        <is>
          <t>Moderate until QA sign-off.</t>
        </is>
      </c>
      <c r="H13" s="22" t="inlineStr">
        <is>
          <t>Accept</t>
        </is>
      </c>
      <c r="I13" s="26" t="inlineStr">
        <is>
          <t>Daniel</t>
        </is>
      </c>
    </row>
    <row r="14">
      <c r="A14" s="18" t="inlineStr">
        <is>
          <t>RSK-11</t>
        </is>
      </c>
      <c r="B14" s="21" t="inlineStr">
        <is>
          <t>Adoption</t>
        </is>
      </c>
      <c r="C14" s="27" t="inlineStr">
        <is>
          <t>Medium</t>
        </is>
      </c>
      <c r="D14" s="27" t="inlineStr">
        <is>
          <t>Medium</t>
        </is>
      </c>
      <c r="E14" s="12" t="inlineStr">
        <is>
          <t>Reviewers treat agent output as authoritative — automation bias — and stop applying judgement.</t>
        </is>
      </c>
      <c r="F14" s="12" t="inlineStr">
        <is>
          <t>Findings phrased as suspicions requiring confirmation; confidence rate and determination mode always visible; rejection is frictionless.</t>
        </is>
      </c>
      <c r="G14" s="12" t="inlineStr">
        <is>
          <t>Moderate; monitored via disposition statistics.</t>
        </is>
      </c>
      <c r="H14" s="18" t="inlineStr">
        <is>
          <t>Accept</t>
        </is>
      </c>
      <c r="I14" s="21" t="inlineStr">
        <is>
          <t>Daniel</t>
        </is>
      </c>
    </row>
    <row r="15">
      <c r="A15" s="22" t="inlineStr">
        <is>
          <t>RSK-12</t>
        </is>
      </c>
      <c r="B15" s="26" t="inlineStr">
        <is>
          <t>Operations</t>
        </is>
      </c>
      <c r="C15" s="28" t="inlineStr">
        <is>
          <t>Medium</t>
        </is>
      </c>
      <c r="D15" s="28" t="inlineStr">
        <is>
          <t>Medium</t>
        </is>
      </c>
      <c r="E15" s="23" t="inlineStr">
        <is>
          <t>Query flooding: a systemic misunderstanding at one site generates hundreds of findings.</t>
        </is>
      </c>
      <c r="F15" s="23" t="inlineStr">
        <is>
          <t>Cascade grouping; site-level pattern detection promoting many findings into one systemic signal; manual issuance means no query reaches a site unreviewed.</t>
        </is>
      </c>
      <c r="G15" s="23" t="inlineStr">
        <is>
          <t>Low.</t>
        </is>
      </c>
      <c r="H15" s="22" t="inlineStr">
        <is>
          <t>Accept</t>
        </is>
      </c>
      <c r="I15" s="26" t="inlineStr">
        <is>
          <t>Daniel</t>
        </is>
      </c>
    </row>
    <row r="16">
      <c r="A16" s="18" t="inlineStr">
        <is>
          <t>RSK-13</t>
        </is>
      </c>
      <c r="B16" s="21" t="inlineStr">
        <is>
          <t>Scope</t>
        </is>
      </c>
      <c r="C16" s="27" t="inlineStr">
        <is>
          <t>Medium</t>
        </is>
      </c>
      <c r="D16" s="27" t="inlineStr">
        <is>
          <t>Medium</t>
        </is>
      </c>
      <c r="E16" s="12" t="inlineStr">
        <is>
          <t>Pressure to add further indications or criteria before the core is stable.</t>
        </is>
      </c>
      <c r="F16" s="12" t="inlineStr">
        <is>
          <t>Rule pack architecture makes later addition cheap; the OQ-05 roadmap sequences indications after release 1; a decision gate for each addition.</t>
        </is>
      </c>
      <c r="G16" s="12" t="inlineStr">
        <is>
          <t>Low.</t>
        </is>
      </c>
      <c r="H16" s="18" t="inlineStr">
        <is>
          <t>Accept</t>
        </is>
      </c>
      <c r="I16" s="21" t="inlineStr">
        <is>
          <t>Daniel</t>
        </is>
      </c>
    </row>
    <row r="17">
      <c r="A17" s="22" t="inlineStr">
        <is>
          <t>RSK-14</t>
        </is>
      </c>
      <c r="B17" s="26" t="inlineStr">
        <is>
          <t>Drift</t>
        </is>
      </c>
      <c r="C17" s="28" t="inlineStr">
        <is>
          <t>Medium</t>
        </is>
      </c>
      <c r="D17" s="28" t="inlineStr">
        <is>
          <t>Medium</t>
        </is>
      </c>
      <c r="E17" s="23" t="inlineStr">
        <is>
          <t>Specification and implementation drift as rules are patched under time pressure. Heightened by the decision to maintain the workbook and the rule catalog separately.</t>
        </is>
      </c>
      <c r="F17" s="23" t="inlineStr">
        <is>
          <t>The catalog file and the specification workbook are compared by a CI drift check that fails the build on mismatch, so separate maintenance cannot become silent divergence.</t>
        </is>
      </c>
      <c r="G17" s="23" t="inlineStr">
        <is>
          <t>Low-moderate.</t>
        </is>
      </c>
      <c r="H17" s="22" t="inlineStr">
        <is>
          <t>Accept</t>
        </is>
      </c>
      <c r="I17" s="26" t="inlineStr">
        <is>
          <t>Daniel</t>
        </is>
      </c>
    </row>
    <row r="18">
      <c r="A18" s="18" t="inlineStr">
        <is>
          <t>RSK-15</t>
        </is>
      </c>
      <c r="B18" s="21" t="inlineStr">
        <is>
          <t>AI quality</t>
        </is>
      </c>
      <c r="C18" s="27" t="inlineStr">
        <is>
          <t>Medium</t>
        </is>
      </c>
      <c r="D18" s="27" t="inlineStr">
        <is>
          <t>Medium</t>
        </is>
      </c>
      <c r="E18" s="12" t="inlineStr">
        <is>
          <t>The confidence rate is misread as certainty that the data is wrong, or is poorly calibrated and misleads triage.</t>
        </is>
      </c>
      <c r="F18" s="12" t="inlineStr">
        <is>
          <t>Banded presentation with plain-language labels; contributing factors shown on demand; calibration measured against actual acceptance and reported per release; confidence never hides a CRITICAL finding.</t>
        </is>
      </c>
      <c r="G18" s="12" t="inlineStr">
        <is>
          <t>Moderate until calibration is demonstrated at Step 3.</t>
        </is>
      </c>
      <c r="H18" s="19" t="inlineStr">
        <is>
          <t>NEW</t>
        </is>
      </c>
      <c r="I18" s="21" t="inlineStr">
        <is>
          <t>—</t>
        </is>
      </c>
    </row>
    <row r="19">
      <c r="A19" s="22" t="inlineStr">
        <is>
          <t>RSK-16</t>
        </is>
      </c>
      <c r="B19" s="26" t="inlineStr">
        <is>
          <t>Single-model dependency</t>
        </is>
      </c>
      <c r="C19" s="28" t="inlineStr">
        <is>
          <t>Medium</t>
        </is>
      </c>
      <c r="D19" s="28" t="inlineStr">
        <is>
          <t>Medium</t>
        </is>
      </c>
      <c r="E19" s="23" t="inlineStr">
        <is>
          <t>With one model there is no second provider to fall back to. If GLM v5.2 is retired, upgraded in place, or unavailable for a period, there is no alternative that produces comparable narrative quality.</t>
        </is>
      </c>
      <c r="F19" s="23" t="inlineStr">
        <is>
          <t>The deterministic-only mode keeps the system fully operational with template narratives and base-rate confidence, so a model outage degrades output rather than stopping review. The adapter interface is retained so a future model is an adapter rather than a rewrite. Model version is pinned per study and recorded in provenance, so an in-place upgrade is detected rather than silently changing narratives.</t>
        </is>
      </c>
      <c r="G19" s="23" t="inlineStr">
        <is>
          <t>Moderate. Accepted deliberately in exchange for removing the external-egress exposure entirely.</t>
        </is>
      </c>
      <c r="H19" s="22" t="inlineStr">
        <is>
          <t>Accept</t>
        </is>
      </c>
      <c r="I19" s="26" t="inlineStr">
        <is>
          <t>Daniel</t>
        </is>
      </c>
    </row>
    <row r="20">
      <c r="A20" s="18" t="inlineStr">
        <is>
          <t>RSK-17</t>
        </is>
      </c>
      <c r="B20" s="21" t="inlineStr">
        <is>
          <t>Derived input</t>
        </is>
      </c>
      <c r="C20" s="27" t="inlineStr">
        <is>
          <t>Medium</t>
        </is>
      </c>
      <c r="D20" s="19" t="inlineStr">
        <is>
          <t>High</t>
        </is>
      </c>
      <c r="E20" s="12" t="inlineStr">
        <is>
          <t>SDTM is a derived representation, not source data. If the EDC-to-SDTM conversion is wrong, the agent reviews the conversion's errors rather than the site's — and raises queries about mapping bugs, which is the fastest way to lose a data manager's trust.</t>
        </is>
      </c>
      <c r="F20" s="12" t="inlineStr">
        <is>
          <t>Conformance-check every incoming dataset against the input contract before any rule runs, and treat a conformance failure as a run-blocking defect rather than a finding. The ST family already catches part of this — referential integrity, duplicate identity, unit consistency — but it was written for EDC extracts, not for conversion output, and should be re-read with that in mind at Step 3.</t>
        </is>
      </c>
      <c r="G20" s="12" t="inlineStr">
        <is>
          <t>Moderate. Falls as the conversion matures, and is much lower if the mapping is executed by reviewed deterministic code rather than generated per-record.</t>
        </is>
      </c>
      <c r="H20" s="18" t="inlineStr">
        <is>
          <t>Accept</t>
        </is>
      </c>
      <c r="I20" s="21" t="inlineStr">
        <is>
          <t>Daniel</t>
        </is>
      </c>
    </row>
    <row r="21">
      <c r="A21" s="22" t="inlineStr">
        <is>
          <t>RSK-18</t>
        </is>
      </c>
      <c r="B21" s="26" t="inlineStr">
        <is>
          <t>LLM-generated input</t>
        </is>
      </c>
      <c r="C21" s="24" t="inlineStr">
        <is>
          <t>High</t>
        </is>
      </c>
      <c r="D21" s="24" t="inlineStr">
        <is>
          <t>High</t>
        </is>
      </c>
      <c r="E21" s="23" t="inlineStr">
        <is>
          <t>Using an LLM to convert EDC data into SDTM would place the model upstream of every verdict. DP-01 exists to stop exactly that: verdicts are reproducible because no model touches the data they are computed from. A model that builds the input can invent a value, and the deterministic rules would then faithfully check the invention. Volume makes it worse — tens of thousands of rows per study — and NFR-01 reproducibility cannot hold across runs.</t>
        </is>
      </c>
      <c r="F21" s="23" t="inlineStr">
        <is>
          <t>The model writes the mapping SPECIFICATION and drafts the mapping CODE; a human reviews both; deterministic code executes the mapping every time. That is the same split DP-01 already applies to review, applied to conversion. A conversion is a transformation, not a judgement, so nothing is lost by making it deterministic.</t>
        </is>
      </c>
      <c r="G21" s="23" t="inlineStr">
        <is>
          <t>Low if the split is kept. The risk is entirely in the choice of pattern, not in the technology.</t>
        </is>
      </c>
      <c r="H21" s="22" t="inlineStr">
        <is>
          <t>Accept</t>
        </is>
      </c>
      <c r="I21" s="26" t="inlineStr">
        <is>
          <t>Daniel</t>
        </is>
      </c>
    </row>
  </sheetData>
  <autoFilter ref="A3:I21"/>
  <mergeCells count="2">
    <mergeCell ref="A1:I1"/>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32" customWidth="1" min="1" max="1"/>
    <col width="54" customWidth="1" min="2" max="2"/>
    <col width="38" customWidth="1" min="3" max="3"/>
    <col width="11" customWidth="1" min="4" max="4"/>
    <col width="11" customWidth="1" min="5" max="5"/>
    <col width="11" customWidth="1" min="6" max="6"/>
  </cols>
  <sheetData>
    <row r="1" ht="26" customHeight="1">
      <c r="A1" s="8" t="inlineStr">
        <is>
          <t>Quality metrics</t>
        </is>
      </c>
    </row>
    <row r="2" ht="26" customHeight="1">
      <c r="A2" s="9" t="inlineStr">
        <is>
          <t>AMENDED v1.3.0. These are the stated expectation, not yet the agreed acceptance criteria — those are settled after the Step 3 prototype output is seen. See the note below the table.</t>
        </is>
      </c>
    </row>
    <row r="3" ht="30" customHeight="1">
      <c r="A3" s="10" t="inlineStr">
        <is>
          <t>Metric</t>
        </is>
      </c>
      <c r="B3" s="10" t="inlineStr">
        <is>
          <t>Definition</t>
        </is>
      </c>
      <c r="C3" s="10" t="inlineStr">
        <is>
          <t>Target</t>
        </is>
      </c>
      <c r="D3" s="10" t="inlineStr">
        <is>
          <t>Status</t>
        </is>
      </c>
      <c r="E3" s="10" t="inlineStr">
        <is>
          <t>Decision</t>
        </is>
      </c>
      <c r="F3" s="10" t="inlineStr">
        <is>
          <t>Reviewer</t>
        </is>
      </c>
    </row>
    <row r="4">
      <c r="A4" s="35" t="inlineStr">
        <is>
          <t>Precision — finding acceptance rate</t>
        </is>
      </c>
      <c r="B4" s="12" t="inlineStr">
        <is>
          <t>Accepted findings / dispositioned findings</t>
        </is>
      </c>
      <c r="C4" s="12" t="inlineStr">
        <is>
          <t>≥ 0.80 for critical and major at release</t>
        </is>
      </c>
      <c r="D4" s="20" t="inlineStr">
        <is>
          <t>CARRIED</t>
        </is>
      </c>
      <c r="E4" s="18" t="inlineStr">
        <is>
          <t>Accept</t>
        </is>
      </c>
      <c r="F4" s="21" t="inlineStr">
        <is>
          <t>Daniel</t>
        </is>
      </c>
    </row>
    <row r="5">
      <c r="A5" s="36" t="inlineStr">
        <is>
          <t>Recall on golden dataset</t>
        </is>
      </c>
      <c r="B5" s="23" t="inlineStr">
        <is>
          <t>Seeded issues detected / seeded issues</t>
        </is>
      </c>
      <c r="C5" s="23" t="inlineStr">
        <is>
          <t>1.00 deterministic; ≥ 0.85 judgement rules</t>
        </is>
      </c>
      <c r="D5" s="25" t="inlineStr">
        <is>
          <t>CARRIED</t>
        </is>
      </c>
      <c r="E5" s="22" t="inlineStr">
        <is>
          <t>Accept</t>
        </is>
      </c>
      <c r="F5" s="26" t="inlineStr">
        <is>
          <t>Daniel</t>
        </is>
      </c>
    </row>
    <row r="6">
      <c r="A6" s="35" t="inlineStr">
        <is>
          <t>Duplicate suppression accuracy</t>
        </is>
      </c>
      <c r="B6" s="12" t="inlineStr">
        <is>
          <t>Correctly suppressed / should-have-been suppressed</t>
        </is>
      </c>
      <c r="C6" s="12" t="inlineStr">
        <is>
          <t>≥ 0.95, zero incorrect critical suppression</t>
        </is>
      </c>
      <c r="D6" s="20" t="inlineStr">
        <is>
          <t>CARRIED</t>
        </is>
      </c>
      <c r="E6" s="18" t="inlineStr">
        <is>
          <t>Accept</t>
        </is>
      </c>
      <c r="F6" s="21" t="inlineStr">
        <is>
          <t>Daniel</t>
        </is>
      </c>
    </row>
    <row r="7">
      <c r="A7" s="36" t="inlineStr">
        <is>
          <t>Narrative faithfulness</t>
        </is>
      </c>
      <c r="B7" s="23" t="inlineStr">
        <is>
          <t>Sampled findings whose narrative contains no statement unsupported by the evidence object</t>
        </is>
      </c>
      <c r="C7" s="23" t="inlineStr">
        <is>
          <t>≥ 0.98, audited per release and model change</t>
        </is>
      </c>
      <c r="D7" s="25" t="inlineStr">
        <is>
          <t>CARRIED</t>
        </is>
      </c>
      <c r="E7" s="22" t="inlineStr">
        <is>
          <t>Accept</t>
        </is>
      </c>
      <c r="F7" s="26" t="inlineStr">
        <is>
          <t>Daniel</t>
        </is>
      </c>
    </row>
    <row r="8">
      <c r="A8" s="35" t="inlineStr">
        <is>
          <t>Time to review</t>
        </is>
      </c>
      <c r="B8" s="12" t="inlineStr">
        <is>
          <t>Median reviewer minutes per subject per data cut versus baseline</t>
        </is>
      </c>
      <c r="C8" s="12" t="inlineStr">
        <is>
          <t>Measured at UAT — the business case</t>
        </is>
      </c>
      <c r="D8" s="20" t="inlineStr">
        <is>
          <t>CARRIED</t>
        </is>
      </c>
      <c r="E8" s="18" t="inlineStr">
        <is>
          <t>Accept</t>
        </is>
      </c>
      <c r="F8" s="21" t="inlineStr">
        <is>
          <t>Daniel</t>
        </is>
      </c>
    </row>
    <row r="9">
      <c r="A9" s="36" t="inlineStr">
        <is>
          <t>Verdict identity</t>
        </is>
      </c>
      <c r="B9" s="23" t="inlineStr">
        <is>
          <t>Deterministic verdicts identical between a GLM v5.2 run and a deterministic-only run of the same snapshot</t>
        </is>
      </c>
      <c r="C9" s="23" t="inlineStr">
        <is>
          <t>1.00, enforced by CI on every commit</t>
        </is>
      </c>
      <c r="D9" s="28" t="inlineStr">
        <is>
          <t>AMENDED</t>
        </is>
      </c>
      <c r="E9" s="26" t="inlineStr">
        <is>
          <t>—</t>
        </is>
      </c>
      <c r="F9" s="26" t="inlineStr">
        <is>
          <t>—</t>
        </is>
      </c>
    </row>
    <row r="10">
      <c r="A10" s="35" t="inlineStr">
        <is>
          <t>Confidence calibration error</t>
        </is>
      </c>
      <c r="B10" s="12" t="inlineStr">
        <is>
          <t>Mean absolute difference between predicted confidence and observed acceptance rate, per confidence band</t>
        </is>
      </c>
      <c r="C10" s="12" t="inlineStr">
        <is>
          <t>≤ 0.10 at Step 3; re-measured per release</t>
        </is>
      </c>
      <c r="D10" s="19" t="inlineStr">
        <is>
          <t>NEW</t>
        </is>
      </c>
      <c r="E10" s="21" t="inlineStr">
        <is>
          <t>—</t>
        </is>
      </c>
      <c r="F10" s="21" t="inlineStr">
        <is>
          <t>—</t>
        </is>
      </c>
    </row>
    <row r="11">
      <c r="A11" s="36" t="inlineStr">
        <is>
          <t>Justified-suppression precision</t>
        </is>
      </c>
      <c r="B11" s="23" t="inlineStr">
        <is>
          <t>Findings suppressed as justified by a query answer that a reviewer later judges should have been raised</t>
        </is>
      </c>
      <c r="C11" s="23" t="inlineStr">
        <is>
          <t>≤ 0.02, zero for critical</t>
        </is>
      </c>
      <c r="D11" s="24" t="inlineStr">
        <is>
          <t>NEW</t>
        </is>
      </c>
      <c r="E11" s="26" t="inlineStr">
        <is>
          <t>—</t>
        </is>
      </c>
      <c r="F11" s="26" t="inlineStr">
        <is>
          <t>—</t>
        </is>
      </c>
    </row>
    <row r="13">
      <c r="A13" s="6" t="inlineStr">
        <is>
          <t>How these numbers get settled — decision of 2026-08-22</t>
        </is>
      </c>
    </row>
    <row r="14" ht="52" customHeight="1">
      <c r="A14" s="30" t="inlineStr">
        <is>
          <t>Decision</t>
        </is>
      </c>
      <c r="B14" s="7" t="inlineStr">
        <is>
          <t>The acceptance thresholds are confirmed after the Step 3 prototype output has been seen, rather than fixed now.</t>
        </is>
      </c>
    </row>
    <row r="15" ht="52" customHeight="1">
      <c r="A15" s="30" t="inlineStr">
        <is>
          <t>Why that is reasonable</t>
        </is>
      </c>
      <c r="B15" s="7" t="inlineStr">
        <is>
          <t>Several of these numbers cannot be guessed honestly in advance. Nobody knows what precision an 83-rule pack achieves on this data until it runs, and a threshold invented at the desk is no more defensible than one set from evidence.</t>
        </is>
      </c>
    </row>
    <row r="16" ht="52" customHeight="1">
      <c r="A16" s="30" t="inlineStr">
        <is>
          <t>What it costs, stated plainly</t>
        </is>
      </c>
      <c r="B16" s="7" t="inlineStr">
        <is>
          <t>A threshold set after seeing the result is fitted to the result. It stops being a test the system can fail and becomes a description of how the system behaved. That matters here because these numbers end up in the validation package as acceptance criteria.</t>
        </is>
      </c>
    </row>
    <row r="17" ht="52" customHeight="1">
      <c r="A17" s="30" t="inlineStr">
        <is>
          <t>So the safeguard</t>
        </is>
      </c>
      <c r="B17" s="7" t="inlineStr">
        <is>
          <t>The targets in the table above stay on record as the expectation held BEFORE the run. Step 3 records what was actually observed alongside them. Moving a target then requires a written reason — why the original expectation was wrong, not merely that it was not met. The number that reaches the validation package is then a decision with a rationale rather than a restatement of the outcome.</t>
        </is>
      </c>
    </row>
    <row r="18" ht="52" customHeight="1">
      <c r="A18" s="30" t="inlineStr">
        <is>
          <t>Who decides</t>
        </is>
      </c>
      <c r="B18" s="7" t="inlineStr">
        <is>
          <t>CDM lead and Medical Monitor jointly, the same pair who sign off the expected finding list (OQ-09).</t>
        </is>
      </c>
    </row>
  </sheetData>
  <mergeCells count="7">
    <mergeCell ref="A2:F2"/>
    <mergeCell ref="B16:F16"/>
    <mergeCell ref="B15:F15"/>
    <mergeCell ref="A1:F1"/>
    <mergeCell ref="B14:F14"/>
    <mergeCell ref="B17:F17"/>
    <mergeCell ref="B18:F1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86" customWidth="1" min="3" max="3"/>
    <col width="11" customWidth="1" min="4" max="4"/>
    <col width="11" customWidth="1" min="5" max="5"/>
    <col width="11" customWidth="1" min="6" max="6"/>
  </cols>
  <sheetData>
    <row r="1" ht="26" customHeight="1">
      <c r="A1" s="8" t="inlineStr">
        <is>
          <t>Recommendations</t>
        </is>
      </c>
    </row>
    <row r="2" ht="26" customHeight="1">
      <c r="A2" s="9" t="inlineStr">
        <is>
          <t>All ten accepted at review.</t>
        </is>
      </c>
    </row>
    <row r="3" ht="30" customHeight="1">
      <c r="A3" s="10" t="inlineStr">
        <is>
          <t>ID</t>
        </is>
      </c>
      <c r="B3" s="10" t="inlineStr">
        <is>
          <t>Priority</t>
        </is>
      </c>
      <c r="C3" s="10" t="inlineStr">
        <is>
          <t>Recommendation</t>
        </is>
      </c>
      <c r="D3" s="10" t="inlineStr">
        <is>
          <t>Status</t>
        </is>
      </c>
      <c r="E3" s="10" t="inlineStr">
        <is>
          <t>Decision</t>
        </is>
      </c>
      <c r="F3" s="10" t="inlineStr">
        <is>
          <t>Reviewer</t>
        </is>
      </c>
    </row>
    <row r="4">
      <c r="A4" s="18" t="inlineStr">
        <is>
          <t>REC-01</t>
        </is>
      </c>
      <c r="B4" s="19" t="inlineStr">
        <is>
          <t>High</t>
        </is>
      </c>
      <c r="C4" s="12" t="inlineStr">
        <is>
          <t>Keep the deterministic-versus-LLM split absolute. It is what makes local-LLM portability, validation and reproducibility tractable at once.</t>
        </is>
      </c>
      <c r="D4" s="20" t="inlineStr">
        <is>
          <t>CARRIED</t>
        </is>
      </c>
      <c r="E4" s="18" t="inlineStr">
        <is>
          <t>Accept</t>
        </is>
      </c>
      <c r="F4" s="21" t="inlineStr">
        <is>
          <t>Daniel</t>
        </is>
      </c>
    </row>
    <row r="5">
      <c r="A5" s="22" t="inlineStr">
        <is>
          <t>REC-02</t>
        </is>
      </c>
      <c r="B5" s="24" t="inlineStr">
        <is>
          <t>High</t>
        </is>
      </c>
      <c r="C5" s="23" t="inlineStr">
        <is>
          <t>Treat the rule catalog as the machine-readable source that CI checks the code against. Maintained as a separate file from the specification workbook, with a drift check comparing the two.</t>
        </is>
      </c>
      <c r="D5" s="28" t="inlineStr">
        <is>
          <t>AMENDED</t>
        </is>
      </c>
      <c r="E5" s="22" t="inlineStr">
        <is>
          <t>Accept</t>
        </is>
      </c>
      <c r="F5" s="26" t="inlineStr">
        <is>
          <t>Daniel</t>
        </is>
      </c>
    </row>
    <row r="6">
      <c r="A6" s="18" t="inlineStr">
        <is>
          <t>REC-03</t>
        </is>
      </c>
      <c r="B6" s="19" t="inlineStr">
        <is>
          <t>High</t>
        </is>
      </c>
      <c r="C6" s="12" t="inlineStr">
        <is>
          <t>Invest in the golden dataset early, during Step 3. It is simultaneously the acceptance criterion, the regression suite, the training material and the basis for confidence calibration.</t>
        </is>
      </c>
      <c r="D6" s="27" t="inlineStr">
        <is>
          <t>AMENDED</t>
        </is>
      </c>
      <c r="E6" s="18" t="inlineStr">
        <is>
          <t>Accept</t>
        </is>
      </c>
      <c r="F6" s="21" t="inlineStr">
        <is>
          <t>Daniel</t>
        </is>
      </c>
    </row>
    <row r="7">
      <c r="A7" s="22" t="inlineStr">
        <is>
          <t>REC-04</t>
        </is>
      </c>
      <c r="B7" s="24" t="inlineStr">
        <is>
          <t>High</t>
        </is>
      </c>
      <c r="C7" s="23" t="inlineStr">
        <is>
          <t>Start with one indication and one protocol, then generalise. With RECIST 1.0 removed and NSCLC and breast cancer selected, the pilot choice is between an immunotherapy study exercising iRECIST and a RECIST 1.1 study with cleaner ground truth.</t>
        </is>
      </c>
      <c r="D7" s="28" t="inlineStr">
        <is>
          <t>AMENDED</t>
        </is>
      </c>
      <c r="E7" s="22" t="inlineStr">
        <is>
          <t>Accept</t>
        </is>
      </c>
      <c r="F7" s="26" t="inlineStr">
        <is>
          <t>Daniel</t>
        </is>
      </c>
    </row>
    <row r="8">
      <c r="A8" s="18" t="inlineStr">
        <is>
          <t>REC-05</t>
        </is>
      </c>
      <c r="B8" s="27" t="inlineStr">
        <is>
          <t>Medium</t>
        </is>
      </c>
      <c r="C8" s="12" t="inlineStr">
        <is>
          <t>Report coverage, not just findings. Each run states which rules ran, which were deactivated for missing data, and which subjects were not evaluable.</t>
        </is>
      </c>
      <c r="D8" s="20" t="inlineStr">
        <is>
          <t>CARRIED</t>
        </is>
      </c>
      <c r="E8" s="18" t="inlineStr">
        <is>
          <t>Accept</t>
        </is>
      </c>
      <c r="F8" s="21" t="inlineStr">
        <is>
          <t>Daniel</t>
        </is>
      </c>
    </row>
    <row r="9">
      <c r="A9" s="22" t="inlineStr">
        <is>
          <t>REC-06</t>
        </is>
      </c>
      <c r="B9" s="28" t="inlineStr">
        <is>
          <t>Medium</t>
        </is>
      </c>
      <c r="C9" s="23" t="inlineStr">
        <is>
          <t>Feed eCRF design back into the process. The structured Veeva CRF specification makes it possible to identify missing high-value fields before the first run rather than after.</t>
        </is>
      </c>
      <c r="D9" s="28" t="inlineStr">
        <is>
          <t>AMENDED</t>
        </is>
      </c>
      <c r="E9" s="22" t="inlineStr">
        <is>
          <t>Accept</t>
        </is>
      </c>
      <c r="F9" s="26" t="inlineStr">
        <is>
          <t>Daniel</t>
        </is>
      </c>
    </row>
    <row r="10">
      <c r="A10" s="18" t="inlineStr">
        <is>
          <t>REC-07</t>
        </is>
      </c>
      <c r="B10" s="27" t="inlineStr">
        <is>
          <t>Medium</t>
        </is>
      </c>
      <c r="C10" s="12" t="inlineStr">
        <is>
          <t>Run the agent against the BICR stream as well as the investigator stream where both exist.</t>
        </is>
      </c>
      <c r="D10" s="20" t="inlineStr">
        <is>
          <t>CARRIED</t>
        </is>
      </c>
      <c r="E10" s="18" t="inlineStr">
        <is>
          <t>Accept</t>
        </is>
      </c>
      <c r="F10" s="21" t="inlineStr">
        <is>
          <t>Daniel</t>
        </is>
      </c>
    </row>
    <row r="11">
      <c r="A11" s="22" t="inlineStr">
        <is>
          <t>REC-08</t>
        </is>
      </c>
      <c r="B11" s="28" t="inlineStr">
        <is>
          <t>Medium</t>
        </is>
      </c>
      <c r="C11" s="23" t="inlineStr">
        <is>
          <t>Make rejection cheap and informative. Rejection reasons now feed the confidence model directly, so they change behaviour within a study rather than waiting for a rule-pack release.</t>
        </is>
      </c>
      <c r="D11" s="28" t="inlineStr">
        <is>
          <t>AMENDED</t>
        </is>
      </c>
      <c r="E11" s="22" t="inlineStr">
        <is>
          <t>Accept</t>
        </is>
      </c>
      <c r="F11" s="26" t="inlineStr">
        <is>
          <t>Daniel</t>
        </is>
      </c>
    </row>
    <row r="12">
      <c r="A12" s="18" t="inlineStr">
        <is>
          <t>REC-09</t>
        </is>
      </c>
      <c r="B12" s="27" t="inlineStr">
        <is>
          <t>Medium</t>
        </is>
      </c>
      <c r="C12" s="12" t="inlineStr">
        <is>
          <t>Pin model versions per study and record them.</t>
        </is>
      </c>
      <c r="D12" s="20" t="inlineStr">
        <is>
          <t>CARRIED</t>
        </is>
      </c>
      <c r="E12" s="18" t="inlineStr">
        <is>
          <t>Accept</t>
        </is>
      </c>
      <c r="F12" s="21" t="inlineStr">
        <is>
          <t>Daniel</t>
        </is>
      </c>
    </row>
    <row r="13">
      <c r="A13" s="22" t="inlineStr">
        <is>
          <t>REC-10</t>
        </is>
      </c>
      <c r="B13" s="34" t="inlineStr">
        <is>
          <t>Low</t>
        </is>
      </c>
      <c r="C13" s="23" t="inlineStr">
        <is>
          <t>Plan for a reviewer notebook — reviewer-authored notes attached to a subject that persist across runs.</t>
        </is>
      </c>
      <c r="D13" s="25" t="inlineStr">
        <is>
          <t>CARRIED</t>
        </is>
      </c>
      <c r="E13" s="22" t="inlineStr">
        <is>
          <t>Accept</t>
        </is>
      </c>
      <c r="F13" s="26" t="inlineStr">
        <is>
          <t>Daniel</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7"/>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20" customWidth="1" min="3" max="3"/>
    <col width="60" customWidth="1" min="4" max="4"/>
    <col width="72" customWidth="1" min="5" max="5"/>
    <col width="12" customWidth="1" min="6" max="6"/>
  </cols>
  <sheetData>
    <row r="1" ht="26" customHeight="1">
      <c r="A1" s="8" t="inlineStr">
        <is>
          <t>Decisions from the Step 1 review</t>
        </is>
      </c>
    </row>
    <row r="2" ht="26" customHeight="1">
      <c r="A2" s="9" t="inlineStr">
        <is>
          <t>All 14 questions closed on 2026-08-17. Eight answered, six assumptions accepted. These are now binding inputs to Step 2.</t>
        </is>
      </c>
    </row>
    <row r="3" ht="30" customHeight="1">
      <c r="A3" s="10" t="inlineStr">
        <is>
          <t>ID</t>
        </is>
      </c>
      <c r="B3" s="10" t="inlineStr">
        <is>
          <t>Topic</t>
        </is>
      </c>
      <c r="C3" s="10" t="inlineStr">
        <is>
          <t>Status</t>
        </is>
      </c>
      <c r="D3" s="10" t="inlineStr">
        <is>
          <t>Decision</t>
        </is>
      </c>
      <c r="E3" s="10" t="inlineStr">
        <is>
          <t>Consequence for the design</t>
        </is>
      </c>
      <c r="F3" s="10" t="inlineStr">
        <is>
          <t>Decided by</t>
        </is>
      </c>
    </row>
    <row r="4">
      <c r="A4" s="18" t="inlineStr">
        <is>
          <t>OQ-01</t>
        </is>
      </c>
      <c r="B4" s="21" t="inlineStr">
        <is>
          <t>Data source</t>
        </is>
      </c>
      <c r="C4" s="21" t="inlineStr">
        <is>
          <t>REVERSED v1.4.0</t>
        </is>
      </c>
      <c r="D4" s="12" t="inlineStr">
        <is>
          <t>SDTM becomes the primary input; the Veeva EDC export is no longer read directly by the agent. The v1.0.0 answer rested on the CRF specification being supplied as structured data, and it cannot be — so the reasoning behind it no longer holds. SDTM is standardised, publicly documented, and can be built against outside the company.</t>
        </is>
      </c>
      <c r="E4" s="12" t="inlineStr">
        <is>
          <t>Ingestion targets SDTM TU, TR and RS plus the standard cross-domain domains. The adapter interface is kept, so a direct Veeva reader remains addable later without touching the rules.</t>
        </is>
      </c>
      <c r="F4" s="21" t="inlineStr">
        <is>
          <t>Daniel</t>
        </is>
      </c>
    </row>
    <row r="5">
      <c r="A5" s="22" t="inlineStr">
        <is>
          <t>OQ-02</t>
        </is>
      </c>
      <c r="B5" s="26" t="inlineStr">
        <is>
          <t>Query history</t>
        </is>
      </c>
      <c r="C5" s="22" t="inlineStr">
        <is>
          <t>Answered</t>
        </is>
      </c>
      <c r="D5" s="23" t="inlineStr">
        <is>
          <t>Veeva EDC query report covering open, answered and all closed queries, imported manually. Approved query text is provided to a user who issues it manually.</t>
        </is>
      </c>
      <c r="E5" s="23" t="inlineStr">
        <is>
          <t>Confirms manual issuance (REG-01). The closed-query population is what makes the OBJ-04 answer assessment possible.</t>
        </is>
      </c>
      <c r="F5" s="26" t="inlineStr">
        <is>
          <t>Daniel</t>
        </is>
      </c>
    </row>
    <row r="6">
      <c r="A6" s="18" t="inlineStr">
        <is>
          <t>OQ-03</t>
        </is>
      </c>
      <c r="B6" s="21" t="inlineStr">
        <is>
          <t>LLM deployment</t>
        </is>
      </c>
      <c r="C6" s="21" t="inlineStr">
        <is>
          <t>Answered v1.1.0</t>
        </is>
      </c>
      <c r="D6" s="12" t="inlineStr">
        <is>
          <t>Company-hosted GLM v5.2, and nothing else. The v1.0.0 assumption (OpenAI-compatible gateway, JSON mode, 32k budget) is carried forward as a working figure only — it was never verified against v5.2 and must be before Step 5.</t>
        </is>
      </c>
      <c r="E6" s="12" t="inlineStr">
        <is>
          <t>Adapters reduce to two. NFR-05 amended to make the budget a figure to confirm rather than a stated fact.</t>
        </is>
      </c>
      <c r="F6" s="21" t="inlineStr">
        <is>
          <t>Daniel</t>
        </is>
      </c>
    </row>
    <row r="7">
      <c r="A7" s="22" t="inlineStr">
        <is>
          <t>OQ-04</t>
        </is>
      </c>
      <c r="B7" s="26" t="inlineStr">
        <is>
          <t>Protocol parameters</t>
        </is>
      </c>
      <c r="C7" s="22" t="inlineStr">
        <is>
          <t>Answered</t>
        </is>
      </c>
      <c r="D7" s="23" t="inlineStr">
        <is>
          <t>Answered per study once the protocol is available, then double-confirmed with the user via checkpoints the agent summarises.</t>
        </is>
      </c>
      <c r="E7" s="23" t="inlineStr">
        <is>
          <t>Adds component AC-11 and requirement FR-20 — a protocol intake step that did not exist in the draft.</t>
        </is>
      </c>
      <c r="F7" s="26" t="inlineStr">
        <is>
          <t>Daniel</t>
        </is>
      </c>
    </row>
    <row r="8">
      <c r="A8" s="18" t="inlineStr">
        <is>
          <t>OQ-05</t>
        </is>
      </c>
      <c r="B8" s="21" t="inlineStr">
        <is>
          <t>Indications</t>
        </is>
      </c>
      <c r="C8" s="18" t="inlineStr">
        <is>
          <t>Answered</t>
        </is>
      </c>
      <c r="D8" s="12" t="inlineStr">
        <is>
          <t>NSCLC and breast cancer for release 1. Prostate, colorectal, pancreatic, head and neck and ovarian cancer to follow.</t>
        </is>
      </c>
      <c r="E8" s="12" t="inlineStr">
        <is>
          <t>Sets the indication context notes for release 1 and the roadmap sequence. See Open_Items regarding one entry in the original list.</t>
        </is>
      </c>
      <c r="F8" s="21" t="inlineStr">
        <is>
          <t>Daniel</t>
        </is>
      </c>
    </row>
    <row r="9">
      <c r="A9" s="22" t="inlineStr">
        <is>
          <t>OQ-06</t>
        </is>
      </c>
      <c r="B9" s="26" t="inlineStr">
        <is>
          <t>Scope of criteria</t>
        </is>
      </c>
      <c r="C9" s="22" t="inlineStr">
        <is>
          <t>Answered</t>
        </is>
      </c>
      <c r="D9" s="23" t="inlineStr">
        <is>
          <t>RECIST 1.0 not required; version 1.1 covers the active portfolio.</t>
        </is>
      </c>
      <c r="E9" s="23" t="inlineStr">
        <is>
          <t>One guideline profile removed, enumerations shrink, KB-01 retired. Rules previously tagged ALL now mean 1.1 and iRECIST.</t>
        </is>
      </c>
      <c r="F9" s="26" t="inlineStr">
        <is>
          <t>Daniel</t>
        </is>
      </c>
    </row>
    <row r="10">
      <c r="A10" s="18" t="inlineStr">
        <is>
          <t>OQ-07</t>
        </is>
      </c>
      <c r="B10" s="21" t="inlineStr">
        <is>
          <t>Technology</t>
        </is>
      </c>
      <c r="C10" s="29" t="inlineStr">
        <is>
          <t>Assumption accepted</t>
        </is>
      </c>
      <c r="D10" s="12" t="inlineStr">
        <is>
          <t>Python engine, React front end, PostgreSQL, containerised on-premise.</t>
        </is>
      </c>
      <c r="E10" s="12" t="inlineStr">
        <is>
          <t>Architecture sheet stands as drafted.</t>
        </is>
      </c>
      <c r="F10" s="21" t="inlineStr">
        <is>
          <t>Daniel</t>
        </is>
      </c>
    </row>
    <row r="11">
      <c r="A11" s="22" t="inlineStr">
        <is>
          <t>OQ-08</t>
        </is>
      </c>
      <c r="B11" s="26" t="inlineStr">
        <is>
          <t>Users and roles</t>
        </is>
      </c>
      <c r="C11" s="22" t="inlineStr">
        <is>
          <t>Answered</t>
        </is>
      </c>
      <c r="D11" s="23" t="inlineStr">
        <is>
          <t>No concrete roles in release 1. All role types may review and approve; review and issuance are often the same person; no automatic issuing means no strict rule-based access is needed.</t>
        </is>
      </c>
      <c r="E11" s="23" t="inlineStr">
        <is>
          <t>NFR-06 amended; role model deferred. Removes the segregation-of-duties design from release 1.</t>
        </is>
      </c>
      <c r="F11" s="26" t="inlineStr">
        <is>
          <t>Daniel</t>
        </is>
      </c>
    </row>
    <row r="12">
      <c r="A12" s="18" t="inlineStr">
        <is>
          <t>OQ-09</t>
        </is>
      </c>
      <c r="B12" s="21" t="inlineStr">
        <is>
          <t>Acceptance thresholds</t>
        </is>
      </c>
      <c r="C12" s="21" t="inlineStr">
        <is>
          <t>Answered v1.3.0</t>
        </is>
      </c>
      <c r="D12" s="12" t="inlineStr">
        <is>
          <t>CDM and the Medical Monitor sign off the expected finding list on the golden dataset. The acceptance thresholds themselves are confirmed after the Step 3 output has been seen, not before.</t>
        </is>
      </c>
      <c r="E12" s="12" t="inlineStr">
        <is>
          <t>Metrics sheet becomes a stated expectation rather than agreed criteria; moving a target after the run requires a written reason. See the note under the Metrics table.</t>
        </is>
      </c>
      <c r="F12" s="21" t="inlineStr">
        <is>
          <t>Daniel</t>
        </is>
      </c>
    </row>
    <row r="13">
      <c r="A13" s="22" t="inlineStr">
        <is>
          <t>OQ-10</t>
        </is>
      </c>
      <c r="B13" s="26" t="inlineStr">
        <is>
          <t>Data privacy</t>
        </is>
      </c>
      <c r="C13" s="26" t="inlineStr">
        <is>
          <t>Answered v1.1.0</t>
        </is>
      </c>
      <c r="D13" s="23" t="inlineStr">
        <is>
          <t>On-premise only, permanently. Cloud-assisted operation is out of scope rather than deferred.</t>
        </is>
      </c>
      <c r="E13" s="23" t="inlineStr">
        <is>
          <t>Deployment mode A removed entirely. REG-07 becomes a record rather than a release gate.</t>
        </is>
      </c>
      <c r="F13" s="26" t="inlineStr">
        <is>
          <t>Daniel</t>
        </is>
      </c>
    </row>
    <row r="14">
      <c r="A14" s="18" t="inlineStr">
        <is>
          <t>OQ-11</t>
        </is>
      </c>
      <c r="B14" s="21" t="inlineStr">
        <is>
          <t>Language</t>
        </is>
      </c>
      <c r="C14" s="18" t="inlineStr">
        <is>
          <t>Answered</t>
        </is>
      </c>
      <c r="D14" s="12" t="inlineStr">
        <is>
          <t>English only.</t>
        </is>
      </c>
      <c r="E14" s="12" t="inlineStr">
        <is>
          <t>NFR-11 downgraded to a later concern; templates remain localisable.</t>
        </is>
      </c>
      <c r="F14" s="21" t="inlineStr">
        <is>
          <t>Daniel</t>
        </is>
      </c>
    </row>
    <row r="15">
      <c r="A15" s="22" t="inlineStr">
        <is>
          <t>OQ-12</t>
        </is>
      </c>
      <c r="B15" s="26" t="inlineStr">
        <is>
          <t>Run cadence</t>
        </is>
      </c>
      <c r="C15" s="22" t="inlineStr">
        <is>
          <t>Answered</t>
        </is>
      </c>
      <c r="D15" s="23" t="inlineStr">
        <is>
          <t>On-demand.</t>
        </is>
      </c>
      <c r="E15" s="23" t="inlineStr">
        <is>
          <t>Nightly and scheduled runs removed from release 1; FR-16 deferred.</t>
        </is>
      </c>
      <c r="F15" s="26" t="inlineStr">
        <is>
          <t>Daniel</t>
        </is>
      </c>
    </row>
    <row r="16">
      <c r="A16" s="18" t="inlineStr">
        <is>
          <t>OQ-13</t>
        </is>
      </c>
      <c r="B16" s="21" t="inlineStr">
        <is>
          <t>Independent central review</t>
        </is>
      </c>
      <c r="C16" s="29" t="inlineStr">
        <is>
          <t>Assumption accepted</t>
        </is>
      </c>
      <c r="D16" s="12" t="inlineStr">
        <is>
          <t>Discordance detection built but disabled by configuration unless enabled.</t>
        </is>
      </c>
      <c r="E16" s="12" t="inlineStr">
        <is>
          <t>FR-12 and TE-RS-020 stand as drafted, off by default.</t>
        </is>
      </c>
      <c r="F16" s="21" t="inlineStr">
        <is>
          <t>Daniel</t>
        </is>
      </c>
    </row>
    <row r="17">
      <c r="A17" s="22" t="inlineStr">
        <is>
          <t>OQ-14</t>
        </is>
      </c>
      <c r="B17" s="26" t="inlineStr">
        <is>
          <t>Validation expectations</t>
        </is>
      </c>
      <c r="C17" s="34" t="inlineStr">
        <is>
          <t>Assumption accepted</t>
        </is>
      </c>
      <c r="D17" s="23" t="inlineStr">
        <is>
          <t>Risk-based validation package as drafted, to be confirmed with QA.</t>
        </is>
      </c>
      <c r="E17" s="23" t="inlineStr">
        <is>
          <t>Validation sheet stands. QA confirmation remains an action, not a blocker.</t>
        </is>
      </c>
      <c r="F17" s="26" t="inlineStr">
        <is>
          <t>Daniel</t>
        </is>
      </c>
    </row>
  </sheetData>
  <autoFilter ref="A3:F17"/>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0" customWidth="1" min="2" max="2"/>
    <col width="60" customWidth="1" min="3" max="3"/>
    <col width="22" customWidth="1" min="4" max="4"/>
    <col width="20" customWidth="1" min="5" max="5"/>
  </cols>
  <sheetData>
    <row r="1" ht="26" customHeight="1">
      <c r="A1" s="8" t="inlineStr">
        <is>
          <t>Open items after the Step 1 review</t>
        </is>
      </c>
    </row>
    <row r="2" ht="26" customHeight="1">
      <c r="A2" s="9" t="inlineStr">
        <is>
          <t>OI-01, OI-02, OI-05 and OI-06 closed. Five remain. Nothing now blocks Step 3 — OI-08 is the next thing to do, not a thing to wait for.</t>
        </is>
      </c>
    </row>
    <row r="3" ht="30" customHeight="1">
      <c r="A3" s="10" t="inlineStr">
        <is>
          <t>ID</t>
        </is>
      </c>
      <c r="B3" s="10" t="inlineStr">
        <is>
          <t>Item</t>
        </is>
      </c>
      <c r="C3" s="10" t="inlineStr">
        <is>
          <t>Why it matters</t>
        </is>
      </c>
      <c r="D3" s="10" t="inlineStr">
        <is>
          <t>Owner</t>
        </is>
      </c>
      <c r="E3" s="10" t="inlineStr">
        <is>
          <t>Needed by</t>
        </is>
      </c>
    </row>
    <row r="4">
      <c r="A4" s="18" t="inlineStr">
        <is>
          <t>OI-01</t>
        </is>
      </c>
      <c r="B4" s="12" t="inlineStr">
        <is>
          <t>CLOSED 2026-08-17. Mesothelioma was not intended. Pleural effusion is therefore not an indication and does not enter the roadmap. Reviewing what the entry was pointing at surfaced a genuine coverage gap: RECIST 1.1 requires cytological confirmation of an effusion appearing or worsening on treatment before it may be taken as progression, and no rule covered it. Added as TE-RS-021, PROPOSED_OPTIONAL — decision at the Step 2 gate under SQ-04.</t>
        </is>
      </c>
      <c r="C4" s="12" t="inlineStr">
        <is>
          <t>Effusions were already covered as non-measurable disease (TE-BL-007) and as a genuine case of unequivocal non-target progression (TE-RS-007). The unconfirmed-effusion pattern is a recognised source of spurious progression, which censors subjects early and shortens PFS.</t>
        </is>
      </c>
      <c r="D4" s="21" t="inlineStr">
        <is>
          <t>Daniel</t>
        </is>
      </c>
      <c r="E4" s="21" t="inlineStr">
        <is>
          <t>Closed</t>
        </is>
      </c>
    </row>
    <row r="5">
      <c r="A5" s="22" t="inlineStr">
        <is>
          <t>OI-02</t>
        </is>
      </c>
      <c r="B5" s="23" t="inlineStr">
        <is>
          <t>CLOSED 2026-08-21. Confidence base rates were carried on every rule row and accepted with the rules across both Step 2 review rounds. Recorded as covered rather than separately signed off — SQ-02 on the specification's Open_Questions sheet remains available to correct any individual value.</t>
        </is>
      </c>
      <c r="C5" s="23" t="inlineStr">
        <is>
          <t>Drives triage for every finding the agent produces. Range 0.30 to 0.97, mean 0.78.</t>
        </is>
      </c>
      <c r="D5" s="26" t="inlineStr">
        <is>
          <t>CDM + Medical Monitor</t>
        </is>
      </c>
      <c r="E5" s="26" t="inlineStr">
        <is>
          <t>Closed</t>
        </is>
      </c>
    </row>
    <row r="6">
      <c r="A6" s="18" t="inlineStr">
        <is>
          <t>OI-03</t>
        </is>
      </c>
      <c r="B6" s="12" t="inlineStr">
        <is>
          <t>Pilot study selection for Steps 3 and 6: an immunotherapy study exercising iRECIST, or a RECIST 1.1 study with cleaner ground truth.</t>
        </is>
      </c>
      <c r="C6" s="12" t="inlineStr">
        <is>
          <t>Determines the golden dataset and the UAT study. Build order is unaffected — 74 of 84 review points are shared.</t>
        </is>
      </c>
      <c r="D6" s="21" t="inlineStr">
        <is>
          <t>Daniel</t>
        </is>
      </c>
      <c r="E6" s="21" t="inlineStr">
        <is>
          <t>Before Step 3</t>
        </is>
      </c>
    </row>
    <row r="7">
      <c r="A7" s="22" t="inlineStr">
        <is>
          <t>OI-04</t>
        </is>
      </c>
      <c r="B7" s="23" t="inlineStr">
        <is>
          <t>QA confirmation of the validation deliverables (OQ-14 assumption accepted, not yet confirmed).</t>
        </is>
      </c>
      <c r="C7" s="23" t="inlineStr">
        <is>
          <t>Underestimating validation is RSK-10. The assumption is workable but unconfirmed.</t>
        </is>
      </c>
      <c r="D7" s="26" t="inlineStr">
        <is>
          <t>Quality / Validation</t>
        </is>
      </c>
      <c r="E7" s="26" t="inlineStr">
        <is>
          <t>Before Step 5</t>
        </is>
      </c>
    </row>
    <row r="8">
      <c r="A8" s="18" t="inlineStr">
        <is>
          <t>OI-05</t>
        </is>
      </c>
      <c r="B8" s="12" t="inlineStr">
        <is>
          <t>De-identified Veeva export and structured CRF specification for the first study.</t>
        </is>
      </c>
      <c r="C8" s="12" t="inlineStr">
        <is>
          <t>CLOSED v1.4.0 — superseded, not delivered. The raw export and CRF specification cannot be released, so the input moves to SDTM, which is standardised and can be built against outside the company. This unblocks Step 3 rather than deferring it. TE-BL-011 and TE-FU-001 stay CONDITIONAL, now resolved against the SDTM contract instead of a CRF specification.</t>
        </is>
      </c>
      <c r="D8" s="21" t="inlineStr">
        <is>
          <t>Daniel</t>
        </is>
      </c>
      <c r="E8" s="21" t="inlineStr">
        <is>
          <t>Closed</t>
        </is>
      </c>
    </row>
    <row r="9">
      <c r="A9" s="22" t="inlineStr">
        <is>
          <t>OI-06</t>
        </is>
      </c>
      <c r="B9" s="23" t="inlineStr">
        <is>
          <t>CLOSED 2026-08-22. Superseded by the single-model amendment: deployment mode A is removed and cloud-assisted operation is out of scope, so there is no external model call for a privacy assessment to gate. The assessment becomes a record of the on-premise architecture, owned by IT security, with no dependency on it.</t>
        </is>
      </c>
      <c r="C9" s="23" t="inlineStr">
        <is>
          <t>Was the last privacy-related blocker. Removing the external model removed the exposure rather than mitigating it.</t>
        </is>
      </c>
      <c r="D9" s="26" t="inlineStr">
        <is>
          <t>IT Security / Privacy</t>
        </is>
      </c>
      <c r="E9" s="26" t="inlineStr">
        <is>
          <t>Closed</t>
        </is>
      </c>
    </row>
    <row r="10">
      <c r="A10" s="18" t="inlineStr">
        <is>
          <t>OI-07</t>
        </is>
      </c>
      <c r="B10" s="12" t="inlineStr">
        <is>
          <t>Content selection rule for the protocol summary — which sections the study data manager extracts, agreed with the Medical Monitor. The parameter list P1 to P18 on the specification's GLM_Verification sheet is the proposed basis.</t>
        </is>
      </c>
      <c r="C10" s="12" t="inlineStr">
        <is>
          <t>The summary is now an input to the system, so what goes into it determines what the agent can know. Agreeing it once as a rule is what stops it being re-decided per study by whoever happens to prepare it.</t>
        </is>
      </c>
      <c r="D10" s="21" t="inlineStr">
        <is>
          <t>CDM + Medical Monitor</t>
        </is>
      </c>
      <c r="E10" s="21" t="inlineStr">
        <is>
          <t>Before Step 3 output is reviewed</t>
        </is>
      </c>
    </row>
    <row r="11">
      <c r="A11" s="22" t="inlineStr">
        <is>
          <t>OI-08</t>
        </is>
      </c>
      <c r="B11" s="23" t="inlineStr">
        <is>
          <t>SDTM input contract: which domains, which variables, which are required, and what the agent does when an optional one is absent.</t>
        </is>
      </c>
      <c r="C11" s="23" t="inlineStr">
        <is>
          <t>DRAFTED 2026-08-22 as TEA-CTR-003, on the specification's SDTM_Requirements sheet — 42 variables across 10 SDTM domains plus 3 supplementary inputs, derived from what the 83 live rules consume, with 10 conversion traps. Needs review, then it becomes the target for both the dummy data and the later conversion.</t>
        </is>
      </c>
      <c r="D11" s="26" t="inlineStr">
        <is>
          <t>Clinical programming</t>
        </is>
      </c>
      <c r="E11" s="26" t="inlineStr">
        <is>
          <t>Review before dummy data is built</t>
        </is>
      </c>
    </row>
    <row r="12">
      <c r="A12" s="18" t="inlineStr">
        <is>
          <t>OI-09</t>
        </is>
      </c>
      <c r="B12" s="12" t="inlineStr">
        <is>
          <t>DRAFTED 2026-09-12 as TEA-CTR-004, on the specification's Query_History sheet, from a real Veeva Query Detail export. Three confirmations remain: (a) a second export containing manual, site-answered queries, because this one has none and the LLM answer-assessment path is therefore unexercised; (b) that Item Group Sequence Number identifies the lesion row on a repeating tumour form, which this export could not show; (c) the full Query Status vocabulary, since only Open and Closed appear.</t>
        </is>
      </c>
      <c r="C12" s="12" t="inlineStr">
        <is>
          <t>Six TE-QM rules and the whole query reconciliation model depend on it. The export resolved more than expected — the correction fact turns out to be carried deterministically — but it also showed that lesion-level matching rests on a single sequence number that must survive the SDTM conversion.</t>
        </is>
      </c>
      <c r="D12" s="21" t="inlineStr">
        <is>
          <t>Clinical programming</t>
        </is>
      </c>
      <c r="E12" s="21" t="inlineStr">
        <is>
          <t>Second export before Step 3</t>
        </is>
      </c>
    </row>
  </sheetData>
  <mergeCells count="2">
    <mergeCell ref="A2:E2"/>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38" customWidth="1" min="1" max="1"/>
    <col width="100" customWidth="1" min="2" max="2"/>
  </cols>
  <sheetData>
    <row r="1" ht="26" customHeight="1">
      <c r="A1" s="8" t="inlineStr">
        <is>
          <t>Validation and compliance</t>
        </is>
      </c>
    </row>
    <row r="2" ht="26" customHeight="1">
      <c r="A2" s="9" t="inlineStr">
        <is>
          <t>Risk-based and proportionate. Rigour concentrates on deterministic derivations and rules.</t>
        </is>
      </c>
    </row>
    <row r="3" ht="30" customHeight="1">
      <c r="A3" s="10" t="inlineStr">
        <is>
          <t>Activity</t>
        </is>
      </c>
      <c r="B3" s="10" t="inlineStr">
        <is>
          <t>Content</t>
        </is>
      </c>
    </row>
    <row r="4">
      <c r="A4" s="18" t="inlineStr">
        <is>
          <t>Requirements traceability matrix</t>
        </is>
      </c>
      <c r="B4" s="12" t="inlineStr">
        <is>
          <t>Requirements to specification sections to rules to test cases to test results.</t>
        </is>
      </c>
    </row>
    <row r="5">
      <c r="A5" s="22" t="inlineStr">
        <is>
          <t>Unit testing</t>
        </is>
      </c>
      <c r="B5" s="23" t="inlineStr">
        <is>
          <t>Every derivation function and every rule with positive, negative and boundary fixtures. Boundaries explicitly cover the 20%/5 mm PD boundary, the 30% PR boundary, the 10 mm and 15 mm nodal thresholds and the iRECIST 5 mm confirmation increment.</t>
        </is>
      </c>
    </row>
    <row r="6">
      <c r="A6" s="18" t="inlineStr">
        <is>
          <t>Golden dataset regression</t>
        </is>
      </c>
      <c r="B6" s="12" t="inlineStr">
        <is>
          <t>A curated dataset with a signed-off expected finding list, run on every commit. Changes require acknowledgement in the rule pack change history.</t>
        </is>
      </c>
    </row>
    <row r="7">
      <c r="A7" s="22" t="inlineStr">
        <is>
          <t>Catalog drift check</t>
        </is>
      </c>
      <c r="B7" s="23" t="inlineStr">
        <is>
          <t>CI compares the rule catalog file against the specification workbook and the implemented rule modules, failing the build on any mismatch. Required because the two are maintained separately.</t>
        </is>
      </c>
    </row>
    <row r="8">
      <c r="A8" s="18" t="inlineStr">
        <is>
          <t>Confidence calibration</t>
        </is>
      </c>
      <c r="B8" s="12" t="inlineStr">
        <is>
          <t>Predicted confidence compared against observed reviewer acceptance per band, measured at Step 3 and per release.</t>
        </is>
      </c>
    </row>
    <row r="9">
      <c r="A9" s="22" t="inlineStr">
        <is>
          <t>Verdict identity testing</t>
        </is>
      </c>
      <c r="B9" s="23" t="inlineStr">
        <is>
          <t>AMENDED at v1.1.0. With one model, comparing providers no longer proves anything, so the comparison moves to GLM v5.2 against the deterministic-only reference. Deterministic verdicts must be identical between the two; only narrative and adjudication may differ. This is what still guarantees the model cannot change a verdict.</t>
        </is>
      </c>
    </row>
    <row r="10">
      <c r="A10" s="18" t="inlineStr">
        <is>
          <t>GLM capability verification</t>
        </is>
      </c>
      <c r="B10" s="12" t="inlineStr">
        <is>
          <t>Confirm the v5.2 deployment against what the adapter assumes — structured output support, context limit, latency under load — before Step 5 rather than discovering it during implementation.</t>
        </is>
      </c>
    </row>
    <row r="11">
      <c r="A11" s="22" t="inlineStr">
        <is>
          <t>User acceptance testing</t>
        </is>
      </c>
      <c r="B11" s="23" t="inlineStr">
        <is>
          <t>Reviewers run realistic tasks on a de-identified real study, against criteria agreed at the Step 3 gate.</t>
        </is>
      </c>
    </row>
    <row r="12">
      <c r="A12" s="18" t="inlineStr">
        <is>
          <t>Installation and operational qualification</t>
        </is>
      </c>
      <c r="B12" s="12" t="inlineStr">
        <is>
          <t>Environment, configuration, access, backup and audit trail verification, scaled per deployment mode.</t>
        </is>
      </c>
    </row>
    <row r="13">
      <c r="A13" s="22" t="inlineStr">
        <is>
          <t>Periodic review</t>
        </is>
      </c>
      <c r="B13" s="23" t="inlineStr">
        <is>
          <t>Rule pack effectiveness reviewed per data cut using disposition statistics; model and prompt versions re-verified when changed.</t>
        </is>
      </c>
    </row>
    <row r="15">
      <c r="A15" s="6" t="inlineStr">
        <is>
          <t>Reference frameworks</t>
        </is>
      </c>
    </row>
    <row r="16">
      <c r="B16" s="7" t="inlineStr">
        <is>
          <t>•  ISPE GAMP 5 (2nd edition) risk-based approach to compliant GxP computerized systems.</t>
        </is>
      </c>
    </row>
    <row r="17">
      <c r="B17" s="7" t="inlineStr">
        <is>
          <t>•  FDA guidance on Computer Software Assurance for production and quality system software.</t>
        </is>
      </c>
    </row>
    <row r="18">
      <c r="B18" s="7" t="inlineStr">
        <is>
          <t>•  21 CFR Part 11 and EU GMP Annex 11 — audit trail, access control, records.</t>
        </is>
      </c>
    </row>
    <row r="19">
      <c r="B19" s="7" t="inlineStr">
        <is>
          <t>•  ICH E6(R3) Good Clinical Practice.</t>
        </is>
      </c>
    </row>
    <row r="20">
      <c r="B20" s="7" t="inlineStr">
        <is>
          <t>•  ALCOA+ data integrity principles.</t>
        </is>
      </c>
    </row>
  </sheetData>
  <mergeCells count="2">
    <mergeCell ref="A2:B2"/>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36" customWidth="1" min="1" max="1"/>
    <col width="46" customWidth="1" min="2" max="2"/>
    <col width="24" customWidth="1" min="3" max="3"/>
  </cols>
  <sheetData>
    <row r="1" ht="26" customHeight="1">
      <c r="A1" s="8" t="inlineStr">
        <is>
          <t>Version control</t>
        </is>
      </c>
    </row>
    <row r="2" ht="26" customHeight="1">
      <c r="A2" s="9" t="inlineStr">
        <is>
          <t>Everything that can change a finding is versioned and stamped into that finding.</t>
        </is>
      </c>
    </row>
    <row r="3" ht="30" customHeight="1">
      <c r="A3" s="10" t="inlineStr">
        <is>
          <t>Artifact</t>
        </is>
      </c>
      <c r="B3" s="10" t="inlineStr">
        <is>
          <t>Scheme</t>
        </is>
      </c>
      <c r="C3" s="10" t="inlineStr">
        <is>
          <t>Tag</t>
        </is>
      </c>
    </row>
    <row r="4">
      <c r="A4" s="18" t="inlineStr">
        <is>
          <t>Development plan (this workbook)</t>
        </is>
      </c>
      <c r="B4" s="21" t="inlineStr">
        <is>
          <t>SemVer</t>
        </is>
      </c>
      <c r="C4" s="37" t="inlineStr">
        <is>
          <t>plan-vX.Y.Z</t>
        </is>
      </c>
    </row>
    <row r="5">
      <c r="A5" s="22" t="inlineStr">
        <is>
          <t>Programming specification workbook</t>
        </is>
      </c>
      <c r="B5" s="26" t="inlineStr">
        <is>
          <t>SemVer</t>
        </is>
      </c>
      <c r="C5" s="38" t="inlineStr">
        <is>
          <t>spec-vX.Y.Z</t>
        </is>
      </c>
    </row>
    <row r="6">
      <c r="A6" s="18" t="inlineStr">
        <is>
          <t>Rule catalog file</t>
        </is>
      </c>
      <c r="B6" s="21" t="inlineStr">
        <is>
          <t>SemVer, independent of the specification</t>
        </is>
      </c>
      <c r="C6" s="37" t="inlineStr">
        <is>
          <t>rulepack-vX.Y.Z</t>
        </is>
      </c>
    </row>
    <row r="7">
      <c r="A7" s="22" t="inlineStr">
        <is>
          <t>Prompt bundle</t>
        </is>
      </c>
      <c r="B7" s="26" t="inlineStr">
        <is>
          <t>SemVer</t>
        </is>
      </c>
      <c r="C7" s="38" t="inlineStr">
        <is>
          <t>prompts-vX.Y.Z</t>
        </is>
      </c>
    </row>
    <row r="8">
      <c r="A8" s="18" t="inlineStr">
        <is>
          <t>Engine and application</t>
        </is>
      </c>
      <c r="B8" s="21" t="inlineStr">
        <is>
          <t>SemVer</t>
        </is>
      </c>
      <c r="C8" s="37" t="inlineStr">
        <is>
          <t>vX.Y.Z</t>
        </is>
      </c>
    </row>
    <row r="9">
      <c r="A9" s="22" t="inlineStr">
        <is>
          <t>Protocol configuration</t>
        </is>
      </c>
      <c r="B9" s="26" t="inlineStr">
        <is>
          <t>Per-study version plus content hash</t>
        </is>
      </c>
      <c r="C9" s="38" t="inlineStr">
        <is>
          <t>n/a</t>
        </is>
      </c>
    </row>
    <row r="10">
      <c r="A10" s="18" t="inlineStr">
        <is>
          <t>Guideline corpus</t>
        </is>
      </c>
      <c r="B10" s="21" t="inlineStr">
        <is>
          <t>Per-source version plus content hash</t>
        </is>
      </c>
      <c r="C10" s="37" t="inlineStr">
        <is>
          <t>n/a</t>
        </is>
      </c>
    </row>
    <row r="12" ht="48" customHeight="1">
      <c r="A12" s="30" t="inlineStr">
        <is>
          <t>Document format</t>
        </is>
      </c>
      <c r="B12" s="7" t="inlineStr">
        <is>
          <t>From v1.0.0 the controlled documents are Excel workbooks. The v0.1.0 XML drafts are superseded and retained for history only.</t>
        </is>
      </c>
    </row>
    <row r="13" ht="48" customHeight="1">
      <c r="A13" s="30" t="inlineStr">
        <is>
          <t>Catalog maintenance</t>
        </is>
      </c>
      <c r="B13" s="7" t="inlineStr">
        <is>
          <t>The rule catalog is maintained as a separate file from the specification workbook, per the Step 1 decision. A CI drift check compares them and fails on mismatch, so separate maintenance cannot become silent divergence.</t>
        </is>
      </c>
    </row>
    <row r="14" ht="48" customHeight="1">
      <c r="A14" s="30" t="inlineStr">
        <is>
          <t>Output versioning</t>
        </is>
      </c>
      <c r="B14" s="7" t="inlineStr">
        <is>
          <t>Findings are never edited in place. A re-run produces new records correlated by dedupe key, so the UI can show first seen, still open, resolved and recurred without mutating history.</t>
        </is>
      </c>
    </row>
    <row r="15" ht="48" customHeight="1">
      <c r="A15" s="30" t="inlineStr">
        <is>
          <t>Change control</t>
        </is>
      </c>
      <c r="B15" s="7" t="inlineStr">
        <is>
          <t>Rule pack changes require a reviewer from CDM or Medical Monitoring in addition to a technical reviewer. Any major change triggers an impact assessment on findings already issued.</t>
        </is>
      </c>
    </row>
  </sheetData>
  <mergeCells count="6">
    <mergeCell ref="B13:C13"/>
    <mergeCell ref="B15:C15"/>
    <mergeCell ref="A1:C1"/>
    <mergeCell ref="B14:C14"/>
    <mergeCell ref="A2:C2"/>
    <mergeCell ref="B12:C1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11" customWidth="1" min="1" max="1"/>
    <col width="110" customWidth="1" min="2" max="2"/>
  </cols>
  <sheetData>
    <row r="1" ht="26" customHeight="1">
      <c r="A1" s="8" t="inlineStr">
        <is>
          <t>Assumptions</t>
        </is>
      </c>
    </row>
    <row r="2" ht="30" customHeight="1">
      <c r="A2" s="10" t="inlineStr">
        <is>
          <t>ID</t>
        </is>
      </c>
      <c r="B2" s="10" t="inlineStr">
        <is>
          <t>Assumption</t>
        </is>
      </c>
    </row>
    <row r="3">
      <c r="A3" s="18" t="inlineStr">
        <is>
          <t>ASM-01</t>
        </is>
      </c>
      <c r="B3" s="12" t="inlineStr">
        <is>
          <t>Source data is available as a periodic Veeva EDC export; the agent does not connect directly to the production EDC.</t>
        </is>
      </c>
    </row>
    <row r="4">
      <c r="A4" s="22" t="inlineStr">
        <is>
          <t>ASM-02</t>
        </is>
      </c>
      <c r="B4" s="23" t="inlineStr">
        <is>
          <t>Lesion identity is stable across visits and carries a usable link identifier; where it is not, the ingestion layer raises structural findings.</t>
        </is>
      </c>
    </row>
    <row r="5">
      <c r="A5" s="18" t="inlineStr">
        <is>
          <t>ASM-03</t>
        </is>
      </c>
      <c r="B5" s="12" t="inlineStr">
        <is>
          <t>The structured CRF specification is complete enough to generate the mapping configuration, with manual completion where it is not.</t>
        </is>
      </c>
    </row>
    <row r="6">
      <c r="A6" s="22" t="inlineStr">
        <is>
          <t>ASM-04</t>
        </is>
      </c>
      <c r="B6" s="23" t="inlineStr">
        <is>
          <t>Reviewers, not the agent, remain accountable for every query issued and every issue closed.</t>
        </is>
      </c>
    </row>
    <row r="7">
      <c r="A7" s="18" t="inlineStr">
        <is>
          <t>ASM-05</t>
        </is>
      </c>
      <c r="B7" s="12" t="inlineStr">
        <is>
          <t>Imaging source documents and DICOM are out of reach; all checks operate on collected data.</t>
        </is>
      </c>
    </row>
    <row r="8">
      <c r="A8" s="22" t="inlineStr">
        <is>
          <t>ASM-06</t>
        </is>
      </c>
      <c r="B8" s="23" t="inlineStr">
        <is>
          <t>Reviewer dispositions accumulate fast enough during a study for the confidence model's acceptance-history factor to become meaningful; until then it defaults to neutral.</t>
        </is>
      </c>
    </row>
  </sheetData>
  <mergeCells count="1">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26" customWidth="1" min="1" max="1"/>
    <col width="100" customWidth="1" min="2" max="2"/>
  </cols>
  <sheetData>
    <row r="1" ht="26" customHeight="1">
      <c r="A1" s="8" t="inlineStr">
        <is>
          <t>Glossary</t>
        </is>
      </c>
    </row>
    <row r="2" ht="30" customHeight="1">
      <c r="A2" s="10" t="inlineStr">
        <is>
          <t>Term</t>
        </is>
      </c>
      <c r="B2" s="10" t="inlineStr">
        <is>
          <t>Definition</t>
        </is>
      </c>
    </row>
    <row r="3">
      <c r="A3" s="18" t="inlineStr">
        <is>
          <t>BOR</t>
        </is>
      </c>
      <c r="B3" s="12" t="inlineStr">
        <is>
          <t>Best overall response — the best timepoint response recorded from treatment start until progression, subject to confirmation rules.</t>
        </is>
      </c>
    </row>
    <row r="4">
      <c r="A4" s="22" t="inlineStr">
        <is>
          <t>BICR</t>
        </is>
      </c>
      <c r="B4" s="23" t="inlineStr">
        <is>
          <t>Blinded independent central review.</t>
        </is>
      </c>
    </row>
    <row r="5">
      <c r="A5" s="18" t="inlineStr">
        <is>
          <t>Confidence rate</t>
        </is>
      </c>
      <c r="B5" s="12" t="inlineStr">
        <is>
          <t>The agent's estimated probability that a finding is a correct query, shown as a percentage. Not a statement about rule correctness.</t>
        </is>
      </c>
    </row>
    <row r="6">
      <c r="A6" s="22" t="inlineStr">
        <is>
          <t>Nadir</t>
        </is>
      </c>
      <c r="B6" s="23" t="inlineStr">
        <is>
          <t>The smallest sum of diameters recorded on study, including baseline; the reference for progression.</t>
        </is>
      </c>
    </row>
    <row r="7">
      <c r="A7" s="18" t="inlineStr">
        <is>
          <t>Non-target lesion</t>
        </is>
      </c>
      <c r="B7" s="12" t="inlineStr">
        <is>
          <t>A lesion recorded at baseline but not measured quantitatively; assessed qualitatively.</t>
        </is>
      </c>
    </row>
    <row r="8">
      <c r="A8" s="22" t="inlineStr">
        <is>
          <t>iUPD / iCPD</t>
        </is>
      </c>
      <c r="B8" s="23" t="inlineStr">
        <is>
          <t>iRECIST unconfirmed and confirmed progressive disease.</t>
        </is>
      </c>
    </row>
    <row r="9">
      <c r="A9" s="18" t="inlineStr">
        <is>
          <t>Unequivocal progression</t>
        </is>
      </c>
      <c r="B9" s="12" t="inlineStr">
        <is>
          <t>Non-target worsening substantial enough to warrant progression, comparable in magnitude to what would be required in measurable disease.</t>
        </is>
      </c>
    </row>
    <row r="10">
      <c r="A10" s="22" t="inlineStr">
        <is>
          <t>Finding</t>
        </is>
      </c>
      <c r="B10" s="23" t="inlineStr">
        <is>
          <t>One suspected issue produced by the agent for human review.</t>
        </is>
      </c>
    </row>
    <row r="11">
      <c r="A11" s="18" t="inlineStr">
        <is>
          <t>Rule pack</t>
        </is>
      </c>
      <c r="B11" s="12" t="inlineStr">
        <is>
          <t>The versioned collection of review points applicable to a guideline version.</t>
        </is>
      </c>
    </row>
    <row r="12">
      <c r="A12" s="22" t="inlineStr">
        <is>
          <t>Dedupe key</t>
        </is>
      </c>
      <c r="B12" s="23" t="inlineStr">
        <is>
          <t>The stable identity of an issue across runs, independent of the run that produced it.</t>
        </is>
      </c>
    </row>
    <row r="13">
      <c r="A13" s="18" t="inlineStr">
        <is>
          <t>Justified by answer</t>
        </is>
      </c>
      <c r="B13" s="12" t="inlineStr">
        <is>
          <t>A finding suppressed because a site's answer to an earlier query reasonably explains the current data.</t>
        </is>
      </c>
    </row>
  </sheetData>
  <mergeCells count="1">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9" customWidth="1" min="1" max="1"/>
    <col width="116" customWidth="1" min="2" max="2"/>
  </cols>
  <sheetData>
    <row r="1" ht="26" customHeight="1">
      <c r="A1" s="8" t="inlineStr">
        <is>
          <t>References</t>
        </is>
      </c>
    </row>
    <row r="2" ht="30" customHeight="1">
      <c r="A2" s="10" t="inlineStr">
        <is>
          <t>ID</t>
        </is>
      </c>
      <c r="B2" s="10" t="inlineStr">
        <is>
          <t>Reference</t>
        </is>
      </c>
    </row>
    <row r="3">
      <c r="A3" s="18" t="inlineStr">
        <is>
          <t>R-01</t>
        </is>
      </c>
      <c r="B3" s="12" t="inlineStr">
        <is>
          <t>Eisenhauer EA, Therasse P, Bogaerts J, et al. New response evaluation criteria in solid tumours: revised RECIST guideline (version 1.1). Eur J Cancer. 2009;45(2):228-247.</t>
        </is>
      </c>
    </row>
    <row r="4">
      <c r="A4" s="22" t="inlineStr">
        <is>
          <t>R-02</t>
        </is>
      </c>
      <c r="B4" s="23" t="inlineStr">
        <is>
          <t>Seymour L, Bogaerts J, Perrone A, et al. iRECIST: guidelines for response criteria for use in trials testing immunotherapeutics. Lancet Oncol. 2017;18(3):e143-e152.</t>
        </is>
      </c>
    </row>
    <row r="5">
      <c r="A5" s="18" t="inlineStr">
        <is>
          <t>R-03</t>
        </is>
      </c>
      <c r="B5" s="12" t="inlineStr">
        <is>
          <t>Schwartz LH, Litiere S, de Vries E, et al. RECIST 1.1 - update and clarification: from the RECIST committee. Eur J Cancer. 2016;62:132-137.</t>
        </is>
      </c>
    </row>
    <row r="6">
      <c r="A6" s="22" t="inlineStr">
        <is>
          <t>R-04</t>
        </is>
      </c>
      <c r="B6" s="23" t="inlineStr">
        <is>
          <t>ISPE GAMP 5: A Risk-Based Approach to Compliant GxP Computerized Systems, 2nd edition.</t>
        </is>
      </c>
    </row>
    <row r="7">
      <c r="A7" s="18" t="inlineStr">
        <is>
          <t>R-05</t>
        </is>
      </c>
      <c r="B7" s="12" t="inlineStr">
        <is>
          <t>FDA Draft Guidance: Computer Software Assurance for Production and Quality System Software.</t>
        </is>
      </c>
    </row>
    <row r="8">
      <c r="A8" s="22" t="inlineStr">
        <is>
          <t>R-06</t>
        </is>
      </c>
      <c r="B8" s="23" t="inlineStr">
        <is>
          <t>ICH E6(R3) Guideline for Good Clinical Practice.</t>
        </is>
      </c>
    </row>
    <row r="9">
      <c r="A9" s="18" t="inlineStr">
        <is>
          <t>R-07</t>
        </is>
      </c>
      <c r="B9" s="12" t="inlineStr">
        <is>
          <t>CDISC SDTM Implementation Guide - Tumor and Response domains (TU, TR, RS). Secondary profile only.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2026-08-30T00:48:03Z</dcterms:created>
  <dcterms:modified xsi:type="dcterms:W3CDTF">2026-09-12T12:05:01Z</dcterms:modified>
</cp:coreProperties>
</file>