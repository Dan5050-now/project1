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v2.59</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8" t="inlineStr">
        <is>
          <t>2.40</t>
        </is>
      </c>
      <c r="B21" s="8" t="inlineStr">
        <is>
          <t>2026-09-03</t>
        </is>
      </c>
      <c r="C21" s="8" t="inlineStr">
        <is>
          <t>Claude Code</t>
        </is>
      </c>
      <c r="D21" s="8" t="inlineStr">
        <is>
          <t>Pending</t>
        </is>
      </c>
      <c r="E21" s="9" t="inlineStr">
        <is>
          <t>R-32, REQ-CAL-19 AMENDED: A PROJECT-MONTH IS ITS STANDARD, and person_weight now decides how it is DIVIDED rather than how big it is. The reviewer reported that the standard was being ignored on import; it was not - it was applied, indexed and in the arithmetic on every line, and doubling one doubled the figure. What made it look ignored was person_weight: on the delivered fixture the median project-month came to 30% of standard x period weight, because the median person weight is 0.29 and each person's share was scaled by their own weight AFTER the demand was divided. That was v2.39's chosen reading, taken deliberately so a shortfall would be visible. Asked again with the arithmetic in front of them, the reviewer chose the other one. So person_weight, month coverage and the role factor now all make a CLAIM on the month, and the share is that claim over the sum of the claims: fte = demand x claim / sum(claims), where demand = standard_fte x period weight x the month the project actually ran. The shares add to one BY CONSTRUCTION, so the month is its demand however many people are on it and whatever their weights - checked on 1,557 and 203 automatic project-months of the two fixtures, all exact. THE DEMAND IS SCALED BY THE MONTH THE PROJECT RAN, taken as the largest coverage any of its people have, or every project would spike to a full standard month in the month it opened and the month it closed. Two consequences worth stating: a part-time person now pushes load ONTO their colleagues instead of lowering the project, so under-staffing shows on the PEOPLE as months over the ceiling; and split_shared_role_fte can no longer inflate a project total, so on a single-role project it is inert - it still decides the split where roles have different numbers of holders, which is the case it was always really about. The results export gains month_run and demand_fte, and every row is now demand x share rather than a five-term product. Figures move throughout: the 62-project fixture goes from 731 to 4,334 FTE-months, which is the demand it always described and never showed.</t>
        </is>
      </c>
      <c r="F21" s="8" t="inlineStr">
        <is>
          <t>Superseded by v2.41</t>
        </is>
      </c>
    </row>
    <row r="22">
      <c r="A22" s="17" t="inlineStr">
        <is>
          <t>2.59</t>
        </is>
      </c>
      <c r="B22" s="17" t="inlineStr">
        <is>
          <t>2026-09-13</t>
        </is>
      </c>
      <c r="C22" s="17" t="inlineStr">
        <is>
          <t>Claude Code</t>
        </is>
      </c>
      <c r="D22" s="17" t="inlineStr">
        <is>
          <t>Pending</t>
        </is>
      </c>
      <c r="E22" s="18" t="inlineStr">
        <is>
          <t>R-48, V-36: A PROJECT WITH NOBODY ON IT NOW SAYS WHAT IT NEEDS. Reported from the field: a project is added, and the application shows no FTE for it until somebody is assigned - even though the figure is computable from the moment its periods exist. IT WAS A SILENCE, NOT A WRONG NUMBER, WHICH IS WHY NOTHING CAUGHT IT. Until the first assignment the project had no row in Resource by project, no band on either chart and no share of any tile - while STILL being drawn on the timeline, which reads the project's own dates. So the screen said the project exists and when it runs, and then declined to say what it costs. Type, phase, scope and periods are all the standard needs; nothing was missing but the asking. AND THE RULE THAT SHOULD HAVE CAUGHT IT STRUCTURALLY COULD NOT. V-34 compares DEMAND against APPLIED, and a project staffed at nothing is that gap at its widest - but V-34 is built from projGap, which is built from projMonth, which is built from the LINES, and the lines come from the assignments. No assignment, no line, no entry, no finding. The one project short by the whole of its standard was the only shortfall the shortfall rule could not see. Measured on a fixture: a project needing 38.05 FTE-months produced ZERO calculated rows and ZERO findings in both the browser and tools/prap_io.py. V-36 IS INFORMATION AND CLASSED INCOMPLETE, and both were chosen rather than defaulted. A project with nobody on it yet is not a fault - it is the state every project is in for the minute after it is created, exactly as a person with no assignment is (v2.52, and the same argument) - so it must never refuse an edit, never block a save and never ask a question. INCOMPLETE is the class for a row still being built whose finding answers itself, and this one answers itself the moment anybody is assigned. IT CARRIES THE FIGURE, and that is the whole point of raising it from the CALCULATION rather than from the validation. 'PRJ-099 has no assignments' tells a planner what they can already see; 'it needs 38.05 FTE-months over 24 months, peaking at 1.86 in 2026-10' tells them what it will cost to fix. Every term is the one an assignment with blank dates would get (REQ-CAL-15), so the figure is not an estimate OF the application's answer - it IS the application's answer, arrived at early. tools/test_unstaffed.py asserts exactly that in both directions: the total, the span, the peak and the peak month it predicts all equal the project's own once one assignment exists, and the finding then disappears. WHAT IT DELIBERATELY DOES NOT DO. It does not put the project in Resource by project or on the charts. That was the larger option and it was not the one chosen: the demand would have to become a property of the project-month rather than of the assignments, which is a better answer to the original complaint and a much wider change - it also breaks the stated invariant that the project and person tables reconcile, unless demand and applied are kept as separate figures. Recorded here so the option is not lost: the rule reports the number, the dashboard still does not show it. TWO OF MY OWN MISTAKES, BOTH CAUGHT BY THE PROJECT'S OWN CONVENTIONS RATHER THAN BY TESTING HARDER. The severity was written as 'info' where this application's vocabulary is fatal / error / warning / INFORMATION - it would have sorted and filtered wrongly everywhere, including in the suite that checks findings. And the reference implementation named months one later than the browser, because every other call in prap_io.py converts the 1-based month with month_key(y, m - 1) and the two new ones did not. The second was found only by running both engines on the same fixture and reading the two messages side by side, which is what the four-implementation rule is for.</t>
        </is>
      </c>
      <c r="F22" s="17" t="inlineStr">
        <is>
          <t>Issued for review</t>
        </is>
      </c>
    </row>
    <row r="23">
      <c r="A23" s="19" t="inlineStr">
        <is>
          <t>2.58</t>
        </is>
      </c>
      <c r="B23" s="19" t="inlineStr">
        <is>
          <t>2026-09-13</t>
        </is>
      </c>
      <c r="C23" s="19" t="inlineStr">
        <is>
          <t>Claude Code</t>
        </is>
      </c>
      <c r="D23" s="19" t="inlineStr">
        <is>
          <t>Pending</t>
        </is>
      </c>
      <c r="E23" s="20" t="inlineStr">
        <is>
          <t>R-47: REQ-NFR-03 IS AMENDED TO 100 PROJECTS AND 150 PEOPLE, AND X-04 STOPS BEING A DEFECT. The decision v2.57 left open is taken, on the measurements v2.56 and v2.57 produced, and it is taken in the MIDDLE: not the 50 x 100 put forward as today's real use, and not a build of row virtualisation, but the largest volume that measures inside budget so there is growth room without code nobody needs. WHY 150 AND NOT 200 OR 400. Candidates were built and driven in one session so they could be compared fairly, at the 60-month horizon, against the 1,000 ms budget for an Overall tab switch that was fixed before any number was seen: 50 x 100 529 ms (53% of budget, worst case 571) | 100 x 100 689 ms (69%, 746) | 100 x 150 810 ms (81%, 894) | 100 x 200 981 ms (98%, 1,225). 100 x 150 IS THE LARGEST VOLUME WHOSE WORST CASE IS STILL INSIDE BUDGET. 100 x 200 is not: its median is 98% and it peaks over. That is the whole of the reason, and it makes the number a measurement rather than a preference. THE MEDIAN REPRODUCES, THE PEAK DOES NOT, WHICH IS WHY THE PEAK DECIDED IT. The same candidates were measured twice in separate runs: 100 x 150 gave 800 ms and then 810, 100 x 200 gave 941 and then 981 - the medians agree to a few per cent. The WORST cases moved much more (100 x 200: 1,026 then 1,225), so a volume chosen on its median alone would have been chosen on the more flattering of two figures. WHAT THE AMENDED REQUIREMENT NOW SAYS THAT THE OLD ONE DID NOT. It names the figure to re-measure: the two Overall tables are (projects + people) rows x horizon months, so 50 x 200 and 100 x 150 are the same rendering problem - 252 rows - and measured within 10 ms of each other. A requirement that named only projects could be doubled by a reader who thought they were staying inside it. It also names where the cliff is - about 400 people - so the next person to ask for more volume knows what it costs before they ask. REQ-DSH-09 LOSES THE VIRTUALISATION CLAUSE AND KEEPS EVERYTHING ELSE. The chart cap stays, because a chart of 200 bars is unreadable at any speed and that is not a performance question. Panel-level scrolling with a frozen header stays. And the one property that matters whether or not rows are virtualised is stated outright: sorting, filtering and totals run over the WHOLE MODEL, never over the drawn slice. X-04 IS NOW 'NOT BUILT, NOT REQUIRED' RATHER THAN AN OPEN DEFECT, with the figures in the entry. It spent five weeks recorded as built, one revision recorded as a defect, and is now recorded as a decision - which is the only one of the three states that a later reader can act on. The desktop plan's A-N01 inherited the old volume by restating it; it now inherits REQ-NFR-03 BY REFERENCE, so the next time this figure moves that document does not silently go stale. AND THE GUARD GAINS THREE CHECKS, FROM THREE BREACHES FOUND WHILE MAKING THIS CHANGE. None was about the figures; all three were the same failure as the one v2.55 diagnosed - a fact kept in two places, with only one of them checked - so each is closed by a check rather than by a resolution to remember. (1) NO HISTORY ROW FOR ITS OWN VERSION. The desktop plan was issued as v1.13 and the desktop specification as v1.5, and NEITHER carried a version-history row for the version on its own cover. REQ-VC-04 requires one of every re-issue, and this is the document set whose own subject is keeping versions in step. Both are back-filled from the change that made them - NR-DEP-17, the console window that outlived its browser - and every controlled document is now checked for a row naming itself. (2) THE CONTRACT STILL PINNED COMPONENT LIST v1.0. There were THREE copies of 'which component list is current' - the application's provenance strip, the path check_consistency.py reads, and prap_contract.UIL - and only the first two were ever compared. So UIL sat at v1.0 from August, straight through the v2.0 re-issue, and docs/PRAP_Manifest.json, the AI agent guide and its workbook all told a reader that the APPROVED v1.0 was the document in force. That manifest is the file the README tells people to trust over filenames, which is what made it worth finding. The contract's pins are now held to the application's provenance strip. (3) THE README CALLED v2.40 CURRENT. Its document index labelled development plan v2.40 and specification v1.14 'current' while v2.57 and v1.28 were in force - eighteen revisions of drift in the file a newcomer reads first. The 'current' labels are now held to the manifest. Only the label is checked, not the prose beside it: a thin summary is not a false one, but a stale 'current' is. BREACH (2) WAS FOUND BY CHECK (3), two artefacts downstream and within a minute of its being added, which is the argument for adding checks rather than for reading more carefully. Each of the three was made to fail on purpose before being trusted.</t>
        </is>
      </c>
      <c r="F23" s="19" t="inlineStr">
        <is>
          <t>Issued for review</t>
        </is>
      </c>
    </row>
    <row r="24">
      <c r="A24" s="19" t="inlineStr">
        <is>
          <t>2.57</t>
        </is>
      </c>
      <c r="B24" s="19" t="inlineStr">
        <is>
          <t>2026-09-13</t>
        </is>
      </c>
      <c r="C24" s="19" t="inlineStr">
        <is>
          <t>Claude Code</t>
        </is>
      </c>
      <c r="D24" s="19" t="inlineStr">
        <is>
          <t>Pending</t>
        </is>
      </c>
      <c r="E24" s="20" t="inlineStr">
        <is>
          <t>MEASURED AT THE SCALE ACTUALLY IN USE, AND X-04 LOOKS DIFFERENT FROM THERE. Asked at review to re-measure against 50 projects x 100 people rather than the 100 x 1,000 REQ-NFR-03 names. Done, across a range, so the shape of the curve is visible rather than one point of it. 50 projects and a 60-month horizon throughout; the figure is how long the Overall tab takes to switch to, against a 1,000 ms budget fixed before any number was seen: 50 people 369 ms (37% of budget) | 100 people 503 ms (50%) | 200 people 786 ms (79%) | 400 people 1,044 ms (104%) | 1,000 people 3,207 ms (321%). THE BUDGET IS CROSSED AT ABOUT 400 PEOPLE. Below that the application is comfortable and row virtualisation would change no number anybody feels; above it the Overall pair is the binding cost, exactly as X-04 describes. AT 50 x 100 EVERYTHING IS INSIDE BUDGET with room to spare: import 814 ms against 5,000, the Overall tab 503 ms against 1,000 and worst case 669, editing a cell 67 ms, opening a column filter 45 ms, 152 rows and 9,272 cells, 16 MB of heap. The tightest measurement of any kind is 55% of its budget - about a factor of two of headroom before anything needs doing. SO THE QUESTION IS NOT WHETHER TO BUILD VIRTUALISATION. It is which volume this application is for. At 100 x 1,000 it is a real defect and the figures say so: the tab is 3.3x over and the import 1.7x, of which 3,590 ms is the CALCULATION - 180,160 person-months - which virtualisation cannot touch, so building it would answer the tab and about half the import. At 50 x 100 there is nothing to fix. THIS ENTRY CHANGES NO REQUIREMENT. REQ-NFR-03 still names 100 projects and 1,000 people, and until that is amended X-04 stands as an unmet requirement with its cost now measured rather than argued. Amending it is a decision about what the application is for, which is not a decision to take inside a documentation pass. tools/build_stress_workbook.py takes --projects and --people, so any volume can be re-measured with tools/measure_scale.py in a few minutes. The fixtures are not committed: generated filler, reproduced from a fixed seed by one command.</t>
        </is>
      </c>
      <c r="F24" s="19" t="inlineStr">
        <is>
          <t>Issued for review</t>
        </is>
      </c>
    </row>
    <row r="25">
      <c r="A25" s="17" t="inlineStr">
        <is>
          <t>2.56</t>
        </is>
      </c>
      <c r="B25" s="17" t="inlineStr">
        <is>
          <t>2026-09-13</t>
        </is>
      </c>
      <c r="C25" s="17" t="inlineStr">
        <is>
          <t>Claude Code</t>
        </is>
      </c>
      <c r="D25" s="17" t="inlineStr">
        <is>
          <t>Pending</t>
        </is>
      </c>
      <c r="E25" s="18" t="inlineStr">
        <is>
          <t>TWO THINGS FROM THE SAME REVIEW: the guard that should have caught the drift, and the measurement that settles X-04. THE COMPONENT LIST IS NOW CHECKED LIKE EVERYTHING ELSE. check_consistency.py gains four checks over it: no component may cite a requirement the plan does not have; every REQ-DSH-* must reach at least one component; every panel heading in the source and every dialog in the page must be NAMED somewhere in the list; and the version must match the one the application's own provenance claims. The panel check is the one that matters - it is the exact shape of the drift - and it immediately found a SIXTH stale entry that reading had missed: A-01 was still called 'Standard period weights' over the sheet PeriodWeightStandard, both renamed at R-33. Each check was made to fail on purpose before being trusted. X-04 IS A REAL DEFECT, AND THE MEASUREMENT SAYS SO. A fixture at exactly the volume REQ-NFR-03 names - 100 projects, 1,000 people, 8,000 assignments, 60 months - was built and driven (tools/build_stress_workbook.py, tools/measure_scale.py). Budgets were fixed before the numbers were seen. THE OVERALL TAB TAKES 3,058 ms TO SWITCH TO, worst case 4,537 ms, against a 1,000 ms budget: three times over, drawing 67,222 cells in 1,102 rows. That is the cost row virtualisation removes and it is exactly the two tables X-04 names. IT IS NOT THE WHOLE STORY, WHICH IS WHY THE MEASUREMENT WAS WORTH TAKING. The import at that volume is 7,328 ms against 5,000, and 3,076 ms of it is the CALCULATION - 180,160 person-months. Virtualisation touches neither that nor the workbook parse, so building it answers the tab and roughly half the import, not all of it. A first pass at this measured only the import, saw one number over budget, and was about to blame virtualisation for a cost virtualisation cannot reach; splitting the stages is what stopped that. WHAT IS ALREADY FINE AT FULL VOLUME: editing a cell 98 ms, opening a column filter 49 ms, scrolling the tall table 0.1 ms a step, the project tab 404 ms and the person tab 935 ms. The two short tabs are not the question; the Overall pair is. AND THE HORIZON IS PART OF THE ANSWER. The same Overall tab switches in 632 ms at the default 24 months and 3,058 ms at 60, because the tables are rows x MONTHS. Measuring at the default would have reported no problem and been wrong. No code change in this entry. The defect is recorded with its figures so the decision to build or to move the requirement is taken on evidence.</t>
        </is>
      </c>
      <c r="F25" s="17" t="inlineStr">
        <is>
          <t>Issued for review</t>
        </is>
      </c>
    </row>
    <row r="26">
      <c r="A26" s="17" t="inlineStr">
        <is>
          <t>2.55</t>
        </is>
      </c>
      <c r="B26" s="17" t="inlineStr">
        <is>
          <t>2026-09-13</t>
        </is>
      </c>
      <c r="C26" s="17" t="inlineStr">
        <is>
          <t>Claude Code</t>
        </is>
      </c>
      <c r="D26" s="17" t="inlineStr">
        <is>
          <t>Pending</t>
        </is>
      </c>
      <c r="E26" s="18" t="inlineStr">
        <is>
          <t>THE UI COMPONENT LIST CATCHES UP, AND ONE REAL FINDING COMES OUT OF IT. Raised at review: the application had changed many times while that document stood still. It had. v1.0 closed the Step 3 gate against plan v2.0; thirty-four change requests later it described an application that no longer existed. Re-issued as v2.0: 22 components added, each naming the change request that introduced it, and FIVE EXISTING ENTRIES CORRECTED because they had become not merely stale but WRONG - a missing entry leaves a reader uninformed, a wrong one leaves them misinformed. IT DRIFTED FOR A MECHANICAL REASON. check_consistency.py holds the plan, the specification, the template, both dummies and the contract to each other on every build, and has been clean throughout - but the component list was not in that set. It was the one artefact nothing checked, so it fell behind in silence while everything else was kept in step automatically. FOUR OF THE FIVE CORRECTIONS ARE EDITORIAL: the export writes eleven sheets and the list said ten; there are six summary tiles and it said five; 'No legend' is true of the chart it was written about and false of the five others; and the 'Mean load per person' bar chart it recorded as unchanged does not exist, having been replaced by the stacked 'Monthly demand by person'. THE FIFTH IS NOT EDITORIAL AND NEEDS A DECISION. X-04 recorded row virtualisation as 'Keep - unchanged', which reads as built. It was never built: there is no virtualisation anywhere in src/, and both Overall tables render every row. At the sizes in use that is fast enough and the chart caps keep the drawing bounded, but REQ-DSH-09 and REQ-NFR-03 name a THOUSAND PEOPLE, and at that size this is an open performance risk that has been carried as done since August. It is now recorded as NOT IMPLEMENTED so it stops passing for finished. The choice is to build it or to move the requirement; this entry does neither, because that is not a documentation decision. No code change, no schema change, no figure moves. The v1.0 review trail is preserved exactly - the reviewer's words, the decisions, the confirm marks - and the 22 additions carry 'Added after approval' rather than a disposition nobody gave them. Component list v2.0.</t>
        </is>
      </c>
      <c r="F26" s="17" t="inlineStr">
        <is>
          <t>Issued for review</t>
        </is>
      </c>
    </row>
    <row r="27">
      <c r="A27" s="17" t="inlineStr">
        <is>
          <t>2.54</t>
        </is>
      </c>
      <c r="B27" s="17" t="inlineStr">
        <is>
          <t>2026-09-12</t>
        </is>
      </c>
      <c r="C27" s="17" t="inlineStr">
        <is>
          <t>Claude Code</t>
        </is>
      </c>
      <c r="D27" s="17" t="inlineStr">
        <is>
          <t>Pending</t>
        </is>
      </c>
      <c r="E27" s="18" t="inlineStr">
        <is>
          <t>R-46: MonthlyEstimate.edited_at IS RETIRED. Schema 11 to 12, and the FIRST column this schema has removed rather than added or renamed. IT COULD NOT DO THE JOB IT WAS ADDED FOR. The column was 'when this figure was last set, so a reader can tell a figure somebody typed from one the application copied across on switching' - the distinction REQ-CAL-18 creates, because switching to manual seeds every month at its calculated value and those seeded figures sit in the same column as the ones somebody then types. Three findings, all measured against the running application rather than read off the source. ONE: the ordinary editing path never stamped it. Typing 0.77 over a stated 0.35 in the Monthly estimation table left edited_at null. It was written in exactly three places - the switch, 'fill the missing months', and the gap dialog - none of which is a person typing a figure, which is the single action it existed to mark. TWO: where it WAS written it was not a date. MonthlyEstimate never declared it a date column, so the model rebuild coerced the value to text and the cell held 'Sat Sep 12 2026 10:58:24 GMT+0000 (Coordinated Universal Time)' - saved as a string, not a date serial, unsortable in Excel, and formatted by whichever machine and locale happened to write it. THREE: nothing read it. The engine carried it to every manual line as manual_at and no export, report, screen or rule ever asked for that field. THE QUESTION IT ASKED IS ALREADY ANSWERED, PROPERLY. Every edit pushes a change-log entry carrying the time, the sheet, the row, the column, the value before and the value after, and that log is archived to the shared folder on Save with the editor's identity on it. Two answers to one question is the arrangement that drifts, and this was the worse of the two: partial, mistyped, and read by nothing. Fixing it instead was considered and is recorded here because it is the obvious alternative: stamp every write to fte and declare the column a date. That buys a second, weaker copy of what the change log already holds, and keeps a column in the source workbook whose value the user cannot be responsible for. A FILE WRITTEN TO SCHEMA 11 STILL OPENS AND STILL SAVES. Retiring a column has the same hazard at the edges as renaming one, so it gets the same courtesy: a new RETIRED_COLS map drops the column on the way in and tells the reader once, and the JSON interchange reader drops it too rather than refusing the file over a column this application asked for and then stopped wanting. Nothing is migrated, because there is nowhere for it to go. No calculation change and NO FIGURE MOVES. Template v1.16, dummies v1.18 and v1.10. tools/test_retired.py is new.</t>
        </is>
      </c>
      <c r="F27" s="17" t="inlineStr">
        <is>
          <t>Issued for review</t>
        </is>
      </c>
    </row>
    <row r="28">
      <c r="A28" s="17" t="inlineStr">
        <is>
          <t>2.53</t>
        </is>
      </c>
      <c r="B28" s="17" t="inlineStr">
        <is>
          <t>2026-09-12</t>
        </is>
      </c>
      <c r="C28" s="17" t="inlineStr">
        <is>
          <t>Claude Code</t>
        </is>
      </c>
      <c r="D28" s="17" t="inlineStr">
        <is>
          <t>Pending</t>
        </is>
      </c>
      <c r="E28" s="18" t="inlineStr">
        <is>
          <t>R-45, REQ-DSH-16: FIVE THINGS ABOUT READING THE SCREEN, all reported from the field, none of them a change to a figure. ONE. THE TWO UTILISATION CHARTS GROW WITH THE HORIZON. They were a fixed 1,080 wide whatever the span, which is right for the two years almost everybody opens on and wrong for the long plans that most need reading: five years is sixty columns in 790 points of plot, thirteen points each, and a three-letter month does not fit in thirteen points - so the axis ran its labels into one another exactly where the chart stopped being optional. Each month is now guaranteed 32 points and the panel scrolls sideways past the point where they all fit, which is what every other chart on the page already did. 32 rather than a rounder number so that at 24 months the chart is EXACTLY the width it has always been and this change is invisible to anyone who did not need it. TWO. ASSIGNMENTS, WEIGHT OVERRIDES AND MONTHLY ESTIMATION ARE ONE COLUMN, NOT TWO. They were a two-column grid, so each of three wide tables - eleven columns, seven and eight, one of those a sentence of arithmetic - had half a screen and all three scrolled sideways permanently. Stacked full width they also read in the order they are worked in: pick the assignment, then its override windows, then its months. THREE. MONTHLY ESTIMATION NAMES ITS ASSIGNMENT. It is a child of the row selected above it and said so nowhere - eight columns of months with no statement of what they belong to. It now carries the same line Weight overrides carries, word for word from one helper so the two cannot drift: the id, the project, the role, the window and the weight. FOUR. CLICKING A LEGEND ENTRY PICKS THAT SERIES OUT OF THE CHART. Twenty bands in twenty shades of one palette read perfectly well as a total and not at all as a series; finding one project in the stack by colour alone means carrying a swatch in your head down sixty months of bars. Everything that is not the picked series fades back; a second click, another entry, or Escape brings it home. THE PICK APPLIES TO THE WHOLE TAB, because the question is 'where is this project on this page' and not 'where is it in this one drawing' - the trend line, the stack and the timeline all mean the same project by the same id, so one click answers it in all three. A CHART CUT ALONG A DIFFERENT AXIS IS LEFT ALONE: a person's id means nothing to a chart stacked by project, and dimming it anyway would fade a whole chart to nothing and light none of it, which reads as 'this has no data' rather than 'you asked something this chart cannot answer'. A timeline band is a period OF a project and carries both keys, so picking a period lights it across every project and picking a project lights that project's whole row. Marks belonging to the MONTH rather than to any series - the threshold lines, the baseline, the outline that marks a month off its standard - never fade. Every entry is a real button: focusable, operable from the keyboard, and it states whether it is pressed (D-04). FIVE. EVERY HEADING SAYS WHAT THE COLUMN MEANS, AND ONLY THAT. The tables used to show the workbook's own column names: work_scope_type, outsourcing_scope_det, absorbed_by, ref_id - legible to whoever wrote the schema and opaque to the person filling the plan in. The meaning was only ever a hover away, which is to say invisible to anyone who did not know to hover. The heading now prints the plain name and nothing else. THE COLUMN'S OWN NAME IS IN THE POP-UP, NOT ON THE PAGE, and this was decided twice. It was first put on a second line under the label, on the reasoning that the screen and the file are the same thing, so a heading you cannot find in the spreadsheet is one you cannot quote in a mail or look up in a document. That reasoning was right about the NEED and wrong about the PLACE, which the reviewer said plainly: the need is occasional - you go looking for a column name when you are editing the workbook or chasing a finding - and the heading is read on every glance by everyone. Paying for a rare need out of the common one is the wrong way round when the pop-up already answers it in full. Every heading now carries a pop-up naming both, and the identifier is on the element as data-cid for whatever needs to read it. The badge on a derived column names the plain name too - a heading row that has stopped printing identifiers must not keep one in a badge. NOTHING IS RENAMED: the file keeps its columns, every validation message still names them, and the cell still writes back through the identifier. The same head is used on the heading's pop-up, on every cell's and on the filter buttons', so it is learned once. ONE DEFECT EXPOSED, NOT CAUSED, AND FIXED. Widening those three panels put a table into a gap no layout before it had landed in: the two drawn scroll bars decide each other, each costing the region 15px of its own space, and paintCue measured once - so a region that only overflows sideways ONCE ITS OWN VERTICAL BAR IS DRAWN got no horizontal bar, which is exactly the failure REQ-DSH-13 exists to prevent. Measured on the 62-project fixture: scrollWidth 1316 with both flags off and 1318 with the vertical bar there, against a client width of 1316 - two pixels, which is why no earlier layout met it. The flags are now settled before anything is drawn, and it cannot oscillate because padding can only create overflow, never remove it. Found by the REQ-DSH-13 check in test_ui, which failed on this build and passes on the fix. No calculation change, no schema change and no figure moves. tools/test_screen.py and tools/test_labels.py are new, 33 checks between them; test_columns and test_lookup read the identifier from the heading's second line.</t>
        </is>
      </c>
      <c r="F28" s="17" t="inlineStr">
        <is>
          <t>Issued for review</t>
        </is>
      </c>
    </row>
    <row r="29">
      <c r="A29" s="8" t="inlineStr">
        <is>
          <t>2.52</t>
        </is>
      </c>
      <c r="B29" s="8" t="inlineStr">
        <is>
          <t>2026-09-12</t>
        </is>
      </c>
      <c r="C29" s="8" t="inlineStr">
        <is>
          <t>Claude Code</t>
        </is>
      </c>
      <c r="D29" s="8" t="inlineStr">
        <is>
          <t>Pending</t>
        </is>
      </c>
      <c r="E29" s="9" t="inlineStr">
        <is>
          <t>R-44, V-35: capacity_fte IS BOUNDED, 0.00 TO 1.00. Reported from the field. It is the one figure on the Person sheet with a hard ceiling and it did not have one - 1.5 went in, was believed, and sat beside everybody else's 1.00 as though it meant something. capacity_fte is how much of ONE PERSON there is; 0.00 is allowed, because somebody on the books and not available is a true thing to say. IT REFUSES, WHICH IS A DEPARTURE AND IS THE POINT. Every other rule added this year reports rather than refuses - V-31 to V-34 all leave the decision with the user, because a period weight, a role factor and a stated month are judgements somebody is entitled to make. A capacity of 1.5 is not a judgement. It is a number in the wrong unit, the usual cause is hours typed into an FTE column, and the moment of entry is the only one at which the person who knows what they meant is still there to be asked. The message names the unit, does the hours-to-FTE arithmetic, and says what to do instead: two assignments, or a person weight above 1.00 on one of them. FOUR PLACES ENFORCE IT, and the fourth is the one that matters most in practice. The application refuses the edit; prap_io and verify_source_workbook raise the same rule at the same severity, because the four-implementation rule applies to what the application REFUSES exactly as it applies to what it calculates; and the TEMPLATE now carries a decimal range on the column, so Excel stops the figure where people actually type it, with a message of its own rather than the generic one. A FILE THAT ALREADY BREAKS IT STILL OPENS - checked, because the alternative would be a rule that locks somebody out of their own plan. Both the save and the edit path compare the COUNT of blocking findings before and after, so a pre-existing breach is reported and only the edits that would make matters worse are stopped. V-22 stands down on an out-of-range row rather than piling on. Template v1.15, dummies v1.17 and v1.9 - the schema is UNCHANGED at 11; only the guard rail is new. No calculation change and no figure moves. tools/test_capacity.py is new, 22 checks across all four places.</t>
        </is>
      </c>
      <c r="F29" s="8" t="inlineStr">
        <is>
          <t>Issued for review</t>
        </is>
      </c>
    </row>
    <row r="30">
      <c r="A30" s="10" t="inlineStr">
        <is>
          <t>2.51</t>
        </is>
      </c>
      <c r="B30" s="10" t="inlineStr">
        <is>
          <t>2026-09-11</t>
        </is>
      </c>
      <c r="C30" s="10" t="inlineStr">
        <is>
          <t>Claude Code</t>
        </is>
      </c>
      <c r="D30" s="10" t="inlineStr">
        <is>
          <t>Pending</t>
        </is>
      </c>
      <c r="E30" s="11" t="inlineStr">
        <is>
          <t>R-43: THE STATED CELL IS EDITABLE FOR EVERY PERSON IN THE DIALOG, not only for those already on manual. Reported from the field, and it was the most important half of the section missing: a gap is usually somebody ELSE's figure, and the person whose figure you want to change is very often still on automatic - for whom the cell rendered as a dash, which reads as 'this screen is read-only for them'. THE RULE THAT MADE IT A DASH IS STILL THE RULE, and it is why this is not a one-line change. An automatic assignment ignores MonthlyEstimate entirely, so a lone row written against it is a figure nothing reads; and setting estimation_type without seeding the other months counts every one of them as 0.00, the one change in this application that silently zeroes a figure (REQ-CAL-18). estimation_type has one way in for exactly that reason, and typing it into a cell is refused everywhere else. SO THE CELL ASKS. Type a figure against somebody on automatic and the dialog names how many months will be stated, what they total, and what this month becomes - then the switch, the seeding of every month and the typed figure are applied together, or none of them are. Somebody ALREADY on manual with no figure for that month is the V-31 case and is NOT asked: the months are already theirs, and asking would be asking permission for something already given. A figure that is not a number is refused in the same words the tables use, and nothing is written. ALL OF IT THROUGH beginEditSession AND S.pending, so the switch, the seed and the change are three kinds of entry in one change list, undone together by Leave without change and archived together at Save. The generic cell handler now ignores a contenteditable cell with no data-sheet, which is what lets a creating cell carry its own handler instead of calling applyEdit with an undefined sheet and a NaN row. TWO THINGS WERE CONNECTED WHILE THERE. The Estimation column now reads MANUAL from the ASSIGNMENT rather than from whether this month happens to carry a row - an assignment on manual with a month missing was showing as 'auto', which is the opposite of what is wrong with it. And a row whose Applied is not its Stated now carries the V-33 mark, so two figures differing on one line is explained where it is seen rather than only in the estimation panel on another tab. No calculation change and no figure moves. tools/test_gap.py grows to 49 checks.</t>
        </is>
      </c>
      <c r="F30" s="10" t="inlineStr">
        <is>
          <t>Superseded by v2.52</t>
        </is>
      </c>
    </row>
    <row r="31">
      <c r="A31" s="8" t="inlineStr">
        <is>
          <t>2.50</t>
        </is>
      </c>
      <c r="B31" s="8" t="inlineStr">
        <is>
          <t>2026-09-11</t>
        </is>
      </c>
      <c r="C31" s="8" t="inlineStr">
        <is>
          <t>Claude Code</t>
        </is>
      </c>
      <c r="D31" s="8" t="inlineStr">
        <is>
          <t>Pending</t>
        </is>
      </c>
      <c r="E31" s="9" t="inlineStr">
        <is>
          <t>R-42, REQ-DSH-15, V-34: WHAT A PROJECT NEEDS AGAINST WHAT IT IS BEING GIVEN. RAISED AS 'a project's FTE differs from the sum of its people's', AND THAT PAIR CANNOT DIFFER - measured in three states before anything was built: projMonth is built FROM the lines, so it IS that sum, and REQ-OUT-06 rests on it. The pair that does come apart is DEMAND against APPLIED, and nothing reported it. Measured: a project needing 10.00 with one assignment cut to 1.00 shows 5.00, people 5.00, demand 10.00, no finding; the same project set manually to 5.00 gives the same three numbers and the same silence. A study needing ten people and staffed with five looked exactly like a study that only ever needed five. TWO OPTIONS WERE PUT AND NEITHER WAS TAKEN AS PUT. A tab of discrepancies is the surface you visit only once you already suspect a problem, and the findings report is already the list of everything wrong; a note in the hover pop-ups is right that the note belongs where the figure is, but a note you must hover for is nearly as silent as a tab. So: a RULE, a MARK, a TILE and a SECTION. V-34 rides four surfaces that already exist. The figure carries a mark in Resource by project and a dashed outline on the project's own utilisation chart, so nothing has to be hovered. A tile counts it beside the allocation tiles. And 'Standard vs staffed' sits on Overall under the tiles, listing every month. EVERY ROW OPENS THE MONTH AND LETS IT BE FIXED THERE - the requester's own addition, and the part that makes it a working surface rather than a report. The stated figures behind the gap are ORDINARY contenteditable cells over MonthlyEstimate, so the existing editing path validates, logs, marks and undoes them and there is no second way to change a figure. The dialog redraws itself after an edit; a panel still showing the gap you had just closed would read as an edit that did nothing. BOTH DIRECTIONS, COUNTED APART AND NEVER NETTED. Five short in September against five over in October sums to zero and is not a plan in balance - the tests hold that case explicitly. Amber for short and red for over, each with an arrow, because those two hues are the confusable pair and they are exactly the two directions (D-04). IT REPORTS AND NEVER GATES. A warning, so refuses() is false and Save is not held: departing from the standard is the point of a manual figure, and which figure is right is not the application's judgement. An all-automatic plan raises nothing, which is what keeps the rule worth reading. No calculation change and no figure moves. tools/test_gap.py is new: 32 checks, including that the month equals its people's sum in every state the fixture can reach.</t>
        </is>
      </c>
      <c r="F31" s="8" t="inlineStr">
        <is>
          <t>Superseded by v2.51</t>
        </is>
      </c>
    </row>
    <row r="32">
      <c r="A32" s="10" t="inlineStr">
        <is>
          <t>2.49</t>
        </is>
      </c>
      <c r="B32" s="10" t="inlineStr">
        <is>
          <t>2026-09-06</t>
        </is>
      </c>
      <c r="C32" s="10" t="inlineStr">
        <is>
          <t>Claude Code</t>
        </is>
      </c>
      <c r="D32" s="10" t="inlineStr">
        <is>
          <t>Pending</t>
        </is>
      </c>
      <c r="E32" s="11" t="inlineStr">
        <is>
          <t>R-41, REQ-DSH-14 EXTENDED: THE DERIVATION COLUMN NOW CARRIES THE WHOLE EXPRESSION, TERM BY TERM, rather than the period alone. Naming the period answered one of six inputs, and a reader who disagrees with an automatic figure needs to know WHICH of the six they disagree with. The project's month reads 'Before-Start-up (standard 2.02) × period weight (1.12) × month run (1.00) = 2.26'; a person's adds a second line, 'role factor (0.72) ÷ sharers (1) × person weight (0.25, no override) × coverage (1.00) = 18.3% of it → 0.41'. TWO HALVES, AND THE SPLIT IS THE CORRECTNESS OF IT. Since R-32 a person's figure is NOT the product of their own terms: those terms make a CLAIM, normalised against every other claim on the project-month to give a SHARE (REQ-CAL-19). The terms above multiply to 0.18 and the figure is 0.41. Written as one product the cell would assert an arithmetic the application does not do and would be wrong by whatever the other claims came to - so the demand is closed off with its own '=', and the person's terms end in a PERCENTAGE of it. AN OVERRIDE IS ONE TERM WITH TWO SOURCES, not two multiplied terms. A PersonPeriodWeight window REPLACES person_weight for the months it covers (REQ-PSN-05); the request asked for it as its own factor, which would have read as a multiplication that does not happen, so the cell names both values and says which was used: 'weight override (0.50, replacing person weight 1.00)'. EVERY FALLBACK NOW SAYS IT IS ONE and names its rule - V-19 for a missing standard, V-23 for a missing role factor, V-12 for a month in no period. A bare 1.00 is indistinguishable from a standard that really is 1.00, which is the whole reason those rules exist. Absorbed cover is named too, with the roles it came from (REQ-CAL-16). The sharer count KEEPS its own short column: the derivation is a sentence, and a sentence cannot be sorted or filtered, while '2 share this role' can. The cost of the change is that the derivation column is no longer a useful filter - it is now nearly unique per row - which is why the short column stays. No calculation change and no figure moves.</t>
        </is>
      </c>
      <c r="F32" s="10" t="inlineStr">
        <is>
          <t>Superseded by v2.50</t>
        </is>
      </c>
    </row>
    <row r="33">
      <c r="A33" s="8" t="inlineStr">
        <is>
          <t>2.48</t>
        </is>
      </c>
      <c r="B33" s="8" t="inlineStr">
        <is>
          <t>2026-09-06</t>
        </is>
      </c>
      <c r="C33" s="8" t="inlineStr">
        <is>
          <t>Claude Code</t>
        </is>
      </c>
      <c r="D33" s="8" t="inlineStr">
        <is>
          <t>Pending</t>
        </is>
      </c>
      <c r="E33" s="9" t="inlineStr">
        <is>
          <t>R-40, REQ-DSH-14: THREE LOOKUP COLUMNS, SO A TABLE SHOWING A FIGURE CAN SAY WHAT DECIDED ITS SIZE. Every figure in this application is standard FTE x period weight x (role factor / sharers) x person weight x month coverage, and three tables each showed one term of that and left the rest in another tab. (1) THE PERIODS TABLE now names the STANDARD MONTHLY FTE its period selects, beside the weight, and multiplies the two: 'Start-up 1.12 | 2.02 -&gt; 2.26 a month'. A row reading 'x1.12' said this study is an eighth heavier than usual and did not say heavier than WHAT - answerable only by leaving the tab and reading a 48-row matrix on General assumptions for one figure. (2) BOTH MONTHLY ESTIMATION PANELS name the PERIOD the month falls in and its weight, and (3) THE PERSON'S ALSO NAMES THE DIVISOR - how many people held that role that month. Those are the two usual explanations for a figure that is not the size somebody expected: the month moved into a heavier period, or a second holder arrived and halved the share. The project's panel deliberately does NOT carry the divisor: a project month is divided between several roles, each with its own count, so one number there would average things that do not compare. LOOKED UP, NEVER STORED. None of the three is a column of the sheet it sits beside, and the tests hold them to that - a standard copied onto a ProjectPeriod row would survive the standards being edited afterwards, which is the whole failure the lookup avoids. Read off the calculation's own lines, so a screen cannot name one period while the figure beside it came from another; calculate() now hands out periodAt for the one case the lines cannot answer, a manual project month with nobody assigned to it (V-32). A missing standard says 'none - V-19' rather than printing the 1.00 the calculation falls back to; that fallback is a degradation and showing it as a standard would hide exactly what V-19 reports. No calculation change and no figure moves. tools/test_lookup.py is new: a three-month fixture whose every figure is workable by hand, checking each column against the calculation's own line rather than against a plausible number.</t>
        </is>
      </c>
      <c r="F33" s="8" t="inlineStr">
        <is>
          <t>Superseded by v2.49</t>
        </is>
      </c>
    </row>
    <row r="34">
      <c r="A34" s="10" t="inlineStr">
        <is>
          <t>2.47</t>
        </is>
      </c>
      <c r="B34" s="10" t="inlineStr">
        <is>
          <t>2026-09-05</t>
        </is>
      </c>
      <c r="C34" s="10" t="inlineStr">
        <is>
          <t>Claude Code</t>
        </is>
      </c>
      <c r="D34" s="10" t="inlineStr">
        <is>
          <t>Pending</t>
        </is>
      </c>
      <c r="E34" s="11" t="inlineStr">
        <is>
          <t>R-39, PROJECT AND PERSON FIGURES KEPT CONSISTENT, AND SAID TO BE. (1) THE FIRST REQUEST WAS ALREADY THE BEHAVIOUR, which is worth recording rather than quietly re-implementing: a manual PROJECT month has always realigned every person on it, including anyone whose own figure is manual, because applyManual applies the assignment level first and then scales the whole group to the project's stated total. Verified: project set to 10.00 with a person stating 99.00 gives the person 9.97 and the month 10.00. The project figure is the mother figure and wins. (2) WHAT WAS MISSING IS THAT NOTHING SAID SO. The sheet held 99.00, the chart showed 9.97, and nothing connected them. Now V-33 reports it; the Monthly estimation panel carries a table of stated against actually-given against the project's month; the cell is marked; and editing such a figure SOFT-STOPS at the cell - naming both numbers, offering Keep what I typed or Put it back. It never refuses: both numbers were typed deliberately and which is wrong is not the application's judgement. The finding reaches the findings report and the archived change log, so it is on the record either way. (3) automatic_fte and difference in the Monthly estimation tables were the last four-place figures on screen and are now two, like everything else (REQ-CAL-20). A stated 2.41 beside an automatic 2.4120 read as a discrepancy the user had caused rather than as four decimals nothing else uses. One defect found by testing the undo rather than by reading it: rebuild() makes fresh row objects, so the row reference captured before it was orphaned and 'Put it back' silently did nothing. It re-finds the row by number now.</t>
        </is>
      </c>
      <c r="F34" s="10" t="inlineStr">
        <is>
          <t>Superseded by v2.48</t>
        </is>
      </c>
    </row>
    <row r="35">
      <c r="A35" s="8" t="inlineStr">
        <is>
          <t>2.46</t>
        </is>
      </c>
      <c r="B35" s="8" t="inlineStr">
        <is>
          <t>2026-09-05</t>
        </is>
      </c>
      <c r="C35" s="8" t="inlineStr">
        <is>
          <t>Claude Code</t>
        </is>
      </c>
      <c r="D35" s="8" t="inlineStr">
        <is>
          <t>Pending</t>
        </is>
      </c>
      <c r="E35" s="9" t="inlineStr">
        <is>
          <t>R-38, THREE REQUESTS. (1) THE IN-APP EXPORT OF THE CHANGE LOG IS REMOVED. The archive is written at every save, so a button handing over the same record afterwards was a second answer to one question and always the staler of the two. The menu items, the date range, the CSV download and the code behind them are gone rather than hidden. (2) THE ARCHIVE IS ONE FOLDER FOR THE INSTALLATION, beside users/ rather than inside any one person's copy of it - the layout PRAP_DATA and the shared-drive deployment already assume (NR-DEP-15). A log split per person answers 'what did I do' and not 'what happened to this plan', and on a shared deployment only the second question is worth asking; every row already names who made the change. NOT YET BUILT, and stated so the gap is not mistaken for done: a CENTRAL SERVER needs network binding, real authentication and sessions, per-user authorisation and concurrent-write handling. The shell today binds to 127.0.0.1 and refuses non-loopback Host headers BY DESIGN - that refusal is what makes an open socket on a company laptop defensible - and 'login' is the Windows account name, a label rather than an authentication. Replacing that is a security-sensitive piece of work to be specified before it is started. (3) REQ-CAL-20, THE DECIMAL RULE - see the requirement for the whole of it. EVERY FIGURE IN EVERY PLAN MOVES slightly: the 62-project fixture goes 4,333.46 to 4,333.77 FTE-months and the 10x10 fixture 713.94 to 713.78, which is the rounding and nothing else. Checked on the 62-project fixture: all 7,001 lines are whole hundredths, all 1,629 project-months have their lines summing to the month with nothing left over, and all 1,557 automatic months still equal standard x weight x month_run to the hundredth. All four implementations agree line for line - 7,001 lines and 1,629 project-months identical between the browser and prap_io.</t>
        </is>
      </c>
      <c r="F35" s="8" t="inlineStr">
        <is>
          <t>Superseded by v2.47</t>
        </is>
      </c>
    </row>
    <row r="36">
      <c r="A36" s="10" t="inlineStr">
        <is>
          <t>2.45</t>
        </is>
      </c>
      <c r="B36" s="10" t="inlineStr">
        <is>
          <t>2026-09-05</t>
        </is>
      </c>
      <c r="C36" s="10" t="inlineStr">
        <is>
          <t>Claude Code</t>
        </is>
      </c>
      <c r="D36" s="10" t="inlineStr">
        <is>
          <t>Pending</t>
        </is>
      </c>
      <c r="E36" s="11" t="inlineStr">
        <is>
          <t>R-37, THE POP-UPS NAME THE PROJECT PERIOD. Every figure in this application is standard FTE x PERIOD WEIGHT x the month the project ran, so the period is the row of the plan that decided the size of whatever is being hovered over - and it was the one thing the pop-ups did not say. A reader who thought a month looked heavy had to leave the chart, find the project and read its periods to learn the month was mid-Conduct. All four charts named in the request now carry it: both Overall stacks, and Utilisation on each source-data tab. The WEIGHT goes with the name, because the two are one fact - which row applied, and what it did to the figure. READ FROM THE CALCULATION, not looked up again. calculate() already stamped period_name on every line, so it now also returns projPeriod (project|month -&gt; name and weight) built from those same lines, exactly as projMonth and persMonth are. A second lookup could name one period while the number beside it came from another; this cannot. Checked on 154 project-months against S.calc.lines, all matching, and the check fails if the tooltip line is removed. WHERE ONE BAND SPANS SEVERAL PROJECTS - the person stack and the person Utilisation chart - the period is tagged against EACH PROJECT rather than against the band, because a person's month is made of projects that need not be in the same period as each other; the delivered fixture has a person in Conduct (final) on one project and Conduct (interim) on another in the same month. A month belonging to no period says so and names V-12, rather than leaving a blank that reads as a defect in the chart. No figure moves.</t>
        </is>
      </c>
      <c r="F36" s="10" t="inlineStr">
        <is>
          <t>Superseded by v2.46</t>
        </is>
      </c>
    </row>
    <row r="37">
      <c r="A37" s="8" t="inlineStr">
        <is>
          <t>2.44</t>
        </is>
      </c>
      <c r="B37" s="8" t="inlineStr">
        <is>
          <t>2026-09-04</t>
        </is>
      </c>
      <c r="C37" s="8" t="inlineStr">
        <is>
          <t>Claude Code</t>
        </is>
      </c>
      <c r="D37" s="8" t="inlineStr">
        <is>
          <t>Pending</t>
        </is>
      </c>
      <c r="E37" s="9" t="inlineStr">
        <is>
          <t>R-36, A CHANGE LOG AND COLUMN FILTERS. Two requests; no figure moves for either. (1) THE CHANGE LOG. Every saved change is recorded - the time in UTC, who, which RECORD (its natural key, not its spreadsheet row: inserting a row renumbers everything under it and PRJ-004 does not move), which column, and the value before and after - together with the errors and warnings standing at each save and which of them the user was asked about and chose to keep. It is NOT S.pending: that is emptied at every save because its job is 'what is not saved yet', and this is only ever appended to, with a save being what WRITES it rather than what clears it. Asked for as an in-app tab first and then narrowed by the requester to 'in memory while the session runs, archived to a local folder on Save, CSV is enough' - so there is no tab and no schema change. THE DESKTOP SHELL archives it: an `audit` folder beside the workspaces, one CSV a month, header written when the file is created and rows APPENDED at every save. THE BROWSER CANNOT do that - a file:// page has no folder and cannot append to one - so it holds the record for the session and hands it over from Export, narrowed by a date range, which was the other half of the request. A failed archive never fails a save: the entries stay and the next save carries them too. WHO: the desktop shell takes the Windows account it already signed in with; the browser asks once, in the EDIT BAR rather than in a dialog - a modal blocks the cell being typed into, and a floating card sits on top of the table. Both were built and both were wrong before the bar was tried. (2) COLUMN FILTERS on the six tables named: Projects, Monthly estimation (both tabs), People, Standard period FTE for project types and Role factors. A spreadsheet's filter - tick the values to keep, different columns narrow together, and the values offered are what the OTHER columns leave reachable. It narrows the TABLE and not the plan: the charts and totals above are unchanged, because a row hidden here is still in the plan, and the horizon-and-filters bar remains the one control that changes what the figures mean. Two new suites, test_audit.py and test_colfilter.py; the storage seam budget in test_layers.py re-baselined 150 -&gt; 220 and the reason recorded, since the seam legitimately gained a third responsibility.</t>
        </is>
      </c>
      <c r="F37" s="8" t="inlineStr">
        <is>
          <t>Superseded by v2.45</t>
        </is>
      </c>
    </row>
    <row r="38">
      <c r="A38" s="10" t="inlineStr">
        <is>
          <t>2.43</t>
        </is>
      </c>
      <c r="B38" s="10" t="inlineStr">
        <is>
          <t>2026-09-04</t>
        </is>
      </c>
      <c r="C38" s="10" t="inlineStr">
        <is>
          <t>Claude Code</t>
        </is>
      </c>
      <c r="D38" s="10" t="inlineStr">
        <is>
          <t>Pending</t>
        </is>
      </c>
      <c r="E38" s="11" t="inlineStr">
        <is>
          <t>R-35, TWO FAULTS IN THE DATE PICKER, both reported from the field and both reproduced before being touched. (1) THE MONTH ARROWS MOVED ONE MONTH AND NO FURTHER. step() re-read the cell and snapped the grid back to the cell's own month before stepping, so a cell holding 2026-09-01 went to August and stayed at August however many times the arrow was pressed - a date several months away could not be reached by navigating at all. It had a workaround that did not work: blank the cell, render, put the text back, which step() then defeated by re-reading before it rendered. The grid now knows WHO IS STEERING - the cell while it is being opened or typed into, the user while they are working the arrows - and the cell keeps its text throughout. (2) 'TODAY' WROTE THE DATE IN GREENWICH, not on the user's clock. ymd() is toISOString(), which is right for every other date in the application because those are built with Date.UTC(); `new Date()` is an instant, and putting an instant through a UTC formatter asks what day it is in London. In Seoul before 09:00 that is yesterday; in Los Angeles after 17:00 it is tomorrow. The local getters now read the date off the user's own calendar and Date.UTC puts it back into the form the rest of the application stores. The same figure highlights today in the grid and opens an empty cell on the right month. NO CALCULATION CHANGES. test_ui.py gains both: five clicks must move five months (the old test stepped ONCE, which is why this passed for so long - one step did work), and Today is checked in three time zones on a pinned clock, because CI keeps UTC and in UTC the wrong answer and the right one are the same answer. Both verified to fail against the old code.</t>
        </is>
      </c>
      <c r="F38" s="10" t="inlineStr">
        <is>
          <t>Superseded by v2.44</t>
        </is>
      </c>
    </row>
    <row r="39">
      <c r="A39" s="8" t="inlineStr">
        <is>
          <t>2.42</t>
        </is>
      </c>
      <c r="B39" s="8" t="inlineStr">
        <is>
          <t>2026-09-04</t>
        </is>
      </c>
      <c r="C39" s="8" t="inlineStr">
        <is>
          <t>Claude Code</t>
        </is>
      </c>
      <c r="D39" s="8" t="inlineStr">
        <is>
          <t>Pending</t>
        </is>
      </c>
      <c r="E39" s="9" t="inlineStr">
        <is>
          <t>R-34, THE PROJECT DEMAND CHART SAYS WHAT ITS MONTH CAME TO. 'Monthly demand by person' ended its pop-up with a rule and the month's total across everyone in view, and gave each band its share of that month; 'Monthly demand by project' gave neither, only the band's own figure. A band read on its own cannot say whether the month came to five FTE or to fifty, which is the question a stacked chart exists to answer - so the reader had to leave the chart and find the Overall table to interpret what they were hovering over. Both are added, worded to match the person chart. The total is summed over every project IN VIEW rather than over the bands actually drawn, for the same reason the person chart sums over every person in view: so the two pop-ups report the SAME figure for a given month, which is what the panel caption already claims about these two charts. Checked on the 10x10 fixture - 24 months, every one identical between the two, and the per-band shares summing to 100% (+/-1, rounding to a whole percent) in all 24. NO FIGURE CHANGES: the total is the sum the chart was already drawing. test_charts.py gains two checks. It already compared the two charts as DRAWN, in pixel heights; these compare what they SAY, which is what a reader acts on - that every band states a month total, and that the total it states is the one the person chart states for that month. Both were verified to fail with the line removed from the build.</t>
        </is>
      </c>
      <c r="F39" s="8" t="inlineStr">
        <is>
          <t>Superseded by v2.43</t>
        </is>
      </c>
    </row>
    <row r="40">
      <c r="A40" s="10" t="inlineStr">
        <is>
          <t>2.41</t>
        </is>
      </c>
      <c r="B40" s="10" t="inlineStr">
        <is>
          <t>2026-09-04</t>
        </is>
      </c>
      <c r="C40" s="10" t="inlineStr">
        <is>
          <t>Claude Code</t>
        </is>
      </c>
      <c r="D40" s="10" t="inlineStr">
        <is>
          <t>Pending</t>
        </is>
      </c>
      <c r="E40" s="11" t="inlineStr">
        <is>
          <t>R-33, WHAT THE STANDARDS SHEET IS CALLED, and the notes that describe the calculation. Three things the reviewer reported after using v2.40, none of them arithmetic - every figure in this revision is unchanged, checked at 4,333.46 FTE-months on the 62-project fixture before and after. (1) SHEET RENAMED PeriodWeightStandard -&gt; PeriodFTEStandard, and the panel over it from 'Standard period weights' to 'Standard period FTE for project types'. Schema 10 renamed the COLUMN to standard_fte when it became clear the sheet holds a magnitude in FTE rather than a multiplier; the sheet and the panel went on saying 'weight', which is the reading that made the standards look ignorable in the first place - R-32 exists because of it. Source schema version steps 10 to 11. A schema 10 workbook still opens: the old sheet name is translated on the way in and the reader is told once, exactly as a renamed column is. (2) THE CALCULATION NOTES on the monthly-estimation panels still described the pre-R-32 formula - four factors multiplied together - which has not been how a figure is arrived at since v2.40. They now state it as it is, and separately for the two levels, because under R-32 the two genuinely differ: a PROJECT month is standard FTE x period weight x the part of the month the project ran, and an ASSIGNMENT month is that month divided by share, the share being (role factor / sharers) x person weight x coverage against everyone else's. Same correction to the automatic_fte and ProjectPeriod.weight column help and to the switch-back dialog. (3) THE WINDOW CHROME OVERLAPPED THE PAGE in the Python shell. Its menu bar and status strip are sticky at the top of the window and the page's own sticky band - the edit bar and the four tabs - pinned itself to the same place with a lower z-index, so scrolling slid the tabs and the Save button underneath the File menu. The band now sits below the chrome, at the chrome's MEASURED height: both bars wrap, so a constant would have been wrong exactly when it mattered.</t>
        </is>
      </c>
      <c r="F40" s="10" t="inlineStr">
        <is>
          <t>Issued for review</t>
        </is>
      </c>
    </row>
    <row r="41">
      <c r="A41" s="8" t="inlineStr">
        <is>
          <t>2.39</t>
        </is>
      </c>
      <c r="B41" s="8" t="inlineStr">
        <is>
          <t>2026-09-02</t>
        </is>
      </c>
      <c r="C41" s="8" t="inlineStr">
        <is>
          <t>Claude Code</t>
        </is>
      </c>
      <c r="D41" s="8" t="inlineStr">
        <is>
          <t>Pending</t>
        </is>
      </c>
      <c r="E41" s="9"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41" s="8" t="inlineStr">
        <is>
          <t>Issued for review</t>
        </is>
      </c>
    </row>
    <row r="42">
      <c r="A42" s="10" t="inlineStr">
        <is>
          <t>2.38</t>
        </is>
      </c>
      <c r="B42" s="10" t="inlineStr">
        <is>
          <t>2026-08-30</t>
        </is>
      </c>
      <c r="C42" s="10" t="inlineStr">
        <is>
          <t>Claude Code</t>
        </is>
      </c>
      <c r="D42" s="10" t="inlineStr">
        <is>
          <t>Pending</t>
        </is>
      </c>
      <c r="E42"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42" s="10" t="inlineStr">
        <is>
          <t>Issued for review</t>
        </is>
      </c>
    </row>
    <row r="43">
      <c r="A43" s="8" t="inlineStr">
        <is>
          <t>2.37</t>
        </is>
      </c>
      <c r="B43" s="8" t="inlineStr">
        <is>
          <t>2026-08-28</t>
        </is>
      </c>
      <c r="C43" s="8" t="inlineStr">
        <is>
          <t>Claude Code</t>
        </is>
      </c>
      <c r="D43" s="8" t="inlineStr">
        <is>
          <t>Pending</t>
        </is>
      </c>
      <c r="E43"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43" s="8" t="inlineStr">
        <is>
          <t>Issued for review</t>
        </is>
      </c>
    </row>
    <row r="44">
      <c r="A44" s="10" t="inlineStr">
        <is>
          <t>2.36</t>
        </is>
      </c>
      <c r="B44" s="10" t="inlineStr">
        <is>
          <t>2026-08-28</t>
        </is>
      </c>
      <c r="C44" s="10" t="inlineStr">
        <is>
          <t>Claude Code</t>
        </is>
      </c>
      <c r="D44" s="10" t="inlineStr">
        <is>
          <t>Pending</t>
        </is>
      </c>
      <c r="E44"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44" s="10" t="inlineStr">
        <is>
          <t>Issued for review</t>
        </is>
      </c>
    </row>
    <row r="45">
      <c r="A45" s="8" t="inlineStr">
        <is>
          <t>2.35</t>
        </is>
      </c>
      <c r="B45" s="8" t="inlineStr">
        <is>
          <t>2026-08-27</t>
        </is>
      </c>
      <c r="C45" s="8" t="inlineStr">
        <is>
          <t>Claude Code</t>
        </is>
      </c>
      <c r="D45" s="8" t="inlineStr">
        <is>
          <t>Pending</t>
        </is>
      </c>
      <c r="E45"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45" s="8" t="inlineStr">
        <is>
          <t>Issued for review</t>
        </is>
      </c>
    </row>
    <row r="46">
      <c r="A46" s="10" t="inlineStr">
        <is>
          <t>2.34</t>
        </is>
      </c>
      <c r="B46" s="10" t="inlineStr">
        <is>
          <t>2026-08-27</t>
        </is>
      </c>
      <c r="C46" s="10" t="inlineStr">
        <is>
          <t>Claude Code</t>
        </is>
      </c>
      <c r="D46" s="10" t="inlineStr">
        <is>
          <t>Pending</t>
        </is>
      </c>
      <c r="E46"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46" s="10" t="inlineStr">
        <is>
          <t>Issued for review</t>
        </is>
      </c>
    </row>
    <row r="47">
      <c r="A47" s="8" t="inlineStr">
        <is>
          <t>2.33</t>
        </is>
      </c>
      <c r="B47" s="8" t="inlineStr">
        <is>
          <t>2026-08-27</t>
        </is>
      </c>
      <c r="C47" s="8" t="inlineStr">
        <is>
          <t>Claude Code</t>
        </is>
      </c>
      <c r="D47" s="8" t="inlineStr">
        <is>
          <t>Pending</t>
        </is>
      </c>
      <c r="E47"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47" s="8" t="inlineStr">
        <is>
          <t>Issued for review</t>
        </is>
      </c>
    </row>
    <row r="48">
      <c r="A48" s="10" t="inlineStr">
        <is>
          <t>2.32</t>
        </is>
      </c>
      <c r="B48" s="10" t="inlineStr">
        <is>
          <t>2026-08-26</t>
        </is>
      </c>
      <c r="C48" s="10" t="inlineStr">
        <is>
          <t>Claude Code</t>
        </is>
      </c>
      <c r="D48" s="10" t="inlineStr">
        <is>
          <t>Pending</t>
        </is>
      </c>
      <c r="E48"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48" s="10" t="inlineStr">
        <is>
          <t>Issued for review</t>
        </is>
      </c>
    </row>
    <row r="49">
      <c r="A49" s="8" t="inlineStr">
        <is>
          <t>2.31</t>
        </is>
      </c>
      <c r="B49" s="8" t="inlineStr">
        <is>
          <t>2026-08-26</t>
        </is>
      </c>
      <c r="C49" s="8" t="inlineStr">
        <is>
          <t>Claude Code</t>
        </is>
      </c>
      <c r="D49" s="8" t="inlineStr">
        <is>
          <t>Pending</t>
        </is>
      </c>
      <c r="E49"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49" s="8" t="inlineStr">
        <is>
          <t>Issued for review</t>
        </is>
      </c>
    </row>
    <row r="50">
      <c r="A50" s="10" t="inlineStr">
        <is>
          <t>2.30</t>
        </is>
      </c>
      <c r="B50" s="10" t="inlineStr">
        <is>
          <t>2026-08-25</t>
        </is>
      </c>
      <c r="C50" s="10" t="inlineStr">
        <is>
          <t>Claude Code</t>
        </is>
      </c>
      <c r="D50" s="10" t="inlineStr">
        <is>
          <t>Pending</t>
        </is>
      </c>
      <c r="E50"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50" s="10" t="inlineStr">
        <is>
          <t>Issued for review</t>
        </is>
      </c>
    </row>
    <row r="51">
      <c r="A51" s="8" t="inlineStr">
        <is>
          <t>2.29</t>
        </is>
      </c>
      <c r="B51" s="8" t="inlineStr">
        <is>
          <t>2026-08-25</t>
        </is>
      </c>
      <c r="C51" s="8" t="inlineStr">
        <is>
          <t>Claude Code</t>
        </is>
      </c>
      <c r="D51" s="8" t="inlineStr">
        <is>
          <t>Pending</t>
        </is>
      </c>
      <c r="E51"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51" s="8" t="inlineStr">
        <is>
          <t>Issued for review</t>
        </is>
      </c>
    </row>
    <row r="52">
      <c r="A52" s="10" t="inlineStr">
        <is>
          <t>2.28</t>
        </is>
      </c>
      <c r="B52" s="10" t="inlineStr">
        <is>
          <t>2026-08-22</t>
        </is>
      </c>
      <c r="C52" s="10" t="inlineStr">
        <is>
          <t>Claude Code</t>
        </is>
      </c>
      <c r="D52" s="10" t="inlineStr">
        <is>
          <t>Pending</t>
        </is>
      </c>
      <c r="E52"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52" s="10" t="inlineStr">
        <is>
          <t>Issued for review</t>
        </is>
      </c>
    </row>
    <row r="53">
      <c r="A53" s="8" t="inlineStr">
        <is>
          <t>2.27</t>
        </is>
      </c>
      <c r="B53" s="8" t="inlineStr">
        <is>
          <t>2026-08-20</t>
        </is>
      </c>
      <c r="C53" s="8" t="inlineStr">
        <is>
          <t>Claude Code</t>
        </is>
      </c>
      <c r="D53" s="8" t="inlineStr">
        <is>
          <t>Pending</t>
        </is>
      </c>
      <c r="E53"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53" s="8" t="inlineStr">
        <is>
          <t>Issued for review</t>
        </is>
      </c>
    </row>
    <row r="54">
      <c r="A54" s="10" t="inlineStr">
        <is>
          <t>2.26</t>
        </is>
      </c>
      <c r="B54" s="10" t="inlineStr">
        <is>
          <t>2026-07-31</t>
        </is>
      </c>
      <c r="C54" s="10" t="inlineStr">
        <is>
          <t>Claude Code</t>
        </is>
      </c>
      <c r="D54" s="10" t="inlineStr">
        <is>
          <t>Pending</t>
        </is>
      </c>
      <c r="E54"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54" s="10" t="inlineStr">
        <is>
          <t>Issued for review</t>
        </is>
      </c>
    </row>
    <row r="55">
      <c r="A55" s="8" t="inlineStr">
        <is>
          <t>2.25</t>
        </is>
      </c>
      <c r="B55" s="8" t="inlineStr">
        <is>
          <t>2026-07-31</t>
        </is>
      </c>
      <c r="C55" s="8" t="inlineStr">
        <is>
          <t>Claude Code</t>
        </is>
      </c>
      <c r="D55" s="8" t="inlineStr">
        <is>
          <t>Pending</t>
        </is>
      </c>
      <c r="E55"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55" s="8" t="inlineStr">
        <is>
          <t>Superseded by v2.26</t>
        </is>
      </c>
    </row>
    <row r="56">
      <c r="A56" s="10" t="inlineStr">
        <is>
          <t>2.24</t>
        </is>
      </c>
      <c r="B56" s="10" t="inlineStr">
        <is>
          <t>2026-07-31</t>
        </is>
      </c>
      <c r="C56" s="10" t="inlineStr">
        <is>
          <t>Claude Code</t>
        </is>
      </c>
      <c r="D56" s="10" t="inlineStr">
        <is>
          <t>Pending</t>
        </is>
      </c>
      <c r="E56"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56" s="10" t="inlineStr">
        <is>
          <t>Superseded by v2.25</t>
        </is>
      </c>
    </row>
    <row r="57">
      <c r="A57" s="8" t="inlineStr">
        <is>
          <t>2.23</t>
        </is>
      </c>
      <c r="B57" s="8" t="inlineStr">
        <is>
          <t>2026-07-31</t>
        </is>
      </c>
      <c r="C57" s="8" t="inlineStr">
        <is>
          <t>Claude Code</t>
        </is>
      </c>
      <c r="D57" s="8" t="inlineStr">
        <is>
          <t>Pending</t>
        </is>
      </c>
      <c r="E57"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57" s="8" t="inlineStr">
        <is>
          <t>Superseded by v2.24</t>
        </is>
      </c>
    </row>
    <row r="58">
      <c r="A58" s="10" t="inlineStr">
        <is>
          <t>2.22</t>
        </is>
      </c>
      <c r="B58" s="10" t="inlineStr">
        <is>
          <t>2026-07-31</t>
        </is>
      </c>
      <c r="C58" s="10" t="inlineStr">
        <is>
          <t>Claude Code</t>
        </is>
      </c>
      <c r="D58" s="10" t="inlineStr">
        <is>
          <t>Pending</t>
        </is>
      </c>
      <c r="E58"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58" s="10" t="inlineStr">
        <is>
          <t>Superseded by v2.23</t>
        </is>
      </c>
    </row>
    <row r="59">
      <c r="A59" s="8" t="inlineStr">
        <is>
          <t>2.21</t>
        </is>
      </c>
      <c r="B59" s="8" t="inlineStr">
        <is>
          <t>2026-07-31</t>
        </is>
      </c>
      <c r="C59" s="8" t="inlineStr">
        <is>
          <t>Claude Code</t>
        </is>
      </c>
      <c r="D59" s="8" t="inlineStr">
        <is>
          <t>Pending</t>
        </is>
      </c>
      <c r="E59"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59" s="8" t="inlineStr">
        <is>
          <t>Superseded by v2.22</t>
        </is>
      </c>
    </row>
    <row r="60">
      <c r="A60" s="10" t="inlineStr">
        <is>
          <t>2.20</t>
        </is>
      </c>
      <c r="B60" s="10" t="inlineStr">
        <is>
          <t>2026-07-31</t>
        </is>
      </c>
      <c r="C60" s="10" t="inlineStr">
        <is>
          <t>Claude Code</t>
        </is>
      </c>
      <c r="D60" s="10" t="inlineStr">
        <is>
          <t>Pending</t>
        </is>
      </c>
      <c r="E60"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60" s="10" t="inlineStr">
        <is>
          <t>Superseded by v2.21</t>
        </is>
      </c>
    </row>
    <row r="61">
      <c r="A61" s="8" t="inlineStr">
        <is>
          <t>2.19</t>
        </is>
      </c>
      <c r="B61" s="8" t="inlineStr">
        <is>
          <t>2026-07-31</t>
        </is>
      </c>
      <c r="C61" s="8" t="inlineStr">
        <is>
          <t>Claude Code</t>
        </is>
      </c>
      <c r="D61" s="8" t="inlineStr">
        <is>
          <t>Pending</t>
        </is>
      </c>
      <c r="E61"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PeriodFTEStandard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61" s="8" t="inlineStr">
        <is>
          <t>Superseded by v2.20</t>
        </is>
      </c>
    </row>
    <row r="62">
      <c r="A62" s="10" t="inlineStr">
        <is>
          <t>2.18</t>
        </is>
      </c>
      <c r="B62" s="10" t="inlineStr">
        <is>
          <t>2026-07-31</t>
        </is>
      </c>
      <c r="C62" s="10" t="inlineStr">
        <is>
          <t>Claude Code</t>
        </is>
      </c>
      <c r="D62" s="10" t="inlineStr">
        <is>
          <t>Pending</t>
        </is>
      </c>
      <c r="E62"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62" s="10" t="inlineStr">
        <is>
          <t>Superseded by v2.19</t>
        </is>
      </c>
    </row>
    <row r="63">
      <c r="A63" s="8" t="inlineStr">
        <is>
          <t>2.17</t>
        </is>
      </c>
      <c r="B63" s="8" t="inlineStr">
        <is>
          <t>2026-07-31</t>
        </is>
      </c>
      <c r="C63" s="8" t="inlineStr">
        <is>
          <t>Claude Code</t>
        </is>
      </c>
      <c r="D63" s="8" t="inlineStr">
        <is>
          <t>Pending</t>
        </is>
      </c>
      <c r="E63"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63" s="8" t="inlineStr">
        <is>
          <t>Superseded by v2.18</t>
        </is>
      </c>
    </row>
    <row r="64">
      <c r="A64" s="10" t="inlineStr">
        <is>
          <t>2.16</t>
        </is>
      </c>
      <c r="B64" s="10" t="inlineStr">
        <is>
          <t>2026-07-31</t>
        </is>
      </c>
      <c r="C64" s="10" t="inlineStr">
        <is>
          <t>Claude Code</t>
        </is>
      </c>
      <c r="D64" s="10" t="inlineStr">
        <is>
          <t>Pending</t>
        </is>
      </c>
      <c r="E64"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64" s="10" t="inlineStr">
        <is>
          <t>Superseded by v2.17</t>
        </is>
      </c>
    </row>
    <row r="65">
      <c r="A65" s="8" t="inlineStr">
        <is>
          <t>2.15</t>
        </is>
      </c>
      <c r="B65" s="8" t="inlineStr">
        <is>
          <t>2026-07-31</t>
        </is>
      </c>
      <c r="C65" s="8" t="inlineStr">
        <is>
          <t>Claude Code</t>
        </is>
      </c>
      <c r="D65" s="8" t="inlineStr">
        <is>
          <t>Pending</t>
        </is>
      </c>
      <c r="E65"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65" s="8" t="inlineStr">
        <is>
          <t>Superseded by v2.16</t>
        </is>
      </c>
    </row>
    <row r="66">
      <c r="A66" s="10" t="inlineStr">
        <is>
          <t>2.14</t>
        </is>
      </c>
      <c r="B66" s="10" t="inlineStr">
        <is>
          <t>2026-07-31</t>
        </is>
      </c>
      <c r="C66" s="10" t="inlineStr">
        <is>
          <t>Claude Code</t>
        </is>
      </c>
      <c r="D66" s="10" t="inlineStr">
        <is>
          <t>Pending</t>
        </is>
      </c>
      <c r="E66"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66" s="10" t="inlineStr">
        <is>
          <t>Issued for review</t>
        </is>
      </c>
    </row>
    <row r="67">
      <c r="A67" s="8" t="inlineStr">
        <is>
          <t>2.13</t>
        </is>
      </c>
      <c r="B67" s="8" t="inlineStr">
        <is>
          <t>2026-07-31</t>
        </is>
      </c>
      <c r="C67" s="8" t="inlineStr">
        <is>
          <t>Claude Code</t>
        </is>
      </c>
      <c r="D67" s="8" t="inlineStr">
        <is>
          <t>Pending</t>
        </is>
      </c>
      <c r="E67"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67" s="8" t="inlineStr">
        <is>
          <t>Superseded by v2.14</t>
        </is>
      </c>
    </row>
    <row r="68">
      <c r="A68" s="10" t="inlineStr">
        <is>
          <t>2.12</t>
        </is>
      </c>
      <c r="B68" s="10" t="inlineStr">
        <is>
          <t>2026-07-31</t>
        </is>
      </c>
      <c r="C68" s="10" t="inlineStr">
        <is>
          <t>Claude Code</t>
        </is>
      </c>
      <c r="D68" s="10" t="inlineStr">
        <is>
          <t>Pending</t>
        </is>
      </c>
      <c r="E68"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68" s="10" t="inlineStr">
        <is>
          <t>Superseded by v2.13</t>
        </is>
      </c>
    </row>
    <row r="69">
      <c r="A69" s="8" t="inlineStr">
        <is>
          <t>2.11</t>
        </is>
      </c>
      <c r="B69" s="8" t="inlineStr">
        <is>
          <t>2026-07-31</t>
        </is>
      </c>
      <c r="C69" s="8" t="inlineStr">
        <is>
          <t>Claude Code</t>
        </is>
      </c>
      <c r="D69" s="8" t="inlineStr">
        <is>
          <t>Pending</t>
        </is>
      </c>
      <c r="E69"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69" s="8" t="inlineStr">
        <is>
          <t>Issued for review</t>
        </is>
      </c>
    </row>
    <row r="70">
      <c r="A70" s="10" t="inlineStr">
        <is>
          <t>2.10</t>
        </is>
      </c>
      <c r="B70" s="10" t="inlineStr">
        <is>
          <t>2026-07-31</t>
        </is>
      </c>
      <c r="C70" s="10" t="inlineStr">
        <is>
          <t>Claude Code</t>
        </is>
      </c>
      <c r="D70" s="10" t="inlineStr">
        <is>
          <t>Pending</t>
        </is>
      </c>
      <c r="E70"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70" s="10" t="inlineStr">
        <is>
          <t>Superseded by v2.11</t>
        </is>
      </c>
    </row>
    <row r="71">
      <c r="A71" s="8" t="inlineStr">
        <is>
          <t>2.9</t>
        </is>
      </c>
      <c r="B71" s="8" t="inlineStr">
        <is>
          <t>2026-07-31</t>
        </is>
      </c>
      <c r="C71" s="8" t="inlineStr">
        <is>
          <t>Claude Code</t>
        </is>
      </c>
      <c r="D71" s="8" t="inlineStr">
        <is>
          <t>Pending</t>
        </is>
      </c>
      <c r="E71"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71" s="8" t="inlineStr">
        <is>
          <t>Superseded by v2.10</t>
        </is>
      </c>
    </row>
    <row r="72">
      <c r="A72" s="10" t="inlineStr">
        <is>
          <t>2.8</t>
        </is>
      </c>
      <c r="B72" s="10" t="inlineStr">
        <is>
          <t>2026-07-31</t>
        </is>
      </c>
      <c r="C72" s="10" t="inlineStr">
        <is>
          <t>Claude Code</t>
        </is>
      </c>
      <c r="D72" s="10" t="inlineStr">
        <is>
          <t>Pending</t>
        </is>
      </c>
      <c r="E7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72" s="10" t="inlineStr">
        <is>
          <t>Superseded by v2.9</t>
        </is>
      </c>
    </row>
    <row r="73">
      <c r="A73" s="8" t="inlineStr">
        <is>
          <t>2.7</t>
        </is>
      </c>
      <c r="B73" s="8" t="inlineStr">
        <is>
          <t>2026-07-31</t>
        </is>
      </c>
      <c r="C73" s="8" t="inlineStr">
        <is>
          <t>Claude Code</t>
        </is>
      </c>
      <c r="D73" s="8" t="inlineStr">
        <is>
          <t>Pending</t>
        </is>
      </c>
      <c r="E7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73" s="8" t="inlineStr">
        <is>
          <t>Superseded by v2.8</t>
        </is>
      </c>
    </row>
    <row r="74">
      <c r="A74" s="10" t="inlineStr">
        <is>
          <t>2.6</t>
        </is>
      </c>
      <c r="B74" s="10" t="inlineStr">
        <is>
          <t>2026-07-31</t>
        </is>
      </c>
      <c r="C74" s="10" t="inlineStr">
        <is>
          <t>Claude Code</t>
        </is>
      </c>
      <c r="D74" s="10" t="inlineStr">
        <is>
          <t>Pending</t>
        </is>
      </c>
      <c r="E7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74" s="10" t="inlineStr">
        <is>
          <t>Superseded by v2.7</t>
        </is>
      </c>
    </row>
    <row r="75">
      <c r="A75" s="8" t="inlineStr">
        <is>
          <t>2.5</t>
        </is>
      </c>
      <c r="B75" s="8" t="inlineStr">
        <is>
          <t>2026-07-31</t>
        </is>
      </c>
      <c r="C75" s="8" t="inlineStr">
        <is>
          <t>Claude Code</t>
        </is>
      </c>
      <c r="D75" s="8" t="inlineStr">
        <is>
          <t>Pending</t>
        </is>
      </c>
      <c r="E7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75" s="8" t="inlineStr">
        <is>
          <t>Issued for review</t>
        </is>
      </c>
    </row>
    <row r="76">
      <c r="A76" s="10" t="inlineStr">
        <is>
          <t>2.4</t>
        </is>
      </c>
      <c r="B76" s="10" t="inlineStr">
        <is>
          <t>2026-07-31</t>
        </is>
      </c>
      <c r="C76" s="10" t="inlineStr">
        <is>
          <t>Claude Code</t>
        </is>
      </c>
      <c r="D76" s="10" t="inlineStr">
        <is>
          <t>Pending</t>
        </is>
      </c>
      <c r="E7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76" s="10" t="inlineStr">
        <is>
          <t>Issued for review</t>
        </is>
      </c>
    </row>
    <row r="77">
      <c r="A77" s="8" t="inlineStr">
        <is>
          <t>2.3</t>
        </is>
      </c>
      <c r="B77" s="8" t="inlineStr">
        <is>
          <t>2026-07-31</t>
        </is>
      </c>
      <c r="C77" s="8" t="inlineStr">
        <is>
          <t>Claude Code</t>
        </is>
      </c>
      <c r="D77" s="8" t="inlineStr">
        <is>
          <t>Pending</t>
        </is>
      </c>
      <c r="E7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77" s="8" t="inlineStr">
        <is>
          <t>Issued for review</t>
        </is>
      </c>
    </row>
    <row r="78">
      <c r="A78" s="10" t="inlineStr">
        <is>
          <t>2.2</t>
        </is>
      </c>
      <c r="B78" s="10" t="inlineStr">
        <is>
          <t>2026-07-31</t>
        </is>
      </c>
      <c r="C78" s="10" t="inlineStr">
        <is>
          <t>Claude Code</t>
        </is>
      </c>
      <c r="D78" s="10" t="inlineStr">
        <is>
          <t>Pending</t>
        </is>
      </c>
      <c r="E7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78" s="10" t="inlineStr">
        <is>
          <t>Issued for review</t>
        </is>
      </c>
    </row>
    <row r="79">
      <c r="A79" s="8" t="inlineStr">
        <is>
          <t>2.1</t>
        </is>
      </c>
      <c r="B79" s="8" t="inlineStr">
        <is>
          <t>2026-07-31</t>
        </is>
      </c>
      <c r="C79" s="8" t="inlineStr">
        <is>
          <t>Claude Code</t>
        </is>
      </c>
      <c r="D79" s="8" t="inlineStr">
        <is>
          <t>Pending</t>
        </is>
      </c>
      <c r="E7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79" s="8" t="inlineStr">
        <is>
          <t>Issued for review</t>
        </is>
      </c>
    </row>
    <row r="80">
      <c r="A80" s="10" t="inlineStr">
        <is>
          <t>2.0</t>
        </is>
      </c>
      <c r="B80" s="10" t="inlineStr">
        <is>
          <t>2026-08-02</t>
        </is>
      </c>
      <c r="C80" s="10" t="inlineStr">
        <is>
          <t>Claude Code</t>
        </is>
      </c>
      <c r="D80" s="10" t="inlineStr">
        <is>
          <t>Dan</t>
        </is>
      </c>
      <c r="E8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80" s="10" t="inlineStr">
        <is>
          <t>APPROVED 2026-08-02 by Dan - BASELINE</t>
        </is>
      </c>
    </row>
    <row r="81">
      <c r="A81" s="8" t="inlineStr">
        <is>
          <t>1.10</t>
        </is>
      </c>
      <c r="B81" s="8" t="inlineStr">
        <is>
          <t>2026-07-31</t>
        </is>
      </c>
      <c r="C81" s="8" t="inlineStr">
        <is>
          <t>Claude Code</t>
        </is>
      </c>
      <c r="D81" s="8" t="inlineStr">
        <is>
          <t>Pending</t>
        </is>
      </c>
      <c r="E8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81" s="8" t="inlineStr">
        <is>
          <t>Issued for approval</t>
        </is>
      </c>
    </row>
    <row r="82">
      <c r="A82" s="10" t="inlineStr">
        <is>
          <t>1.9</t>
        </is>
      </c>
      <c r="B82" s="10" t="inlineStr">
        <is>
          <t>2026-07-31</t>
        </is>
      </c>
      <c r="C82" s="10" t="inlineStr">
        <is>
          <t>Claude Code</t>
        </is>
      </c>
      <c r="D82" s="10" t="inlineStr">
        <is>
          <t>Pending</t>
        </is>
      </c>
      <c r="E8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82" s="10" t="inlineStr">
        <is>
          <t>Issued for approval</t>
        </is>
      </c>
    </row>
    <row r="83">
      <c r="A83" s="8" t="inlineStr">
        <is>
          <t>1.8</t>
        </is>
      </c>
      <c r="B83" s="8" t="inlineStr">
        <is>
          <t>2026-07-31</t>
        </is>
      </c>
      <c r="C83" s="8" t="inlineStr">
        <is>
          <t>Claude Code</t>
        </is>
      </c>
      <c r="D83" s="8" t="inlineStr">
        <is>
          <t>Pending</t>
        </is>
      </c>
      <c r="E8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83" s="8" t="inlineStr">
        <is>
          <t>Superseded by v1.9</t>
        </is>
      </c>
    </row>
    <row r="84">
      <c r="A84" s="10" t="inlineStr">
        <is>
          <t>1.7</t>
        </is>
      </c>
      <c r="B84" s="10" t="inlineStr">
        <is>
          <t>2026-07-31</t>
        </is>
      </c>
      <c r="C84" s="10" t="inlineStr">
        <is>
          <t>Claude Code</t>
        </is>
      </c>
      <c r="D84" s="10" t="inlineStr">
        <is>
          <t>Pending</t>
        </is>
      </c>
      <c r="E8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84" s="10" t="inlineStr">
        <is>
          <t>Superseded by v1.8</t>
        </is>
      </c>
    </row>
    <row r="85">
      <c r="A85" s="8" t="inlineStr">
        <is>
          <t>1.6</t>
        </is>
      </c>
      <c r="B85" s="8" t="inlineStr">
        <is>
          <t>2026-07-31</t>
        </is>
      </c>
      <c r="C85" s="8" t="inlineStr">
        <is>
          <t>Claude Code</t>
        </is>
      </c>
      <c r="D85" s="8" t="inlineStr">
        <is>
          <t>Pending</t>
        </is>
      </c>
      <c r="E8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85" s="8" t="inlineStr">
        <is>
          <t>Issued for approval</t>
        </is>
      </c>
    </row>
    <row r="87">
      <c r="A8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20" t="inlineStr">
        <is>
          <t>Import of all project and person data from ONE Excel workbook via a browser file picker or drag-and-drop.</t>
        </is>
      </c>
      <c r="B22" s="19"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20" t="inlineStr">
        <is>
          <t>Monthly resource simulation in FTE per project and per person, default 24-month horizon, expandable to the latest project end date.</t>
        </is>
      </c>
      <c r="B25" s="19"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3"/>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9" t="inlineStr">
        <is>
          <t>REQ-OUT-03</t>
        </is>
      </c>
      <c r="B7" s="19" t="inlineStr">
        <is>
          <t>Output</t>
        </is>
      </c>
      <c r="C7" s="20" t="inlineStr">
        <is>
          <t>Source data lives in ONE Excel workbook held separately from the HTML file, and that workbook is the archive of record.</t>
        </is>
      </c>
      <c r="D7" s="19" t="inlineStr">
        <is>
          <t>Must</t>
        </is>
      </c>
      <c r="E7" s="19" t="inlineStr">
        <is>
          <t>Q-09</t>
        </is>
      </c>
      <c r="F7" s="19"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9" t="inlineStr">
        <is>
          <t>REQ-PRJ-01</t>
        </is>
      </c>
      <c r="B10" s="19" t="inlineStr">
        <is>
          <t>Project data</t>
        </is>
      </c>
      <c r="C10" s="20" t="inlineStr">
        <is>
          <t>Each project records a project type, restricted to 'NewDrug CT', 'Biosimilar CT' or 'Others'. The first two are clinical trials and every clinical trial is exactly one of them.</t>
        </is>
      </c>
      <c r="D10" s="19" t="inlineStr">
        <is>
          <t>Must</t>
        </is>
      </c>
      <c r="E10" s="19" t="inlineStr">
        <is>
          <t>R-05</t>
        </is>
      </c>
      <c r="F10" s="19" t="inlineStr">
        <is>
          <t>2</t>
        </is>
      </c>
    </row>
    <row r="11">
      <c r="A11" s="19" t="inlineStr">
        <is>
          <t>REQ-PRJ-02</t>
        </is>
      </c>
      <c r="B11" s="19" t="inlineStr">
        <is>
          <t>Project data</t>
        </is>
      </c>
      <c r="C11" s="20" t="inlineStr">
        <is>
          <t>Each project records a project category. For either clinical trial type the category is the product name; the field is optional for 'Others'.</t>
        </is>
      </c>
      <c r="D11" s="19" t="inlineStr">
        <is>
          <t>Must</t>
        </is>
      </c>
      <c r="E11" s="19" t="inlineStr">
        <is>
          <t>R-05</t>
        </is>
      </c>
      <c r="F11" s="19"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19" t="inlineStr">
        <is>
          <t>REQ-PRJ-04</t>
        </is>
      </c>
      <c r="B13" s="19" t="inlineStr">
        <is>
          <t>Project data</t>
        </is>
      </c>
      <c r="C13" s="20" t="inlineStr">
        <is>
          <t>Each project records its conditions: outsourcing type ('Full outsourcing' / 'Partial outsourcing' / 'Full In-house') and the number of project members.</t>
        </is>
      </c>
      <c r="D13" s="19" t="inlineStr">
        <is>
          <t>Must</t>
        </is>
      </c>
      <c r="E13" s="19" t="inlineStr">
        <is>
          <t>Q-14</t>
        </is>
      </c>
      <c r="F13" s="19" t="inlineStr">
        <is>
          <t>2</t>
        </is>
      </c>
    </row>
    <row r="14">
      <c r="A14" s="19" t="inlineStr">
        <is>
          <t>REQ-PRJ-06</t>
        </is>
      </c>
      <c r="B14" s="19" t="inlineStr">
        <is>
          <t>Project data</t>
        </is>
      </c>
      <c r="C14" s="20" t="inlineStr">
        <is>
          <t>Each project carries a resource weight per period. For a clinical trial the weight is seeded from a standard keyed on clinical phase; for 'Others' it is entered by hand.</t>
        </is>
      </c>
      <c r="D14" s="19" t="inlineStr">
        <is>
          <t>Must</t>
        </is>
      </c>
      <c r="E14" s="19" t="inlineStr">
        <is>
          <t>Q-26, Q-28</t>
        </is>
      </c>
      <c r="F14" s="19"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19" t="inlineStr">
        <is>
          <t>REQ-PRJ-12</t>
        </is>
      </c>
      <c r="B18" s="19" t="inlineStr">
        <is>
          <t>Project data</t>
        </is>
      </c>
      <c r="C18" s="20"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19" t="inlineStr">
        <is>
          <t>Must</t>
        </is>
      </c>
      <c r="E18" s="19" t="inlineStr">
        <is>
          <t>Q-18, Q-23, R-02, R-11</t>
        </is>
      </c>
      <c r="F18" s="19"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19" t="inlineStr">
        <is>
          <t>REQ-PRJ-09</t>
        </is>
      </c>
      <c r="B20" s="19" t="inlineStr">
        <is>
          <t>Project data</t>
        </is>
      </c>
      <c r="C20" s="20" t="inlineStr">
        <is>
          <t>A clinical trial of either type records its clinical phase (phase 1 / 2 / 3 / 4). The phase determines the project's period weights, so it drives the simulation rather than merely describing the project.</t>
        </is>
      </c>
      <c r="D20" s="19" t="inlineStr">
        <is>
          <t>Must</t>
        </is>
      </c>
      <c r="E20" s="19" t="inlineStr">
        <is>
          <t>Q-26</t>
        </is>
      </c>
      <c r="F20" s="19"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19" t="inlineStr">
        <is>
          <t>REQ-PSN-03</t>
        </is>
      </c>
      <c r="B25" s="19" t="inlineStr">
        <is>
          <t>Person data</t>
        </is>
      </c>
      <c r="C25" s="20" t="inlineStr">
        <is>
          <t>Each assignment records the role(s) the person holds on that project, drawn from the role list valid for that project's type.</t>
        </is>
      </c>
      <c r="D25" s="19" t="inlineStr">
        <is>
          <t>Must</t>
        </is>
      </c>
      <c r="E25" s="19" t="inlineStr">
        <is>
          <t>Q-03</t>
        </is>
      </c>
      <c r="F25" s="19"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19" t="inlineStr">
        <is>
          <t>REQ-PSN-05</t>
        </is>
      </c>
      <c r="B27" s="19" t="inlineStr">
        <is>
          <t>Person data</t>
        </is>
      </c>
      <c r="C27" s="20" t="inlineStr">
        <is>
          <t>Each assignment carries a person weight saying how much that person works on that project, with optional period-specific overrides.</t>
        </is>
      </c>
      <c r="D27" s="19" t="inlineStr">
        <is>
          <t>Must</t>
        </is>
      </c>
      <c r="E27" s="19" t="inlineStr">
        <is>
          <t>Q-01</t>
        </is>
      </c>
      <c r="F27" s="19"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19" t="inlineStr">
        <is>
          <t>REQ-CAL-01</t>
        </is>
      </c>
      <c r="B30" s="19" t="inlineStr">
        <is>
          <t>Calculation</t>
        </is>
      </c>
      <c r="C30" s="20" t="inlineStr">
        <is>
          <t>Resource is simulated on a monthly grid, default horizon 24 months, expandable to the latest project end date.</t>
        </is>
      </c>
      <c r="D30" s="19" t="inlineStr">
        <is>
          <t>Must</t>
        </is>
      </c>
      <c r="E30" s="19" t="inlineStr">
        <is>
          <t>Q-11</t>
        </is>
      </c>
      <c r="F30" s="19" t="inlineStr">
        <is>
          <t>4</t>
        </is>
      </c>
    </row>
    <row r="31">
      <c r="A31" s="19" t="inlineStr">
        <is>
          <t>REQ-CAL-02</t>
        </is>
      </c>
      <c r="B31" s="19" t="inlineStr">
        <is>
          <t>Calculation</t>
        </is>
      </c>
      <c r="C31" s="20"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19" t="inlineStr">
        <is>
          <t>Must</t>
        </is>
      </c>
      <c r="E31" s="19" t="inlineStr">
        <is>
          <t>Q-01, R-10, R-12, R-13</t>
        </is>
      </c>
      <c r="F31" s="19" t="inlineStr">
        <is>
          <t>2,4</t>
        </is>
      </c>
    </row>
    <row r="32">
      <c r="A32" s="17" t="inlineStr">
        <is>
          <t>REQ-DSH-16</t>
        </is>
      </c>
      <c r="B32" s="17" t="inlineStr">
        <is>
          <t>Dashboard</t>
        </is>
      </c>
      <c r="C32" s="18" t="inlineStr">
        <is>
          <t>THE SCREEN IS READABLE AT THE SIZE THE PLAN ACTUALLY IS, AND SAYS WHAT ITS COLUMNS MEAN. Five things, none of which changes a figure. (a) A CHART THAT CAN RUN LONG GROWS WITH ITS HORIZON AND ITS PANEL SCROLLS. Every month is guaranteed a minimum width of plot; past the point where they all fit, the panel scrolls sideways rather than compressing the axis until its labels overlap. A fixed width is only readable over the span it was chosen for, and it fails silently - the chart still draws, it simply stops being legible, and it does so on the long plans that most need reading. The default two-year view is unchanged, so the rule is invisible to anyone who did not need it. (b) A WIDE TABLE GETS THE WHOLE WIDTH. Panels are placed side by side only where both are narrow enough to be read there; three tables of eleven, seven and eight columns are stacked, in the order the work is done in - the assignment, then its override windows, then its months - not tiled into halves that each scroll sideways permanently. (c) A PANEL THAT IS A CHILD OF A SELECTION NAMES THE ROW IT BELONGS TO, under its title, from ONE helper shared with every other panel that names the same thing, so two statements of the same fact cannot drift apart. (d) CLICKING A LEGEND ENTRY PICKS THAT SERIES OUT: everything that is not it fades back, a second click or Escape brings it home. Twenty bands in twenty shades of one palette read as a total and not as a series, and the fix is not more colours. THE PICK APPLIES TO THE WHOLE TAB, because the question asked is 'where is this project on this page'; a chart cut along a DIFFERENT axis, which has no mark for that key at all, is left alone rather than faded to nothing, since a chart with everything dimmed and nothing lit reads as 'this has no data' instead of 'this cannot answer that'. A mark standing for two series at once - a timeline band is a period OF a project - answers to either. Marks belonging to the MONTH rather than to a series never fade: thresholds, baselines, and the outline that marks a month off its standard are facts about the month and stay at full strength. Every entry is a button, operable from the keyboard and stating whether it is pressed (D-04). (e) EVERY COLUMN HEADING IS A PLAIN NAME, and the workbook's own column name is in the pop-up rather than on the page. Those column names are not, by themselves, labels, and their meaning existed only in a pop-up - which is to say only for a reader who knew to hover. WHERE THE IDENTIFIER BELONGS WAS SETTLED TWICE and the second answer is the one to keep: it was first printed on a second line under the label, because the screen and the file are the same thing and a heading must be findable in the spreadsheet; but looking a column name up is OCCASIONAL - editing the workbook, chasing a finding - while a heading is read on EVERY glance, so printing it charged the common case for the rare one when the pop-up already answered it in full. Every heading carries a pop-up naming both, and the identifier as data-cid for whatever must read it. Nothing is renamed, the cell still writes back through the identifier, and the same two-part head is used on the heading's pop-up, on every cell's and on the filter buttons', so it is learned once.</t>
        </is>
      </c>
      <c r="D32" s="17" t="inlineStr">
        <is>
          <t>Should</t>
        </is>
      </c>
      <c r="E32" s="17" t="inlineStr">
        <is>
          <t>R-45</t>
        </is>
      </c>
      <c r="F32" s="17" t="inlineStr">
        <is>
          <t>4</t>
        </is>
      </c>
    </row>
    <row r="33">
      <c r="A33" s="17" t="inlineStr">
        <is>
          <t>REQ-DSH-15</t>
        </is>
      </c>
      <c r="B33" s="17" t="inlineStr">
        <is>
          <t>Dashboard</t>
        </is>
      </c>
      <c r="C33" s="18" t="inlineStr">
        <is>
          <t>WHERE A PROJECT IS NOT BEING GIVEN WHAT ITS OWN STANDARD SAYS IT NEEDS, THE APPLICATION SAYS SO. Two figures can come apart and the obvious pair is not one of them: a project's month against the sum of its people CANNOT differ, because the month is built from those people (REQ-OUT-06). The pair that does is DEMAND against APPLIED. An automatic month has them equal by construction - the shares add to one (REQ-CAL-19) - and a figure stated by hand at either level replaces the standard rather than adjusting it, after which the application simply drew a different project: a study needing 10.00 and staffed at 5.00 looked exactly like a study that only ever needed 5.00. FOUR SURFACES, chosen so that nothing has to be suspected before it is seen. V-34 reports it, which carries it into the findings report, the load banner, the archived change log and the results export at no further cost. The figure is MARKED where it is drawn - in Resource by project and on the project's own utilisation chart - because a shortfall that must be hovered over is very nearly as silent as one nobody reports. A TILE on Overall counts it beside the over- and under-allocation tiles, in the place people already look. And a SECTION on Overall, Standard vs staffed, lists every month with what it needs, what it is getting and the gap. NOT A TAB: a tab is the surface you visit only once you already suspect a problem, which is the wrong property for something whose whole danger is that it is silent - and the findings report is already the list of everything wrong. EVERY ROW OPENS THE MONTH ITSELF, AND EVERY FIGURE IN IT CAN BE CHANGED THERE. A month that already has a MonthlyEstimate row is an ORDINARY editable cell over it, so the one editing path validates, logs, marks and undoes it; a second way to change a figure is a second way that can drift. A month that has NO row cannot be one - there is nothing to write through - so its cell offers to CREATE the row instead, and it must, because the figure a reader most wants to change on this screen is the one belonging to somebody still on automatic, and a dash there said the screen was read-only for them. WHAT IT MUST NOT DO IS QUIETLY WRITE ONE ROW: an automatic assignment ignores MonthlyEstimate entirely, so a lone row is a figure nothing reads, and setting estimation_type without seeding the other months counts every one of them as 0.00 - the one change in this application that silently zeroes a figure (REQ-CAL-18). So a figure typed against an automatic assignment ASKS, naming how many months will be stated and what this one becomes, and then the switch, the seeding and the typed figure happen together or none of them happen. A thing ALREADY manual with no figure for that month is V-31 and does not ask - the months are already the user's, and asking would be asking permission for something already given. BOTH DIRECTIONS, COUNTED APART AND NEVER NETTED: short of the standard is a project asked to run on less than its kind takes, over it is one deliberately staffed heavier, and five short in September against five over in October is not a plan in balance however the arithmetic reads. Marked with an arrow as well as a colour (D-04) - amber and red are the confusable pair and they are exactly the two directions here.</t>
        </is>
      </c>
      <c r="D33" s="17" t="inlineStr">
        <is>
          <t>Should</t>
        </is>
      </c>
      <c r="E33" s="17" t="inlineStr">
        <is>
          <t>R-42</t>
        </is>
      </c>
      <c r="F33" s="17" t="inlineStr">
        <is>
          <t>4</t>
        </is>
      </c>
    </row>
    <row r="34">
      <c r="A34" s="17" t="inlineStr">
        <is>
          <t>REQ-DSH-14</t>
        </is>
      </c>
      <c r="B34" s="17" t="inlineStr">
        <is>
          <t>Dashboard</t>
        </is>
      </c>
      <c r="C34" s="18" t="inlineStr">
        <is>
          <t>WHERE A FIGURE'S SIZE WAS DECIDED SOMEWHERE ELSE, THE TABLE SHOWING THE FIGURE NAMES WHAT DECIDED IT, in a column that is looked up and cannot be edited. Three of them, because three tables each showed one term of an expression and left the reader to find the rest in another tab: the Periods table names the STANDARD MONTHLY FTE its period selects and multiplies it by the project's own weight, so the row carries the month's demand instead of half the expression for it; both Monthly estimation panels carry THE WHOLE DERIVATION OF THE MONTH, TERM BY TERM - the period it falls in, the standard that period selects, the project's own weight, how much of the month it ran, and their product - so a reader who disagrees with an automatic figure can see WHICH of the inputs they disagree with rather than only that they disagree. The person's panel adds their CLAIM on that month: role factor / sharers x person weight x month coverage, ending in the PERCENTAGE of the project's month it won. The two halves are closed off SEPARATELY and the person's is stated as a proportion, never as a product equal to the figure, because since R-32 it is not one - the claim is normalised against every other claim on that project-month (REQ-CAL-19), so terms multiplying to 0.60 can give a figure of 2.40, and writing them as one product would assert an arithmetic the application does not do. A PersonPeriodWeight override is shown as ONE TERM WITH TWO SOURCES rather than as a second factor: it REPLACES person_weight for the months it covers (REQ-PSN-05), and the cell names both values and says which was used. The sharer count also keeps a short column of its own, where it can be sorted and filtered - the derivation is a sentence and is neither. Every fallback SAYS it is a fallback and names its rule - V-19 for a missing standard, V-23 for a missing role factor, V-12 for a month in no period - because a bare 1.00 is indistinguishable from a standard that really is 1.00, which is the whole reason those rules exist. LOOKED UP, NEVER STORED: none of the three is a column of the sheet it is shown beside, so no edit and no save can leave a stale copy of a standard in a file after the standards have moved - which is the failure the lookup exists to prevent. NAMED FROM THE CALCULATION'S OWN WORKINGS, not by asking the sheets again, so a screen cannot name one period while the figure beside it came from another. A missing standard says it is missing and names V-19 rather than printing the 1.00 the calculation falls back to; that fallback is a degradation, and showing it as a standard would hide the very thing V-19 reports.</t>
        </is>
      </c>
      <c r="D34" s="17" t="inlineStr">
        <is>
          <t>Should</t>
        </is>
      </c>
      <c r="E34" s="17" t="inlineStr">
        <is>
          <t>R-40</t>
        </is>
      </c>
      <c r="F34" s="17" t="inlineStr">
        <is>
          <t>4</t>
        </is>
      </c>
    </row>
    <row r="35">
      <c r="A35" s="17" t="inlineStr">
        <is>
          <t>REQ-DSH-13</t>
        </is>
      </c>
      <c r="B35" s="17" t="inlineStr">
        <is>
          <t>Dashboard</t>
        </is>
      </c>
      <c r="C35"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5" s="17" t="inlineStr">
        <is>
          <t>Must</t>
        </is>
      </c>
      <c r="E35" s="17" t="inlineStr">
        <is>
          <t>R-23</t>
        </is>
      </c>
      <c r="F35" s="17" t="inlineStr">
        <is>
          <t>4</t>
        </is>
      </c>
    </row>
    <row r="36">
      <c r="A36" s="17" t="inlineStr">
        <is>
          <t>REQ-CAL-20</t>
        </is>
      </c>
      <c r="B36" s="17" t="inlineStr">
        <is>
          <t>Calculation</t>
        </is>
      </c>
      <c r="C36" s="18" t="inlineStr">
        <is>
          <t>EVERY FTE FIGURE THE APPLICATION PRODUCES IS A WHOLE NUMBER OF HUNDREDTHS - not displayed to two places, but IS two places. The rounding happens once, where a person-month is decided, so the screen, the results export, the change log and all four independent implementations report the same number: a figure shown as 4.27 was 4.27 when it was worked out, not 4.2683 dressed up for a table. Two places because that is the granularity the plan is written in: at 160 hours to the FTE, 0.01 is 1.6 hours, the smallest edit that means anything to somebody staffing a study, and already what a manual estimate is typed at (REQ-CAL-18). ROUNDING EACH SHARE ON ITS OWN WOULD NOT DO - round three shares of 4.27 separately and they come to 4.26 or 4.28, so the detail rows would stop summing to the month (REQ-OUT-06) and the shares would stop adding to one (REQ-CAL-19); measured on the 62-project fixture that missed on 644 of 1,629 project-months. So THE MONTH IS ROUNDED FIRST AND ITS HUNDREDTHS ARE HANDED OUT: each line takes its floor and the hundredths left over go to the lines with the largest remainders, one each - the largest-remainder method, which makes both guarantees exact by construction rather than by tolerance. THE TIE-BREAK IS PART OF THE RULE: where two remainders are equal the hundredth goes to the line whose assignment_id sorts first, a total order that does not depend on array order or on the order rows were read from a sheet. Without it two implementations could differ by 0.01 and both be right. A row therefore sits up to 0.01 from the exact product of its own terms - measured worst 0.0070 - and the results export says so. Hundredths are counted as integers throughout, so the arithmetic cannot introduce the error it exists to remove.</t>
        </is>
      </c>
      <c r="D36" s="17" t="inlineStr">
        <is>
          <t>Must</t>
        </is>
      </c>
      <c r="E36" s="17" t="inlineStr">
        <is>
          <t>R-38</t>
        </is>
      </c>
      <c r="F36" s="17" t="inlineStr">
        <is>
          <t>4</t>
        </is>
      </c>
    </row>
    <row r="37">
      <c r="A37" s="17" t="inlineStr">
        <is>
          <t>REQ-CAL-19</t>
        </is>
      </c>
      <c r="B37" s="17" t="inlineStr">
        <is>
          <t>Calculation</t>
        </is>
      </c>
      <c r="C37" s="18" t="inlineStr">
        <is>
          <t>A PROJECT-MONTH IS ITS STANDARD. PeriodFTEStandard.standard_fte is the DEMAND in FTE for a project of this type, clinical phase and work scope in this period; ProjectPeriod.weight ADJUSTS it for the particular study (1.00 = an ordinary project of its kind); and the product, scaled by how much of the month the project actually ran, IS the month. The people on it DIVIDE that month rather than each adding to it. Every term that used to reduce a figure now decides a share: role factor / people holding that role, times person_weight, times that person's own month coverage, makes a CLAIM; the claim over the sum of the claims is the SHARE; the share times the demand is the figure. THE SHARES ADD TO ONE BY CONSTRUCTION, so the month is its demand however many people are on it and whatever their weights - an unstaffed role's work lands on the others (REQ-CAL-16 decides on WHOM), and a part-time commitment pushes load onto colleagues rather than making the project cheaper. Under-staffing is therefore visible on the PEOPLE, as months over the ceiling, and never as a project that costs less than the work it contains. The month a project ran is taken as the largest coverage any of its people have, so a project whose period ends on the 10th draws a third of a month rather than a whole one. A missing standard falls back to 1.00 and V-19 reports it.</t>
        </is>
      </c>
      <c r="D37" s="17" t="inlineStr">
        <is>
          <t>Must</t>
        </is>
      </c>
      <c r="E37" s="17" t="inlineStr">
        <is>
          <t>R-31, R-32</t>
        </is>
      </c>
      <c r="F37" s="17" t="inlineStr">
        <is>
          <t>4</t>
        </is>
      </c>
    </row>
    <row r="38">
      <c r="A38" s="17" t="inlineStr">
        <is>
          <t>REQ-CAL-18</t>
        </is>
      </c>
      <c r="B38" s="17" t="inlineStr">
        <is>
          <t>Calculation</t>
        </is>
      </c>
      <c r="C38"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share R-32 would otherwise have given them;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8" s="17" t="inlineStr">
        <is>
          <t>Must</t>
        </is>
      </c>
      <c r="E38" s="17" t="inlineStr">
        <is>
          <t>R-30</t>
        </is>
      </c>
      <c r="F38" s="17" t="inlineStr">
        <is>
          <t>4</t>
        </is>
      </c>
    </row>
    <row r="39">
      <c r="A39" s="17" t="inlineStr">
        <is>
          <t>REQ-CAL-17</t>
        </is>
      </c>
      <c r="B39" s="17" t="inlineStr">
        <is>
          <t>Calculation</t>
        </is>
      </c>
      <c r="C39"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9" s="17" t="inlineStr">
        <is>
          <t>Must</t>
        </is>
      </c>
      <c r="E39" s="17" t="inlineStr">
        <is>
          <t>R-20</t>
        </is>
      </c>
      <c r="F39" s="17" t="inlineStr">
        <is>
          <t>4</t>
        </is>
      </c>
    </row>
    <row r="40">
      <c r="A40" s="17" t="inlineStr">
        <is>
          <t>REQ-CAL-16</t>
        </is>
      </c>
      <c r="B40" s="17" t="inlineStr">
        <is>
          <t>Calculation</t>
        </is>
      </c>
      <c r="C40"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40" s="17" t="inlineStr">
        <is>
          <t>Must</t>
        </is>
      </c>
      <c r="E40" s="17" t="inlineStr">
        <is>
          <t>R-17</t>
        </is>
      </c>
      <c r="F40" s="17" t="inlineStr">
        <is>
          <t>4</t>
        </is>
      </c>
    </row>
    <row r="41">
      <c r="A41" s="17" t="inlineStr">
        <is>
          <t>REQ-CAL-15</t>
        </is>
      </c>
      <c r="B41" s="17" t="inlineStr">
        <is>
          <t>Calculation</t>
        </is>
      </c>
      <c r="C41"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41" s="17" t="inlineStr">
        <is>
          <t>Must</t>
        </is>
      </c>
      <c r="E41" s="17" t="inlineStr">
        <is>
          <t>R-15</t>
        </is>
      </c>
      <c r="F41" s="17" t="inlineStr">
        <is>
          <t>4</t>
        </is>
      </c>
    </row>
    <row r="42">
      <c r="A42" s="17" t="inlineStr">
        <is>
          <t>REQ-CAL-14</t>
        </is>
      </c>
      <c r="B42" s="17" t="inlineStr">
        <is>
          <t>Calculation</t>
        </is>
      </c>
      <c r="C42"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42" s="17" t="inlineStr">
        <is>
          <t>Must</t>
        </is>
      </c>
      <c r="E42" s="17" t="inlineStr">
        <is>
          <t>R-13</t>
        </is>
      </c>
      <c r="F42" s="17" t="inlineStr">
        <is>
          <t>4</t>
        </is>
      </c>
    </row>
    <row r="43">
      <c r="A43" s="8" t="inlineStr">
        <is>
          <t>REQ-CAL-03</t>
        </is>
      </c>
      <c r="B43" s="8" t="inlineStr">
        <is>
          <t>Calculation</t>
        </is>
      </c>
      <c r="C43" s="9" t="inlineStr">
        <is>
          <t>Project monthly load is the sum of its assignments; person monthly load is the sum across all their projects.</t>
        </is>
      </c>
      <c r="D43" s="8" t="inlineStr">
        <is>
          <t>Must</t>
        </is>
      </c>
      <c r="E43" s="8" t="inlineStr">
        <is>
          <t>Requester</t>
        </is>
      </c>
      <c r="F43" s="8" t="inlineStr">
        <is>
          <t>4</t>
        </is>
      </c>
    </row>
    <row r="44">
      <c r="A44" s="19" t="inlineStr">
        <is>
          <t>REQ-CAL-04</t>
        </is>
      </c>
      <c r="B44" s="19" t="inlineStr">
        <is>
          <t>Calculation</t>
        </is>
      </c>
      <c r="C44" s="20" t="inlineStr">
        <is>
          <t>A person-month whose total exceeds the over-allocation threshold (default 1.50 FTE) is flagged as over-allocated. The threshold is absolute, not scaled by capacity (S2-01).</t>
        </is>
      </c>
      <c r="D44" s="19" t="inlineStr">
        <is>
          <t>Must</t>
        </is>
      </c>
      <c r="E44" s="19" t="inlineStr">
        <is>
          <t>Q-08, S2-01</t>
        </is>
      </c>
      <c r="F44" s="19" t="inlineStr">
        <is>
          <t>4</t>
        </is>
      </c>
    </row>
    <row r="45">
      <c r="A45" s="19" t="inlineStr">
        <is>
          <t>REQ-CAL-05</t>
        </is>
      </c>
      <c r="B45" s="19" t="inlineStr">
        <is>
          <t>Calculation</t>
        </is>
      </c>
      <c r="C45" s="20" t="inlineStr">
        <is>
          <t>A partial first or last month is pro-rated by calendar days worked, not counted as a whole month.</t>
        </is>
      </c>
      <c r="D45" s="19" t="inlineStr">
        <is>
          <t>Must</t>
        </is>
      </c>
      <c r="E45" s="19" t="inlineStr">
        <is>
          <t>Q-02</t>
        </is>
      </c>
      <c r="F45" s="19" t="inlineStr">
        <is>
          <t>4</t>
        </is>
      </c>
    </row>
    <row r="46">
      <c r="A46" s="10" t="inlineStr">
        <is>
          <t>REQ-CAL-06</t>
        </is>
      </c>
      <c r="B46" s="10" t="inlineStr">
        <is>
          <t>Calculation</t>
        </is>
      </c>
      <c r="C46" s="11" t="inlineStr">
        <is>
          <t>All weights, factors and thresholds are data, held in the source workbook, never hardcoded in the program.</t>
        </is>
      </c>
      <c r="D46" s="10" t="inlineStr">
        <is>
          <t>Must</t>
        </is>
      </c>
      <c r="E46" s="10" t="inlineStr">
        <is>
          <t>Derived</t>
        </is>
      </c>
      <c r="F46" s="10" t="inlineStr">
        <is>
          <t>4</t>
        </is>
      </c>
    </row>
    <row r="47">
      <c r="A47" s="19" t="inlineStr">
        <is>
          <t>REQ-CAL-07</t>
        </is>
      </c>
      <c r="B47" s="19" t="inlineStr">
        <is>
          <t>Calculation</t>
        </is>
      </c>
      <c r="C47" s="20" t="inlineStr">
        <is>
          <t>A person whose monthly total stays below the under-allocation threshold (default 0.60 FTE) for three or more consecutive months is flagged as under-allocated, with the run's start and length reported. The threshold is absolute, not scaled by capacity.</t>
        </is>
      </c>
      <c r="D47" s="19" t="inlineStr">
        <is>
          <t>Must</t>
        </is>
      </c>
      <c r="E47" s="19" t="inlineStr">
        <is>
          <t>Q-08, S2-01, S2-05</t>
        </is>
      </c>
      <c r="F47" s="19" t="inlineStr">
        <is>
          <t>4</t>
        </is>
      </c>
    </row>
    <row r="48">
      <c r="A48" s="17" t="inlineStr">
        <is>
          <t>REQ-CAL-08</t>
        </is>
      </c>
      <c r="B48" s="17" t="inlineStr">
        <is>
          <t>Calculation</t>
        </is>
      </c>
      <c r="C48" s="18" t="inlineStr">
        <is>
          <t>Load is expressed in FTE, where 1.00 FTE = 160 hours per month (8 h/day x 5 days/week x 20 days/month). Hours are shown alongside FTE where useful.</t>
        </is>
      </c>
      <c r="D48" s="17" t="inlineStr">
        <is>
          <t>Must</t>
        </is>
      </c>
      <c r="E48" s="17" t="inlineStr">
        <is>
          <t>Q-08</t>
        </is>
      </c>
      <c r="F48" s="17" t="inlineStr">
        <is>
          <t>4</t>
        </is>
      </c>
    </row>
    <row r="49">
      <c r="A49" s="19" t="inlineStr">
        <is>
          <t>REQ-CAL-09</t>
        </is>
      </c>
      <c r="B49" s="19" t="inlineStr">
        <is>
          <t>Calculation</t>
        </is>
      </c>
      <c r="C49" s="20"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9" s="19" t="inlineStr">
        <is>
          <t>Must</t>
        </is>
      </c>
      <c r="E49" s="19" t="inlineStr">
        <is>
          <t>Q-16, Q-22, Q-23, Q-25</t>
        </is>
      </c>
      <c r="F49" s="19" t="inlineStr">
        <is>
          <t>2,4</t>
        </is>
      </c>
    </row>
    <row r="50">
      <c r="A50" s="17" t="inlineStr">
        <is>
          <t>REQ-CAL-10</t>
        </is>
      </c>
      <c r="B50" s="17" t="inlineStr">
        <is>
          <t>Calculation</t>
        </is>
      </c>
      <c r="C50" s="18" t="inlineStr">
        <is>
          <t>Every month of a project's timeline falls in exactly one period. A month left uncovered by the derivation is reported and carries weight 1.00 rather than being dropped from the simulation.</t>
        </is>
      </c>
      <c r="D50" s="17" t="inlineStr">
        <is>
          <t>Must</t>
        </is>
      </c>
      <c r="E50" s="17" t="inlineStr">
        <is>
          <t>Derived from Q-16</t>
        </is>
      </c>
      <c r="F50" s="17" t="inlineStr">
        <is>
          <t>2,4</t>
        </is>
      </c>
    </row>
    <row r="51">
      <c r="A51" s="19" t="inlineStr">
        <is>
          <t>REQ-CAL-11</t>
        </is>
      </c>
      <c r="B51" s="19" t="inlineStr">
        <is>
          <t>Calculation</t>
        </is>
      </c>
      <c r="C51" s="20"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51" s="19" t="inlineStr">
        <is>
          <t>Must</t>
        </is>
      </c>
      <c r="E51" s="19" t="inlineStr">
        <is>
          <t>Q-23, R-11</t>
        </is>
      </c>
      <c r="F51" s="19" t="inlineStr">
        <is>
          <t>2,4</t>
        </is>
      </c>
    </row>
    <row r="52">
      <c r="A52" s="17" t="inlineStr">
        <is>
          <t>REQ-CAL-13</t>
        </is>
      </c>
      <c r="B52" s="17" t="inlineStr">
        <is>
          <t>Calculation</t>
        </is>
      </c>
      <c r="C52" s="18" t="inlineStr">
        <is>
          <t>Where a period boundary has both a milestone and a month-offset definition, a recorded milestone date wins. The offset is the fallback for a project that does not carry that milestone.</t>
        </is>
      </c>
      <c r="D52" s="17" t="inlineStr">
        <is>
          <t>Must</t>
        </is>
      </c>
      <c r="E52" s="17" t="inlineStr">
        <is>
          <t>R-02</t>
        </is>
      </c>
      <c r="F52" s="17" t="inlineStr">
        <is>
          <t>2,4</t>
        </is>
      </c>
    </row>
    <row r="53">
      <c r="A53" s="17" t="inlineStr">
        <is>
          <t>REQ-CAL-12</t>
        </is>
      </c>
      <c r="B53" s="17" t="inlineStr">
        <is>
          <t>Calculation</t>
        </is>
      </c>
      <c r="C53" s="18" t="inlineStr">
        <is>
          <t>Where a timeline squeezes a derived period to zero or negative length, that period is omitted and the omission reported. Boundaries are applied in order so the periods always stay contiguous.</t>
        </is>
      </c>
      <c r="D53" s="17" t="inlineStr">
        <is>
          <t>Must</t>
        </is>
      </c>
      <c r="E53" s="17" t="inlineStr">
        <is>
          <t>Derived from Q-22, Q-23</t>
        </is>
      </c>
      <c r="F53" s="17" t="inlineStr">
        <is>
          <t>2,4</t>
        </is>
      </c>
    </row>
    <row r="54">
      <c r="A54" s="10" t="inlineStr">
        <is>
          <t>REQ-DSH-01</t>
        </is>
      </c>
      <c r="B54" s="10" t="inlineStr">
        <is>
          <t>Dashboard</t>
        </is>
      </c>
      <c r="C54" s="11" t="inlineStr">
        <is>
          <t>Tab 'Overall' shows monthly resource simulation per project and per person as tables.</t>
        </is>
      </c>
      <c r="D54" s="10" t="inlineStr">
        <is>
          <t>Must</t>
        </is>
      </c>
      <c r="E54" s="10" t="inlineStr">
        <is>
          <t>Requester</t>
        </is>
      </c>
      <c r="F54" s="10" t="inlineStr">
        <is>
          <t>3,4</t>
        </is>
      </c>
    </row>
    <row r="55">
      <c r="A55" s="8" t="inlineStr">
        <is>
          <t>REQ-DSH-02</t>
        </is>
      </c>
      <c r="B55" s="8" t="inlineStr">
        <is>
          <t>Dashboard</t>
        </is>
      </c>
      <c r="C55" s="9" t="inlineStr">
        <is>
          <t>Tab 'Overall' shows appropriate graphs of the same simulation.</t>
        </is>
      </c>
      <c r="D55" s="8" t="inlineStr">
        <is>
          <t>Must</t>
        </is>
      </c>
      <c r="E55" s="8" t="inlineStr">
        <is>
          <t>Requester</t>
        </is>
      </c>
      <c r="F55" s="8" t="inlineStr">
        <is>
          <t>3,4</t>
        </is>
      </c>
    </row>
    <row r="56">
      <c r="A56" s="10" t="inlineStr">
        <is>
          <t>REQ-DSH-03</t>
        </is>
      </c>
      <c r="B56" s="10" t="inlineStr">
        <is>
          <t>Dashboard</t>
        </is>
      </c>
      <c r="C56" s="11" t="inlineStr">
        <is>
          <t>Tab 'Source data (project)' shows project information as a table.</t>
        </is>
      </c>
      <c r="D56" s="10" t="inlineStr">
        <is>
          <t>Must</t>
        </is>
      </c>
      <c r="E56" s="10" t="inlineStr">
        <is>
          <t>Requester</t>
        </is>
      </c>
      <c r="F56" s="10" t="inlineStr">
        <is>
          <t>3,4</t>
        </is>
      </c>
    </row>
    <row r="57">
      <c r="A57" s="8" t="inlineStr">
        <is>
          <t>REQ-DSH-04</t>
        </is>
      </c>
      <c r="B57" s="8" t="inlineStr">
        <is>
          <t>Dashboard</t>
        </is>
      </c>
      <c r="C57" s="9" t="inlineStr">
        <is>
          <t>Tab 'Source data (person)' shows person information as a table.</t>
        </is>
      </c>
      <c r="D57" s="8" t="inlineStr">
        <is>
          <t>Must</t>
        </is>
      </c>
      <c r="E57" s="8" t="inlineStr">
        <is>
          <t>Requester</t>
        </is>
      </c>
      <c r="F57" s="8" t="inlineStr">
        <is>
          <t>3,4</t>
        </is>
      </c>
    </row>
    <row r="58">
      <c r="A58" s="19" t="inlineStr">
        <is>
          <t>REQ-DSH-05</t>
        </is>
      </c>
      <c r="B58" s="19" t="inlineStr">
        <is>
          <t>Dashboard</t>
        </is>
      </c>
      <c r="C58" s="20" t="inlineStr">
        <is>
          <t>One filter set drives every tab: date horizon, project type, clinical phase, project, person, role and department, with a single action to clear them all. The display unit is a setting, not a filter - it changes how figures are written, not which are shown.</t>
        </is>
      </c>
      <c r="D58" s="19" t="inlineStr">
        <is>
          <t>Should</t>
        </is>
      </c>
      <c r="E58" s="19" t="inlineStr">
        <is>
          <t>Derived / O-03</t>
        </is>
      </c>
      <c r="F58" s="19" t="inlineStr">
        <is>
          <t>3,4</t>
        </is>
      </c>
    </row>
    <row r="59">
      <c r="A59" s="8" t="inlineStr">
        <is>
          <t>REQ-DSH-06</t>
        </is>
      </c>
      <c r="B59" s="8" t="inlineStr">
        <is>
          <t>Dashboard</t>
        </is>
      </c>
      <c r="C59" s="9" t="inlineStr">
        <is>
          <t>Any table on screen can be exported to Excel.</t>
        </is>
      </c>
      <c r="D59" s="8" t="inlineStr">
        <is>
          <t>Should</t>
        </is>
      </c>
      <c r="E59" s="8" t="inlineStr">
        <is>
          <t>Derived</t>
        </is>
      </c>
      <c r="F59" s="8" t="inlineStr">
        <is>
          <t>4</t>
        </is>
      </c>
    </row>
    <row r="60">
      <c r="A60" s="17" t="inlineStr">
        <is>
          <t>REQ-DSH-07</t>
        </is>
      </c>
      <c r="B60" s="17" t="inlineStr">
        <is>
          <t>Dashboard</t>
        </is>
      </c>
      <c r="C60" s="18" t="inlineStr">
        <is>
          <t>The horizon control offers 24 months by default and a one-click expansion to cover the latest project end date across all projects.</t>
        </is>
      </c>
      <c r="D60" s="17" t="inlineStr">
        <is>
          <t>Must</t>
        </is>
      </c>
      <c r="E60" s="17" t="inlineStr">
        <is>
          <t>Q-11</t>
        </is>
      </c>
      <c r="F60" s="17" t="inlineStr">
        <is>
          <t>3,4</t>
        </is>
      </c>
    </row>
    <row r="61">
      <c r="A61" s="17" t="inlineStr">
        <is>
          <t>REQ-DSH-08</t>
        </is>
      </c>
      <c r="B61" s="17" t="inlineStr">
        <is>
          <t>Dashboard</t>
        </is>
      </c>
      <c r="C61" s="18" t="inlineStr">
        <is>
          <t>Over-allocated and under-allocated person-months are distinguishable at a glance, and both are counted in the summary tiles.</t>
        </is>
      </c>
      <c r="D61" s="17" t="inlineStr">
        <is>
          <t>Must</t>
        </is>
      </c>
      <c r="E61" s="17" t="inlineStr">
        <is>
          <t>Q-08</t>
        </is>
      </c>
      <c r="F61" s="17" t="inlineStr">
        <is>
          <t>3,4</t>
        </is>
      </c>
    </row>
    <row r="62">
      <c r="A62" s="19" t="inlineStr">
        <is>
          <t>REQ-DSH-09</t>
        </is>
      </c>
      <c r="B62" s="19" t="inlineStr">
        <is>
          <t>Dashboard</t>
        </is>
      </c>
      <c r="C62" s="20" t="inlineStr">
        <is>
          <t>THE PER-PERSON CHART SHOWS AN AGGREGATE OR A RANKED SUBSET rather than one bar per person, and says which it is showing. A thousand bars is not a chart, and neither is two hundred: past the point where a bar is narrower than the gap beside it the drawing stops carrying information, so the cap is on the BARS and not on the data - the remainder is rolled into one band and named, never dropped. A TABLE TALLER THAN THE VIEWPORT SCROLLS INSIDE ITS OWN PANEL, keeping its header row visible, and the page body never scrolls to reach it. Sorting, filtering and totals are computed over the whole model rather than over whatever is currently drawn - which is the property that must hold whether or not the rows are virtualised, and is therefore the one stated here. ROW VIRTUALISATION IS NOT REQUIRED AT THE VOLUME REQ-NFR-03 NAMES, and the clause that required it was removed at R-47 rather than carried as a Must nobody intended to build. Measured: the Overall pair renders 252 rows x 60 months in 810 ms against a 1,000 ms budget, and the budget is first crossed at about 400 people. Virtualisation becomes a requirement if and when a volume past that is asked for; until then it would change no number a user feels, and the measurement that says so is reproducible from two commands.</t>
        </is>
      </c>
      <c r="D62" s="19" t="inlineStr">
        <is>
          <t>Must</t>
        </is>
      </c>
      <c r="E62" s="19" t="inlineStr">
        <is>
          <t>S2-06, R-47</t>
        </is>
      </c>
      <c r="F62" s="19" t="inlineStr">
        <is>
          <t>3,4</t>
        </is>
      </c>
    </row>
    <row r="63">
      <c r="A63" s="19" t="inlineStr">
        <is>
          <t>REQ-DSH-10</t>
        </is>
      </c>
      <c r="B63" s="19" t="inlineStr">
        <is>
          <t>Dashboard</t>
        </is>
      </c>
      <c r="C63" s="20"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63" s="19" t="inlineStr">
        <is>
          <t>Must</t>
        </is>
      </c>
      <c r="E63" s="19" t="inlineStr">
        <is>
          <t>S2-04, R-11</t>
        </is>
      </c>
      <c r="F63" s="19" t="inlineStr">
        <is>
          <t>3,4</t>
        </is>
      </c>
    </row>
    <row r="64">
      <c r="A64" s="17" t="inlineStr">
        <is>
          <t>REQ-DSH-12</t>
        </is>
      </c>
      <c r="B64" s="17" t="inlineStr">
        <is>
          <t>Dashboard</t>
        </is>
      </c>
      <c r="C64"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4" s="17" t="inlineStr">
        <is>
          <t>Should</t>
        </is>
      </c>
      <c r="E64" s="17" t="inlineStr">
        <is>
          <t>Reviewer v0.7</t>
        </is>
      </c>
      <c r="F64" s="17" t="inlineStr">
        <is>
          <t>3,4</t>
        </is>
      </c>
    </row>
    <row r="65">
      <c r="A65" s="17" t="inlineStr">
        <is>
          <t>REQ-DSH-11</t>
        </is>
      </c>
      <c r="B65" s="17" t="inlineStr">
        <is>
          <t>Dashboard</t>
        </is>
      </c>
      <c r="C65" s="18" t="inlineStr">
        <is>
          <t>The standing assumptions the simulation multiplies by - standard period weights, role factors, configuration and value lists - are presented on their own tab, so a reader can see what every figure was derived from without opening the workbook.</t>
        </is>
      </c>
      <c r="D65" s="17" t="inlineStr">
        <is>
          <t>Must</t>
        </is>
      </c>
      <c r="E65" s="17" t="inlineStr">
        <is>
          <t>G-07</t>
        </is>
      </c>
      <c r="F65" s="17" t="inlineStr">
        <is>
          <t>3,4</t>
        </is>
      </c>
    </row>
    <row r="66">
      <c r="A66" s="19" t="inlineStr">
        <is>
          <t>REQ-IMP-01</t>
        </is>
      </c>
      <c r="B66" s="19" t="inlineStr">
        <is>
          <t>Import/Export</t>
        </is>
      </c>
      <c r="C66" s="20" t="inlineStr">
        <is>
          <t>The user loads the source workbook through a file picker or drag-and-drop, chosen because a local HTML page cannot open a file from disk unaided.</t>
        </is>
      </c>
      <c r="D66" s="19" t="inlineStr">
        <is>
          <t>Must</t>
        </is>
      </c>
      <c r="E66" s="19" t="inlineStr">
        <is>
          <t>Decision D-01</t>
        </is>
      </c>
      <c r="F66" s="19" t="inlineStr">
        <is>
          <t>4</t>
        </is>
      </c>
    </row>
    <row r="67">
      <c r="A67" s="8" t="inlineStr">
        <is>
          <t>REQ-IMP-02</t>
        </is>
      </c>
      <c r="B67" s="8" t="inlineStr">
        <is>
          <t>Import/Export</t>
        </is>
      </c>
      <c r="C67" s="9" t="inlineStr">
        <is>
          <t>Loading validates the workbook and reports every problem found - missing sheet, missing column, bad date, unknown project reference - without stopping at the first one.</t>
        </is>
      </c>
      <c r="D67" s="8" t="inlineStr">
        <is>
          <t>Must</t>
        </is>
      </c>
      <c r="E67" s="8" t="inlineStr">
        <is>
          <t>Derived</t>
        </is>
      </c>
      <c r="F67" s="8" t="inlineStr">
        <is>
          <t>4</t>
        </is>
      </c>
    </row>
    <row r="68">
      <c r="A68" s="19" t="inlineStr">
        <is>
          <t>REQ-IMP-03</t>
        </is>
      </c>
      <c r="B68" s="19" t="inlineStr">
        <is>
          <t>Import/Export</t>
        </is>
      </c>
      <c r="C68" s="20" t="inlineStr">
        <is>
          <t>A blank source workbook template with correct sheet names, headers, value lists and one example row is delivered with the application.</t>
        </is>
      </c>
      <c r="D68" s="19" t="inlineStr">
        <is>
          <t>Must</t>
        </is>
      </c>
      <c r="E68" s="19" t="inlineStr">
        <is>
          <t>Derived</t>
        </is>
      </c>
      <c r="F68" s="19" t="inlineStr">
        <is>
          <t>4</t>
        </is>
      </c>
    </row>
    <row r="69">
      <c r="A69" s="8" t="inlineStr">
        <is>
          <t>REQ-IMP-04</t>
        </is>
      </c>
      <c r="B69" s="8" t="inlineStr">
        <is>
          <t>Import/Export</t>
        </is>
      </c>
      <c r="C69" s="9" t="inlineStr">
        <is>
          <t>The user can export current data back to .xlsx, preserving the template layout so the export can be re-imported.</t>
        </is>
      </c>
      <c r="D69" s="8" t="inlineStr">
        <is>
          <t>Must</t>
        </is>
      </c>
      <c r="E69" s="8" t="inlineStr">
        <is>
          <t>Derived</t>
        </is>
      </c>
      <c r="F69" s="8" t="inlineStr">
        <is>
          <t>4</t>
        </is>
      </c>
    </row>
    <row r="70">
      <c r="A70" s="19" t="inlineStr">
        <is>
          <t>REQ-IMP-05</t>
        </is>
      </c>
      <c r="B70" s="19" t="inlineStr">
        <is>
          <t>Import/Export</t>
        </is>
      </c>
      <c r="C70" s="20" t="inlineStr">
        <is>
          <t>The application records which file was loaded and when, and shows it on screen with its time zone - a bare timestamp is ambiguous to anyone reading it from another country.</t>
        </is>
      </c>
      <c r="D70" s="19" t="inlineStr">
        <is>
          <t>Should</t>
        </is>
      </c>
      <c r="E70" s="19" t="inlineStr">
        <is>
          <t>Derived / G-02</t>
        </is>
      </c>
      <c r="F70" s="19" t="inlineStr">
        <is>
          <t>4</t>
        </is>
      </c>
    </row>
    <row r="71">
      <c r="A71" s="8" t="inlineStr">
        <is>
          <t>REQ-IMP-06</t>
        </is>
      </c>
      <c r="B71" s="8" t="inlineStr">
        <is>
          <t>Import/Export</t>
        </is>
      </c>
      <c r="C71" s="9" t="inlineStr">
        <is>
          <t>Loaded data may be cached in the browser so re-opening the page does not force a re-import; the cache never replaces the workbook as the record.</t>
        </is>
      </c>
      <c r="D71" s="8" t="inlineStr">
        <is>
          <t>Could</t>
        </is>
      </c>
      <c r="E71" s="8" t="inlineStr">
        <is>
          <t>Derived</t>
        </is>
      </c>
      <c r="F71" s="8" t="inlineStr">
        <is>
          <t>4</t>
        </is>
      </c>
    </row>
    <row r="72">
      <c r="A72" s="17" t="inlineStr">
        <is>
          <t>REQ-IMP-07</t>
        </is>
      </c>
      <c r="B72" s="17" t="inlineStr">
        <is>
          <t>Import/Export</t>
        </is>
      </c>
      <c r="C72" s="18" t="inlineStr">
        <is>
          <t>After import, the application lets the user update the data on screen, and those updates are carried into the file produced on export.</t>
        </is>
      </c>
      <c r="D72" s="17" t="inlineStr">
        <is>
          <t>Must</t>
        </is>
      </c>
      <c r="E72" s="17" t="inlineStr">
        <is>
          <t>Reviewer v0.11</t>
        </is>
      </c>
      <c r="F72" s="17" t="inlineStr">
        <is>
          <t>4</t>
        </is>
      </c>
    </row>
    <row r="73">
      <c r="A73" s="17" t="inlineStr">
        <is>
          <t>REQ-IMP-08</t>
        </is>
      </c>
      <c r="B73" s="17" t="inlineStr">
        <is>
          <t>Import/Export</t>
        </is>
      </c>
      <c r="C73" s="18" t="inlineStr">
        <is>
          <t>Unsaved edits are visible as such, and the user is warned before any action that would discard them (closing the page, loading another file).</t>
        </is>
      </c>
      <c r="D73" s="17" t="inlineStr">
        <is>
          <t>Must</t>
        </is>
      </c>
      <c r="E73" s="17" t="inlineStr">
        <is>
          <t>Derived from REQ-IMP-07</t>
        </is>
      </c>
      <c r="F73" s="17" t="inlineStr">
        <is>
          <t>4</t>
        </is>
      </c>
    </row>
    <row r="74">
      <c r="A74" s="19" t="inlineStr">
        <is>
          <t>REQ-IMP-09</t>
        </is>
      </c>
      <c r="B74" s="19" t="inlineStr">
        <is>
          <t>Import/Export</t>
        </is>
      </c>
      <c r="C74" s="20" t="inlineStr">
        <is>
          <t>Every field is editable, including identifiers. An on-screen edit is re-validated against the same rules as an imported value, so editing cannot introduce data the import would have rejected.</t>
        </is>
      </c>
      <c r="D74" s="19" t="inlineStr">
        <is>
          <t>Must</t>
        </is>
      </c>
      <c r="E74" s="19" t="inlineStr">
        <is>
          <t>Q-20</t>
        </is>
      </c>
      <c r="F74" s="19" t="inlineStr">
        <is>
          <t>4</t>
        </is>
      </c>
    </row>
    <row r="75">
      <c r="A75" s="17" t="inlineStr">
        <is>
          <t>REQ-IMP-10</t>
        </is>
      </c>
      <c r="B75" s="17" t="inlineStr">
        <is>
          <t>Import/Export</t>
        </is>
      </c>
      <c r="C75" s="18" t="inlineStr">
        <is>
          <t>Editing an identifier that other sheets reference cascades to every referencing row, after showing how many rows will change. Deleting a referenced row is refused, naming what still points at it.</t>
        </is>
      </c>
      <c r="D75" s="17" t="inlineStr">
        <is>
          <t>Must</t>
        </is>
      </c>
      <c r="E75" s="17" t="inlineStr">
        <is>
          <t>Q-20</t>
        </is>
      </c>
      <c r="F75" s="17" t="inlineStr">
        <is>
          <t>4</t>
        </is>
      </c>
    </row>
    <row r="76">
      <c r="A76" s="17" t="inlineStr">
        <is>
          <t>REQ-IMP-14</t>
        </is>
      </c>
      <c r="B76" s="17" t="inlineStr">
        <is>
          <t>Import/Export</t>
        </is>
      </c>
      <c r="C76"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6" s="17" t="inlineStr">
        <is>
          <t>Must</t>
        </is>
      </c>
      <c r="E76" s="17" t="inlineStr">
        <is>
          <t>R-28</t>
        </is>
      </c>
      <c r="F76" s="17" t="inlineStr">
        <is>
          <t>4</t>
        </is>
      </c>
    </row>
    <row r="77">
      <c r="A77" s="17" t="inlineStr">
        <is>
          <t>REQ-OUT-06</t>
        </is>
      </c>
      <c r="B77" s="17" t="inlineStr">
        <is>
          <t>Output</t>
        </is>
      </c>
      <c r="C77"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7" s="17" t="inlineStr">
        <is>
          <t>Must</t>
        </is>
      </c>
      <c r="E77" s="17" t="inlineStr">
        <is>
          <t>R-29</t>
        </is>
      </c>
      <c r="F77" s="17" t="inlineStr">
        <is>
          <t>4</t>
        </is>
      </c>
    </row>
    <row r="78">
      <c r="A78" s="17" t="inlineStr">
        <is>
          <t>REQ-IMP-12</t>
        </is>
      </c>
      <c r="B78" s="17" t="inlineStr">
        <is>
          <t>Import/Export</t>
        </is>
      </c>
      <c r="C78"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8" s="17" t="inlineStr">
        <is>
          <t>Should</t>
        </is>
      </c>
      <c r="E78" s="17" t="inlineStr">
        <is>
          <t>R-21</t>
        </is>
      </c>
      <c r="F78" s="17" t="inlineStr">
        <is>
          <t>4</t>
        </is>
      </c>
    </row>
    <row r="79">
      <c r="A79" s="17" t="inlineStr">
        <is>
          <t>REQ-IMP-13</t>
        </is>
      </c>
      <c r="B79" s="17" t="inlineStr">
        <is>
          <t>Import/Export</t>
        </is>
      </c>
      <c r="C79"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9" s="17" t="inlineStr">
        <is>
          <t>Must</t>
        </is>
      </c>
      <c r="E79" s="17" t="inlineStr">
        <is>
          <t>R-25</t>
        </is>
      </c>
      <c r="F79" s="17" t="inlineStr">
        <is>
          <t>4</t>
        </is>
      </c>
    </row>
    <row r="80">
      <c r="A80" s="17" t="inlineStr">
        <is>
          <t>REQ-IMP-11</t>
        </is>
      </c>
      <c r="B80" s="17" t="inlineStr">
        <is>
          <t>Import/Export</t>
        </is>
      </c>
      <c r="C80" s="18" t="inlineStr">
        <is>
          <t>A new row can be inserted into any editable table, positioned immediately below the row the user acts on rather than appended at the end, and validated on entry like any other edit.</t>
        </is>
      </c>
      <c r="D80" s="17" t="inlineStr">
        <is>
          <t>Must</t>
        </is>
      </c>
      <c r="E80" s="17" t="inlineStr">
        <is>
          <t>P-01, S-01</t>
        </is>
      </c>
      <c r="F80" s="17" t="inlineStr">
        <is>
          <t>4</t>
        </is>
      </c>
    </row>
    <row r="81">
      <c r="A81" s="8" t="inlineStr">
        <is>
          <t>REQ-VC-01</t>
        </is>
      </c>
      <c r="B81" s="8" t="inlineStr">
        <is>
          <t>Version control</t>
        </is>
      </c>
      <c r="C81" s="9" t="inlineStr">
        <is>
          <t>Development plan, programming specification and output files are version-controlled together and their versions are cross-referenced.</t>
        </is>
      </c>
      <c r="D81" s="8" t="inlineStr">
        <is>
          <t>Must</t>
        </is>
      </c>
      <c r="E81" s="8" t="inlineStr">
        <is>
          <t>Requester</t>
        </is>
      </c>
      <c r="F81" s="8" t="inlineStr">
        <is>
          <t>1-5</t>
        </is>
      </c>
    </row>
    <row r="82">
      <c r="A82" s="10" t="inlineStr">
        <is>
          <t>REQ-VC-02</t>
        </is>
      </c>
      <c r="B82" s="10" t="inlineStr">
        <is>
          <t>Version control</t>
        </is>
      </c>
      <c r="C82" s="11" t="inlineStr">
        <is>
          <t>The application displays its own version, and the version of the source data schema it expects.</t>
        </is>
      </c>
      <c r="D82" s="10" t="inlineStr">
        <is>
          <t>Must</t>
        </is>
      </c>
      <c r="E82" s="10" t="inlineStr">
        <is>
          <t>Requester</t>
        </is>
      </c>
      <c r="F82" s="10" t="inlineStr">
        <is>
          <t>4</t>
        </is>
      </c>
    </row>
    <row r="83">
      <c r="A83" s="8" t="inlineStr">
        <is>
          <t>REQ-VC-03</t>
        </is>
      </c>
      <c r="B83" s="8" t="inlineStr">
        <is>
          <t>Version control</t>
        </is>
      </c>
      <c r="C83" s="9" t="inlineStr">
        <is>
          <t>Loading a source file whose schema version is newer or older than the application expects produces a clear warning.</t>
        </is>
      </c>
      <c r="D83" s="8" t="inlineStr">
        <is>
          <t>Should</t>
        </is>
      </c>
      <c r="E83" s="8" t="inlineStr">
        <is>
          <t>Derived</t>
        </is>
      </c>
      <c r="F83" s="8" t="inlineStr">
        <is>
          <t>4</t>
        </is>
      </c>
    </row>
    <row r="84">
      <c r="A84" s="10" t="inlineStr">
        <is>
          <t>REQ-VC-04</t>
        </is>
      </c>
      <c r="B84" s="10" t="inlineStr">
        <is>
          <t>Version control</t>
        </is>
      </c>
      <c r="C84" s="11" t="inlineStr">
        <is>
          <t>Every document re-issue adds a version-history row stating what changed and why.</t>
        </is>
      </c>
      <c r="D84" s="10" t="inlineStr">
        <is>
          <t>Must</t>
        </is>
      </c>
      <c r="E84" s="10" t="inlineStr">
        <is>
          <t>Requester</t>
        </is>
      </c>
      <c r="F84" s="10" t="inlineStr">
        <is>
          <t>1-5</t>
        </is>
      </c>
    </row>
    <row r="85">
      <c r="A85" s="8" t="inlineStr">
        <is>
          <t>REQ-NFR-01</t>
        </is>
      </c>
      <c r="B85" s="8" t="inlineStr">
        <is>
          <t>Non-functional</t>
        </is>
      </c>
      <c r="C85" s="9" t="inlineStr">
        <is>
          <t>The application is built so later requirements can be added without restructuring: parsing, calculation and presentation are separated.</t>
        </is>
      </c>
      <c r="D85" s="8" t="inlineStr">
        <is>
          <t>Must</t>
        </is>
      </c>
      <c r="E85" s="8" t="inlineStr">
        <is>
          <t>Requester</t>
        </is>
      </c>
      <c r="F85" s="8" t="inlineStr">
        <is>
          <t>4</t>
        </is>
      </c>
    </row>
    <row r="86">
      <c r="A86" s="10" t="inlineStr">
        <is>
          <t>REQ-NFR-02</t>
        </is>
      </c>
      <c r="B86" s="10" t="inlineStr">
        <is>
          <t>Non-functional</t>
        </is>
      </c>
      <c r="C86" s="11" t="inlineStr">
        <is>
          <t>Works in Microsoft Edge and Google Chrome on Windows 10/11, offline.</t>
        </is>
      </c>
      <c r="D86" s="10" t="inlineStr">
        <is>
          <t>Must</t>
        </is>
      </c>
      <c r="E86" s="10" t="inlineStr">
        <is>
          <t>Q-05</t>
        </is>
      </c>
      <c r="F86" s="10" t="inlineStr">
        <is>
          <t>4</t>
        </is>
      </c>
    </row>
    <row r="87">
      <c r="A87" s="19" t="inlineStr">
        <is>
          <t>REQ-NFR-03</t>
        </is>
      </c>
      <c r="B87" s="19" t="inlineStr">
        <is>
          <t>Non-functional</t>
        </is>
      </c>
      <c r="C87" s="20" t="inlineStr">
        <is>
          <t>HANDLES 100 PROJECTS AND 150 PEOPLE over a 60-month horizon, with the assignments that implies (order 1,000). MEASURED AT THAT VOLUME, NOT ESTIMATED (tools/build_stress_workbook.py builds the fixture, tools/measure_scale.py drives it): switching to the Overall tab takes 810 ms against a 1,000 ms budget, worst case 894; import 1,182 ms against 5,000; one cell edit 60 ms and opening a column filter 51 ms, each against 1,000 and 600. The budgets were fixed before any number was seen. THE BINDING COST IS THE OVERALL PAIR, whose two tables are (projects + people) rows x horizon months - 252 rows x 60 months here - so the figure to re-measure against is the ROW COUNT and the HORIZON together, not the project count alone. 100 x 150 is the largest volume measured whose WORST case is still inside budget: 100 x 200 medians 981 ms and peaks at 1,225, which is over. The budget is crossed at about 400 people, and only beyond that does row virtualisation become necessary - see REQ-DSH-09. AMENDED AT R-47 from 100 projects and 1,000 people, a figure set at S2-06 and never measured. At 1,000 people the tab takes 3,058 ms; but about half the overage is the CALCULATION - 180,160 person-months - which virtualisation cannot reach, so that volume was never one requirement away from working.</t>
        </is>
      </c>
      <c r="D87" s="19" t="inlineStr">
        <is>
          <t>Must</t>
        </is>
      </c>
      <c r="E87" s="19" t="inlineStr">
        <is>
          <t>S2-06, R-47</t>
        </is>
      </c>
      <c r="F87" s="19" t="inlineStr">
        <is>
          <t>4</t>
        </is>
      </c>
    </row>
    <row r="88">
      <c r="A88" s="10" t="inlineStr">
        <is>
          <t>REQ-NFR-04</t>
        </is>
      </c>
      <c r="B88" s="10" t="inlineStr">
        <is>
          <t>Non-functional</t>
        </is>
      </c>
      <c r="C88" s="11" t="inlineStr">
        <is>
          <t>No data leaves the PC: no network calls, no external CDN, no telemetry.</t>
        </is>
      </c>
      <c r="D88" s="10" t="inlineStr">
        <is>
          <t>Must</t>
        </is>
      </c>
      <c r="E88" s="10" t="inlineStr">
        <is>
          <t>Derived</t>
        </is>
      </c>
      <c r="F88" s="10" t="inlineStr">
        <is>
          <t>4</t>
        </is>
      </c>
    </row>
    <row r="89">
      <c r="A89" s="8" t="inlineStr">
        <is>
          <t>REQ-NFR-05</t>
        </is>
      </c>
      <c r="B89" s="8" t="inlineStr">
        <is>
          <t>Non-functional</t>
        </is>
      </c>
      <c r="C89" s="9" t="inlineStr">
        <is>
          <t>Dates are handled unambiguously (ISO yyyy-mm-dd internally) regardless of Windows regional settings.</t>
        </is>
      </c>
      <c r="D89" s="8" t="inlineStr">
        <is>
          <t>Must</t>
        </is>
      </c>
      <c r="E89" s="8" t="inlineStr">
        <is>
          <t>Derived</t>
        </is>
      </c>
      <c r="F89" s="8" t="inlineStr">
        <is>
          <t>4</t>
        </is>
      </c>
    </row>
    <row r="91">
      <c r="A91" s="5" t="inlineStr">
        <is>
          <t>Requirement count by priority</t>
        </is>
      </c>
    </row>
    <row r="92" ht="28" customHeight="1">
      <c r="A92" s="7" t="inlineStr">
        <is>
          <t>Priority</t>
        </is>
      </c>
      <c r="B92" s="7" t="inlineStr">
        <is>
          <t>Count</t>
        </is>
      </c>
    </row>
    <row r="93">
      <c r="A93" s="8" t="inlineStr">
        <is>
          <t>Must</t>
        </is>
      </c>
      <c r="B93" s="8">
        <f>COUNTIF(D5:D89,"Must")</f>
        <v/>
      </c>
    </row>
    <row r="94">
      <c r="A94" s="10" t="inlineStr">
        <is>
          <t>Should</t>
        </is>
      </c>
      <c r="B94" s="10">
        <f>COUNTIF(D5:D89,"Should")</f>
        <v/>
      </c>
    </row>
    <row r="95">
      <c r="A95" s="8" t="inlineStr">
        <is>
          <t>Could</t>
        </is>
      </c>
      <c r="B95" s="8">
        <f>COUNTIF(D5:D89,"Could")</f>
        <v/>
      </c>
    </row>
    <row r="96">
      <c r="A96" s="10" t="inlineStr">
        <is>
          <t>Total</t>
        </is>
      </c>
      <c r="B96" s="10">
        <f>COUNTA(A5:A89)</f>
        <v/>
      </c>
    </row>
    <row r="98">
      <c r="A98" s="16" t="inlineStr">
        <is>
          <t>47 requirements at v0.1, 58 at v0.2, 61 at v0.3, 63 at v0.4 and v1.0. v1.1 adds 2 and rewords 3, as a change against the approved baseline.</t>
        </is>
      </c>
    </row>
    <row r="99">
      <c r="A99" s="16" t="inlineStr">
        <is>
          <t>'Source' = Requester (in the original request), a Q-number (answered at v0.11 review), 'Reviewer v0.11' (added by the reviewer directly), Derived (engineering consequence), or a Decision ID from 07_Architecture.</t>
        </is>
      </c>
    </row>
    <row r="100">
      <c r="A100" s="3" t="inlineStr">
        <is>
          <t>Legend</t>
        </is>
      </c>
    </row>
    <row r="101">
      <c r="A101" s="12" t="inlineStr">
        <is>
          <t>Green = new in v0.2, added from your review answers.</t>
        </is>
      </c>
    </row>
    <row r="102">
      <c r="A102" s="13" t="inlineStr">
        <is>
          <t>Orange = changed in v0.2 as a consequence of your review.</t>
        </is>
      </c>
    </row>
    <row r="103">
      <c r="A103" s="14" t="inlineStr">
        <is>
          <t>Yellow = still needs your input.</t>
        </is>
      </c>
    </row>
  </sheetData>
  <dataValidations count="1">
    <dataValidation sqref="D5:D89"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7"/>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9" t="inlineStr">
        <is>
          <t>PeriodFTEStandard</t>
        </is>
      </c>
      <c r="B9" s="20" t="inlineStr">
        <is>
          <t>THE STANDARD MONTHLY FTE per project type, phase, work scope and period - where every figure gets its size (REQ-CAL-19).</t>
        </is>
      </c>
      <c r="C9" s="19" t="inlineStr">
        <is>
          <t>Reference</t>
        </is>
      </c>
    </row>
    <row r="10">
      <c r="A10" s="19" t="inlineStr">
        <is>
          <t>RoleFactor</t>
        </is>
      </c>
      <c r="B10" s="20" t="inlineStr">
        <is>
          <t>Role burden factor, per project type, clinical phase and period.</t>
        </is>
      </c>
      <c r="C10" s="19"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19" t="inlineStr">
        <is>
          <t>project_type</t>
        </is>
      </c>
      <c r="B22" s="19" t="inlineStr">
        <is>
          <t>List</t>
        </is>
      </c>
      <c r="C22" s="19" t="inlineStr">
        <is>
          <t>Yes</t>
        </is>
      </c>
      <c r="D22" s="20"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19"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19" t="inlineStr">
        <is>
          <t>work_scope_type</t>
        </is>
      </c>
      <c r="B25" s="19" t="inlineStr">
        <is>
          <t>List</t>
        </is>
      </c>
      <c r="C25" s="19" t="inlineStr">
        <is>
          <t>Yes</t>
        </is>
      </c>
      <c r="D25" s="20" t="inlineStr">
        <is>
          <t>How much of the work is done in-house: 'fully in-housed' / 'fully outsourced' / 'Partially outsourced (in-house for EDC)', extensible on the Lists sheet. SCHEMA 6. Part of the key into PeriodFTEStandard and RoleFactor - a trial run entirely in-house costs this team more than the same trial handed to a CRO, and the weights are where that belongs. Since schema 7 it is the ONLY scope field the calculation reads, and the one the dashboard's scope filter offers.</t>
        </is>
      </c>
      <c r="E25" s="19" t="inlineStr">
        <is>
          <t>R-12, R-16</t>
        </is>
      </c>
    </row>
    <row r="26">
      <c r="A26" s="19" t="inlineStr">
        <is>
          <t>outsourcing_scope_det</t>
        </is>
      </c>
      <c r="B26" s="19" t="inlineStr">
        <is>
          <t>Text</t>
        </is>
      </c>
      <c r="C26" s="19" t="inlineStr">
        <is>
          <t>No</t>
        </is>
      </c>
      <c r="D26" s="20"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19"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19" t="inlineStr">
        <is>
          <t>milestone_name</t>
        </is>
      </c>
      <c r="B47" s="19" t="inlineStr">
        <is>
          <t>List</t>
        </is>
      </c>
      <c r="C47" s="19" t="inlineStr">
        <is>
          <t>Yes</t>
        </is>
      </c>
      <c r="D47" s="20"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19"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19" t="inlineStr">
        <is>
          <t>period_name</t>
        </is>
      </c>
      <c r="B56" s="19" t="inlineStr">
        <is>
          <t>List</t>
        </is>
      </c>
      <c r="C56" s="19" t="inlineStr">
        <is>
          <t>Yes</t>
        </is>
      </c>
      <c r="D56" s="20" t="inlineStr">
        <is>
          <t>From the period set for the project's TYPE - see the two sets below. A period name from the wrong set is rejected. UNIQUE within a project since R-11, so (project_id, period_name) is the key.</t>
        </is>
      </c>
      <c r="E56" s="19" t="inlineStr">
        <is>
          <t>REQ-PRJ-12, REQ-CAL-11, R-11</t>
        </is>
      </c>
    </row>
    <row r="57">
      <c r="A57" s="19" t="inlineStr">
        <is>
          <t>period_seq</t>
        </is>
      </c>
      <c r="B57" s="19" t="inlineStr">
        <is>
          <t>Integer</t>
        </is>
      </c>
      <c r="C57" s="19" t="inlineStr">
        <is>
          <t>Yes</t>
        </is>
      </c>
      <c r="D57" s="20" t="inlineStr">
        <is>
          <t>Orders the periods along the timeline. Unique within a project. No longer part of the key - it carries order, not identity (R-11).</t>
        </is>
      </c>
      <c r="E57" s="19" t="inlineStr">
        <is>
          <t>REQ-CAL-11</t>
        </is>
      </c>
    </row>
    <row r="58">
      <c r="A58" s="19" t="inlineStr">
        <is>
          <t>period_start</t>
        </is>
      </c>
      <c r="B58" s="19" t="inlineStr">
        <is>
          <t>Date</t>
        </is>
      </c>
      <c r="C58" s="19" t="inlineStr">
        <is>
          <t>Yes</t>
        </is>
      </c>
      <c r="D58" s="20" t="inlineStr">
        <is>
          <t>Inclusive. For Clinical Trial, computed from milestones (sheet 05) and then editable. For Others, entered directly.</t>
        </is>
      </c>
      <c r="E58" s="19" t="inlineStr">
        <is>
          <t>REQ-CAL-09</t>
        </is>
      </c>
    </row>
    <row r="59">
      <c r="A59" s="19" t="inlineStr">
        <is>
          <t>period_end</t>
        </is>
      </c>
      <c r="B59" s="19" t="inlineStr">
        <is>
          <t>Date</t>
        </is>
      </c>
      <c r="C59" s="19" t="inlineStr">
        <is>
          <t>Yes</t>
        </is>
      </c>
      <c r="D59" s="20" t="inlineStr">
        <is>
          <t>Inclusive. Periods for one project must not overlap and must leave no gap (REQ-CAL-10).</t>
        </is>
      </c>
      <c r="E59" s="19" t="inlineStr">
        <is>
          <t>REQ-CAL-09</t>
        </is>
      </c>
    </row>
    <row r="60">
      <c r="A60" s="19" t="inlineStr">
        <is>
          <t>weight</t>
        </is>
      </c>
      <c r="B60" s="19" t="inlineStr">
        <is>
          <t>Decimal</t>
        </is>
      </c>
      <c r="C60" s="19" t="inlineStr">
        <is>
          <t>Yes</t>
        </is>
      </c>
      <c r="D60" s="20"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19"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19" t="inlineStr">
        <is>
          <t>NewDrug CT / Biosimilar CT</t>
        </is>
      </c>
      <c r="B65" s="20" t="inlineStr">
        <is>
          <t>Before-Start-up, Start-up, Conduct (interim), Close-out (interim), Conduct (final), Close-out (final), After Close-out (final)</t>
        </is>
      </c>
      <c r="C65" s="20"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PeriodFTEStandard</t>
        </is>
      </c>
    </row>
    <row r="69" ht="28" customHeight="1">
      <c r="A69" s="7" t="inlineStr">
        <is>
          <t>Column</t>
        </is>
      </c>
      <c r="B69" s="7" t="inlineStr">
        <is>
          <t>Type</t>
        </is>
      </c>
      <c r="C69" s="7" t="inlineStr">
        <is>
          <t>Required</t>
        </is>
      </c>
      <c r="D69" s="7" t="inlineStr">
        <is>
          <t>Definition / rule</t>
        </is>
      </c>
      <c r="E69" s="7" t="inlineStr">
        <is>
          <t>Basis</t>
        </is>
      </c>
    </row>
    <row r="70">
      <c r="A70" s="19" t="inlineStr">
        <is>
          <t>project_type</t>
        </is>
      </c>
      <c r="B70" s="19" t="inlineStr">
        <is>
          <t>List</t>
        </is>
      </c>
      <c r="C70" s="19" t="inlineStr">
        <is>
          <t>Yes</t>
        </is>
      </c>
      <c r="D70" s="20" t="inlineStr">
        <is>
          <t>A clinical trial type. Part of the key: a biosimilar trial at a given phase is not the same workload as a new-drug trial at that phase. 'Others' take manual weights (Q-28).</t>
        </is>
      </c>
      <c r="E70" s="19" t="inlineStr">
        <is>
          <t>R-05</t>
        </is>
      </c>
    </row>
    <row r="71">
      <c r="A71" s="19" t="inlineStr">
        <is>
          <t>clinical_phase</t>
        </is>
      </c>
      <c r="B71" s="19" t="inlineStr">
        <is>
          <t>List</t>
        </is>
      </c>
      <c r="C71" s="19" t="inlineStr">
        <is>
          <t>Yes</t>
        </is>
      </c>
      <c r="D71" s="20" t="inlineStr">
        <is>
          <t>The phase the standard applies to.</t>
        </is>
      </c>
      <c r="E71" s="19"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19" t="inlineStr">
        <is>
          <t>standard_fte</t>
        </is>
      </c>
      <c r="B73" s="19" t="inlineStr">
        <is>
          <t>Decimal</t>
        </is>
      </c>
      <c r="C73" s="19" t="inlineStr">
        <is>
          <t>Yes</t>
        </is>
      </c>
      <c r="D73" s="20"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19"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19" t="inlineStr">
        <is>
          <t>project_type</t>
        </is>
      </c>
      <c r="B82" s="19" t="inlineStr">
        <is>
          <t>List</t>
        </is>
      </c>
      <c r="C82" s="19" t="inlineStr">
        <is>
          <t>Yes</t>
        </is>
      </c>
      <c r="D82" s="20" t="inlineStr">
        <is>
          <t>'NewDrug CT', 'Biosimilar CT (Healthy)', 'Biosimilar CT (Patient)' or 'Others'. Roles are keyed by type, so a factor can differ between the trial types.</t>
        </is>
      </c>
      <c r="E82" s="19"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PeriodFTEStandard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19" t="inlineStr">
        <is>
          <t>period_name</t>
        </is>
      </c>
      <c r="B86" s="19" t="inlineStr">
        <is>
          <t>Text</t>
        </is>
      </c>
      <c r="C86" s="19" t="inlineStr">
        <is>
          <t>Yes</t>
        </is>
      </c>
      <c r="D86" s="20" t="inlineStr">
        <is>
          <t>The period this factor applies to. One of the seven clinical periods, or one of the three 'Others' periods, matching the project_type.</t>
        </is>
      </c>
      <c r="E86" s="19"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19" t="inlineStr">
        <is>
          <t>role_factor</t>
        </is>
      </c>
      <c r="B88" s="19" t="inlineStr">
        <is>
          <t>Decimal</t>
        </is>
      </c>
      <c r="C88" s="19" t="inlineStr">
        <is>
          <t>Yes</t>
        </is>
      </c>
      <c r="D88" s="20"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19"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PeriodFTEStandard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PeriodFTEStandard,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19" t="inlineStr">
        <is>
          <t>capacity_fte</t>
        </is>
      </c>
      <c r="B100" s="19" t="inlineStr">
        <is>
          <t>Decimal</t>
        </is>
      </c>
      <c r="C100" s="19" t="inlineStr">
        <is>
          <t>No</t>
        </is>
      </c>
      <c r="D100" s="20" t="inlineStr">
        <is>
          <t>Available capacity in FTE, default 1.00 (= 160 h/month). Lower it for a part-timer.</t>
        </is>
      </c>
      <c r="E100" s="19"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19" t="inlineStr">
        <is>
          <t>role_name</t>
        </is>
      </c>
      <c r="B110" s="19" t="inlineStr">
        <is>
          <t>Text</t>
        </is>
      </c>
      <c r="C110" s="19" t="inlineStr">
        <is>
          <t>Yes</t>
        </is>
      </c>
      <c r="D110" s="20" t="inlineStr">
        <is>
          <t>Foreign key to RoleFactor, matched on (project's type, role_name); the phase and period are supplied by the project and the month being calculated. Several rows = several roles on one project.</t>
        </is>
      </c>
      <c r="E110" s="19" t="inlineStr">
        <is>
          <t>REQ-PSN-03</t>
        </is>
      </c>
    </row>
    <row r="111">
      <c r="A111" s="19" t="inlineStr">
        <is>
          <t>assign_start_date</t>
        </is>
      </c>
      <c r="B111" s="19" t="inlineStr">
        <is>
          <t>Date</t>
        </is>
      </c>
      <c r="C111" s="19" t="inlineStr">
        <is>
          <t>No</t>
        </is>
      </c>
      <c r="D111" s="20" t="inlineStr">
        <is>
          <t>Date the person joins the study. BLANK = the project's own start date (REQ-CAL-15). Optional since v2.29: leave both dates blank for somebody on the project throughout, and fill them in only for a partial involvement.</t>
        </is>
      </c>
      <c r="E111" s="19" t="inlineStr">
        <is>
          <t>REQ-PSN-04, REQ-CAL-15</t>
        </is>
      </c>
    </row>
    <row r="112">
      <c r="A112" s="19" t="inlineStr">
        <is>
          <t>assign_end_date</t>
        </is>
      </c>
      <c r="B112" s="19" t="inlineStr">
        <is>
          <t>Date</t>
        </is>
      </c>
      <c r="C112" s="19" t="inlineStr">
        <is>
          <t>No</t>
        </is>
      </c>
      <c r="D112" s="20" t="inlineStr">
        <is>
          <t>Date the person leaves the study. BLANK = the project's own end date. This one has always behaved that way; v2.29 makes the start match it.</t>
        </is>
      </c>
      <c r="E112" s="19" t="inlineStr">
        <is>
          <t>REQ-PSN-04, REQ-CAL-15</t>
        </is>
      </c>
    </row>
    <row r="113">
      <c r="A113" s="19" t="inlineStr">
        <is>
          <t>person_weight</t>
        </is>
      </c>
      <c r="B113" s="19" t="inlineStr">
        <is>
          <t>Decimal</t>
        </is>
      </c>
      <c r="C113" s="19" t="inlineStr">
        <is>
          <t>Yes</t>
        </is>
      </c>
      <c r="D113" s="20" t="inlineStr">
        <is>
          <t>RENAMED from base_allocation. How much this person works on this project, e.g. 0.40. Q-01 folded the two former fields into this one.</t>
        </is>
      </c>
      <c r="E113" s="19"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taken as a share of the project's month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taken as a share of the project's month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19" t="inlineStr">
        <is>
          <t>weight_override</t>
        </is>
      </c>
      <c r="B123" s="19" t="inlineStr">
        <is>
          <t>Decimal</t>
        </is>
      </c>
      <c r="C123" s="19" t="inlineStr">
        <is>
          <t>Yes</t>
        </is>
      </c>
      <c r="D123" s="20" t="inlineStr">
        <is>
          <t>REPLACES person_weight for months inside this window - it no longer multiplies it. Where no row covers a month, person_weight applies unchanged.</t>
        </is>
      </c>
      <c r="E123" s="19"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note_1</t>
        </is>
      </c>
      <c r="B133" s="17" t="inlineStr">
        <is>
          <t>Text</t>
        </is>
      </c>
      <c r="C133" s="17" t="inlineStr">
        <is>
          <t>No</t>
        </is>
      </c>
      <c r="D133" s="18" t="inlineStr">
        <is>
          <t>Why this figure was stated. The argument for a departure from the assumptions belongs beside it.</t>
        </is>
      </c>
      <c r="E133" s="17" t="inlineStr">
        <is>
          <t>REQ-CAL-18</t>
        </is>
      </c>
    </row>
    <row r="135">
      <c r="A135"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6">
      <c r="A136" s="5" t="inlineStr">
        <is>
          <t>Sheet: Config</t>
        </is>
      </c>
    </row>
    <row r="137" ht="28" customHeight="1">
      <c r="A137" s="7" t="inlineStr">
        <is>
          <t>parameter</t>
        </is>
      </c>
      <c r="B137" s="7" t="inlineStr">
        <is>
          <t>Meaning</t>
        </is>
      </c>
      <c r="C137" s="7" t="inlineStr">
        <is>
          <t>Default value</t>
        </is>
      </c>
      <c r="D137" s="7" t="inlineStr">
        <is>
          <t>REQ-ID</t>
        </is>
      </c>
    </row>
    <row r="138">
      <c r="A138" s="19" t="inlineStr">
        <is>
          <t>schema_version</t>
        </is>
      </c>
      <c r="B138" s="20" t="inlineStr">
        <is>
          <t>Version of this workbook structure; checked on import. Steps to 3 at v1.4, 4 at v1.7, 5 at v1.8, 6 at v2.27 (R-12), 7 at v2.30 (R-16), 8 at v2.31 (R-17), 9 at v2.38 (R-30), 10 at v2.39 (R-31), 11 at v2.41 (R-33, the standards sheet renamed), 12 at v2.54 (R-46, MonthlyEstimate.edited_at retired - the first column this schema has REMOVED rather than added or renamed).</t>
        </is>
      </c>
      <c r="C138" s="19" t="inlineStr">
        <is>
          <t>12</t>
        </is>
      </c>
      <c r="D138" s="19" t="inlineStr">
        <is>
          <t>REQ-VC-02</t>
        </is>
      </c>
    </row>
    <row r="139">
      <c r="A139" s="17" t="inlineStr">
        <is>
          <t>absorb_unstaffed_role_factor</t>
        </is>
      </c>
      <c r="B139"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39" s="17" t="inlineStr">
        <is>
          <t>1</t>
        </is>
      </c>
      <c r="D139" s="17" t="inlineStr">
        <is>
          <t>REQ-CAL-16</t>
        </is>
      </c>
    </row>
    <row r="140">
      <c r="A140" s="17" t="inlineStr">
        <is>
          <t>split_shared_role_fte</t>
        </is>
      </c>
      <c r="B140"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0" s="17" t="inlineStr">
        <is>
          <t>1</t>
        </is>
      </c>
      <c r="D140" s="17" t="inlineStr">
        <is>
          <t>REQ-CAL-14</t>
        </is>
      </c>
    </row>
    <row r="141">
      <c r="A141" s="17" t="inlineStr">
        <is>
          <t>fte_hours_per_month</t>
        </is>
      </c>
      <c r="B141" s="18" t="inlineStr">
        <is>
          <t>Hours equal to 1.00 FTE.</t>
        </is>
      </c>
      <c r="C141" s="17" t="inlineStr">
        <is>
          <t>160</t>
        </is>
      </c>
      <c r="D141" s="17" t="inlineStr">
        <is>
          <t>REQ-CAL-08</t>
        </is>
      </c>
    </row>
    <row r="142">
      <c r="A142" s="17" t="inlineStr">
        <is>
          <t>over_allocation_fte</t>
        </is>
      </c>
      <c r="B142" s="18" t="inlineStr">
        <is>
          <t>Person-month total above this is over-allocated.</t>
        </is>
      </c>
      <c r="C142" s="17" t="inlineStr">
        <is>
          <t>1.50</t>
        </is>
      </c>
      <c r="D142" s="17" t="inlineStr">
        <is>
          <t>REQ-CAL-04</t>
        </is>
      </c>
    </row>
    <row r="143">
      <c r="A143" s="19" t="inlineStr">
        <is>
          <t>under_allocation_fte</t>
        </is>
      </c>
      <c r="B143" s="20" t="inlineStr">
        <is>
          <t>Person-month total below this counts toward an under-allocated run. Absolute, not scaled by capacity.</t>
        </is>
      </c>
      <c r="C143" s="19" t="inlineStr">
        <is>
          <t>0.60</t>
        </is>
      </c>
      <c r="D143" s="19" t="inlineStr">
        <is>
          <t>REQ-CAL-07</t>
        </is>
      </c>
    </row>
    <row r="144">
      <c r="A144" s="17" t="inlineStr">
        <is>
          <t>under_allocation_min_months</t>
        </is>
      </c>
      <c r="B144" s="18" t="inlineStr">
        <is>
          <t>Consecutive months below the threshold before flagging.</t>
        </is>
      </c>
      <c r="C144" s="17" t="inlineStr">
        <is>
          <t>3</t>
        </is>
      </c>
      <c r="D144" s="17" t="inlineStr">
        <is>
          <t>REQ-CAL-07</t>
        </is>
      </c>
    </row>
    <row r="145">
      <c r="A145" s="19" t="inlineStr">
        <is>
          <t>default_horizon_months</t>
        </is>
      </c>
      <c r="B145" s="20" t="inlineStr">
        <is>
          <t>Months shown on opening.</t>
        </is>
      </c>
      <c r="C145" s="19" t="inlineStr">
        <is>
          <t>24</t>
        </is>
      </c>
      <c r="D145" s="19" t="inlineStr">
        <is>
          <t>REQ-CAL-01</t>
        </is>
      </c>
    </row>
    <row r="146">
      <c r="A146" s="19" t="inlineStr">
        <is>
          <t>capacity_unit</t>
        </is>
      </c>
      <c r="B146" s="20"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6" s="19" t="inlineStr">
        <is>
          <t>FTE</t>
        </is>
      </c>
      <c r="D146" s="19" t="inlineStr">
        <is>
          <t>REQ-CAL-08</t>
        </is>
      </c>
    </row>
    <row r="148">
      <c r="A148" s="5" t="inlineStr">
        <is>
          <t>Sheet: Lists   [new]</t>
        </is>
      </c>
    </row>
    <row r="149">
      <c r="A149" s="6" t="inlineStr">
        <is>
          <t>Two columns - list_name, value - holding every data-driven dropdown: outsourcing_type, clinical_phase,</t>
        </is>
      </c>
    </row>
    <row r="150">
      <c r="A150" s="6" t="inlineStr">
        <is>
          <t>milestone_name, period_name, EDC_system, DataReviewSystem, RBQM_system, setup_party, project_status.</t>
        </is>
      </c>
    </row>
    <row r="151">
      <c r="A151" s="6" t="inlineStr">
        <is>
          <t>Adding a permitted value is a data edit, never a code change (REQ-CAL-06). A third column, note_1,</t>
        </is>
      </c>
    </row>
    <row r="152">
      <c r="A152" s="6" t="inlineStr">
        <is>
          <t>carries free text about a value - when it was added, or what it means.</t>
        </is>
      </c>
    </row>
    <row r="154">
      <c r="A154" s="5" t="inlineStr">
        <is>
          <t>Referential rules checked on import</t>
        </is>
      </c>
    </row>
    <row r="155" ht="28" customHeight="1">
      <c r="A155" s="7" t="inlineStr">
        <is>
          <t>ID</t>
        </is>
      </c>
      <c r="B155" s="7" t="inlineStr">
        <is>
          <t>Rule</t>
        </is>
      </c>
      <c r="C155" s="7" t="inlineStr">
        <is>
          <t>On failure</t>
        </is>
      </c>
    </row>
    <row r="156">
      <c r="A156" s="8" t="inlineStr">
        <is>
          <t>V-01</t>
        </is>
      </c>
      <c r="B156" s="9" t="inlineStr">
        <is>
          <t>Every Assignment.project_id exists in Project.</t>
        </is>
      </c>
      <c r="C156" s="9" t="inlineStr">
        <is>
          <t>Error - row rejected, reported with its row number.</t>
        </is>
      </c>
    </row>
    <row r="157">
      <c r="A157" s="10" t="inlineStr">
        <is>
          <t>V-02</t>
        </is>
      </c>
      <c r="B157" s="11" t="inlineStr">
        <is>
          <t>Every Assignment.person_id exists in Person.</t>
        </is>
      </c>
      <c r="C157" s="11" t="inlineStr">
        <is>
          <t>Error - row rejected.</t>
        </is>
      </c>
    </row>
    <row r="158">
      <c r="A158" s="19" t="inlineStr">
        <is>
          <t>V-03</t>
        </is>
      </c>
      <c r="B158" s="20" t="inlineStr">
        <is>
          <t>Every Assignment.role_name appears in RoleFactor for that project's type - the coarse half of the question V-23 asks precisely.</t>
        </is>
      </c>
      <c r="C158" s="20"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59">
      <c r="A159" s="17" t="inlineStr">
        <is>
          <t>V-24</t>
        </is>
      </c>
      <c r="B159" s="18" t="inlineStr">
        <is>
          <t>Every PersonPeriodWeight.assignment_id exists in Assignment, and (assignment_id, period_start) is unique.</t>
        </is>
      </c>
      <c r="C159" s="18" t="inlineStr">
        <is>
          <t>Error - an override on an assignment that does not exist is silently ignored, so the weight the user typed never applies and nothing says so.</t>
        </is>
      </c>
    </row>
    <row r="160">
      <c r="A160" s="17" t="inlineStr">
        <is>
          <t>V-27</t>
        </is>
      </c>
      <c r="B160" s="18" t="inlineStr">
        <is>
          <t>Every clinical trial's (project_type, clinical_phase, work_scope_type) has at least one row in PeriodFTEStandard - checked on the PROJECT, not on its periods.</t>
        </is>
      </c>
      <c r="C160"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1">
      <c r="A161" s="19" t="inlineStr">
        <is>
          <t>V-28</t>
        </is>
      </c>
      <c r="B161" s="20" t="inlineStr">
        <is>
          <t>RETIRED at v2.32 (R-18), one version after it was added. It reported an assignment whose role had no RoleFactor row for that project's (project_type, clinical_phase, work_scope_type) at all.</t>
        </is>
      </c>
      <c r="C161" s="20"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2">
      <c r="A162" s="17" t="inlineStr">
        <is>
          <t>V-29</t>
        </is>
      </c>
      <c r="B162" s="18" t="inlineStr">
        <is>
          <t>A role that carries a factor, that nobody holds on the project, and that nothing covers for.</t>
        </is>
      </c>
      <c r="C162"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3">
      <c r="A163" s="17" t="inlineStr">
        <is>
          <t>V-31</t>
        </is>
      </c>
      <c r="B163" s="18" t="inlineStr">
        <is>
          <t>A project or assignment set to MANUAL has months it covers that carry no MonthlyEstimate figure. Named, with the months listed.</t>
        </is>
      </c>
      <c r="C163"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4">
      <c r="A164" s="17" t="inlineStr">
        <is>
          <t>V-36</t>
        </is>
      </c>
      <c r="B164" s="18" t="inlineStr">
        <is>
          <t>A project that has periods and NOBODY ASSIGNED TO IT AT ALL. Raised from the CALCULATION, one finding per project, carrying what the project needs: the total FTE-months, the span, the peak and the month it falls in.</t>
        </is>
      </c>
      <c r="C164" s="18" t="inlineStr">
        <is>
          <t>Information - and classed INCOMPLETE, so it never refuses an edit and never questions a save. A project with nobody on it yet is not a fault: it is the state every project is in for the minute after it is created, exactly as a person with no assignment is (v2.52). WHAT IT FIXES IS AN ABSENCE, NOT AN ERROR. Until the first assignment exists the application showed NOTHING for the project - no row in Resource by project, no band on either chart, no contribution to any tile - while still drawing it on the timeline, which reads the project's own dates. So the screen said the project exists and when it runs, and then declined to say what it costs, although type, phase, scope and periods are all the standard needs to say so. REQ-CAL-19 is explicit that the project-month IS its standard and the people on it DIVIDE it; a divisor of nobody does not make the demand nought. AND NOTHING ELSE REPORTED IT: V-34 compares demand against applied, which is this gap at its widest, but V-34 is built from projGap, which is built from projMonth, which is built from the LINES - so no assignment means no line, no entry and no finding, and the one project short by the whole of its standard was the only shortfall the shortfall rule could not see. IT CARRIES THE FIGURE, which is why it is raised from the calculation rather than from the validation, and why every term is the one an assignment with blank dates would get (REQ-CAL-15): the number it states is to the hundredth the number the project shows the moment somebody is assigned, which tools/test_unstaffed.py asserts in both directions. SKIPPED where there is nothing to say or nothing to do: a project with no periods has no demand to state and V-12 or V-16 already says so, and a Completed project is history rather than a gap to fill - its finding would never answer itself, which is what the INCOMPLETE class promises.</t>
        </is>
      </c>
    </row>
    <row r="165">
      <c r="A165" s="17" t="inlineStr">
        <is>
          <t>V-35</t>
        </is>
      </c>
      <c r="B165" s="18" t="inlineStr">
        <is>
          <t>Person.capacity_fte outside 0.00 to 1.00, in either direction.</t>
        </is>
      </c>
      <c r="C165" s="18" t="inlineStr">
        <is>
          <t>Error - and it REFUSES, which almost nothing else in this application does. capacity_fte is how much of ONE PERSON there is: 1.00 is full-time, 0.50 is half a week, 0.00 is somebody on the books who is not available at all and is therefore allowed. Every other figure here is a judgement somebody is entitled to make - a period weight, a role factor, a stated month - and the rules about those report rather than refuse, because which of two deliberate numbers is wrong is not the application's business. This is not a judgement: there is no such thing as one and a half of a person, the number is in the wrong unit, and the usual cause is hours typed into an FTE column - which the message says, with the arithmetic. Somebody doing the work of two people is TWO ASSIGNMENTS, or a person weight above 1.00 on one of them. A workbook that already breaks it still OPENS: the save and edit checks compare the count of blocking findings before and after, so a rule broken by an incoming file is reported without locking anybody out of their own plan. V-22 stands down on the same row - reporting that 1.50 is also not below the under-allocation floor would be true and useless.</t>
        </is>
      </c>
    </row>
    <row r="166">
      <c r="A166" s="17" t="inlineStr">
        <is>
          <t>V-34</t>
        </is>
      </c>
      <c r="B166" s="18" t="inlineStr">
        <is>
          <t>A project whose month is not what its own standard says it needs - standard FTE x period weight x the part of the month it runs - in either direction. Raised from the CALCULATION, one finding per project, naming the months and the worst of them.</t>
        </is>
      </c>
      <c r="C166" s="18" t="inlineStr">
        <is>
          <t>Warning - it reports and never refuses. refuses() acts only on errors, so this reaches the findings report, the load banner, the archived change log and the results export without gating a save or asking a question. Departing from the standard is the POINT of a manual figure (REQ-CAL-18): a manager part way through a trial knows better than the assumptions, and the application has no business calling that wrong. What it does have business doing is saying so, because the departure is otherwise completely silent - the charts just draw a different project. An all-automatic plan raises nothing at all, which is what keeps the rule worth reading.</t>
        </is>
      </c>
    </row>
    <row r="167">
      <c r="A167" s="17" t="inlineStr">
        <is>
          <t>V-33</t>
        </is>
      </c>
      <c r="B167" s="18" t="inlineStr">
        <is>
          <t>A manual ASSIGNMENT figure that the project's own manual figure overrode. REQ-CAL-18 makes the project figure the mother figure - it is the whole month, and the people on it are scaled so they still add up to it - so somebody can type 2.00 against their own name and be given 1.73, because their figure and a colleague's together had to come to the project's month. That is the specified behaviour and it is what keeps the two utilisation charts agreeing; what was missing is that the application did it SILENTLY, so the sheet said one thing and the chart another with nothing connecting them. Now: a SOFT STOP at the moment the figure is edited, naming both numbers and offering to keep it or put it back; the cell marked; the Monthly estimation panel carrying a table of stated against given; and this finding, which reaches the findings report and the archived change log. WARNING, not error, and it never refuses: both numbers were typed deliberately and which of them is wrong is not the application's judgement.</t>
        </is>
      </c>
      <c r="C167" s="18" t="inlineStr">
        <is>
          <t>Warning</t>
        </is>
      </c>
      <c r="D167" s="17" t="inlineStr">
        <is>
          <t>R-39</t>
        </is>
      </c>
      <c r="E167" s="17" t="inlineStr">
        <is>
          <t>4</t>
        </is>
      </c>
    </row>
    <row r="168">
      <c r="A168" s="17" t="inlineStr">
        <is>
          <t>V-32</t>
        </is>
      </c>
      <c r="B168" s="18" t="inlineStr">
        <is>
          <t>A project set to MANUAL has a figure for a month in which nobody is assigned to it.</t>
        </is>
      </c>
      <c r="C168"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9">
      <c r="A169" s="17" t="inlineStr">
        <is>
          <t>V-30</t>
        </is>
      </c>
      <c r="B169" s="18" t="inlineStr">
        <is>
          <t>Config has no row for a setting the application reads, so its built-in default is in force. Reported for every such setting, naming the value being used.</t>
        </is>
      </c>
      <c r="C169"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70">
      <c r="A170" s="19" t="inlineStr">
        <is>
          <t>V-25</t>
        </is>
      </c>
      <c r="B170" s="20" t="inlineStr">
        <is>
          <t>RETIRED at schema 7 (R-16). It reported a project whose work_scope_type contradicted its outsourcing_type.</t>
        </is>
      </c>
      <c r="C170" s="20"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71">
      <c r="A171" s="17" t="inlineStr">
        <is>
          <t>V-26</t>
        </is>
      </c>
      <c r="B171" s="18" t="inlineStr">
        <is>
          <t>No project carries a project_type that schema 6 retired - at present 'Biosimilar CT', which became 'Biosimilar CT (Healthy)' and 'Biosimilar CT (Patient)'.</t>
        </is>
      </c>
      <c r="C171"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72">
      <c r="A172" s="19" t="inlineStr">
        <is>
          <t>V-23</t>
        </is>
      </c>
      <c r="B172" s="20" t="inlineStr">
        <is>
          <t>Every (project_type, clinical_phase, work_scope_type, period_name, role_name) that a PERSON-MONTH ACTUALLY LOOKED UP has a RoleFactor row. Raised BY the calculation (R-19), grouped on that whole composition, and counted in person-months affected.</t>
        </is>
      </c>
      <c r="C172" s="20"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3">
      <c r="A173" s="10" t="inlineStr">
        <is>
          <t>V-04</t>
        </is>
      </c>
      <c r="B173" s="11" t="inlineStr">
        <is>
          <t>project_category is present for either clinical trial type.</t>
        </is>
      </c>
      <c r="C173" s="11" t="inlineStr">
        <is>
          <t>Warning - shown as blank in the dashboard.</t>
        </is>
      </c>
    </row>
    <row r="174">
      <c r="A174" s="8" t="inlineStr">
        <is>
          <t>V-05</t>
        </is>
      </c>
      <c r="B174" s="9" t="inlineStr">
        <is>
          <t>end_date is on or after start_date, for projects, assignments and all weight periods.</t>
        </is>
      </c>
      <c r="C174" s="9" t="inlineStr">
        <is>
          <t>Error - row rejected.</t>
        </is>
      </c>
    </row>
    <row r="175">
      <c r="A175" s="19" t="inlineStr">
        <is>
          <t>V-06</t>
        </is>
      </c>
      <c r="B175" s="20" t="inlineStr">
        <is>
          <t>Periods within one project, and override windows within one assignment, do not overlap.</t>
        </is>
      </c>
      <c r="C175" s="20" t="inlineStr">
        <is>
          <t>Error - overlapping pair reported. The assignment half was specified from v1.0 but not implemented until R-12; an overlap there makes the applied weight depend on row order.</t>
        </is>
      </c>
    </row>
    <row r="176">
      <c r="A176" s="8" t="inlineStr">
        <is>
          <t>V-07</t>
        </is>
      </c>
      <c r="B176" s="9" t="inlineStr">
        <is>
          <t>Assignment dates fall inside the project's own start and end dates.</t>
        </is>
      </c>
      <c r="C176" s="9" t="inlineStr">
        <is>
          <t>Warning - kept, but listed for review.</t>
        </is>
      </c>
    </row>
    <row r="177">
      <c r="A177" s="10" t="inlineStr">
        <is>
          <t>V-08</t>
        </is>
      </c>
      <c r="B177" s="11" t="inlineStr">
        <is>
          <t>project_id, person_id and assignment_id are unique in their sheet.</t>
        </is>
      </c>
      <c r="C177" s="11" t="inlineStr">
        <is>
          <t>Error - duplicate rejected.</t>
        </is>
      </c>
    </row>
    <row r="178">
      <c r="A178" s="8" t="inlineStr">
        <is>
          <t>V-09</t>
        </is>
      </c>
      <c r="B178" s="9" t="inlineStr">
        <is>
          <t>schema_version in Config matches the version the application expects.</t>
        </is>
      </c>
      <c r="C178" s="9" t="inlineStr">
        <is>
          <t>Warning - proceeds, banner shown.</t>
        </is>
      </c>
    </row>
    <row r="179">
      <c r="A179" s="17" t="inlineStr">
        <is>
          <t>V-10</t>
        </is>
      </c>
      <c r="B179" s="18" t="inlineStr">
        <is>
          <t>Clinical-trial projects carry clinical_phase and the four *_setup values.</t>
        </is>
      </c>
      <c r="C179" s="18" t="inlineStr">
        <is>
          <t>Warning - the project still simulates; the gap is listed.</t>
        </is>
      </c>
    </row>
    <row r="180">
      <c r="A180" s="17" t="inlineStr">
        <is>
          <t>V-11</t>
        </is>
      </c>
      <c r="B180" s="18" t="inlineStr">
        <is>
          <t>Every list-typed value appears in the Lists sheet for its list.</t>
        </is>
      </c>
      <c r="C180" s="18" t="inlineStr">
        <is>
          <t>Warning - value kept, reported as unrecognised.</t>
        </is>
      </c>
    </row>
    <row r="181">
      <c r="A181" s="19" t="inlineStr">
        <is>
          <t>V-12</t>
        </is>
      </c>
      <c r="B181" s="20" t="inlineStr">
        <is>
          <t>A project's periods leave no gap and no overlap across its timeline. The full set need not be present - a period may be legitimately omitted (REQ-CAL-12).</t>
        </is>
      </c>
      <c r="C181" s="20" t="inlineStr">
        <is>
          <t>Warning - months with no period use weight 1.00 and are listed (REQ-CAL-10).</t>
        </is>
      </c>
    </row>
    <row r="182">
      <c r="A182" s="17" t="inlineStr">
        <is>
          <t>V-13</t>
        </is>
      </c>
      <c r="B182" s="18" t="inlineStr">
        <is>
          <t>Denormalised project_name / person_name match their master row.</t>
        </is>
      </c>
      <c r="C182" s="18" t="inlineStr">
        <is>
          <t>Warning - the master value wins and the copy is refreshed.</t>
        </is>
      </c>
    </row>
    <row r="183">
      <c r="A183" s="19" t="inlineStr">
        <is>
          <t>V-14</t>
        </is>
      </c>
      <c r="B183" s="20" t="inlineStr">
        <is>
          <t>A milestone date falls inside its project's start..end window, and the boundary milestones appear in chronological order. Repeated 'Inspection' rows are exempt from the uniqueness part of this check.</t>
        </is>
      </c>
      <c r="C183" s="20" t="inlineStr">
        <is>
          <t>Error for period-defining milestones - the derivation cannot run. Warning for markers.</t>
        </is>
      </c>
    </row>
    <row r="184">
      <c r="A184" s="17" t="inlineStr">
        <is>
          <t>V-15</t>
        </is>
      </c>
      <c r="B184" s="18" t="inlineStr">
        <is>
          <t>A period_name belongs to the period set of its project's type.</t>
        </is>
      </c>
      <c r="C184" s="18" t="inlineStr">
        <is>
          <t>Error - a 'Planning' period on a clinical trial is a category mistake, not a typo.</t>
        </is>
      </c>
    </row>
    <row r="185">
      <c r="A185" s="17" t="inlineStr">
        <is>
          <t>V-16</t>
        </is>
      </c>
      <c r="B185" s="18" t="inlineStr">
        <is>
          <t>A clinical trial carries the milestones the derivation needs: CTA submission, and at least one DB lock.</t>
        </is>
      </c>
      <c r="C185" s="18" t="inlineStr">
        <is>
          <t>Error - without them no period boundary can be computed.</t>
        </is>
      </c>
    </row>
    <row r="186">
      <c r="A186" s="19" t="inlineStr">
        <is>
          <t>V-18</t>
        </is>
      </c>
      <c r="B186" s="20" t="inlineStr">
        <is>
          <t>Within a project, period_name is unique, and period_seq is unique.</t>
        </is>
      </c>
      <c r="C186" s="20" t="inlineStr">
        <is>
          <t>Error - since R-11 the key is (project_id, period_name), so a repeated name is a duplicate key rather than a legitimate second stretch. period_seq stays unique because it carries the order.</t>
        </is>
      </c>
    </row>
    <row r="187">
      <c r="A187" s="19" t="inlineStr">
        <is>
          <t>V-19</t>
        </is>
      </c>
      <c r="B187" s="20" t="inlineStr">
        <is>
          <t>A clinical trial carries a clinical_phase, and PeriodFTEStandard has rows for that phase. Not applied to 'Others' projects, whose weights are entered directly.</t>
        </is>
      </c>
      <c r="C187" s="20" t="inlineStr">
        <is>
          <t>Error - since Q-26 the phase selects the weights, so a missing phase leaves the project unweighted.</t>
        </is>
      </c>
    </row>
    <row r="188">
      <c r="A188" s="17" t="inlineStr">
        <is>
          <t>V-20</t>
        </is>
      </c>
      <c r="B188" s="18" t="inlineStr">
        <is>
          <t>A milestone other than 'Inspection' appears at most once per project.</t>
        </is>
      </c>
      <c r="C188" s="18" t="inlineStr">
        <is>
          <t>Warning - repeats are allowed but usually a data-entry slip outside Inspection.</t>
        </is>
      </c>
    </row>
    <row r="189">
      <c r="A189" s="17" t="inlineStr">
        <is>
          <t>V-21</t>
        </is>
      </c>
      <c r="B189" s="18" t="inlineStr">
        <is>
          <t>'Inspection' dates on or before the final DB lock are treated as markers, not as the start of period 7.</t>
        </is>
      </c>
      <c r="C189" s="18" t="inlineStr">
        <is>
          <t>Information - listed so the reader can see why an early inspection did not open a period.</t>
        </is>
      </c>
    </row>
    <row r="190">
      <c r="A190" s="17" t="inlineStr">
        <is>
          <t>V-22</t>
        </is>
      </c>
      <c r="B190" s="18" t="inlineStr">
        <is>
          <t>No person carries a capacity_fte below the under-allocation floor.</t>
        </is>
      </c>
      <c r="C190" s="18" t="inlineStr">
        <is>
          <t>Warning - such a person can never clear the floor however fully they are booked, so the flag would be permanent and meaningless.</t>
        </is>
      </c>
    </row>
    <row r="191">
      <c r="A191" s="17" t="inlineStr">
        <is>
          <t>V-17</t>
        </is>
      </c>
      <c r="B191" s="18" t="inlineStr">
        <is>
          <t>On editing an identifier, every referencing row is updated; on deleting a row, nothing may still reference it.</t>
        </is>
      </c>
      <c r="C191" s="18" t="inlineStr">
        <is>
          <t>Cascade after confirmation / deletion refused (REQ-IMP-10).</t>
        </is>
      </c>
    </row>
    <row r="193">
      <c r="A193" s="16" t="inlineStr">
        <is>
          <t>Import never stops at the first problem: it collects every finding and presents one report (REQ-IMP-02). Under REQ-IMP-09 the same rules run again on any value edited on screen.</t>
        </is>
      </c>
    </row>
    <row r="194">
      <c r="A194" s="3" t="inlineStr">
        <is>
          <t>Legend</t>
        </is>
      </c>
    </row>
    <row r="195">
      <c r="A195" s="12" t="inlineStr">
        <is>
          <t>Green = new in v0.2, added from your review answers.</t>
        </is>
      </c>
    </row>
    <row r="196">
      <c r="A196" s="13" t="inlineStr">
        <is>
          <t>Orange = changed in v0.2 as a consequence of your review.</t>
        </is>
      </c>
    </row>
    <row r="197">
      <c r="A197"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19" t="inlineStr">
        <is>
          <t>Over-allocation flag</t>
        </is>
      </c>
      <c r="B30" s="20" t="inlineStr">
        <is>
          <t>Person-month total &gt; over_allocation_fte (1.50).</t>
        </is>
      </c>
      <c r="C30" s="20" t="inlineStr">
        <is>
          <t>Red cell + count in summary tiles</t>
        </is>
      </c>
      <c r="D30" s="19"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19" t="inlineStr">
        <is>
          <t>1</t>
        </is>
      </c>
      <c r="B44" s="19" t="inlineStr">
        <is>
          <t>Before-Start-up</t>
        </is>
      </c>
      <c r="C44" s="20" t="inlineStr">
        <is>
          <t>project start_date</t>
        </is>
      </c>
      <c r="D44" s="20" t="inlineStr">
        <is>
          <t>'Protocol (v1)' where recorded, otherwise the day before Start-up begins</t>
        </is>
      </c>
      <c r="E44" s="19" t="inlineStr">
        <is>
          <t>R-02</t>
        </is>
      </c>
    </row>
    <row r="45">
      <c r="A45" s="19" t="inlineStr">
        <is>
          <t>2</t>
        </is>
      </c>
      <c r="B45" s="19" t="inlineStr">
        <is>
          <t>Start-up</t>
        </is>
      </c>
      <c r="C45" s="20" t="inlineStr">
        <is>
          <t>day after 'Protocol (v1)' where recorded, otherwise one month before 'CTA submission'</t>
        </is>
      </c>
      <c r="D45" s="20" t="inlineStr">
        <is>
          <t>'First SIV' where recorded (or 'FPI'), otherwise start + 4 months - 1 day</t>
        </is>
      </c>
      <c r="E45" s="19" t="inlineStr">
        <is>
          <t>R-02</t>
        </is>
      </c>
    </row>
    <row r="46">
      <c r="A46" s="19" t="inlineStr">
        <is>
          <t>3</t>
        </is>
      </c>
      <c r="B46" s="19" t="inlineStr">
        <is>
          <t>Conduct (interim)</t>
        </is>
      </c>
      <c r="C46" s="20" t="inlineStr">
        <is>
          <t>day after Start-up ends</t>
        </is>
      </c>
      <c r="D46" s="20" t="inlineStr">
        <is>
          <t>day before Close-out (interim) begins</t>
        </is>
      </c>
      <c r="E46" s="19"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19" t="inlineStr">
        <is>
          <t>5</t>
        </is>
      </c>
      <c r="B48" s="19" t="inlineStr">
        <is>
          <t>Conduct (final)</t>
        </is>
      </c>
      <c r="C48" s="20" t="inlineStr">
        <is>
          <t>day after 'interim DB lock'</t>
        </is>
      </c>
      <c r="D48" s="20" t="inlineStr">
        <is>
          <t>day before Close-out (final) begins</t>
        </is>
      </c>
      <c r="E48" s="19" t="inlineStr">
        <is>
          <t>Q-23, R-11</t>
        </is>
      </c>
    </row>
    <row r="49">
      <c r="A49" s="19" t="inlineStr">
        <is>
          <t>6</t>
        </is>
      </c>
      <c r="B49" s="19" t="inlineStr">
        <is>
          <t>Close-out (final)</t>
        </is>
      </c>
      <c r="C49" s="20" t="inlineStr">
        <is>
          <t>3 months before 'final DB lock'</t>
        </is>
      </c>
      <c r="D49" s="20" t="inlineStr">
        <is>
          <t>day before period 7 begins; where there is no period 7, 'final DB lock' or project end_date if later</t>
        </is>
      </c>
      <c r="E49" s="19"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19" t="inlineStr">
        <is>
          <t>C-03</t>
        </is>
      </c>
      <c r="B95" s="20" t="inlineStr">
        <is>
          <t>A missing PersonPeriodWeight row means person_weight applies unchanged.</t>
        </is>
      </c>
      <c r="C95" s="20" t="inlineStr">
        <is>
          <t>Follows from the override semantics. No row is the normal case, not an exception.</t>
        </is>
      </c>
      <c r="D95" s="19" t="inlineStr">
        <is>
          <t>CONFIRMED</t>
        </is>
      </c>
    </row>
    <row r="96">
      <c r="A96" s="19" t="inlineStr">
        <is>
          <t>C-04</t>
        </is>
      </c>
      <c r="B96" s="20" t="inlineStr">
        <is>
          <t>Capacity is FTE. 1.00 FTE = 160 h/month.</t>
        </is>
      </c>
      <c r="C96" s="20" t="inlineStr">
        <is>
          <t>Confirmed at Q-08. Note the flag is NOT at 1.00 - over-allocation begins above 1.50.</t>
        </is>
      </c>
      <c r="D96" s="19" t="inlineStr">
        <is>
          <t>CONFIRMED</t>
        </is>
      </c>
    </row>
    <row r="97">
      <c r="A97" s="19" t="inlineStr">
        <is>
          <t>C-05</t>
        </is>
      </c>
      <c r="B97" s="20" t="inlineStr">
        <is>
          <t>The unit shown on screen is FTE, with hours available.</t>
        </is>
      </c>
      <c r="C97" s="20" t="inlineStr">
        <is>
          <t>Q-08 was expressed in FTE and hours, so FTE is now the default rather than percent.</t>
        </is>
      </c>
      <c r="D97" s="19"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19" t="inlineStr">
        <is>
          <t>Control bar</t>
        </is>
      </c>
      <c r="B6" s="20"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19"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9" t="inlineStr">
        <is>
          <t>Table B - resource by person</t>
        </is>
      </c>
      <c r="B8" s="20" t="inlineStr">
        <is>
          <t>Rows = person, columns = months, cells = FTE summed across projects. Over-allocated cells red, under-allocated runs amber. Expanding a person reveals their projects.</t>
        </is>
      </c>
      <c r="C8" s="19"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9" t="inlineStr">
        <is>
          <t>Graph 2 - grouped bar, by person</t>
        </is>
      </c>
      <c r="B10" s="20" t="inlineStr">
        <is>
          <t>Monthly FTE per person with reference lines at 1.50 and 0.80, so both thresholds are visible.</t>
        </is>
      </c>
      <c r="C10" s="19"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9" t="inlineStr">
        <is>
          <t>Summary tiles</t>
        </is>
      </c>
      <c r="B12" s="20" t="inlineStr">
        <is>
          <t>Active projects, people assigned, total FTE in the horizon, over-allocated person-months, under-allocated runs.</t>
        </is>
      </c>
      <c r="C12" s="19" t="inlineStr">
        <is>
          <t>REQ-DSH-08</t>
        </is>
      </c>
    </row>
    <row r="14">
      <c r="A14" s="5" t="inlineStr">
        <is>
          <t>Tab 2 - Source data (project)</t>
        </is>
      </c>
    </row>
    <row r="15" ht="28" customHeight="1">
      <c r="A15" s="7" t="inlineStr">
        <is>
          <t>Component</t>
        </is>
      </c>
      <c r="B15" s="7" t="inlineStr">
        <is>
          <t>Content</t>
        </is>
      </c>
      <c r="C15" s="7" t="inlineStr">
        <is>
          <t>REQ-ID</t>
        </is>
      </c>
    </row>
    <row r="16">
      <c r="A16" s="19" t="inlineStr">
        <is>
          <t>Project table</t>
        </is>
      </c>
      <c r="B16" s="20" t="inlineStr">
        <is>
          <t>Every Project column from sheet 04, sortable and filterable, with derived total period. Editable under REQ-IMP-07.</t>
        </is>
      </c>
      <c r="C16" s="19" t="inlineStr">
        <is>
          <t>REQ-DSH-03</t>
        </is>
      </c>
    </row>
    <row r="17">
      <c r="A17" s="10" t="inlineStr">
        <is>
          <t>Milestone sub-table</t>
        </is>
      </c>
      <c r="B17" s="11" t="inlineStr">
        <is>
          <t>Milestones of the selected project, in sequence.</t>
        </is>
      </c>
      <c r="C17" s="10" t="inlineStr">
        <is>
          <t>REQ-PRJ-05</t>
        </is>
      </c>
    </row>
    <row r="18">
      <c r="A18" s="19" t="inlineStr">
        <is>
          <t>Period sub-table</t>
        </is>
      </c>
      <c r="B18" s="20" t="inlineStr">
        <is>
          <t>The selected project's four periods, their derived dates and their weights.</t>
        </is>
      </c>
      <c r="C18" s="19"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9" t="inlineStr">
        <is>
          <t>Person table</t>
        </is>
      </c>
      <c r="B23" s="20" t="inlineStr">
        <is>
          <t>Every Person column from sheet 04, sortable and filterable. Editable under REQ-IMP-07.</t>
        </is>
      </c>
      <c r="C23" s="19" t="inlineStr">
        <is>
          <t>REQ-DSH-04</t>
        </is>
      </c>
    </row>
    <row r="24">
      <c r="A24" s="19" t="inlineStr">
        <is>
          <t>Assignment sub-table</t>
        </is>
      </c>
      <c r="B24" s="20" t="inlineStr">
        <is>
          <t>The selected person's assignments: project, role, start, end, person weight.</t>
        </is>
      </c>
      <c r="C24" s="19"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20" t="inlineStr">
        <is>
          <t>The v0.1 rule 'nothing on screen is editable' is withdrawn. Imported data can be edited in the application.</t>
        </is>
      </c>
      <c r="B30" s="19"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20" t="inlineStr">
        <is>
          <t>Every field is editable, identifiers included (Q-20). Consistency is protected by rule, not by locking fields.</t>
        </is>
      </c>
      <c r="B33" s="19"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19" t="inlineStr">
        <is>
          <t>5. Calculation layer</t>
        </is>
      </c>
      <c r="B28" s="20" t="inlineStr">
        <is>
          <t>The monthly engine above. Pure functions - no DOM, no file access.</t>
        </is>
      </c>
      <c r="C28" s="20" t="inlineStr">
        <is>
          <t>Directly unit-testable, and the piece most likely to be refined once you see real output.</t>
        </is>
      </c>
    </row>
    <row r="29">
      <c r="A29" s="19" t="inlineStr">
        <is>
          <t>6. Presentation layer</t>
        </is>
      </c>
      <c r="B29" s="20" t="inlineStr">
        <is>
          <t>Tabs, tables, graphs, filters, editing controls, export buttons.</t>
        </is>
      </c>
      <c r="C29" s="20"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20"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9" t="inlineStr">
        <is>
          <t>Source data template</t>
        </is>
      </c>
      <c r="B8" s="20" t="inlineStr">
        <is>
          <t>PRAP_SourceData_v&lt;ver&gt;.xlsx  (one workbook, was two)</t>
        </is>
      </c>
      <c r="C8" s="19" t="inlineStr">
        <is>
          <t>templates/</t>
        </is>
      </c>
      <c r="D8" s="20"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9" t="inlineStr">
        <is>
          <t>R-01</t>
        </is>
      </c>
      <c r="B5" s="20" t="inlineStr">
        <is>
          <t>The resource formula does not match how burden is actually judged, so output looks wrong.</t>
        </is>
      </c>
      <c r="C5" s="19" t="inlineStr">
        <is>
          <t>Medium</t>
        </is>
      </c>
      <c r="D5" s="19" t="inlineStr">
        <is>
          <t>High</t>
        </is>
      </c>
      <c r="E5" s="20"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9" t="inlineStr">
        <is>
          <t>R-03</t>
        </is>
      </c>
      <c r="B7" s="20" t="inlineStr">
        <is>
          <t>Corporate policy blocks local .html files or restricts the browser.</t>
        </is>
      </c>
      <c r="C7" s="19" t="inlineStr">
        <is>
          <t>-</t>
        </is>
      </c>
      <c r="D7" s="19" t="inlineStr">
        <is>
          <t>-</t>
        </is>
      </c>
      <c r="E7" s="20"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9" t="inlineStr">
        <is>
          <t>R-05</t>
        </is>
      </c>
      <c r="B9" s="20" t="inlineStr">
        <is>
          <t>Data volume grows beyond what a browser handles comfortably.</t>
        </is>
      </c>
      <c r="C9" s="19" t="inlineStr">
        <is>
          <t>Low</t>
        </is>
      </c>
      <c r="D9" s="19" t="inlineStr">
        <is>
          <t>Low</t>
        </is>
      </c>
      <c r="E9" s="20"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19" t="inlineStr">
        <is>
          <t>R-09</t>
        </is>
      </c>
      <c r="B13" s="20" t="inlineStr">
        <is>
          <t>Milestone-derived periods break for a project with missing or out-of-order milestones.</t>
        </is>
      </c>
      <c r="C13" s="19" t="inlineStr">
        <is>
          <t>Medium</t>
        </is>
      </c>
      <c r="D13" s="19" t="inlineStr">
        <is>
          <t>High</t>
        </is>
      </c>
      <c r="E13" s="20"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19" t="inlineStr">
        <is>
          <t>R-10</t>
        </is>
      </c>
      <c r="B14" s="20" t="inlineStr">
        <is>
          <t>The weight and role-factor values are unknown to the plan, so output cannot be checked against reality until they are entered.</t>
        </is>
      </c>
      <c r="C14" s="19" t="inlineStr">
        <is>
          <t>Medium</t>
        </is>
      </c>
      <c r="D14" s="19" t="inlineStr">
        <is>
          <t>Medium</t>
        </is>
      </c>
      <c r="E14" s="20"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19" t="inlineStr">
        <is>
          <t>R-11</t>
        </is>
      </c>
      <c r="B15" s="20" t="inlineStr">
        <is>
          <t>The period mapping leaves parts of a project with no period, so months silently carry a default weight.</t>
        </is>
      </c>
      <c r="C15" s="19" t="inlineStr">
        <is>
          <t>Low</t>
        </is>
      </c>
      <c r="D15" s="19" t="inlineStr">
        <is>
          <t>Medium</t>
        </is>
      </c>
      <c r="E15" s="20"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19" t="inlineStr">
        <is>
          <t>A-01</t>
        </is>
      </c>
      <c r="B20" s="20" t="inlineStr">
        <is>
          <t>Data volume is under 20 projects and 30 people.</t>
        </is>
      </c>
      <c r="C20" s="19" t="inlineStr">
        <is>
          <t>CONFIRMED Q-06</t>
        </is>
      </c>
    </row>
    <row r="21">
      <c r="A21" s="19" t="inlineStr">
        <is>
          <t>A-02</t>
        </is>
      </c>
      <c r="B21" s="20" t="inlineStr">
        <is>
          <t>One person's capacity is 1.00 FTE = 160 hours per month; part-timers carry a lower capacity_fte.</t>
        </is>
      </c>
      <c r="C21" s="19"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19" t="inlineStr">
        <is>
          <t>A-05</t>
        </is>
      </c>
      <c r="B24" s="20" t="inlineStr">
        <is>
          <t>Windows 10 or 11 with Edge or Chrome, and local .html files open.</t>
        </is>
      </c>
      <c r="C24" s="19" t="inlineStr">
        <is>
          <t>CONFIRMED Q-05</t>
        </is>
      </c>
    </row>
    <row r="25">
      <c r="A25" s="10" t="inlineStr">
        <is>
          <t>A-06</t>
        </is>
      </c>
      <c r="B25" s="11" t="inlineStr">
        <is>
          <t>Only one person maintains the workbook at a time - no concurrent editing to reconcile.</t>
        </is>
      </c>
      <c r="C25" s="10" t="inlineStr">
        <is>
          <t>Standing</t>
        </is>
      </c>
    </row>
    <row r="26">
      <c r="A26" s="19" t="inlineStr">
        <is>
          <t>A-07</t>
        </is>
      </c>
      <c r="B26" s="20" t="inlineStr">
        <is>
          <t>Milestone dates now DRIVE period boundaries (REQ-CAL-09); they are no longer merely informational.</t>
        </is>
      </c>
      <c r="C26" s="19" t="inlineStr">
        <is>
          <t>Changed by Q-01/Q-04</t>
        </is>
      </c>
    </row>
    <row r="27">
      <c r="A27" s="19" t="inlineStr">
        <is>
          <t>A-08</t>
        </is>
      </c>
      <c r="B27" s="20" t="inlineStr">
        <is>
          <t>Period sets are type-specific: seven names for either clinical trial type, three for 'Others'. No name repeats within a project.</t>
        </is>
      </c>
      <c r="C27" s="19" t="inlineStr">
        <is>
          <t>CONFIRMED Q-18, Q-23; revised at R-11</t>
        </is>
      </c>
    </row>
    <row r="28">
      <c r="A28" s="19" t="inlineStr">
        <is>
          <t>A-09</t>
        </is>
      </c>
      <c r="B28" s="20" t="inlineStr">
        <is>
          <t>A clinical trial's period weights are selected by its clinical phase.</t>
        </is>
      </c>
      <c r="C28" s="19" t="inlineStr">
        <is>
          <t>CONFIRMED Q-26</t>
        </is>
      </c>
    </row>
    <row r="29">
      <c r="A29" s="19" t="inlineStr">
        <is>
          <t>A-10</t>
        </is>
      </c>
      <c r="B29" s="20" t="inlineStr">
        <is>
          <t>'Others' projects have no milestone mapping, so their three periods are entered by hand.</t>
        </is>
      </c>
      <c r="C29" s="19"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was the most consequential answer in this round. At that volume the person table is 1,000 rows x 60 months = 60,000 cells, and the per-person chart would be 1,000 bars at roughly 1.2px each. Neither survives a naive build, so virtualisation and aggregation became requirements (REQ-DSH-09) rather than optimisations. Priority raised from Should to Must. SUPERSEDED AT R-47, and worth reading as a lesson rather than only as a record: the volume was reasoned about and never measured, the aggregation half was duly built, and the VIRTUALISATION half was recorded as built for five weeks without existing. Measurement then put the rendering budget's crossing point at about 400 people, so REQ-NFR-03 is now 100 projects and 150 people and the virtualisation clause is withdrawn. Priority stays Must.</t>
        </is>
      </c>
      <c r="E57" s="17" t="inlineStr">
        <is>
          <t>Applied; volume superseded at R-47</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2026-09-13T11:24:38Z</dcterms:created>
  <dcterms:modified xmlns:dcterms="http://purl.org/dc/terms/" xmlns:xsi="http://www.w3.org/2001/XMLSchema-instance" xsi:type="dcterms:W3CDTF">2026-09-13T11:24:38Z</dcterms:modified>
</cp:coreProperties>
</file>