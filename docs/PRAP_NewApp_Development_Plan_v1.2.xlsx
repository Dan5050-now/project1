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1_Open_Questions" sheetId="13" state="visible" r:id="rId13"/>
    <sheet name="12_Review_Log"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v1.2</t>
        </is>
      </c>
    </row>
    <row r="7" ht="30" customHeight="1">
      <c r="A7" s="3" t="inlineStr">
        <is>
          <t>Status</t>
        </is>
      </c>
      <c r="B7" s="4" t="inlineStr">
        <is>
          <t>Baseline v1.0 + Steps N2 and N3 progress. v1.0 remains the approved baseline - this issue records progress against it, and changes no requirement, decision or risk.</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PRAP_NewApp_Development_Plan_v1.2.xlsx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1.2</t>
        </is>
      </c>
      <c r="B5" s="11" t="inlineStr">
        <is>
          <t>2026-08-13</t>
        </is>
      </c>
      <c r="C5" s="11" t="inlineStr">
        <is>
          <t>Claude Code</t>
        </is>
      </c>
      <c r="D5" s="11" t="inlineStr">
        <is>
          <t>-</t>
        </is>
      </c>
      <c r="E5" s="12"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6">
      <c r="A6" s="13" t="inlineStr">
        <is>
          <t>1.1</t>
        </is>
      </c>
      <c r="B6" s="13" t="inlineStr">
        <is>
          <t>2026-08-13</t>
        </is>
      </c>
      <c r="C6" s="13" t="inlineStr">
        <is>
          <t>Claude Code</t>
        </is>
      </c>
      <c r="D6" s="13" t="inlineStr">
        <is>
          <t>-</t>
        </is>
      </c>
      <c r="E6" s="14"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7">
      <c r="A7" s="15" t="inlineStr">
        <is>
          <t>1.0</t>
        </is>
      </c>
      <c r="B7" s="15" t="inlineStr">
        <is>
          <t>2026-08-13</t>
        </is>
      </c>
      <c r="C7" s="15" t="inlineStr">
        <is>
          <t>Claude Code</t>
        </is>
      </c>
      <c r="D7" s="15" t="inlineStr">
        <is>
          <t>APPROVED</t>
        </is>
      </c>
      <c r="E7" s="16"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8">
      <c r="A8" s="13" t="inlineStr">
        <is>
          <t>0.7</t>
        </is>
      </c>
      <c r="B8" s="13" t="inlineStr">
        <is>
          <t>2026-08-13</t>
        </is>
      </c>
      <c r="C8" s="13" t="inlineStr">
        <is>
          <t>Claude Code</t>
        </is>
      </c>
      <c r="D8" s="13" t="inlineStr">
        <is>
          <t>Superseded</t>
        </is>
      </c>
      <c r="E8" s="14"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9">
      <c r="A9" s="15" t="inlineStr">
        <is>
          <t>0.6</t>
        </is>
      </c>
      <c r="B9" s="15" t="inlineStr">
        <is>
          <t>2026-08-13</t>
        </is>
      </c>
      <c r="C9" s="15" t="inlineStr">
        <is>
          <t>Claude Code</t>
        </is>
      </c>
      <c r="D9" s="15" t="inlineStr">
        <is>
          <t>Superseded</t>
        </is>
      </c>
      <c r="E9" s="16"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10">
      <c r="A10" s="13" t="inlineStr">
        <is>
          <t>0.5</t>
        </is>
      </c>
      <c r="B10" s="13" t="inlineStr">
        <is>
          <t>2026-08-13</t>
        </is>
      </c>
      <c r="C10" s="13" t="inlineStr">
        <is>
          <t>Claude Code</t>
        </is>
      </c>
      <c r="D10" s="13" t="inlineStr">
        <is>
          <t>Superseded</t>
        </is>
      </c>
      <c r="E10" s="14"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11">
      <c r="A11" s="15" t="inlineStr">
        <is>
          <t>0.4</t>
        </is>
      </c>
      <c r="B11" s="15" t="inlineStr">
        <is>
          <t>2026-08-13</t>
        </is>
      </c>
      <c r="C11" s="15" t="inlineStr">
        <is>
          <t>Claude Code</t>
        </is>
      </c>
      <c r="D11" s="15" t="inlineStr">
        <is>
          <t>Superseded</t>
        </is>
      </c>
      <c r="E11" s="16"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12">
      <c r="A12" s="13" t="inlineStr">
        <is>
          <t>0.3</t>
        </is>
      </c>
      <c r="B12" s="13" t="inlineStr">
        <is>
          <t>2026-08-13</t>
        </is>
      </c>
      <c r="C12" s="13" t="inlineStr">
        <is>
          <t>Claude Code</t>
        </is>
      </c>
      <c r="D12" s="13" t="inlineStr">
        <is>
          <t>Superseded</t>
        </is>
      </c>
      <c r="E12" s="14"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13">
      <c r="A13" s="15" t="inlineStr">
        <is>
          <t>0.2</t>
        </is>
      </c>
      <c r="B13" s="15" t="inlineStr">
        <is>
          <t>2026-08-13</t>
        </is>
      </c>
      <c r="C13" s="15" t="inlineStr">
        <is>
          <t>Claude Code</t>
        </is>
      </c>
      <c r="D13" s="15" t="inlineStr">
        <is>
          <t>Superseded</t>
        </is>
      </c>
      <c r="E13" s="16"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14">
      <c r="A14" s="13" t="inlineStr">
        <is>
          <t>0.1</t>
        </is>
      </c>
      <c r="B14" s="13" t="inlineStr">
        <is>
          <t>2026-08-13</t>
        </is>
      </c>
      <c r="C14" s="13" t="inlineStr">
        <is>
          <t>Claude Code</t>
        </is>
      </c>
      <c r="D14" s="13" t="inlineStr">
        <is>
          <t>Superseded</t>
        </is>
      </c>
      <c r="E14" s="14"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16">
      <c r="A16" s="5" t="inlineStr">
        <is>
          <t>Numbering rules for this document line</t>
        </is>
      </c>
    </row>
    <row r="17" ht="28" customHeight="1">
      <c r="A17" s="10" t="inlineStr">
        <is>
          <t>Version</t>
        </is>
      </c>
      <c r="B17" s="10" t="inlineStr">
        <is>
          <t>Meaning</t>
        </is>
      </c>
    </row>
    <row r="18">
      <c r="A18" s="15" t="inlineStr">
        <is>
          <t>v0.x</t>
        </is>
      </c>
      <c r="B18" s="16" t="inlineStr">
        <is>
          <t>Draft issues during Step 1 review rounds.</t>
        </is>
      </c>
    </row>
    <row r="19">
      <c r="A19" s="13" t="inlineStr">
        <is>
          <t>v1.0</t>
        </is>
      </c>
      <c r="B19" s="14" t="inlineStr">
        <is>
          <t>The approved baseline, set at Gate N1.</t>
        </is>
      </c>
    </row>
    <row r="20">
      <c r="A20" s="15" t="inlineStr">
        <is>
          <t>v1.x</t>
        </is>
      </c>
      <c r="B20" s="16" t="inlineStr">
        <is>
          <t>Approved changes against that baseline, each separately approved.</t>
        </is>
      </c>
    </row>
    <row r="21">
      <c r="A21" s="13" t="inlineStr">
        <is>
          <t>v2.0</t>
        </is>
      </c>
      <c r="B21" s="14" t="inlineStr">
        <is>
          <t>Reserved for a structural change, on the same rule the web plan used.</t>
        </is>
      </c>
    </row>
    <row r="23">
      <c r="A23" s="8" t="inlineStr">
        <is>
          <t>Gate prefixes are N1..N5 throughout this document, so a reference such as 'G4' can never be confused between the two plans.</t>
        </is>
      </c>
    </row>
    <row r="24">
      <c r="A24" s="3" t="inlineStr">
        <is>
          <t>Legend</t>
        </is>
      </c>
    </row>
    <row r="25">
      <c r="A25" s="17" t="inlineStr">
        <is>
          <t>Green = new to the desktop application; nothing in the web application corresponds to it.</t>
        </is>
      </c>
    </row>
    <row r="26">
      <c r="A26" s="18" t="inlineStr">
        <is>
          <t>Orange = inherited from the web application but deliberately changed here.</t>
        </is>
      </c>
    </row>
    <row r="27">
      <c r="A27"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2"/>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20" t="inlineStr">
        <is>
          <t>NR-STO-06</t>
        </is>
      </c>
      <c r="B24" s="20" t="inlineStr">
        <is>
          <t>Storage</t>
        </is>
      </c>
      <c r="C24" s="21" t="inlineStr">
        <is>
          <t>The previous committed version of a workspace is retained and can be restored from within the application. The number retained is a setting; its default is ONE, so a workspace directory holds the current file and the one before it.</t>
        </is>
      </c>
      <c r="D24" s="20" t="inlineStr">
        <is>
          <t>Should</t>
        </is>
      </c>
      <c r="E24" s="21" t="inlineStr">
        <is>
          <t>Q-N07</t>
        </is>
      </c>
      <c r="F24" s="20"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20" t="inlineStr">
        <is>
          <t>NR-STO-10</t>
        </is>
      </c>
      <c r="B28" s="20" t="inlineStr">
        <is>
          <t>Storage</t>
        </is>
      </c>
      <c r="C28" s="21" t="inlineStr">
        <is>
          <t>While one session is editing a workspace, no other session may update it. The claim is made when the FIRST EDIT is attempted - not when the workspace is opened - so that reading is never blocked.</t>
        </is>
      </c>
      <c r="D28" s="20" t="inlineStr">
        <is>
          <t>Must</t>
        </is>
      </c>
      <c r="E28" s="21" t="inlineStr">
        <is>
          <t>Your instruction, round 3</t>
        </is>
      </c>
      <c r="F28" s="20" t="inlineStr">
        <is>
          <t>N4</t>
        </is>
      </c>
    </row>
    <row r="29">
      <c r="A29" s="20" t="inlineStr">
        <is>
          <t>NR-STO-11</t>
        </is>
      </c>
      <c r="B29" s="20" t="inlineStr">
        <is>
          <t>Storage</t>
        </is>
      </c>
      <c r="C29" s="21" t="inlineStr">
        <is>
          <t>Reading is a full working mode, not a refusal: every figure, table, graph, filter and export is available to a session that does not hold the claim. Only writing to that workspace is withheld.</t>
        </is>
      </c>
      <c r="D29" s="20" t="inlineStr">
        <is>
          <t>Must</t>
        </is>
      </c>
      <c r="E29" s="21" t="inlineStr">
        <is>
          <t>Consequence of NR-STO-10</t>
        </is>
      </c>
      <c r="F29" s="20" t="inlineStr">
        <is>
          <t>N4</t>
        </is>
      </c>
    </row>
    <row r="30">
      <c r="A30" s="20" t="inlineStr">
        <is>
          <t>NR-STO-12</t>
        </is>
      </c>
      <c r="B30" s="20" t="inlineStr">
        <is>
          <t>Storage</t>
        </is>
      </c>
      <c r="C30" s="21" t="inlineStr">
        <is>
          <t>A session refused the claim is shown a message naming who holds it, how to reach them, since when, whether their session is still responding, and when the plan becomes free - never merely that the file is locked.</t>
        </is>
      </c>
      <c r="D30" s="20" t="inlineStr">
        <is>
          <t>Must</t>
        </is>
      </c>
      <c r="E30" s="21" t="inlineStr">
        <is>
          <t>Q-N17</t>
        </is>
      </c>
      <c r="F30" s="20"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20" t="inlineStr">
        <is>
          <t>NR-STO-14</t>
        </is>
      </c>
      <c r="B32" s="20" t="inlineStr">
        <is>
          <t>Storage</t>
        </is>
      </c>
      <c r="C32" s="21" t="inlineStr">
        <is>
          <t>A holding session refreshes its claim every 30 seconds while it lives, so the application always knows whether the holder is alive. A claim that has stopped being refreshed expires after 30 MINUTES, after which anybody may take it over.</t>
        </is>
      </c>
      <c r="D32" s="20" t="inlineStr">
        <is>
          <t>Must</t>
        </is>
      </c>
      <c r="E32" s="21" t="inlineStr">
        <is>
          <t>Q-N16</t>
        </is>
      </c>
      <c r="F32" s="20"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20" t="inlineStr">
        <is>
          <t>NR-IMP-01</t>
        </is>
      </c>
      <c r="B38" s="20" t="inlineStr">
        <is>
          <t>Import / export</t>
        </is>
      </c>
      <c r="C38" s="21" t="inlineStr">
        <is>
          <t>Import reads the Excel source workbook and prap-source-data JSON exactly as the web application does, using the same reader and reporting the same findings.</t>
        </is>
      </c>
      <c r="D38" s="20" t="inlineStr">
        <is>
          <t>Must</t>
        </is>
      </c>
      <c r="E38" s="21" t="inlineStr">
        <is>
          <t>Replaces nothing - REQ-IMP-01 inherited</t>
        </is>
      </c>
      <c r="F38" s="20" t="inlineStr">
        <is>
          <t>N4</t>
        </is>
      </c>
    </row>
    <row r="39">
      <c r="A39" s="20" t="inlineStr">
        <is>
          <t>NR-IMP-02</t>
        </is>
      </c>
      <c r="B39" s="20" t="inlineStr">
        <is>
          <t>Import / export</t>
        </is>
      </c>
      <c r="C39" s="21"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20" t="inlineStr">
        <is>
          <t>Must</t>
        </is>
      </c>
      <c r="E39" s="21" t="inlineStr">
        <is>
          <t>Q-N05</t>
        </is>
      </c>
      <c r="F39" s="20" t="inlineStr">
        <is>
          <t>N4</t>
        </is>
      </c>
    </row>
    <row r="40">
      <c r="A40" s="20" t="inlineStr">
        <is>
          <t>NR-IMP-03</t>
        </is>
      </c>
      <c r="B40" s="20" t="inlineStr">
        <is>
          <t>Import / export</t>
        </is>
      </c>
      <c r="C40" s="21" t="inlineStr">
        <is>
          <t>Export to Excel and to JSON produces byte-for-byte the same content the web application would produce from the same data.</t>
        </is>
      </c>
      <c r="D40" s="20" t="inlineStr">
        <is>
          <t>Must</t>
        </is>
      </c>
      <c r="E40" s="21" t="inlineStr">
        <is>
          <t>Parity</t>
        </is>
      </c>
      <c r="F40" s="20"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20" t="inlineStr">
        <is>
          <t>NR-IMP-04</t>
        </is>
      </c>
      <c r="B44" s="20" t="inlineStr">
        <is>
          <t>Import / export</t>
        </is>
      </c>
      <c r="C44" s="21" t="inlineStr">
        <is>
          <t>A workspace can be opened by dragging it onto the running application's window. Double-clicking a workspace file in Explorer does NOT open it, because a file association would require a registry entry that NR-DEP-06 forbids.</t>
        </is>
      </c>
      <c r="D44" s="20" t="inlineStr">
        <is>
          <t>Could</t>
        </is>
      </c>
      <c r="E44" s="21" t="inlineStr">
        <is>
          <t>Reduced by the non-installed rule</t>
        </is>
      </c>
      <c r="F44" s="20" t="inlineStr">
        <is>
          <t>N4</t>
        </is>
      </c>
    </row>
    <row r="45">
      <c r="A45" s="11" t="inlineStr">
        <is>
          <t>NR-USR-01</t>
        </is>
      </c>
      <c r="B45" s="11" t="inlineStr">
        <is>
          <t>User identity</t>
        </is>
      </c>
      <c r="C45" s="12" t="inlineStr">
        <is>
          <t>The application asks who the user is when it starts, before any workspace is opened, and carries that identity for the session.</t>
        </is>
      </c>
      <c r="D45" s="11" t="inlineStr">
        <is>
          <t>Must</t>
        </is>
      </c>
      <c r="E45" s="12" t="inlineStr">
        <is>
          <t>Q-N17</t>
        </is>
      </c>
      <c r="F45" s="11" t="inlineStr">
        <is>
          <t>N4</t>
        </is>
      </c>
    </row>
    <row r="46">
      <c r="A46" s="11" t="inlineStr">
        <is>
          <t>NR-USR-02</t>
        </is>
      </c>
      <c r="B46" s="11" t="inlineStr">
        <is>
          <t>User identity</t>
        </is>
      </c>
      <c r="C46" s="12" t="inlineStr">
        <is>
          <t>It asks in full only the first time. Afterwards it shows what it remembers, pre-filled, for the user to confirm with one click - and offers 'not me' for a shared PC.</t>
        </is>
      </c>
      <c r="D46" s="11" t="inlineStr">
        <is>
          <t>Must</t>
        </is>
      </c>
      <c r="E46" s="12" t="inlineStr">
        <is>
          <t>Q-N17, usability</t>
        </is>
      </c>
      <c r="F46" s="11" t="inlineStr">
        <is>
          <t>N4</t>
        </is>
      </c>
    </row>
    <row r="47">
      <c r="A47" s="11" t="inlineStr">
        <is>
          <t>NR-USR-03</t>
        </is>
      </c>
      <c r="B47" s="11" t="inlineStr">
        <is>
          <t>User identity</t>
        </is>
      </c>
      <c r="C47" s="12" t="inlineStr">
        <is>
          <t>The name is pre-filled from the Windows account name the first time, so the common case is confirming rather than typing. It stays editable - a Windows account name is often not how colleagues know each other.</t>
        </is>
      </c>
      <c r="D47" s="11" t="inlineStr">
        <is>
          <t>Should</t>
        </is>
      </c>
      <c r="E47" s="12" t="inlineStr">
        <is>
          <t>Q-N17</t>
        </is>
      </c>
      <c r="F47" s="11" t="inlineStr">
        <is>
          <t>N4</t>
        </is>
      </c>
    </row>
    <row r="48">
      <c r="A48" s="20" t="inlineStr">
        <is>
          <t>NR-USR-04</t>
        </is>
      </c>
      <c r="B48" s="20" t="inlineStr">
        <is>
          <t>User identity</t>
        </is>
      </c>
      <c r="C48" s="21" t="inlineStr">
        <is>
          <t>An identity is a name and a DEPARTMENT. Both are recorded; no e-mail, telephone or other field is collected. A name and a department are what a colleague needs to find somebody in the company directory.</t>
        </is>
      </c>
      <c r="D48" s="20" t="inlineStr">
        <is>
          <t>Must</t>
        </is>
      </c>
      <c r="E48" s="21" t="inlineStr">
        <is>
          <t>Q-N18</t>
        </is>
      </c>
      <c r="F48" s="20" t="inlineStr">
        <is>
          <t>N4</t>
        </is>
      </c>
    </row>
    <row r="49">
      <c r="A49" s="11" t="inlineStr">
        <is>
          <t>NR-USR-05</t>
        </is>
      </c>
      <c r="B49" s="11" t="inlineStr">
        <is>
          <t>User identity</t>
        </is>
      </c>
      <c r="C49" s="12" t="inlineStr">
        <is>
          <t>A claim carries the holder's name and contact details, so the message a blocked colleague sees can be acted on rather than merely read. Those details are removed with the claim.</t>
        </is>
      </c>
      <c r="D49" s="11" t="inlineStr">
        <is>
          <t>Must</t>
        </is>
      </c>
      <c r="E49" s="12" t="inlineStr">
        <is>
          <t>Q-N17 - contact</t>
        </is>
      </c>
      <c r="F49" s="11" t="inlineStr">
        <is>
          <t>N4</t>
        </is>
      </c>
    </row>
    <row r="50">
      <c r="A50" s="20" t="inlineStr">
        <is>
          <t>NR-USR-06</t>
        </is>
      </c>
      <c r="B50" s="20" t="inlineStr">
        <is>
          <t>User identity</t>
        </is>
      </c>
      <c r="C50" s="21" t="inlineStr">
        <is>
          <t>The blocked message shows the holder's name and department together, and offers to copy them, so a colleague can look them up or ask their department without writing anything down.</t>
        </is>
      </c>
      <c r="D50" s="20" t="inlineStr">
        <is>
          <t>Should</t>
        </is>
      </c>
      <c r="E50" s="21" t="inlineStr">
        <is>
          <t>Q-N18</t>
        </is>
      </c>
      <c r="F50" s="20" t="inlineStr">
        <is>
          <t>N4</t>
        </is>
      </c>
    </row>
    <row r="51">
      <c r="A51" s="20" t="inlineStr">
        <is>
          <t>NR-USR-07</t>
        </is>
      </c>
      <c r="B51" s="20" t="inlineStr">
        <is>
          <t>User identity</t>
        </is>
      </c>
      <c r="C51" s="21" t="inlineStr">
        <is>
          <t>A workspace records who last saved it - name and department - and when, shown when it is opened. On a shared plan, knowing whose figures these are matters as much as knowing when they were made.</t>
        </is>
      </c>
      <c r="D51" s="20" t="inlineStr">
        <is>
          <t>Should</t>
        </is>
      </c>
      <c r="E51" s="21" t="inlineStr">
        <is>
          <t>Follows from having identities</t>
        </is>
      </c>
      <c r="F51" s="20" t="inlineStr">
        <is>
          <t>N4</t>
        </is>
      </c>
    </row>
    <row r="52">
      <c r="A52" s="11" t="inlineStr">
        <is>
          <t>NR-USR-08</t>
        </is>
      </c>
      <c r="B52" s="11" t="inlineStr">
        <is>
          <t>User identity</t>
        </is>
      </c>
      <c r="C52" s="12" t="inlineStr">
        <is>
          <t>This identity is DECLARED, not verified. The application states as much where it is entered, and nothing in it is treated as proof of who acted.</t>
        </is>
      </c>
      <c r="D52" s="11" t="inlineStr">
        <is>
          <t>Must</t>
        </is>
      </c>
      <c r="E52" s="12" t="inlineStr">
        <is>
          <t>Honesty about what it is</t>
        </is>
      </c>
      <c r="F52" s="11" t="inlineStr">
        <is>
          <t>N2</t>
        </is>
      </c>
    </row>
    <row r="53">
      <c r="A53" s="11" t="inlineStr">
        <is>
          <t>NR-USR-09</t>
        </is>
      </c>
      <c r="B53" s="11" t="inlineStr">
        <is>
          <t>User identity</t>
        </is>
      </c>
      <c r="C53" s="12" t="inlineStr">
        <is>
          <t>Identity is held per user in their own data folder, never in the shared application folder, so two people on one copy do not overwrite each other's details.</t>
        </is>
      </c>
      <c r="D53" s="11" t="inlineStr">
        <is>
          <t>Must</t>
        </is>
      </c>
      <c r="E53" s="12" t="inlineStr">
        <is>
          <t>NR-DEP-11</t>
        </is>
      </c>
      <c r="F53" s="11" t="inlineStr">
        <is>
          <t>N4</t>
        </is>
      </c>
    </row>
    <row r="54">
      <c r="A54" s="11" t="inlineStr">
        <is>
          <t>NR-USR-10</t>
        </is>
      </c>
      <c r="B54" s="11" t="inlineStr">
        <is>
          <t>User identity</t>
        </is>
      </c>
      <c r="C54"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4" s="11" t="inlineStr">
        <is>
          <t>Should</t>
        </is>
      </c>
      <c r="E54" s="12" t="inlineStr">
        <is>
          <t>Q-N18, Person.department</t>
        </is>
      </c>
      <c r="F54" s="11" t="inlineStr">
        <is>
          <t>N4</t>
        </is>
      </c>
    </row>
    <row r="55">
      <c r="A55" s="11" t="inlineStr">
        <is>
          <t>NR-USR-11</t>
        </is>
      </c>
      <c r="B55" s="11" t="inlineStr">
        <is>
          <t>User identity</t>
        </is>
      </c>
      <c r="C55" s="12" t="inlineStr">
        <is>
          <t>Where the declared name matches a person in the open workspace, that person's department is offered first. The user is usually one of the people in the plan, so their own record is the best answer available.</t>
        </is>
      </c>
      <c r="D55" s="11" t="inlineStr">
        <is>
          <t>Could</t>
        </is>
      </c>
      <c r="E55" s="12" t="inlineStr">
        <is>
          <t>Q-N18</t>
        </is>
      </c>
      <c r="F55" s="11" t="inlineStr">
        <is>
          <t>N4</t>
        </is>
      </c>
    </row>
    <row r="56">
      <c r="A56" s="11" t="inlineStr">
        <is>
          <t>NR-PAR-01</t>
        </is>
      </c>
      <c r="B56" s="11" t="inlineStr">
        <is>
          <t>Parity</t>
        </is>
      </c>
      <c r="C56" s="12" t="inlineStr">
        <is>
          <t>The calculation engine, the validation rules and the period derivation are ONE implementation shared by both applications, not two copies kept in step by hand.</t>
        </is>
      </c>
      <c r="D56" s="11" t="inlineStr">
        <is>
          <t>Must</t>
        </is>
      </c>
      <c r="E56" s="12" t="inlineStr">
        <is>
          <t>Your instruction to keep both</t>
        </is>
      </c>
      <c r="F56" s="11" t="inlineStr">
        <is>
          <t>N2</t>
        </is>
      </c>
    </row>
    <row r="57">
      <c r="A57" s="11" t="inlineStr">
        <is>
          <t>NR-PAR-02</t>
        </is>
      </c>
      <c r="B57" s="11" t="inlineStr">
        <is>
          <t>Parity</t>
        </is>
      </c>
      <c r="C57" s="12" t="inlineStr">
        <is>
          <t>Given identical input, both applications produce identical figures, identical findings and identical exports. This is proven by an automated test, not asserted.</t>
        </is>
      </c>
      <c r="D57" s="11" t="inlineStr">
        <is>
          <t>Must</t>
        </is>
      </c>
      <c r="E57" s="12" t="inlineStr">
        <is>
          <t>Derived from NR-PAR-01</t>
        </is>
      </c>
      <c r="F57" s="11" t="inlineStr">
        <is>
          <t>N4</t>
        </is>
      </c>
    </row>
    <row r="58">
      <c r="A58" s="11" t="inlineStr">
        <is>
          <t>NR-PAR-03</t>
        </is>
      </c>
      <c r="B58" s="11" t="inlineStr">
        <is>
          <t>Parity</t>
        </is>
      </c>
      <c r="C58" s="12" t="inlineStr">
        <is>
          <t>The HTML application continues to be built from the shared engine and its behaviour is unchanged by the refactor, proven by the existing 13 suites passing unmodified.</t>
        </is>
      </c>
      <c r="D58" s="11" t="inlineStr">
        <is>
          <t>Must</t>
        </is>
      </c>
      <c r="E58" s="12" t="inlineStr">
        <is>
          <t>Protects the finished product</t>
        </is>
      </c>
      <c r="F58" s="11" t="inlineStr">
        <is>
          <t>N2</t>
        </is>
      </c>
    </row>
    <row r="59">
      <c r="A59" s="11" t="inlineStr">
        <is>
          <t>NR-PAR-04</t>
        </is>
      </c>
      <c r="B59" s="11" t="inlineStr">
        <is>
          <t>Parity</t>
        </is>
      </c>
      <c r="C59" s="12" t="inlineStr">
        <is>
          <t>Screen layout, wording and interaction match the web application except where a desktop convention requires otherwise, and every such difference is listed.</t>
        </is>
      </c>
      <c r="D59" s="11" t="inlineStr">
        <is>
          <t>Should</t>
        </is>
      </c>
      <c r="E59" s="12" t="inlineStr">
        <is>
          <t>Two tools, one habit</t>
        </is>
      </c>
      <c r="F59" s="11" t="inlineStr">
        <is>
          <t>N3</t>
        </is>
      </c>
    </row>
    <row r="60">
      <c r="A60" s="20" t="inlineStr">
        <is>
          <t>NR-DEP-01</t>
        </is>
      </c>
      <c r="B60" s="20" t="inlineStr">
        <is>
          <t>Deployment</t>
        </is>
      </c>
      <c r="C60" s="21" t="inlineStr">
        <is>
          <t>The application runs on Windows 10 and Windows 11, 64-bit. No other operating system is supported or tested.</t>
        </is>
      </c>
      <c r="D60" s="20" t="inlineStr">
        <is>
          <t>Must</t>
        </is>
      </c>
      <c r="E60" s="21" t="inlineStr">
        <is>
          <t>Your instruction</t>
        </is>
      </c>
      <c r="F60" s="20" t="inlineStr">
        <is>
          <t>N5</t>
        </is>
      </c>
    </row>
    <row r="61">
      <c r="A61" s="20" t="inlineStr">
        <is>
          <t>NR-DEP-02</t>
        </is>
      </c>
      <c r="B61" s="20" t="inlineStr">
        <is>
          <t>Deployment</t>
        </is>
      </c>
      <c r="C61" s="21" t="inlineStr">
        <is>
          <t>There is NO INSTALLER. The application is a folder that is copied to wherever the user wants it and run from there. It requires no administrator rights, at any point, for any purpose.</t>
        </is>
      </c>
      <c r="D61" s="20" t="inlineStr">
        <is>
          <t>Must</t>
        </is>
      </c>
      <c r="E61" s="21" t="inlineStr">
        <is>
          <t>Your instruction</t>
        </is>
      </c>
      <c r="F61" s="20" t="inlineStr">
        <is>
          <t>N5</t>
        </is>
      </c>
    </row>
    <row r="62">
      <c r="A62" s="20" t="inlineStr">
        <is>
          <t>NR-DEP-03</t>
        </is>
      </c>
      <c r="B62" s="20" t="inlineStr">
        <is>
          <t>Deployment</t>
        </is>
      </c>
      <c r="C62" s="21" t="inlineStr">
        <is>
          <t>Updating means replacing the application files inside that folder. No workspace, setting or recent-file entry is touched by an update, and a workspace written by an older version opens in a newer one.</t>
        </is>
      </c>
      <c r="D62" s="20" t="inlineStr">
        <is>
          <t>Must</t>
        </is>
      </c>
      <c r="E62" s="21" t="inlineStr">
        <is>
          <t>Data safety</t>
        </is>
      </c>
      <c r="F62" s="20" t="inlineStr">
        <is>
          <t>N5</t>
        </is>
      </c>
    </row>
    <row r="63">
      <c r="A63" s="11" t="inlineStr">
        <is>
          <t>NR-DEP-04</t>
        </is>
      </c>
      <c r="B63" s="11" t="inlineStr">
        <is>
          <t>Deployment</t>
        </is>
      </c>
      <c r="C63" s="12" t="inlineStr">
        <is>
          <t>A workspace written by a NEWER version than the running one is refused with a clear message rather than partially read.</t>
        </is>
      </c>
      <c r="D63" s="11" t="inlineStr">
        <is>
          <t>Must</t>
        </is>
      </c>
      <c r="E63" s="12" t="inlineStr">
        <is>
          <t>Data safety</t>
        </is>
      </c>
      <c r="F63" s="11" t="inlineStr">
        <is>
          <t>N4</t>
        </is>
      </c>
    </row>
    <row r="64">
      <c r="A64" s="11" t="inlineStr">
        <is>
          <t>NR-DEP-05</t>
        </is>
      </c>
      <c r="B64" s="11" t="inlineStr">
        <is>
          <t>Deployment</t>
        </is>
      </c>
      <c r="C64" s="12" t="inlineStr">
        <is>
          <t>The application folder is self-contained: it carries its own browser engine and every other dependency, and requires nothing to be present on the machine beyond Windows itself. Package size is not constrained.</t>
        </is>
      </c>
      <c r="D64" s="11" t="inlineStr">
        <is>
          <t>Must</t>
        </is>
      </c>
      <c r="E64" s="12" t="inlineStr">
        <is>
          <t>Your instruction</t>
        </is>
      </c>
      <c r="F64" s="11" t="inlineStr">
        <is>
          <t>N5</t>
        </is>
      </c>
    </row>
    <row r="65">
      <c r="A65" s="20" t="inlineStr">
        <is>
          <t>NR-DEP-06</t>
        </is>
      </c>
      <c r="B65" s="20" t="inlineStr">
        <is>
          <t>Deployment</t>
        </is>
      </c>
      <c r="C65"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5" s="20" t="inlineStr">
        <is>
          <t>Must</t>
        </is>
      </c>
      <c r="E65" s="21" t="inlineStr">
        <is>
          <t>Non-installed rule, amended for the shared folder</t>
        </is>
      </c>
      <c r="F65" s="20" t="inlineStr">
        <is>
          <t>N5</t>
        </is>
      </c>
    </row>
    <row r="66">
      <c r="A66" s="11" t="inlineStr">
        <is>
          <t>NR-DEP-07</t>
        </is>
      </c>
      <c r="B66" s="11" t="inlineStr">
        <is>
          <t>Deployment</t>
        </is>
      </c>
      <c r="C66" s="12" t="inlineStr">
        <is>
          <t>Deleting the folder removes the application completely, leaving no trace on the machine.</t>
        </is>
      </c>
      <c r="D66" s="11" t="inlineStr">
        <is>
          <t>Must</t>
        </is>
      </c>
      <c r="E66" s="12" t="inlineStr">
        <is>
          <t>Non-installed rule</t>
        </is>
      </c>
      <c r="F66" s="11" t="inlineStr">
        <is>
          <t>N5</t>
        </is>
      </c>
    </row>
    <row r="67">
      <c r="A67" s="11" t="inlineStr">
        <is>
          <t>NR-DEP-08</t>
        </is>
      </c>
      <c r="B67" s="11" t="inlineStr">
        <is>
          <t>Deployment</t>
        </is>
      </c>
      <c r="C67"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67" s="11" t="inlineStr">
        <is>
          <t>Must</t>
        </is>
      </c>
      <c r="E67" s="12" t="inlineStr">
        <is>
          <t>Non-installed rule</t>
        </is>
      </c>
      <c r="F67" s="11" t="inlineStr">
        <is>
          <t>N5</t>
        </is>
      </c>
    </row>
    <row r="68">
      <c r="A68" s="20" t="inlineStr">
        <is>
          <t>NR-DEP-09</t>
        </is>
      </c>
      <c r="B68" s="20" t="inlineStr">
        <is>
          <t>Deployment</t>
        </is>
      </c>
      <c r="C68" s="21" t="inlineStr">
        <is>
          <t>Where the application folder is read-only or shared - typically on a network folder - the application still runs, tells the user plainly that it cannot keep data beside itself, and keeps that data in a folder the user chooses instead.</t>
        </is>
      </c>
      <c r="D68" s="20" t="inlineStr">
        <is>
          <t>Must</t>
        </is>
      </c>
      <c r="E68" s="21" t="inlineStr">
        <is>
          <t>Raised from Should at round 2 - Q-N12</t>
        </is>
      </c>
      <c r="F68" s="20" t="inlineStr">
        <is>
          <t>N4</t>
        </is>
      </c>
    </row>
    <row r="69">
      <c r="A69" s="11" t="inlineStr">
        <is>
          <t>NR-DEP-10</t>
        </is>
      </c>
      <c r="B69" s="11" t="inlineStr">
        <is>
          <t>Deployment</t>
        </is>
      </c>
      <c r="C69"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69" s="11" t="inlineStr">
        <is>
          <t>Must</t>
        </is>
      </c>
      <c r="E69" s="12" t="inlineStr">
        <is>
          <t>Q-N12</t>
        </is>
      </c>
      <c r="F69" s="11" t="inlineStr">
        <is>
          <t>N4</t>
        </is>
      </c>
    </row>
    <row r="70">
      <c r="A70" s="11" t="inlineStr">
        <is>
          <t>NR-DEP-11</t>
        </is>
      </c>
      <c r="B70" s="11" t="inlineStr">
        <is>
          <t>Deployment</t>
        </is>
      </c>
      <c r="C70" s="12" t="inlineStr">
        <is>
          <t>Where several people run one shared copy, each has their own settings, recent list, backups and default workspace folder. No user can see, overwrite or lock out another through the application.</t>
        </is>
      </c>
      <c r="D70" s="11" t="inlineStr">
        <is>
          <t>Must</t>
        </is>
      </c>
      <c r="E70" s="12" t="inlineStr">
        <is>
          <t>Q-N12</t>
        </is>
      </c>
      <c r="F70" s="11" t="inlineStr">
        <is>
          <t>N4</t>
        </is>
      </c>
    </row>
    <row r="71">
      <c r="A71" s="11" t="inlineStr">
        <is>
          <t>NR-DEP-12</t>
        </is>
      </c>
      <c r="B71" s="11" t="inlineStr">
        <is>
          <t>Deployment</t>
        </is>
      </c>
      <c r="C71" s="12" t="inlineStr">
        <is>
          <t>The application can create a personal desktop shortcut, at the user's request, that carries their own --data path. This is how a shared copy is used day to day without being asked anything at launch.</t>
        </is>
      </c>
      <c r="D71" s="11" t="inlineStr">
        <is>
          <t>Should</t>
        </is>
      </c>
      <c r="E71" s="12" t="inlineStr">
        <is>
          <t>Q-N12</t>
        </is>
      </c>
      <c r="F71" s="11" t="inlineStr">
        <is>
          <t>N4</t>
        </is>
      </c>
    </row>
    <row r="72">
      <c r="A72" s="20" t="inlineStr">
        <is>
          <t>NR-DEP-13</t>
        </is>
      </c>
      <c r="B72" s="20" t="inlineStr">
        <is>
          <t>Deployment</t>
        </is>
      </c>
      <c r="C72" s="21" t="inlineStr">
        <is>
          <t>The application runs correctly when launched from a UNC path (\\server\share\PM_APP) as well as from a mapped drive letter.</t>
        </is>
      </c>
      <c r="D72" s="20" t="inlineStr">
        <is>
          <t>Must</t>
        </is>
      </c>
      <c r="E72" s="21" t="inlineStr">
        <is>
          <t>Q-N12</t>
        </is>
      </c>
      <c r="F72" s="20" t="inlineStr">
        <is>
          <t>N5</t>
        </is>
      </c>
    </row>
    <row r="73">
      <c r="A73" s="11" t="inlineStr">
        <is>
          <t>NR-DEP-14</t>
        </is>
      </c>
      <c r="B73" s="11" t="inlineStr">
        <is>
          <t>Deployment</t>
        </is>
      </c>
      <c r="C73" s="12" t="inlineStr">
        <is>
          <t>Both arrangements are supported and both are tested: run in place from the shared folder, and copied from it to a local folder and run there. Neither is a second-class case, and the user guide states what each costs in launch time.</t>
        </is>
      </c>
      <c r="D73" s="11" t="inlineStr">
        <is>
          <t>Must</t>
        </is>
      </c>
      <c r="E73" s="12" t="inlineStr">
        <is>
          <t>Q-N14</t>
        </is>
      </c>
      <c r="F73" s="11" t="inlineStr">
        <is>
          <t>N5</t>
        </is>
      </c>
    </row>
    <row r="74">
      <c r="A74" s="11" t="inlineStr">
        <is>
          <t>NR-DEP-15</t>
        </is>
      </c>
      <c r="B74" s="11" t="inlineStr">
        <is>
          <t>Deployment</t>
        </is>
      </c>
      <c r="C74" s="12" t="inlineStr">
        <is>
          <t>On a writable shared folder, each person's data folder sits under the application's own data folder, one per user. Nobody has to choose a location, and nobody's settings meet anybody else's.</t>
        </is>
      </c>
      <c r="D74" s="11" t="inlineStr">
        <is>
          <t>Should</t>
        </is>
      </c>
      <c r="E74" s="12" t="inlineStr">
        <is>
          <t>Q-N15</t>
        </is>
      </c>
      <c r="F74" s="11" t="inlineStr">
        <is>
          <t>N4</t>
        </is>
      </c>
    </row>
    <row r="75">
      <c r="A75" s="11" t="inlineStr">
        <is>
          <t>NR-SEC-01</t>
        </is>
      </c>
      <c r="B75" s="11" t="inlineStr">
        <is>
          <t>Security</t>
        </is>
      </c>
      <c r="C75" s="12" t="inlineStr">
        <is>
          <t>No telemetry, no crash reporting to any server, no automatic update check, no font or script loaded from a remote host. Verified by observing that the packaged application opens no socket.</t>
        </is>
      </c>
      <c r="D75" s="11" t="inlineStr">
        <is>
          <t>Must</t>
        </is>
      </c>
      <c r="E75" s="12" t="inlineStr">
        <is>
          <t>Offline by requirement</t>
        </is>
      </c>
      <c r="F75" s="11" t="inlineStr">
        <is>
          <t>N5</t>
        </is>
      </c>
    </row>
    <row r="76">
      <c r="A76" s="11" t="inlineStr">
        <is>
          <t>NR-SEC-02</t>
        </is>
      </c>
      <c r="B76" s="11" t="inlineStr">
        <is>
          <t>Security</t>
        </is>
      </c>
      <c r="C76" s="12" t="inlineStr">
        <is>
          <t>The embedded browser engine runs with remote content disabled and Node integration off in the renderer, so a crafted workspace file cannot execute code.</t>
        </is>
      </c>
      <c r="D76" s="11" t="inlineStr">
        <is>
          <t>Must</t>
        </is>
      </c>
      <c r="E76" s="12" t="inlineStr">
        <is>
          <t>Standard hardening</t>
        </is>
      </c>
      <c r="F76" s="11" t="inlineStr">
        <is>
          <t>N4</t>
        </is>
      </c>
    </row>
    <row r="77">
      <c r="A77" s="11" t="inlineStr">
        <is>
          <t>NR-SEC-03</t>
        </is>
      </c>
      <c r="B77" s="11" t="inlineStr">
        <is>
          <t>Security</t>
        </is>
      </c>
      <c r="C77" s="12" t="inlineStr">
        <is>
          <t>Workspace files contain business data only - no credentials, no connection strings, nothing that would be sensitive if the file were mailed to a colleague.</t>
        </is>
      </c>
      <c r="D77" s="11" t="inlineStr">
        <is>
          <t>Must</t>
        </is>
      </c>
      <c r="E77" s="12" t="inlineStr">
        <is>
          <t>Data hygiene</t>
        </is>
      </c>
      <c r="F77" s="11" t="inlineStr">
        <is>
          <t>N2</t>
        </is>
      </c>
    </row>
    <row r="78">
      <c r="A78" s="20" t="inlineStr">
        <is>
          <t>NR-NFR-01</t>
        </is>
      </c>
      <c r="B78" s="20" t="inlineStr">
        <is>
          <t>Performance</t>
        </is>
      </c>
      <c r="C78" s="21" t="inlineStr">
        <is>
          <t>Launch to a usable window in under 5 seconds from a local disk, and reopening the last workspace adds no more than 2 seconds on the volumes in A-N01. Launch from a network folder is measured and stated rather than promised - see R-N12.</t>
        </is>
      </c>
      <c r="D78" s="20" t="inlineStr">
        <is>
          <t>Should</t>
        </is>
      </c>
      <c r="E78" s="21" t="inlineStr">
        <is>
          <t>Usability</t>
        </is>
      </c>
      <c r="F78" s="20" t="inlineStr">
        <is>
          <t>N4</t>
        </is>
      </c>
    </row>
    <row r="79">
      <c r="A79" s="11" t="inlineStr">
        <is>
          <t>NR-NFR-02</t>
        </is>
      </c>
      <c r="B79" s="11" t="inlineStr">
        <is>
          <t>Performance</t>
        </is>
      </c>
      <c r="C79" s="12" t="inlineStr">
        <is>
          <t>A Save completes in under 1 second at those volumes, so autosave is never felt.</t>
        </is>
      </c>
      <c r="D79" s="11" t="inlineStr">
        <is>
          <t>Should</t>
        </is>
      </c>
      <c r="E79" s="12" t="inlineStr">
        <is>
          <t>Usability</t>
        </is>
      </c>
      <c r="F79" s="11" t="inlineStr">
        <is>
          <t>N4</t>
        </is>
      </c>
    </row>
    <row r="81">
      <c r="A81" s="5" t="inlineStr">
        <is>
          <t>Count</t>
        </is>
      </c>
    </row>
    <row r="82" ht="28" customHeight="1">
      <c r="A82" s="10" t="inlineStr">
        <is>
          <t>Measure</t>
        </is>
      </c>
      <c r="B82" s="10" t="inlineStr">
        <is>
          <t>Count</t>
        </is>
      </c>
    </row>
    <row r="83">
      <c r="A83" s="15" t="inlineStr">
        <is>
          <t>Total requirements</t>
        </is>
      </c>
      <c r="B83" s="15">
        <f>COUNTA(A11:A79)</f>
        <v/>
      </c>
    </row>
    <row r="84">
      <c r="A84" s="13" t="inlineStr">
        <is>
          <t>Must</t>
        </is>
      </c>
      <c r="B84" s="13">
        <f>COUNTIF(D11:D79,"Must")</f>
        <v/>
      </c>
    </row>
    <row r="85">
      <c r="A85" s="15" t="inlineStr">
        <is>
          <t>Should</t>
        </is>
      </c>
      <c r="B85" s="15">
        <f>COUNTIF(D11:D79,"Should")</f>
        <v/>
      </c>
    </row>
    <row r="86">
      <c r="A86" s="13" t="inlineStr">
        <is>
          <t>Could</t>
        </is>
      </c>
      <c r="B86" s="13">
        <f>COUNTIF(D11:D79,"Could")</f>
        <v/>
      </c>
    </row>
    <row r="88">
      <c r="A88" s="8" t="inlineStr">
        <is>
          <t>Please mark any requirement you disagree with in the Priority column, or strike it out. The register is the contract for Steps 2 to 5, exactly as sheet 03 of the web plan was.</t>
        </is>
      </c>
    </row>
    <row r="89">
      <c r="A89" s="3" t="inlineStr">
        <is>
          <t>Legend</t>
        </is>
      </c>
    </row>
    <row r="90">
      <c r="A90" s="17" t="inlineStr">
        <is>
          <t>Green = new to the desktop application; nothing in the web application corresponds to it.</t>
        </is>
      </c>
    </row>
    <row r="91">
      <c r="A91" s="18" t="inlineStr">
        <is>
          <t>Orange = inherited from the web application but deliberately changed here.</t>
        </is>
      </c>
    </row>
    <row r="92">
      <c r="A92" s="19" t="inlineStr">
        <is>
          <t>Yellow = needs your decision before the work can proceed.</t>
        </is>
      </c>
    </row>
  </sheetData>
  <dataValidations count="1">
    <dataValidation sqref="D11:D7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 Built at N2.1: 7 files, 1,210 lines, and tools/test_layers.py holds it to the boundary.</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 In the web shell it is two functions and 63 lines - one reads a file, one writes one - which is how small the seam turned out to be.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4" t="inlineStr">
        <is>
          <t>Workspaces default into data\workspaces\ but are not confined there.</t>
        </is>
      </c>
      <c r="B42" s="14"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4" t="inlineStr">
        <is>
          <t>If the application folder is read-only, data\ cannot be created.</t>
        </is>
      </c>
      <c r="B44" s="14"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3" t="inlineStr">
        <is>
          <t>2</t>
        </is>
      </c>
      <c r="B61" s="13" t="inlineStr">
        <is>
          <t>The PRAP_DATA environment variable</t>
        </is>
      </c>
      <c r="C61" s="14" t="inlineStr">
        <is>
          <t>For a site that wants to set it centrally, by login script or group policy.</t>
        </is>
      </c>
      <c r="D61" s="13"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3" t="inlineStr">
        <is>
          <t>4</t>
        </is>
      </c>
      <c r="B63" s="13" t="inlineStr">
        <is>
          <t>Ask the user, once</t>
        </is>
      </c>
      <c r="C63" s="14" t="inlineStr">
        <is>
          <t>Only where the folder is read-only after all. The answer is not written to a hidden file - the application offers to create a desktop shortcut carrying --data, so the choice lives somewhere the user can see, move and delete.</t>
        </is>
      </c>
      <c r="D63" s="13"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3" t="inlineStr">
        <is>
          <t>2</t>
        </is>
      </c>
      <c r="B73" s="14" t="inlineStr">
        <is>
          <t>Write it to a temporary file in the same directory, and flush it to the physical disk.</t>
        </is>
      </c>
      <c r="C73" s="14"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3" t="inlineStr">
        <is>
          <t>4</t>
        </is>
      </c>
      <c r="B75" s="14" t="inlineStr">
        <is>
          <t>Rename the temporary file over the workspace file.</t>
        </is>
      </c>
      <c r="C75" s="14"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3" t="inlineStr">
        <is>
          <t>Save</t>
        </is>
      </c>
      <c r="B84" s="14" t="inlineStr">
        <is>
          <t>Commits as today, then writes the workspace.</t>
        </is>
      </c>
      <c r="C84" s="14"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3" t="inlineStr">
        <is>
          <t>Merge by key, source wins</t>
        </is>
      </c>
      <c r="B99" s="14" t="inlineStr">
        <is>
          <t>Keeps rows the import does not mention.</t>
        </is>
      </c>
      <c r="C99" s="14" t="inlineStr">
        <is>
          <t>Silently changes rows you edited deliberately.</t>
        </is>
      </c>
      <c r="D99" s="13"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3" t="inlineStr">
        <is>
          <t>Refuse; require a new workspace</t>
        </is>
      </c>
      <c r="B101" s="14" t="inlineStr">
        <is>
          <t>Impossible to lose anything.</t>
        </is>
      </c>
      <c r="C101" s="14" t="inlineStr">
        <is>
          <t>Makes the ordinary case - refreshed project dates - painful.</t>
        </is>
      </c>
      <c r="D101" s="13"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7" t="inlineStr">
        <is>
          <t>Green = new to the desktop application; nothing in the web application corresponds to it.</t>
        </is>
      </c>
    </row>
    <row r="106">
      <c r="A106" s="18" t="inlineStr">
        <is>
          <t>Orange = inherited from the web application but deliberately changed here.</t>
        </is>
      </c>
    </row>
    <row r="107">
      <c r="A107"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A name and a DEPARTMENT. Nothing else - no e-mail, no telephone. A name and a department are what a colleague needs to find somebody in the company directory, and they are two fields people will actually fill in.</t>
        </is>
      </c>
      <c r="C61" s="13"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3" t="inlineStr">
        <is>
          <t>Where it is kept</t>
        </is>
      </c>
      <c r="B63" s="14" t="inlineStr">
        <is>
          <t>In the user's own data folder - never in the shared application folder, where two people would overwrite each other.</t>
        </is>
      </c>
      <c r="C63" s="13"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3" t="inlineStr">
        <is>
          <t>What a blocked colleague sees</t>
        </is>
      </c>
      <c r="B65" s="14"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3"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4" t="inlineStr">
        <is>
          <t>The holder discards their edits (Leave without change).</t>
        </is>
      </c>
      <c r="B74" s="14"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4" t="inlineStr">
        <is>
          <t>The holder's session dies without warning.</t>
        </is>
      </c>
      <c r="B76" s="14"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4" t="inlineStr">
        <is>
          <t>Merging two people's changes.</t>
        </is>
      </c>
      <c r="B83" s="14"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4" t="inlineStr">
        <is>
          <t>An operating-system lock.</t>
        </is>
      </c>
      <c r="B85" s="14"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7" t="inlineStr">
        <is>
          <t>Green = new to the desktop application; nothing in the web application corresponds to it.</t>
        </is>
      </c>
    </row>
    <row r="90">
      <c r="A90" s="18" t="inlineStr">
        <is>
          <t>Orange = inherited from the web application but deliberately changed here.</t>
        </is>
      </c>
    </row>
    <row r="91">
      <c r="A91"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11" t="inlineStr">
        <is>
          <t>CONFIRMED at Gate N1</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11" t="inlineStr">
        <is>
          <t>CONFIRMED at Gate N1</t>
        </is>
      </c>
    </row>
    <row r="8">
      <c r="A8" s="13" t="inlineStr">
        <is>
          <t>N-04</t>
        </is>
      </c>
      <c r="B8" s="14" t="inlineStr">
        <is>
          <t>Many workspaces, chosen by the user, with a recent list.</t>
        </is>
      </c>
      <c r="C8" s="14" t="inlineStr">
        <is>
          <t>You plan scenarios. A single implicit workspace would force overwriting one plan to explore another.</t>
        </is>
      </c>
      <c r="D8" s="11" t="inlineStr">
        <is>
          <t>CONFIRMED at Gate N1</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11" t="inlineStr">
        <is>
          <t>CONFIRMED at Gate N1</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11" t="inlineStr">
        <is>
          <t>CONFIRMED at Gate N1</t>
        </is>
      </c>
    </row>
    <row r="11">
      <c r="A11" s="15" t="inlineStr">
        <is>
          <t>N-07</t>
        </is>
      </c>
      <c r="B11" s="16" t="inlineStr">
        <is>
          <t>Re-import shows a difference and lets the user decide per sheet.</t>
        </is>
      </c>
      <c r="C11" s="16" t="inlineStr">
        <is>
          <t>The only option that cannot silently lose hand-entered work. See sheet 05.</t>
        </is>
      </c>
      <c r="D11" s="11" t="inlineStr">
        <is>
          <t>CONFIRMED at Gate N1</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11" t="inlineStr">
        <is>
          <t>CONFIRMED at Gate N1</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11" t="inlineStr">
        <is>
          <t>CONFIRMED at Gate N1</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11" t="inlineStr">
        <is>
          <t>CONFIRMED at Gate N1</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11" t="inlineStr">
        <is>
          <t>CONFIRMED at Gate N1</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11" t="inlineStr">
        <is>
          <t>CONFIRMED at Gate N1</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11" t="inlineStr">
        <is>
          <t>CONFIRMED at Gate N1</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11" t="inlineStr">
        <is>
          <t>CONFIRMED at Gate N1</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11" t="inlineStr">
        <is>
          <t>CONFIRMED at Gate N1</t>
        </is>
      </c>
    </row>
    <row r="32">
      <c r="A32" s="13" t="inlineStr">
        <is>
          <t>N-28</t>
        </is>
      </c>
      <c r="B32" s="14" t="inlineStr">
        <is>
          <t>An identity is a name and a department, and nothing else.</t>
        </is>
      </c>
      <c r="C32" s="14"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11" t="inlineStr">
        <is>
          <t>CONFIRMED at Gate N1</t>
        </is>
      </c>
    </row>
    <row r="34">
      <c r="A34" s="13" t="inlineStr">
        <is>
          <t>N-30</t>
        </is>
      </c>
      <c r="B34" s="14" t="inlineStr">
        <is>
          <t>One previous version of a workspace is retained, and it is a setting rather than a constant.</t>
        </is>
      </c>
      <c r="C34" s="14"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3" t="inlineStr">
        <is>
          <t>N-32</t>
        </is>
      </c>
      <c r="B36" s="14" t="inlineStr">
        <is>
          <t>The application never encrypts anything itself; where files must be protected, the company's own protection is applied to the folder.</t>
        </is>
      </c>
      <c r="C36" s="14"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PRAP_NewApp_Development_Plan_v1.2.xlsx</t>
        </is>
      </c>
      <c r="E5" s="15" t="inlineStr">
        <is>
          <t>Complete - issued for review</t>
        </is>
      </c>
    </row>
    <row r="6">
      <c r="A6" s="13" t="inlineStr">
        <is>
          <t>N1</t>
        </is>
      </c>
      <c r="B6" s="13" t="inlineStr">
        <is>
          <t>N1.2</t>
        </is>
      </c>
      <c r="C6" s="14" t="inlineStr">
        <is>
          <t>Requester reviews across six rounds; all 18 questions answered.</t>
        </is>
      </c>
      <c r="D6" s="14" t="inlineStr">
        <is>
          <t>v0.6_reviewed mark-up</t>
        </is>
      </c>
      <c r="E6" s="13" t="inlineStr">
        <is>
          <t>Complete</t>
        </is>
      </c>
    </row>
    <row r="7">
      <c r="A7" s="15" t="inlineStr">
        <is>
          <t>N1</t>
        </is>
      </c>
      <c r="B7" s="15" t="inlineStr">
        <is>
          <t>N1.3</t>
        </is>
      </c>
      <c r="C7" s="16" t="inlineStr">
        <is>
          <t>Apply the answers and re-issue, round by round.</t>
        </is>
      </c>
      <c r="D7" s="16" t="inlineStr">
        <is>
          <t>Plans v0.2 to v0.7</t>
        </is>
      </c>
      <c r="E7" s="15" t="inlineStr">
        <is>
          <t>Complete</t>
        </is>
      </c>
    </row>
    <row r="8">
      <c r="A8" s="13" t="inlineStr">
        <is>
          <t>N1</t>
        </is>
      </c>
      <c r="B8" s="13" t="inlineStr">
        <is>
          <t>GN1</t>
        </is>
      </c>
      <c r="C8" s="14" t="inlineStr">
        <is>
          <t>GATE N1 CLOSED - approved by direction 2026-08-13. Decisions N-01..N-32 confirmed. Step N2 authorised.</t>
        </is>
      </c>
      <c r="D8" s="14" t="inlineStr">
        <is>
          <t>Plan v1.0</t>
        </is>
      </c>
      <c r="E8" s="13" t="inlineStr">
        <is>
          <t>Complete</t>
        </is>
      </c>
    </row>
    <row r="9">
      <c r="A9" s="15" t="inlineStr">
        <is>
          <t>N2</t>
        </is>
      </c>
      <c r="B9" s="15" t="inlineStr">
        <is>
          <t>N2.1</t>
        </is>
      </c>
      <c r="C9" s="16" t="inlineStr">
        <is>
          <t>Split the source into core / ui / storage / shell-web, with a build step that re-emits app/PRAP.html. NO behaviour change.</t>
        </is>
      </c>
      <c r="D9" s="16" t="inlineStr">
        <is>
          <t>src/ + tools/build_app.py</t>
        </is>
      </c>
      <c r="E9" s="15" t="inlineStr">
        <is>
          <t>Complete</t>
        </is>
      </c>
    </row>
    <row r="10">
      <c r="A10" s="13" t="inlineStr">
        <is>
          <t>N2</t>
        </is>
      </c>
      <c r="B10" s="13" t="inlineStr">
        <is>
          <t>N2.2</t>
        </is>
      </c>
      <c r="C10" s="14" t="inlineStr">
        <is>
          <t>Prove the refactor changed nothing: the rebuilt file is byte-identical, and all 13 existing suites pass against it unmodified.</t>
        </is>
      </c>
      <c r="D10" s="14" t="inlineStr">
        <is>
          <t>tools/test_layers.py + suite run</t>
        </is>
      </c>
      <c r="E10" s="13" t="inlineStr">
        <is>
          <t>Complete - byte-identical; 13/13 suites pass</t>
        </is>
      </c>
    </row>
    <row r="11">
      <c r="A11" s="15" t="inlineStr">
        <is>
          <t>N2</t>
        </is>
      </c>
      <c r="B11" s="15" t="inlineStr">
        <is>
          <t>N2.3</t>
        </is>
      </c>
      <c r="C11" s="16" t="inlineStr">
        <is>
          <t>Specify the storage interface and the workspace file format.</t>
        </is>
      </c>
      <c r="D11" s="16" t="inlineStr">
        <is>
          <t>Specification sheets 03, 04</t>
        </is>
      </c>
      <c r="E11" s="15" t="inlineStr">
        <is>
          <t>Complete - issued for review</t>
        </is>
      </c>
    </row>
    <row r="12">
      <c r="A12" s="13" t="inlineStr">
        <is>
          <t>N2</t>
        </is>
      </c>
      <c r="B12" s="13" t="inlineStr">
        <is>
          <t>N2.4</t>
        </is>
      </c>
      <c r="C12" s="14" t="inlineStr">
        <is>
          <t>Specify the desktop shell: window, menus, dialogs, recent files, drag-and-drop, About; and user identity.</t>
        </is>
      </c>
      <c r="D12" s="14" t="inlineStr">
        <is>
          <t>Specification sheets 05, 08</t>
        </is>
      </c>
      <c r="E12" s="13" t="inlineStr">
        <is>
          <t>Complete - issued for review</t>
        </is>
      </c>
    </row>
    <row r="13">
      <c r="A13" s="15" t="inlineStr">
        <is>
          <t>N2</t>
        </is>
      </c>
      <c r="B13" s="15" t="inlineStr">
        <is>
          <t>N2.5</t>
        </is>
      </c>
      <c r="C13" s="16" t="inlineStr">
        <is>
          <t>Specify save safety, version retention, journalling and recovery; and the write claim.</t>
        </is>
      </c>
      <c r="D13" s="16" t="inlineStr">
        <is>
          <t>Specification sheets 06, 07</t>
        </is>
      </c>
      <c r="E13" s="15" t="inlineStr">
        <is>
          <t>Complete - issued for review</t>
        </is>
      </c>
    </row>
    <row r="14">
      <c r="A14" s="13" t="inlineStr">
        <is>
          <t>N2</t>
        </is>
      </c>
      <c r="B14" s="13" t="inlineStr">
        <is>
          <t>N2.6</t>
        </is>
      </c>
      <c r="C14" s="14" t="inlineStr">
        <is>
          <t>Specify the re-import difference report, the look-without-a-workspace path, and protected files.</t>
        </is>
      </c>
      <c r="D14" s="14" t="inlineStr">
        <is>
          <t>Specification sheet 09</t>
        </is>
      </c>
      <c r="E14" s="13" t="inlineStr">
        <is>
          <t>Complete - issued for review</t>
        </is>
      </c>
    </row>
    <row r="15">
      <c r="A15" s="15" t="inlineStr">
        <is>
          <t>N2</t>
        </is>
      </c>
      <c r="B15" s="15" t="inlineStr">
        <is>
          <t>N2.7</t>
        </is>
      </c>
      <c r="C15" s="16" t="inlineStr">
        <is>
          <t>Specify packaging, deployment, the folder layout, data resolution and update.</t>
        </is>
      </c>
      <c r="D15" s="16" t="inlineStr">
        <is>
          <t>Specification sheet 10</t>
        </is>
      </c>
      <c r="E15" s="15" t="inlineStr">
        <is>
          <t>Complete - issued for review</t>
        </is>
      </c>
    </row>
    <row r="16">
      <c r="A16" s="13" t="inlineStr">
        <is>
          <t>N2</t>
        </is>
      </c>
      <c r="B16" s="13" t="inlineStr">
        <is>
          <t>N2.8</t>
        </is>
      </c>
      <c r="C16" s="14" t="inlineStr">
        <is>
          <t>Traceability matrix: every NR-id to a specification section, read from the plan rather than re-typed.</t>
        </is>
      </c>
      <c r="D16" s="14" t="inlineStr">
        <is>
          <t>Specification sheet 11</t>
        </is>
      </c>
      <c r="E16" s="13" t="inlineStr">
        <is>
          <t>Complete - 69/69 specified</t>
        </is>
      </c>
    </row>
    <row r="17">
      <c r="A17" s="15" t="inlineStr">
        <is>
          <t>N2</t>
        </is>
      </c>
      <c r="B17" s="15" t="inlineStr">
        <is>
          <t>GN2</t>
        </is>
      </c>
      <c r="C17" s="16" t="inlineStr">
        <is>
          <t>GATE N2 CLOSED - specification approved 2026-08-13; all seven open points agreed. Step N3 authorised.</t>
        </is>
      </c>
      <c r="D17" s="16" t="inlineStr">
        <is>
          <t>PRAP_NewApp_Specification_v1.0.xlsx</t>
        </is>
      </c>
      <c r="E17" s="15" t="inlineStr">
        <is>
          <t>Complete</t>
        </is>
      </c>
    </row>
    <row r="18">
      <c r="A18" s="13" t="inlineStr">
        <is>
          <t>N3</t>
        </is>
      </c>
      <c r="B18" s="13" t="inlineStr">
        <is>
          <t>N3.1</t>
        </is>
      </c>
      <c r="C18" s="14" t="inlineStr">
        <is>
          <t>Desktop-specific UI design: eight screens, built as a clickable prototype; then the real application wrapped in the desktop chrome and loaded with the 62-project dummy dataset, so the figures and charts can be reviewed as they will be.</t>
        </is>
      </c>
      <c r="D18" s="14" t="inlineStr">
        <is>
          <t>app/PM_APP_Prototype_v0.2.html</t>
        </is>
      </c>
      <c r="E18" s="13" t="inlineStr">
        <is>
          <t>Complete - issued for review</t>
        </is>
      </c>
    </row>
    <row r="19">
      <c r="A19" s="15" t="inlineStr">
        <is>
          <t>N3</t>
        </is>
      </c>
      <c r="B19" s="15" t="inlineStr">
        <is>
          <t>N3.2</t>
        </is>
      </c>
      <c r="C19" s="16" t="inlineStr">
        <is>
          <t>List every deliberate divergence from the web UI, with its reason (NR-PAR-04).</t>
        </is>
      </c>
      <c r="D19" s="16" t="inlineStr">
        <is>
          <t>Component list sheet 03 - 9 divergences</t>
        </is>
      </c>
      <c r="E19" s="15" t="inlineStr">
        <is>
          <t>Complete - issued for review</t>
        </is>
      </c>
    </row>
    <row r="20">
      <c r="A20" s="13" t="inlineStr">
        <is>
          <t>N3</t>
        </is>
      </c>
      <c r="B20" s="13" t="inlineStr">
        <is>
          <t>N3.3</t>
        </is>
      </c>
      <c r="C20" s="14" t="inlineStr">
        <is>
          <t>Requester reviews the prototype and the component list.</t>
        </is>
      </c>
      <c r="D20" s="14" t="inlineStr">
        <is>
          <t>Review comments</t>
        </is>
      </c>
      <c r="E20" s="13" t="inlineStr">
        <is>
          <t>Pending you</t>
        </is>
      </c>
    </row>
    <row r="21">
      <c r="A21" s="15" t="inlineStr">
        <is>
          <t>N3</t>
        </is>
      </c>
      <c r="B21" s="15" t="inlineStr">
        <is>
          <t>GN3</t>
        </is>
      </c>
      <c r="C21" s="16" t="inlineStr">
        <is>
          <t>GATE N3 - design and component list approved.</t>
        </is>
      </c>
      <c r="D21" s="16" t="inlineStr">
        <is>
          <t>PRAP_NewApp_Component_List_v1.0.xlsx</t>
        </is>
      </c>
      <c r="E21" s="15" t="inlineStr">
        <is>
          <t>Pending you</t>
        </is>
      </c>
    </row>
    <row r="22">
      <c r="A22" s="13" t="inlineStr">
        <is>
          <t>N4</t>
        </is>
      </c>
      <c r="B22" s="13" t="inlineStr">
        <is>
          <t>N4.1</t>
        </is>
      </c>
      <c r="C22" s="14" t="inlineStr">
        <is>
          <t>Desktop shell: application window, menu bar, native dialogs, window state.</t>
        </is>
      </c>
      <c r="D22" s="14" t="inlineStr">
        <is>
          <t>shell/desktop/</t>
        </is>
      </c>
      <c r="E22" s="13" t="inlineStr">
        <is>
          <t>Not started</t>
        </is>
      </c>
    </row>
    <row r="23">
      <c r="A23" s="15" t="inlineStr">
        <is>
          <t>N4</t>
        </is>
      </c>
      <c r="B23" s="15" t="inlineStr">
        <is>
          <t>N4.2</t>
        </is>
      </c>
      <c r="C23" s="16" t="inlineStr">
        <is>
          <t>Filesystem storage adapter: open, save, atomic write, version history.</t>
        </is>
      </c>
      <c r="D23" s="16" t="inlineStr">
        <is>
          <t>storage/</t>
        </is>
      </c>
      <c r="E23" s="15" t="inlineStr">
        <is>
          <t>Not started</t>
        </is>
      </c>
    </row>
    <row r="24">
      <c r="A24" s="13" t="inlineStr">
        <is>
          <t>N4</t>
        </is>
      </c>
      <c r="B24" s="13" t="inlineStr">
        <is>
          <t>N4.3</t>
        </is>
      </c>
      <c r="C24" s="14" t="inlineStr">
        <is>
          <t>Workspace lifecycle: new, open, save, save as, recent list, reopen last at launch.</t>
        </is>
      </c>
      <c r="D24" s="14" t="inlineStr">
        <is>
          <t>shell/desktop/</t>
        </is>
      </c>
      <c r="E24" s="13" t="inlineStr">
        <is>
          <t>Not started</t>
        </is>
      </c>
    </row>
    <row r="25">
      <c r="A25" s="15" t="inlineStr">
        <is>
          <t>N4</t>
        </is>
      </c>
      <c r="B25" s="15" t="inlineStr">
        <is>
          <t>N4.4</t>
        </is>
      </c>
      <c r="C25" s="16" t="inlineStr">
        <is>
          <t>Journalling and crash recovery.</t>
        </is>
      </c>
      <c r="D25" s="16" t="inlineStr">
        <is>
          <t>storage/</t>
        </is>
      </c>
      <c r="E25" s="15" t="inlineStr">
        <is>
          <t>Not started</t>
        </is>
      </c>
    </row>
    <row r="26">
      <c r="A26" s="13" t="inlineStr">
        <is>
          <t>N4</t>
        </is>
      </c>
      <c r="B26" s="13" t="inlineStr">
        <is>
          <t>N4.4b</t>
        </is>
      </c>
      <c r="C26" s="14" t="inlineStr">
        <is>
          <t>Data-location resolution, the About dialog that shows it, and the personal shortcut.</t>
        </is>
      </c>
      <c r="D26" s="14" t="inlineStr">
        <is>
          <t>shell/desktop/</t>
        </is>
      </c>
      <c r="E26" s="13" t="inlineStr">
        <is>
          <t>Not started</t>
        </is>
      </c>
    </row>
    <row r="27">
      <c r="A27" s="15" t="inlineStr">
        <is>
          <t>N4</t>
        </is>
      </c>
      <c r="B27" s="15" t="inlineStr">
        <is>
          <t>N4.4c</t>
        </is>
      </c>
      <c r="C27" s="16" t="inlineStr">
        <is>
          <t>The write claim: create-if-absent, the heartbeat, expiry and takeover, and the re-check before every save.</t>
        </is>
      </c>
      <c r="D27" s="16" t="inlineStr">
        <is>
          <t>storage/</t>
        </is>
      </c>
      <c r="E27" s="15" t="inlineStr">
        <is>
          <t>Not started</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ui/</t>
        </is>
      </c>
      <c r="E30" s="13" t="inlineStr">
        <is>
          <t>Not started</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Project Management APP v0.9</t>
        </is>
      </c>
      <c r="E34" s="13" t="inlineStr">
        <is>
          <t>Not started</t>
        </is>
      </c>
    </row>
    <row r="35">
      <c r="A35" s="15" t="inlineStr">
        <is>
          <t>N5</t>
        </is>
      </c>
      <c r="B35" s="15" t="inlineStr">
        <is>
          <t>N5.1</t>
        </is>
      </c>
      <c r="C35" s="16" t="inlineStr">
        <is>
          <t>Package as a plain Windows folder delivered in a zip; verify it launches with no installation and no administrator rights.</t>
        </is>
      </c>
      <c r="D35" s="16" t="inlineStr">
        <is>
          <t>PM_APP_v&lt;ver&gt;.zip</t>
        </is>
      </c>
      <c r="E35" s="15" t="inlineStr">
        <is>
          <t>Not started</t>
        </is>
      </c>
    </row>
    <row r="36">
      <c r="A36" s="13" t="inlineStr">
        <is>
          <t>N5</t>
        </is>
      </c>
      <c r="B36" s="13" t="inlineStr">
        <is>
          <t>N5.2</t>
        </is>
      </c>
      <c r="C36" s="14" t="inlineStr">
        <is>
          <t>Verify no socket is opened, offline, for a full session (NR-SEC-01).</t>
        </is>
      </c>
      <c r="D36" s="14" t="inlineStr">
        <is>
          <t>Test evidence</t>
        </is>
      </c>
      <c r="E36" s="13" t="inlineStr">
        <is>
          <t>Not started</t>
        </is>
      </c>
    </row>
    <row r="37">
      <c r="A37" s="15" t="inlineStr">
        <is>
          <t>N5</t>
        </is>
      </c>
      <c r="B37" s="15" t="inlineStr">
        <is>
          <t>N5.3</t>
        </is>
      </c>
      <c r="C37" s="16" t="inlineStr">
        <is>
          <t>Portability suite: run the folder, then copy it to another path and another PC and run it again; verify the recent list and settings survive (NR-DEP-08).</t>
        </is>
      </c>
      <c r="D37" s="16" t="inlineStr">
        <is>
          <t>tools/test_portable.py</t>
        </is>
      </c>
      <c r="E37" s="15" t="inlineStr">
        <is>
          <t>Not started</t>
        </is>
      </c>
    </row>
    <row r="38">
      <c r="A38" s="13" t="inlineStr">
        <is>
          <t>N5</t>
        </is>
      </c>
      <c r="B38" s="13" t="inlineStr">
        <is>
          <t>N5.4</t>
        </is>
      </c>
      <c r="C38" s="14" t="inlineStr">
        <is>
          <t>Cleanliness check: record every file and registry key touched during a full session; verify nothing outside the application folder is written, and that deleting the folder leaves nothing behind (NR-DEP-06, NR-DEP-07).</t>
        </is>
      </c>
      <c r="D38" s="14" t="inlineStr">
        <is>
          <t>Test evidence</t>
        </is>
      </c>
      <c r="E38" s="13" t="inlineStr">
        <is>
          <t>Not started</t>
        </is>
      </c>
    </row>
    <row r="39">
      <c r="A39" s="15" t="inlineStr">
        <is>
          <t>N5</t>
        </is>
      </c>
      <c r="B39" s="15" t="inlineStr">
        <is>
          <t>N5.5</t>
        </is>
      </c>
      <c r="C39" s="16" t="inlineStr">
        <is>
          <t>Update check: extract a newer zip over an existing folder; verify workspaces, backups and settings are untouched (NR-DEP-03).</t>
        </is>
      </c>
      <c r="D39" s="16" t="inlineStr">
        <is>
          <t>Test evidence</t>
        </is>
      </c>
      <c r="E39" s="15" t="inlineStr">
        <is>
          <t>Not started</t>
        </is>
      </c>
    </row>
    <row r="40">
      <c r="A40" s="13" t="inlineStr">
        <is>
          <t>N5</t>
        </is>
      </c>
      <c r="B40" s="13" t="inlineStr">
        <is>
          <t>N5.6</t>
        </is>
      </c>
      <c r="C40" s="14" t="inlineStr">
        <is>
          <t>Awkward-location tests: a deeply nested path (R-N10), a read-only network folder (R-N11), and a UNC path (NR-DEP-13).</t>
        </is>
      </c>
      <c r="D40" s="14" t="inlineStr">
        <is>
          <t>Test evidence</t>
        </is>
      </c>
      <c r="E40" s="13" t="inlineStr">
        <is>
          <t>Not started</t>
        </is>
      </c>
    </row>
    <row r="41">
      <c r="A41" s="15" t="inlineStr">
        <is>
          <t>N5</t>
        </is>
      </c>
      <c r="B41" s="15" t="inlineStr">
        <is>
          <t>N5.6b</t>
        </is>
      </c>
      <c r="C41"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1" s="16" t="inlineStr">
        <is>
          <t>tools/test_shared.py</t>
        </is>
      </c>
      <c r="E41" s="15" t="inlineStr">
        <is>
          <t>Not started</t>
        </is>
      </c>
    </row>
    <row r="42">
      <c r="A42" s="13" t="inlineStr">
        <is>
          <t>N5</t>
        </is>
      </c>
      <c r="B42" s="13" t="inlineStr">
        <is>
          <t>N5.6c</t>
        </is>
      </c>
      <c r="C42" s="14" t="inlineStr">
        <is>
          <t>Measure launch time from a local disk and from a network folder, and state both in the user guide rather than promising one.</t>
        </is>
      </c>
      <c r="D42" s="14" t="inlineStr">
        <is>
          <t>Test evidence</t>
        </is>
      </c>
      <c r="E42" s="13" t="inlineStr">
        <is>
          <t>Not started</t>
        </is>
      </c>
    </row>
    <row r="43">
      <c r="A43" s="15" t="inlineStr">
        <is>
          <t>N5</t>
        </is>
      </c>
      <c r="B43" s="15" t="inlineStr">
        <is>
          <t>N5.7</t>
        </is>
      </c>
      <c r="C43" s="16" t="inlineStr">
        <is>
          <t>Run on a real company PC - the only place execution policy, SmartScreen and anti-virus can be judged.</t>
        </is>
      </c>
      <c r="D43" s="16" t="inlineStr">
        <is>
          <t>Test evidence</t>
        </is>
      </c>
      <c r="E43" s="15" t="inlineStr">
        <is>
          <t>Pending you</t>
        </is>
      </c>
    </row>
    <row r="44">
      <c r="A44" s="13" t="inlineStr">
        <is>
          <t>N5</t>
        </is>
      </c>
      <c r="B44" s="13" t="inlineStr">
        <is>
          <t>N5.8</t>
        </is>
      </c>
      <c r="C44" s="14" t="inlineStr">
        <is>
          <t>User guide: where to extract it, first launch and the SmartScreen prompt, workspaces, import and export, backup, updating, and what to do if it will not start.</t>
        </is>
      </c>
      <c r="D44" s="14" t="inlineStr">
        <is>
          <t>User guide</t>
        </is>
      </c>
      <c r="E44" s="13" t="inlineStr">
        <is>
          <t>Not started</t>
        </is>
      </c>
    </row>
    <row r="45">
      <c r="A45" s="15" t="inlineStr">
        <is>
          <t>N5</t>
        </is>
      </c>
      <c r="B45" s="15" t="inlineStr">
        <is>
          <t>N5.9</t>
        </is>
      </c>
      <c r="C45" s="16" t="inlineStr">
        <is>
          <t>Full pass over the traceability matrix; version alignment across both product lines.</t>
        </is>
      </c>
      <c r="D45" s="16" t="inlineStr">
        <is>
          <t>Traceability matrix</t>
        </is>
      </c>
      <c r="E45" s="15" t="inlineStr">
        <is>
          <t>Not started</t>
        </is>
      </c>
    </row>
    <row r="46">
      <c r="A46" s="13" t="inlineStr">
        <is>
          <t>N5</t>
        </is>
      </c>
      <c r="B46" s="13" t="inlineStr">
        <is>
          <t>GN5</t>
        </is>
      </c>
      <c r="C46" s="14" t="inlineStr">
        <is>
          <t>GATE N5 - release.</t>
        </is>
      </c>
      <c r="D46" s="14" t="inlineStr">
        <is>
          <t>Project Management APP v1.0 (PM_APP)</t>
        </is>
      </c>
      <c r="E46" s="13" t="inlineStr">
        <is>
          <t>Not started</t>
        </is>
      </c>
    </row>
    <row r="48">
      <c r="A48" s="5" t="inlineStr">
        <is>
          <t>Progress</t>
        </is>
      </c>
    </row>
    <row r="49" ht="28" customHeight="1">
      <c r="A49" s="10" t="inlineStr">
        <is>
          <t>Measure</t>
        </is>
      </c>
      <c r="B49" s="10" t="inlineStr">
        <is>
          <t>Count</t>
        </is>
      </c>
    </row>
    <row r="50">
      <c r="A50" s="15" t="inlineStr">
        <is>
          <t>Tasks total</t>
        </is>
      </c>
      <c r="B50" s="15">
        <f>COUNTA(B5:B46)</f>
        <v/>
      </c>
    </row>
    <row r="51">
      <c r="A51" s="13" t="inlineStr">
        <is>
          <t>Complete</t>
        </is>
      </c>
      <c r="B51" s="13">
        <f>COUNTIF(E5:E46,"Complete")+COUNTIF(E5:E46,"Complete - issued for review")</f>
        <v/>
      </c>
    </row>
    <row r="52">
      <c r="A52" s="15" t="inlineStr">
        <is>
          <t>Awaiting the requester</t>
        </is>
      </c>
      <c r="B52" s="15">
        <f>COUNTIF(E5:E46,"Pending you")</f>
        <v/>
      </c>
    </row>
    <row r="53">
      <c r="A53" s="13" t="inlineStr">
        <is>
          <t>Not started</t>
        </is>
      </c>
      <c r="B53" s="13">
        <f>COUNTIF(E5:E46,"Not started")</f>
        <v/>
      </c>
    </row>
    <row r="56">
      <c r="A56"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46"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rebuilt file is BYTE-IDENTICAL to the one that was verified, and the 13 existing suites pass against it unmodified. Identity is a stronger claim than equivalence and needs no argument.</t>
        </is>
      </c>
      <c r="C5" s="15" t="inlineStr">
        <is>
          <t>NR-PAR-03</t>
        </is>
      </c>
      <c r="D5" s="16" t="inlineStr">
        <is>
          <t>DONE at N2.2 - 13/13 pass, sha256 unchanged</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20" t="inlineStr">
        <is>
          <t>A blocked colleague can act</t>
        </is>
      </c>
      <c r="B21" s="21" t="inlineStr">
        <is>
          <t>Block a session and verify the message names the holder and their department, says whether they are still responding and when the plan frees, and copies name and department on request.</t>
        </is>
      </c>
      <c r="C21" s="20" t="inlineStr">
        <is>
          <t>NR-STO-12, NR-USR-05, NR-USR-06</t>
        </is>
      </c>
      <c r="D21" s="21"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7" t="inlineStr">
        <is>
          <t>Green = new to the desktop application; nothing in the web application corresponds to it.</t>
        </is>
      </c>
    </row>
    <row r="37">
      <c r="A37" s="18" t="inlineStr">
        <is>
          <t>Orange = inherited from the web application but deliberately changed here.</t>
        </is>
      </c>
    </row>
    <row r="38">
      <c r="A38"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PM_APP_v&lt;ver&gt;.zip, extracting to a PM_APP\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8"/>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Medium</t>
        </is>
      </c>
      <c r="D5" s="20" t="inlineStr">
        <is>
          <t>HIGH</t>
        </is>
      </c>
      <c r="E5" s="21" t="inlineStr">
        <is>
          <t>Still the single largest risk. Q-N02 answered at round 6: a zip can be saved in your own folder and run, and checking the rest with IT is impractical for now, so we ASSUME no issue. That is your call to make and the plan proceeds on it - but assuming is not verifying, so this risk stays OPEN rather than closed, assumption A-N09 records it, and N5.7 on a real company PC remains the first moment anybody will know. If it does happen, the web application still works and still meets the original need - which is why keeping it, as you instructed, is the right call.</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1" t="inlineStr">
        <is>
          <t>R-N10</t>
        </is>
      </c>
      <c r="B14" s="12" t="inlineStr">
        <is>
          <t>The application fails in a deeply nested folder because Windows path limits are exceeded.</t>
        </is>
      </c>
      <c r="C14" s="11" t="inlineStr">
        <is>
          <t>Medium</t>
        </is>
      </c>
      <c r="D14" s="11" t="inlineStr">
        <is>
          <t>Medium</t>
        </is>
      </c>
      <c r="E14" s="12" t="inlineStr">
        <is>
          <t>A packaged browser engine carries long nested paths, and the classic 260-character limit bites when a portable folder is extracted somewhere like a synced Documents tree. Mitigations: keep internal paths short by packing resources into an archive rather than loose files, test extraction into a deliberately deep path at N5.6, and state a recommended location in the user guide.</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20" t="inlineStr">
        <is>
          <t>R-N16</t>
        </is>
      </c>
      <c r="B19" s="21" t="inlineStr">
        <is>
          <t>A declared name is mistaken for a verified one, and somebody relies on the tool to say who did what.</t>
        </is>
      </c>
      <c r="C19" s="20" t="inlineStr">
        <is>
          <t>Low</t>
        </is>
      </c>
      <c r="D19" s="20" t="inlineStr">
        <is>
          <t>Low</t>
        </is>
      </c>
      <c r="E19" s="21"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11" t="inlineStr">
        <is>
          <t>R-N18</t>
        </is>
      </c>
      <c r="B20" s="12" t="inlineStr">
        <is>
          <t>Company file protection encrypts a workbook or a workspace, and the application cannot read it.</t>
        </is>
      </c>
      <c r="C20" s="11" t="inlineStr">
        <is>
          <t>Medium</t>
        </is>
      </c>
      <c r="D20" s="11" t="inlineStr">
        <is>
          <t>Medium</t>
        </is>
      </c>
      <c r="E20"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1">
      <c r="A21" s="11" t="inlineStr">
        <is>
          <t>R-N19</t>
        </is>
      </c>
      <c r="B21" s="12" t="inlineStr">
        <is>
          <t>Two bad saves in a row leave nothing good to go back to.</t>
        </is>
      </c>
      <c r="C21" s="11" t="inlineStr">
        <is>
          <t>Low</t>
        </is>
      </c>
      <c r="D21" s="11" t="inlineStr">
        <is>
          <t>Medium</t>
        </is>
      </c>
      <c r="E21"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2">
      <c r="A22" s="11" t="inlineStr">
        <is>
          <t>R-N17</t>
        </is>
      </c>
      <c r="B22" s="12" t="inlineStr">
        <is>
          <t>A plan is stranded for up to 30 minutes after a crash, and somebody needs it now.</t>
        </is>
      </c>
      <c r="C22" s="11" t="inlineStr">
        <is>
          <t>Medium</t>
        </is>
      </c>
      <c r="D22" s="11" t="inlineStr">
        <is>
          <t>Low</t>
        </is>
      </c>
      <c r="E22"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3">
      <c r="A23" s="11" t="inlineStr">
        <is>
          <t>R-N15</t>
        </is>
      </c>
      <c r="B23" s="12" t="inlineStr">
        <is>
          <t>A blocked user takes a Save As copy, works in it, and the plan quietly forks in two.</t>
        </is>
      </c>
      <c r="C23" s="11" t="inlineStr">
        <is>
          <t>Medium</t>
        </is>
      </c>
      <c r="D23" s="11" t="inlineStr">
        <is>
          <t>Medium</t>
        </is>
      </c>
      <c r="E23"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5">
      <c r="A25" s="5" t="inlineStr">
        <is>
          <t>Code signing, in plain terms   [asked at Q-N03]</t>
        </is>
      </c>
    </row>
    <row r="26">
      <c r="A26" s="6" t="inlineStr">
        <is>
          <t>You asked what the purchase actually is. Here it is without the jargon.</t>
        </is>
      </c>
    </row>
    <row r="28" ht="28" customHeight="1">
      <c r="A28" s="10" t="inlineStr">
        <is>
          <t>Question</t>
        </is>
      </c>
      <c r="B28" s="10" t="inlineStr">
        <is>
          <t>Answer</t>
        </is>
      </c>
    </row>
    <row r="29">
      <c r="A29" s="15" t="inlineStr">
        <is>
          <t>What it is</t>
        </is>
      </c>
      <c r="B29" s="16" t="inlineStr">
        <is>
          <t>A digital seal applied to the .exe that says which ORGANISATION published it. Windows checks the seal when the file is run.</t>
        </is>
      </c>
    </row>
    <row r="30">
      <c r="A30" s="13" t="inlineStr">
        <is>
          <t>What happens without it</t>
        </is>
      </c>
      <c r="B30" s="14"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1">
      <c r="A31" s="15" t="inlineStr">
        <is>
          <t>What happens with it</t>
        </is>
      </c>
      <c r="B31" s="16" t="inlineStr">
        <is>
          <t>The warning names your company instead, and usually disappears entirely once the file has been seen a few times. Anti-virus is far less likely to quarantine it.</t>
        </is>
      </c>
    </row>
    <row r="32">
      <c r="A32" s="13" t="inlineStr">
        <is>
          <t>What is bought</t>
        </is>
      </c>
      <c r="B32" s="14"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3">
      <c r="A33" s="15" t="inlineStr">
        <is>
          <t>Why the COMPANY has to buy it</t>
        </is>
      </c>
      <c r="B33" s="16" t="inlineStr">
        <is>
          <t>The authority verifies the ORGANISATION exists before issuing - company registration documents, a verifiable telephone number, that sort of thing. An individual cannot buy a certificate in the company's name, which is the whole point of it.</t>
        </is>
      </c>
    </row>
    <row r="34">
      <c r="A34" s="13" t="inlineStr">
        <is>
          <t>What else it needs</t>
        </is>
      </c>
      <c r="B34" s="14" t="inlineStr">
        <is>
          <t>Industry rules now require the signing key to live on a hardware token or in a cloud signing service, so somebody has to hold that token and run the signing step when a new version is built.</t>
        </is>
      </c>
    </row>
    <row r="35">
      <c r="A35" s="15" t="inlineStr">
        <is>
          <t>Who would own it</t>
        </is>
      </c>
      <c r="B35" s="16" t="inlineStr">
        <is>
          <t>Whoever owns software distribution or endpoint security - IT or InfoSec. It is a procurement request, not a development task.</t>
        </is>
      </c>
    </row>
    <row r="36">
      <c r="A36" s="13" t="inlineStr">
        <is>
          <t>Is it needed?</t>
        </is>
      </c>
      <c r="B36" s="14"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38">
      <c r="A38"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0">
      <c r="A40" s="5" t="inlineStr">
        <is>
          <t>Assumptions</t>
        </is>
      </c>
    </row>
    <row r="41" ht="28" customHeight="1">
      <c r="A41" s="10" t="inlineStr">
        <is>
          <t>ID</t>
        </is>
      </c>
      <c r="B41" s="10" t="inlineStr">
        <is>
          <t>Assumption</t>
        </is>
      </c>
      <c r="C41" s="10" t="inlineStr">
        <is>
          <t>Status</t>
        </is>
      </c>
    </row>
    <row r="42">
      <c r="A42" s="15" t="inlineStr">
        <is>
          <t>A-N01</t>
        </is>
      </c>
      <c r="B42" s="16" t="inlineStr">
        <is>
          <t>Data volume stays as assumed by the web plan - up to about 100 projects and 1,000 people.</t>
        </is>
      </c>
      <c r="C42" s="15" t="inlineStr">
        <is>
          <t>Inherited, standing</t>
        </is>
      </c>
    </row>
    <row r="43">
      <c r="A43" s="20" t="inlineStr">
        <is>
          <t>A-N02</t>
        </is>
      </c>
      <c r="B43" s="21" t="inlineStr">
        <is>
          <t>Windows 10 or 11, 64-bit, is the only target. macOS and Linux are out of scope.</t>
        </is>
      </c>
      <c r="C43" s="20" t="inlineStr">
        <is>
          <t>CONFIRMED at review round 1</t>
        </is>
      </c>
    </row>
    <row r="44">
      <c r="A44" s="11" t="inlineStr">
        <is>
          <t>A-N08</t>
        </is>
      </c>
      <c r="B44" s="12" t="inlineStr">
        <is>
          <t>The application is never installed: it is copied as a folder and run in place, and the machine is unchanged by its presence.</t>
        </is>
      </c>
      <c r="C44" s="11" t="inlineStr">
        <is>
          <t>CONFIRMED at review round 1</t>
        </is>
      </c>
    </row>
    <row r="45">
      <c r="A45" s="20" t="inlineStr">
        <is>
          <t>A-N09</t>
        </is>
      </c>
      <c r="B45" s="21" t="inlineStr">
        <is>
          <t>The user can extract a zip and run an executable from their own folder, and nothing will later block or remove it.</t>
        </is>
      </c>
      <c r="C45" s="20" t="inlineStr">
        <is>
          <t>ASSUMED at Q-N02, not verified. Confirming with IT was impractical; you chose to proceed on the assumption. First tested at N5.7</t>
        </is>
      </c>
    </row>
    <row r="46">
      <c r="A46" s="11" t="inlineStr">
        <is>
          <t>A-N11</t>
        </is>
      </c>
      <c r="B46" s="12" t="inlineStr">
        <is>
          <t>No internal validation, qualification or record-keeping obligation applies to this tool.</t>
        </is>
      </c>
      <c r="C46" s="11" t="inlineStr">
        <is>
          <t>CONFIRMED at Q-N09</t>
        </is>
      </c>
    </row>
    <row r="47">
      <c r="A47" s="11" t="inlineStr">
        <is>
          <t>A-N12</t>
        </is>
      </c>
      <c r="B47" s="12" t="inlineStr">
        <is>
          <t>The shared folder, if used, is writable by the people using it.</t>
        </is>
      </c>
      <c r="C47" s="11" t="inlineStr">
        <is>
          <t>CONFIRMED at Q-N15</t>
        </is>
      </c>
    </row>
    <row r="48">
      <c r="A48" s="11" t="inlineStr">
        <is>
          <t>A-N10</t>
        </is>
      </c>
      <c r="B48" s="12" t="inlineStr">
        <is>
          <t>If a shared network folder is used, it is reachable whenever the application is needed. A plan kept only on an unreachable share cannot be opened.</t>
        </is>
      </c>
      <c r="C48" s="11" t="inlineStr">
        <is>
          <t>Standing - the user guide will recommend keeping working copies locally</t>
        </is>
      </c>
    </row>
    <row r="49">
      <c r="A49" s="20" t="inlineStr">
        <is>
          <t>A-N03</t>
        </is>
      </c>
      <c r="B49" s="21" t="inlineStr">
        <is>
          <t>One person works on a given workspace at a time - but the application no longer RELIES on it, because a shared folder makes it unsafe to assume.</t>
        </is>
      </c>
      <c r="C49" s="20" t="inlineStr">
        <is>
          <t>WITHDRAWN as an assumption at round 2; enforced by NR-STO-10 instead</t>
        </is>
      </c>
    </row>
    <row r="50">
      <c r="A50" s="15" t="inlineStr">
        <is>
          <t>A-N04</t>
        </is>
      </c>
      <c r="B50" s="16" t="inlineStr">
        <is>
          <t>Package size is unconstrained.</t>
        </is>
      </c>
      <c r="C50" s="15" t="inlineStr">
        <is>
          <t>CONFIRMED by your instruction, 2026-08-13</t>
        </is>
      </c>
    </row>
    <row r="51">
      <c r="A51" s="13" t="inlineStr">
        <is>
          <t>A-N05</t>
        </is>
      </c>
      <c r="B51" s="14" t="inlineStr">
        <is>
          <t>Both applications remain in service indefinitely; neither is a migration path away from the other.</t>
        </is>
      </c>
      <c r="C51" s="13" t="inlineStr">
        <is>
          <t>CONFIRMED by your instruction, 2026-08-13</t>
        </is>
      </c>
    </row>
    <row r="52">
      <c r="A52" s="15" t="inlineStr">
        <is>
          <t>A-N06</t>
        </is>
      </c>
      <c r="B52" s="16" t="inlineStr">
        <is>
          <t>The source Excel workbook continues to be maintained by hand, by someone other than the tool.</t>
        </is>
      </c>
      <c r="C52" s="15" t="inlineStr">
        <is>
          <t>Inherited A-04, standing</t>
        </is>
      </c>
    </row>
    <row r="53">
      <c r="A53" s="13" t="inlineStr">
        <is>
          <t>A-N07</t>
        </is>
      </c>
      <c r="B53" s="14" t="inlineStr">
        <is>
          <t>The user can copy a package into their own profile or a network share and run it from there.</t>
        </is>
      </c>
      <c r="C53" s="13" t="inlineStr">
        <is>
          <t>To confirm - Q-N02</t>
        </is>
      </c>
    </row>
    <row r="55">
      <c r="A55" s="3" t="inlineStr">
        <is>
          <t>Legend</t>
        </is>
      </c>
    </row>
    <row r="56">
      <c r="A56" s="17" t="inlineStr">
        <is>
          <t>Green = new to the desktop application; nothing in the web application corresponds to it.</t>
        </is>
      </c>
    </row>
    <row r="57">
      <c r="A57" s="18" t="inlineStr">
        <is>
          <t>Orange = inherited from the web application but deliberately changed here.</t>
        </is>
      </c>
    </row>
    <row r="58">
      <c r="A58"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2" t="inlineStr">
        <is>
          <t>Windows. CLOSED</t>
        </is>
      </c>
    </row>
    <row r="6">
      <c r="A6" s="20" t="inlineStr">
        <is>
          <t>Q-N02</t>
        </is>
      </c>
      <c r="B6" s="20" t="inlineStr">
        <is>
          <t>Deployment</t>
        </is>
      </c>
      <c r="C6" s="21" t="inlineStr">
        <is>
          <t>Can you extract a zip into your own folder and run the .exe inside it?</t>
        </is>
      </c>
      <c r="D6" s="21"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20" t="inlineStr">
        <is>
          <t>Q-N03</t>
        </is>
      </c>
      <c r="B7" s="20" t="inlineStr">
        <is>
          <t>Deployment</t>
        </is>
      </c>
      <c r="C7" s="21" t="inlineStr">
        <is>
          <t>Is a company code-signing certificate obtainable, and by whom?</t>
        </is>
      </c>
      <c r="D7" s="21"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20" t="inlineStr">
        <is>
          <t>Q-N04</t>
        </is>
      </c>
      <c r="B8" s="20" t="inlineStr">
        <is>
          <t>Storage</t>
        </is>
      </c>
      <c r="C8" s="21" t="inlineStr">
        <is>
          <t>Where should workspaces live by default?</t>
        </is>
      </c>
      <c r="D8" s="21"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20" t="inlineStr">
        <is>
          <t>Q-N05</t>
        </is>
      </c>
      <c r="B9" s="20" t="inlineStr">
        <is>
          <t>Storage</t>
        </is>
      </c>
      <c r="C9" s="21" t="inlineStr">
        <is>
          <t>When you re-import a source workbook over a workspace that already holds your hand-entered data, what should happen?</t>
        </is>
      </c>
      <c r="D9" s="21"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20" t="inlineStr">
        <is>
          <t>Q-N07</t>
        </is>
      </c>
      <c r="B11" s="20" t="inlineStr">
        <is>
          <t>Storage</t>
        </is>
      </c>
      <c r="C11" s="21" t="inlineStr">
        <is>
          <t>How many previous versions of a workspace should be retained?</t>
        </is>
      </c>
      <c r="D11" s="21"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20" t="inlineStr">
        <is>
          <t>Q-N08</t>
        </is>
      </c>
      <c r="B12" s="20" t="inlineStr">
        <is>
          <t>Deployment</t>
        </is>
      </c>
      <c r="C12" s="21" t="inlineStr">
        <is>
          <t>How will updates reach you?</t>
        </is>
      </c>
      <c r="D12" s="21"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20" t="inlineStr">
        <is>
          <t>Q-N09</t>
        </is>
      </c>
      <c r="B13" s="20" t="inlineStr">
        <is>
          <t>Governance</t>
        </is>
      </c>
      <c r="C13" s="21" t="inlineStr">
        <is>
          <t>Does this tool fall under any internal validation or record-keeping obligation, now that it HOLDS data rather than only displaying it?</t>
        </is>
      </c>
      <c r="D13" s="21"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20" t="inlineStr">
        <is>
          <t>Q-N10</t>
        </is>
      </c>
      <c r="B14" s="20" t="inlineStr">
        <is>
          <t>Scope</t>
        </is>
      </c>
      <c r="C14" s="21" t="inlineStr">
        <is>
          <t>Should the application be able to open a source workbook for a quick look, without creating a workspace?</t>
        </is>
      </c>
      <c r="D14" s="21"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20" t="inlineStr">
        <is>
          <t>Q-N11</t>
        </is>
      </c>
      <c r="B15" s="20" t="inlineStr">
        <is>
          <t>Naming</t>
        </is>
      </c>
      <c r="C15" s="21" t="inlineStr">
        <is>
          <t>What should the application be called on screen?</t>
        </is>
      </c>
      <c r="D15" s="21"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2" t="inlineStr">
        <is>
          <t>Not needed. CLOSED</t>
        </is>
      </c>
    </row>
    <row r="18">
      <c r="A18" s="20" t="inlineStr">
        <is>
          <t>Q-N14</t>
        </is>
      </c>
      <c r="B18" s="20" t="inlineStr">
        <is>
          <t>Deployment</t>
        </is>
      </c>
      <c r="C18" s="21" t="inlineStr">
        <is>
          <t>Is the share where people RUN it from, or where they copy it from once?</t>
        </is>
      </c>
      <c r="D18" s="21"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20" t="inlineStr">
        <is>
          <t>Q-N15</t>
        </is>
      </c>
      <c r="B19" s="20" t="inlineStr">
        <is>
          <t>Deployment</t>
        </is>
      </c>
      <c r="C19" s="21" t="inlineStr">
        <is>
          <t>Would the share be writable, or read-only?</t>
        </is>
      </c>
      <c r="D19" s="21"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20" t="inlineStr">
        <is>
          <t>Q-N18</t>
        </is>
      </c>
      <c r="B22" s="20" t="inlineStr">
        <is>
          <t>User identity</t>
        </is>
      </c>
      <c r="C22" s="21" t="inlineStr">
        <is>
          <t>Which details should the application record beside the name?</t>
        </is>
      </c>
      <c r="D22" s="21"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Closed</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Closed</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Closed</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Closed</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3" t="inlineStr">
        <is>
          <t>26</t>
        </is>
      </c>
      <c r="B30" s="13" t="inlineStr">
        <is>
          <t>-</t>
        </is>
      </c>
      <c r="C30" s="14" t="inlineStr">
        <is>
          <t>Not requester input - noticed while applying item 25.</t>
        </is>
      </c>
      <c r="D30" s="14" t="inlineStr">
        <is>
          <t>The answer fits a column the data model already has.</t>
        </is>
      </c>
      <c r="E30" s="14"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3"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3" t="inlineStr">
        <is>
          <t>28</t>
        </is>
      </c>
      <c r="B32" s="13" t="inlineStr">
        <is>
          <t>v0.6_reviewed - Q-N03</t>
        </is>
      </c>
      <c r="C32" s="14" t="inlineStr">
        <is>
          <t>Not an answer: 'elaborate the question more easily. What IT purchase is needed? What is the company code-signing certificate?'</t>
        </is>
      </c>
      <c r="D32" s="14" t="inlineStr">
        <is>
          <t>Fair - the question assumed knowledge it should have supplied.</t>
        </is>
      </c>
      <c r="E32" s="14"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3"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Closed</t>
        </is>
      </c>
    </row>
    <row r="34">
      <c r="A34" s="13" t="inlineStr">
        <is>
          <t>30</t>
        </is>
      </c>
      <c r="B34" s="13" t="inlineStr">
        <is>
          <t>v0.6_reviewed - Q-N05</t>
        </is>
      </c>
      <c r="C34" s="14" t="inlineStr">
        <is>
          <t>Ask whether to update existing data, and give a difference report so the user decides what may be overridden.</t>
        </is>
      </c>
      <c r="D34" s="14" t="inlineStr">
        <is>
          <t>Accepted - confirms the v0.3 proposal and adds an explicit first question.</t>
        </is>
      </c>
      <c r="E34" s="14"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3"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3" t="inlineStr">
        <is>
          <t>32</t>
        </is>
      </c>
      <c r="B36" s="13" t="inlineStr">
        <is>
          <t>v0.6_reviewed - Q-N09</t>
        </is>
      </c>
      <c r="C36" s="14" t="inlineStr">
        <is>
          <t>No internal validation or record-keeping obligation.</t>
        </is>
      </c>
      <c r="D36" s="14" t="inlineStr">
        <is>
          <t>Accepted - and it settles an open risk.</t>
        </is>
      </c>
      <c r="E36" s="14" t="inlineStr">
        <is>
          <t>Assumption A-N11. R-N16 falls from Medium/Medium to Low/Low: with nothing formal resting on it, a declared user name is a courtesy rather than a control. It also keeps Step N5 to functional verification rather than qualification evidence.</t>
        </is>
      </c>
      <c r="F36" s="13"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3" t="inlineStr">
        <is>
          <t>34</t>
        </is>
      </c>
      <c r="B38" s="13" t="inlineStr">
        <is>
          <t>v0.6_reviewed - Q-N11</t>
        </is>
      </c>
      <c r="C38" s="14" t="inlineStr">
        <is>
          <t>'Project Management APP' or 'PM_APP'.</t>
        </is>
      </c>
      <c r="D38" s="14" t="inlineStr">
        <is>
          <t>Accepted, with one thing to confirm.</t>
        </is>
      </c>
      <c r="E38" s="14"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3"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3" t="inlineStr">
        <is>
          <t>36</t>
        </is>
      </c>
      <c r="B40" s="13" t="inlineStr">
        <is>
          <t>-</t>
        </is>
      </c>
      <c r="C40" s="14" t="inlineStr">
        <is>
          <t>Not requester input - the state of the document.</t>
        </is>
      </c>
      <c r="D40" s="14" t="inlineStr">
        <is>
          <t>Every question is answered.</t>
        </is>
      </c>
      <c r="E40" s="14"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3" t="inlineStr">
        <is>
          <t>Closed</t>
        </is>
      </c>
    </row>
    <row r="41">
      <c r="A41" s="15" t="inlineStr">
        <is>
          <t>37</t>
        </is>
      </c>
      <c r="B41" s="15" t="inlineStr">
        <is>
          <t>Gate N1</t>
        </is>
      </c>
      <c r="C41" s="16" t="inlineStr">
        <is>
          <t>'Go to next step', 2026-08-13.</t>
        </is>
      </c>
      <c r="D41" s="16" t="inlineStr">
        <is>
          <t>Recorded as approval of the plan as a baseline.</t>
        </is>
      </c>
      <c r="E41" s="16"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5" t="inlineStr">
        <is>
          <t>Closed</t>
        </is>
      </c>
    </row>
    <row r="43">
      <c r="A43"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5">
      <c r="A45" s="5" t="inlineStr">
        <is>
          <t>Approval - Gate N1</t>
        </is>
      </c>
    </row>
    <row r="46" ht="28" customHeight="1">
      <c r="A46" s="10" t="inlineStr">
        <is>
          <t>Document</t>
        </is>
      </c>
      <c r="B46" s="10" t="inlineStr">
        <is>
          <t>Approver</t>
        </is>
      </c>
      <c r="C46" s="10" t="inlineStr">
        <is>
          <t>Date</t>
        </is>
      </c>
      <c r="D46" s="10" t="inlineStr">
        <is>
          <t>Decision</t>
        </is>
      </c>
    </row>
    <row r="47">
      <c r="A47" s="11" t="inlineStr">
        <is>
          <t>PRAP NewApp Development Plan v1.0</t>
        </is>
      </c>
      <c r="B47" s="11" t="inlineStr">
        <is>
          <t>Dan</t>
        </is>
      </c>
      <c r="C47" s="11" t="inlineStr">
        <is>
          <t>2026-08-13</t>
        </is>
      </c>
      <c r="D47"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49">
      <c r="A49"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1"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2026-08-13T15:59:31Z</dcterms:created>
  <dcterms:modified xsi:type="dcterms:W3CDTF">2026-08-13T15:59:31Z</dcterms:modified>
</cp:coreProperties>
</file>