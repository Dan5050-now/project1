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v2.71</t>
        </is>
      </c>
    </row>
    <row r="7">
      <c r="A7" s="3" t="inlineStr">
        <is>
          <t>Status</t>
        </is>
      </c>
      <c r="B7" s="4" t="inlineStr">
        <is>
          <t>Baseline v2.0 + Step 4 progress. Application v1.60, source schema 15 - Gate 4 refinements, the work scope and the biosimilar split, the shared-role division, the delivered default assumptions, and milestone and period highlighting.</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9"/>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2.71</t>
        </is>
      </c>
      <c r="B22" s="17" t="inlineStr">
        <is>
          <t>2026-10-08</t>
        </is>
      </c>
      <c r="C22" s="17" t="inlineStr">
        <is>
          <t>Claude Code</t>
        </is>
      </c>
      <c r="D22" s="17" t="inlineStr">
        <is>
          <t>Pending</t>
        </is>
      </c>
      <c r="E22" s="18" t="inlineStr">
        <is>
          <t>R-60, REQ-PRJ-16: PERIOD COLOURS ARE AN ASSUMPTION, AND A PROJECT MAY STILL CHOOSE ITS OWN. Asked for straight after R-59: every project's periods take their colour from the General assumptions tab, and where no colour is assumed for a period, a project may choose one. A new sheet, PeriodHighlight (period_name, period_highlight, note_1), holds one row per period name; source schema steps 14 to 15. The colour of a band is the project's own choice (ProjectPeriod.period_highlight), else the default for its period name, else gray - the more specific statement winning, as a project's period weight adjusts the standard rather than the other way round. The pop-up says which level chose it. The template and both examples ship defaults that restore what the O-10 review asked for - start-up red, conduct green, close-out orange, develop green, close orange - as a choice the plan holds rather than a palette in the code; the quiet ends (before start-up, after close-out, planning) are left gray. Periods DERIVED from milestones, which have no row to hold a project colour, now take the defaults. A plan started blank is seeded with the same rows. A workbook from before schema 15 opens with no defaults (V-09 information), exactly as one without MonthlyEstimate does; the interchange reader tolerates the sheet's absence the same way. V-39 is new: a default naming no colour, a period name given twice, or a name neither period list knows. No figure moves; template v1.19, examples v1.21 and v1.13. R-61: KEEP YOUR VERSION WHEN THE SHARED PLAN IS NO LONGER YOURS TO WRITE (Python edition). A session whose hold lapsed and was taken over (NR-STO-14), or whose plan a colleague saved since it was opened (NR-STO-16), has its Save refused - rightly - and was told to Save as or Reload, the second of which discards the work on screen. Now a bar offers one press, 'Save my version to My plans', which writes what is on screen as a NEW file in the person's own folder - their name and the time in its name, never on top of an existing file - and carries on in it; the team's plan is not touched. Also on the File menu at any time. Python edition 1.33.</t>
        </is>
      </c>
      <c r="F22" s="17" t="inlineStr">
        <is>
          <t>Issued for review</t>
        </is>
      </c>
    </row>
    <row r="23">
      <c r="A23" s="17" t="inlineStr">
        <is>
          <t>2.70</t>
        </is>
      </c>
      <c r="B23" s="17" t="inlineStr">
        <is>
          <t>2026-10-08</t>
        </is>
      </c>
      <c r="C23" s="17" t="inlineStr">
        <is>
          <t>Claude Code</t>
        </is>
      </c>
      <c r="D23" s="17" t="inlineStr">
        <is>
          <t>Pending</t>
        </is>
      </c>
      <c r="E23" s="18" t="inlineStr">
        <is>
          <t>R-59, REQ-PRJ-15: A PERIOD IS DRAWN IN THE COLOUR SOMEBODY CHOSE, AND GRAY OTHERWISE. Asked for from the field: the Periods table gains a Highlight column like the Milestones one, each project's period may be given a colour, and a period with none is gray. ProjectPeriod gains period_highlight after period_end; source schema steps 13 to 14. The values come from a list of their own in the Lists sheet (period_highlight, the same five colours as milestone_highlight) because a team may mean one thing by blue on a milestone and another on a period, and what is read is the COLOUR WORD inside the value, exactly as R-50 does it. THIS SUPERSEDES THE O-10 COLOUR RULE. Since the component-list v0.3 review the bands took a hue per period NAME (D-06 superseded); now the colour belongs to the user and an unmarked period is a quiet gray, so the periods somebody marked are what the eye finds. Nothing O-10 carried is lost: the weight still shades every band, the period's name is still written on it and in its pop-up, and the legend still lists the period names - each still picks that period out across the chart - under one gray swatch, followed by each colour in use in the words the file uses for it. Labels are dark on gray and on yellow and white on the four strong colours. V-38 IS NEW, the period twin of V-37: a value naming no colour leaves the period gray, which looks exactly like nobody having chosen, so it is said out loud. Warning, never a refusal. Periods DERIVED from milestones (a trial whose workbook carries none) have no row to hold a colour and stay gray until Auto derivation writes them. NO FIGURE MOVES: both example workbooks calculate identically to their predecessors, checked person-month by person-month. Template v1.18, examples v1.20 and v1.12, which mark the final Conduct period of every fifth project blue. tools/test_highlight.py gains ten checks, two proved by putting the fault back.</t>
        </is>
      </c>
      <c r="F23" s="17" t="inlineStr">
        <is>
          <t>Issued for review</t>
        </is>
      </c>
    </row>
    <row r="24">
      <c r="A24" s="17" t="inlineStr">
        <is>
          <t>2.69</t>
        </is>
      </c>
      <c r="B24" s="17" t="inlineStr">
        <is>
          <t>2026-10-08</t>
        </is>
      </c>
      <c r="C24" s="17" t="inlineStr">
        <is>
          <t>Claude Code</t>
        </is>
      </c>
      <c r="D24" s="17" t="inlineStr">
        <is>
          <t>Pending</t>
        </is>
      </c>
      <c r="E24" s="18" t="inlineStr">
        <is>
          <t>R-58. 'THE AUDIT TRAIL IS NOT WORKING' - IT WAS, AND THE APPLICATION BEHIND IT HAD STOPPED. In the Python edition a save said 'Saved - but the change log could not be written to the audit folder ... Failed to fetch'. Checked end to end: a saved change is appended to data/audit/PRAP_changes_&lt;month&gt;_&lt;account&gt;.csv with when, who, the record, the column and both values, and findings to the matching file. 'Failed to fetch' meant no answer at all: the application had shut itself down, because its backstop stopped it after fifteen minutes without the page's heartbeat - which is what a browser does to a tab it puts to sleep, and what a sleeping laptop does. The window looked alive and could save nothing. Fixed on both sides: only the page saying it is closing stops the application now (desktop plan v1.16, NR-DEP-17); and if it has stopped anyway, the window says so in words and keeps a red bar up with the browser's own download of the plan and of the change-log entries that never reached the audit folder. Python edition 1.31; the web edition is unchanged.</t>
        </is>
      </c>
      <c r="F24" s="17" t="inlineStr">
        <is>
          <t>Issued for review</t>
        </is>
      </c>
    </row>
    <row r="25">
      <c r="A25" s="17" t="inlineStr">
        <is>
          <t>2.68</t>
        </is>
      </c>
      <c r="B25" s="17" t="inlineStr">
        <is>
          <t>2026-10-08</t>
        </is>
      </c>
      <c r="C25" s="17" t="inlineStr">
        <is>
          <t>Claude Code</t>
        </is>
      </c>
      <c r="D25" s="17" t="inlineStr">
        <is>
          <t>Pending</t>
        </is>
      </c>
      <c r="E25" s="18" t="inlineStr">
        <is>
          <t>R-57. A DEFECT IN THE PYTHON EDITION'S FILE BROWSER, reported as 'sub-folders under a level-1 folder do not appear'. They did appear - for a single click. A folder opens on its first click and the list is redrawn, so the SECOND click of a double-click, which is how everybody opens a folder in Windows, landed on whatever row was now under the pointer and opened that as well: double-clicking a level-1 folder put you inside one of its sub-folders, usually an empty one, and the folder asked for was never shown. Worse with R-56's newest-first order, which puts a recently touched sub-folder at the top, exactly where the pointer is. The listing itself was right throughout - fs/list returned every sub-folder. Now the rest of a click sequence that began on another row is ignored, by the browser's click count and by time in case a redraw resets it, and a double-click chooses only the row its own first click was on, so a file is never chosen by a click meant for the folder above it. tools/test_python_app.py double-clicks at a person's pace rather than a robot's - the fast double-click a test driver sends never showed it - and the guard was proved by taking it out. Python edition 1.30; the web edition is unchanged.</t>
        </is>
      </c>
      <c r="F25" s="17" t="inlineStr">
        <is>
          <t>Issued for review</t>
        </is>
      </c>
    </row>
    <row r="26">
      <c r="A26" s="17" t="inlineStr">
        <is>
          <t>2.67</t>
        </is>
      </c>
      <c r="B26" s="17" t="inlineStr">
        <is>
          <t>2026-10-07</t>
        </is>
      </c>
      <c r="C26" s="17" t="inlineStr">
        <is>
          <t>Claude Code</t>
        </is>
      </c>
      <c r="D26" s="17" t="inlineStr">
        <is>
          <t>Pending</t>
        </is>
      </c>
      <c r="E26" s="18" t="inlineStr">
        <is>
          <t>R-56. FIVE THINGS ASKED FOR FROM THE FIELD, all about finding your way. (a) THE PROJECT AND PERSON FILTERS LIST NAMES. Nobody looks for PRJ-037; they look for the study. The label is the name, sorted by name, with the identifier added only where the name alone would not say which row it is; the value behind each tick is still the identifier, which is what the filter matches and the export's ReadMe names. A list long enough to scroll gets a search box that matches name or identifier and never ticks anything. (b) A NEW PROJECT OR PERSON STAYS SELECTED. + row left the selection on the row it was pressed from, and the tab reset any selection the filters did not list to the first row - so the milestones, periods and assignments typed next went to somebody else's project, and after Save the new one was not even selected. A row added in this session is now the selection from the moment it exists, through typing, Save and a change of its own identifier. (c) RESOURCE BY PROJECT SAYS HOW EACH FIGURE WAS MADE: a pill per project - Auto, Manual, or Auto with n assignments stated - a pencil on every month carrying a stated figure, and a 'manual' tag on the person rows behind it. A stated figure is a judgement about this study and an automatic one is what a study of its kind takes; the table drew them identically. (d) IT NARROWS TO ITS PROBLEMS - issues only, short, over, not staffed, stated by hand - in the months on screen. The rows only: the control beside it and the tiles go on counting everything, for the reason R-53 gives. (e) NOT STAFFED IS COUNTED. A month the periods ask for with nobody on it is the widest gap there is, and the table drew it while the Standard vs staffed control, the tile and the list said nothing. All three now count it under its own direction, and its row takes you to the project, where people are assigned. AND FILES ARE FOUND BY DATE. The Python edition's file browser shows every file's modified date and time, lists newest first (switchable back to name) and marks the newest; the browser edition has only the operating system's own window, so exported names carry the date AND time and an earlier stamp is no longer stacked on. tools/test_r56.py covers the web half and test_python_app.py the browser; each guard was proved by putting the fault back. No figure moves.</t>
        </is>
      </c>
      <c r="F26" s="17" t="inlineStr">
        <is>
          <t>Issued for review</t>
        </is>
      </c>
    </row>
    <row r="27">
      <c r="A27" s="17" t="inlineStr">
        <is>
          <t>2.66</t>
        </is>
      </c>
      <c r="B27" s="17" t="inlineStr">
        <is>
          <t>2026-10-04</t>
        </is>
      </c>
      <c r="C27" s="17" t="inlineStr">
        <is>
          <t>Claude Code</t>
        </is>
      </c>
      <c r="D27" s="17" t="inlineStr">
        <is>
          <t>Pending</t>
        </is>
      </c>
      <c r="E27" s="18" t="inlineStr">
        <is>
          <t>R-55, REQ-OUT-06 AMENDED. THE RESULTS EXPORT SAYS WHICH PROJECTS ARE SHORT. Asked for so the file can be analysed outside the application - by a person or by an AI - and the first question any such analysis asks is which projects have too little or too much. The file could not answer it. ProjectMonth carried what each project was GIVEN and nothing about what it NEEDS; Flags carried people only; and a month nobody is on had no row at all, so the largest shortfall the plan can contain - a project with nobody assigned (V-36) - was the one the file could not show. The obvious workaround was a trap: demand_fte is on Detail, but repeated on every person's row, so adding it up multiplies a project's demand by its headcount. ProjectMonth now carries demand_fte, staffed_fte, gap_fte and gap_dir, taken from the calculation's own maps rather than recomputed, and a row for every month the project's periods ask for and nobody is on, with fte 0 and the whole demand as its gap. staffed_fte is the WHOLE project's and fte the part in view: unfiltered they are the same, and filtered to one department the gap is still the project's own - a project is not short because the reader chose not to look at half of its people. Flags gains project_id and project_name and three project kinds - short of standard, over standard, unallocated demand - one row per run of consecutive months, with the run's gap in total; short and over are never netted (V-34). Summary gains the standard demand and the three totals, summed from ProjectMonth so the two cannot disagree, and the ReadMe defines the columns and warns against summing Detail's demand. PersonMonth gains a row for every month a person is EMPLOYED and on nothing - fte 0, flag 'unassigned' - so the file says who is free as well as who is overloaded, and somebody who has left is never offered as spare capacity. Checked against the Python reference on a plan with all three kinds in it, and each new guard proved by putting the fault back. No figure moves. ALONGSIDE IT, NOT IN THE APPLICATION: tools/prap_analyze.py scores a plan 0-100 from the export or from a source plan, by a fixed formula with every input written out, lists what is short, overloaded and coming, proposes candidate moves, and compares two plans for a what-if; docs/PRAP_AI_Analysis_Guide.md is the method and the prompt for handing that to an AI. It names the shortage the gap column cannot: a project-month IS its demand, shared among whoever is on it, so a project with too few people shows as its people over the ceiling - and that excess is attributed back to the projects making it up. tools/test_analyze.py holds the scorecard identical by both routes.</t>
        </is>
      </c>
      <c r="F27" s="17" t="inlineStr">
        <is>
          <t>Issued for review</t>
        </is>
      </c>
    </row>
    <row r="28">
      <c r="A28" s="17" t="inlineStr">
        <is>
          <t>2.65</t>
        </is>
      </c>
      <c r="B28" s="17" t="inlineStr">
        <is>
          <t>2026-10-01</t>
        </is>
      </c>
      <c r="C28" s="17" t="inlineStr">
        <is>
          <t>Claude Code</t>
        </is>
      </c>
      <c r="D28" s="17" t="inlineStr">
        <is>
          <t>Pending</t>
        </is>
      </c>
      <c r="E28" s="18" t="inlineStr">
        <is>
          <t>R-54. TWO THINGS, BOTH RAISED BY A READER LOOKING AT THE SCREEN. (a) A DEFECT: THREE MARKS WERE PRINTING THEIR OWN SOURCE CODE. The arrow that REQ-DSH-15 puts on a month off its standard, in both directions, and the warning sign V-33 puts on a clashing cell, were written in the stylesheet with a DOUBLED backslash - content:"\\25B2" where content:"\25B2" was meant. In CSS the single backslash IS the escape; the doubled one is an escaped backslash followed by five ordinary characters. So every marked month carried the text \25B2 or \25BC in nine-pixel type in its corner, and every clashing cell carried \26A0, for weeks. It was reported as a question - what does this symbol mean - which is how a reader meets a mark that says nothing. THE SUITE COVERED IT AND PASSED. tools/test_gap.py asked whether the ::after content was non-empty, and \25B2 is non-empty. A mark that is PRESENT but says the wrong thing is precisely what that question cannot see, and it is the failure D-04 is about: amber and red are the confusable pair, so where the two directions are drawn in them the ARROW is the whole of what tells them apart. Three guards now: a static one in tools/test_layers.py, since a doubled backslash inside a content: rule has no legitimate use in this stylesheet, and two that compare the RENDERED character against the one that was meant, in test_gap.py and test_manual.py. Each was proved by putting the fault back. (b) THE ORDER COLUMN IS NO LONGER DRAWN ON MILESTONES. Asked for, and safe for that table only: milestone_seq orders NOTHING. Both engines place a milestone on the timeline by its DATE, and nothing anywhere sorts by the sequence - so the column's own pop-up, which said 'display order along the timeline', was a false statement about the screen it was on. It is still allocated on insert and still written to the file, because a column the workbook carries must survive a round trip whether or not a screen draws it. PERIODS KEEP THEIRS, deliberately: period_seq is what both engines sort the periods by, V-18 reports a duplicate as an ERROR, and V-05 and the no-period-covers-these-days message name a period BY its sequence. Hiding it would leave a reader told to fix something they could not see.</t>
        </is>
      </c>
      <c r="F28" s="17" t="inlineStr">
        <is>
          <t>Issued for review</t>
        </is>
      </c>
    </row>
    <row r="29">
      <c r="A29" s="17" t="inlineStr">
        <is>
          <t>2.64</t>
        </is>
      </c>
      <c r="B29" s="17" t="inlineStr">
        <is>
          <t>2026-10-01</t>
        </is>
      </c>
      <c r="C29" s="17" t="inlineStr">
        <is>
          <t>Claude Code</t>
        </is>
      </c>
      <c r="D29" s="17" t="inlineStr">
        <is>
          <t>Pending</t>
        </is>
      </c>
      <c r="E29" s="18" t="inlineStr">
        <is>
          <t>R-53. TWO THINGS ASKED FOR FROM THE FIELD, both about finding your way around a screen rather than about what is on it. (a) REQ-DSH-15 AMENDED - THE STANDARD VS STAFFED LIST CAN BE NARROWED. Three controls, each answering a question somebody actually arrives with: which direction am I chasing, which project is this about, and what is big enough to be worth my morning. The project control offers only the projects that HAVE a gap, because a drop-down of sixty-two to narrow two rows is a worse screen than no drop-down. IT NARROWS THE LIST AND NOTHING ELSE. The tile and the control in Resource by project's head go on counting every month off its standard whatever is set, because they are the alarm: a figure that moved when somebody narrowed their own view would be an alarm that lies, which is worse than no alarm. The heading says 'n of m' whenever anything is set, and a list emptied BY THE FILTER says so in those words - 'all 66 are hidden' and 'every project is on its standard' are different answers and only one of them is good news. Cleared on load, like the column filters and for the same reason. (b) REQ-DSH-19 IS NEW - A ROW'S IDENTITY STAYS ON SCREEN WHILE ITS TABLE SCROLLS SIDEWAYS. The Project sheet is twenty-five columns and about 3,070px wide in a panel of 1,316px, so less than half of it is ever in view; scroll out to the far columns and you are editing an unlabelled row. What has gone is not the data, it is WHICH PROJECT THIS IS - and that is two columns. The row's handle, its identifier and its name are frozen at the left edge and the rest slides under them. Declared per sheet rather than per call site, and only for a LEADING run of columns, because what makes the offsets arithmetic rather than measurement is that there is nothing between them and the edge. The cost is honest and bounded: 436px, about six data columns on screen at a time instead of ten - six you can attribute to a project beats ten you cannot. They stay editable where they stand. Two things that are not obvious had to be built as well: every background in those tables is mixed against TRANSPARENT, which is right for a cell sitting on the panel and wrong for one with rows passing underneath, so all four states are restated against the surface; and laid out exactly edge to edge a one-DEVICE-pixel seam still opens where the rounding of the sticky offset and the scroll position disagree, showing the row behind as a stray mark beside the identifier - found by magnifying a screenshot, cured by letting each stuck cell start a pixel before the one before it ends. tools/test_pinned.py is new.</t>
        </is>
      </c>
      <c r="F29" s="17" t="inlineStr">
        <is>
          <t>Issued for review</t>
        </is>
      </c>
    </row>
    <row r="30">
      <c r="A30" s="17" t="inlineStr">
        <is>
          <t>2.63</t>
        </is>
      </c>
      <c r="B30" s="17" t="inlineStr">
        <is>
          <t>2026-10-01</t>
        </is>
      </c>
      <c r="C30" s="17" t="inlineStr">
        <is>
          <t>Claude Code</t>
        </is>
      </c>
      <c r="D30" s="17" t="inlineStr">
        <is>
          <t>Pending</t>
        </is>
      </c>
      <c r="E30" s="18" t="inlineStr">
        <is>
          <t>R-52, REQ-DSH-15 AMENDED: STANDARD VS STAFFED MOVES ONTO RESOURCE BY PROJECT. Asked for from the field. It is the right home - every month the list names is a cell in that table, and the two sat a scroll apart - but it reverses the one thing v2.47 wrote the requirement to secure: the list was a panel under the tiles precisely so that something whose whole danger is being silent did not sit behind a click. SO THE COST IS PAID BACK RATHER THAN ACCEPTED. The control in that panel's head does not name the screen behind it; it STATES THE FINDING - how many project-months are off their standard and in which direction, with the same arrows and the same amber the cells use. The alarm is therefore on screen with nothing opened, which is what the panel was there for, and the LIST - which nobody reads until they are investigating - is one click away. The tile above still counts it, every cell is still marked where it is drawn, and V-34 still carries it to the findings report, the load banner and the archived change log. The control is drawn even when there is nothing to report, quietly and without a count: one that comes and goes is one nobody learns the position of, and its absence cannot be told from a screen nobody has looked at. A ROW STILL OPENS THE MONTH, now on top of the list rather than instead of it, so Escape comes back to where the next month you want to look at is. AND A BUG THE MOVE EXPOSED. The tile has carried 'jump to the list' since R-42 and has never once done it. The pop-up handler runs in the CAPTURE phase and stops the click for anything carrying a pop-up that is not a button, a link, a field or a summary - and that tile is a div with role='button'. So the click was swallowed before the tile saw it, every time, and nothing anywhere said so. Role now counts as well as tag: a thing that declares itself a button is a button.</t>
        </is>
      </c>
      <c r="F30" s="17" t="inlineStr">
        <is>
          <t>Issued for review</t>
        </is>
      </c>
    </row>
    <row r="31">
      <c r="A31" s="17" t="inlineStr">
        <is>
          <t>2.62</t>
        </is>
      </c>
      <c r="B31" s="17" t="inlineStr">
        <is>
          <t>2026-10-01</t>
        </is>
      </c>
      <c r="C31" s="17" t="inlineStr">
        <is>
          <t>Claude Code</t>
        </is>
      </c>
      <c r="D31" s="17" t="inlineStr">
        <is>
          <t>Pending</t>
        </is>
      </c>
      <c r="E31" s="18" t="inlineStr">
        <is>
          <t>R-51, REQ-DSH-18: ANY SECTION CAN TAKE THE WHOLE SCREEN, AND IS STILL EDITABLE THERE. Asked for from the field, about entering data rather than about reading it: the page is 1400px wide at most and every scroll region is bounded on both axes by REQ-DSH-13, with the entry tables capped at 340px - so a sheet twenty-two columns wide is filled in through a window about a fifth of its size, and every committed cell costs a scroll in two directions to find the next one. A CONTROL IN EVERY PANEL HEAD, and the rule for which panels get one is 'is there a bounded region in here' rather than a list somebody maintains - so the charts get it too, and a panel of prose or an empty-state message does not. A control that does nothing visible teaches the reader that the feature is broken. IT IS THE SAME SCREEN, NOT A VIEW OF IT. Nothing is moved and nothing is copied: the panel stays where it is in the page and is drawn against the viewport instead of against the column. Every edit in this application commits through a re-render that replaces a whole pane, so a panel lifted into an overlay would be orphaned by the first keystroke that was saved - which is precisely the keystroke the feature exists for. A modal dialog has that fault and a worse one: it makes the rest of the page inert, and the rest of the page is where Save is. SO THE EDIT BAR AND THE TABS ARE LIFTED ABOVE IT RATHER THAN COVERED. A full screen that hides Save is a trap - a wide comfortable table with nowhere to commit it. The filter bar IS covered, which is the trade; Escape brings the page back, and the per-column filters, the ones used while typing, are inside the tables and come with them. PANELS NOW HAVE NAMES (data-panel), because what has to survive a re-render is an identity. An element does not survive it; a position does not survive the data, since a project's detail section draws a different number of panels for different projects; and a heading does not either, because half of them end in the name of the selected row. Named, 'Periods' stays open as 'Periods' while its heading changes from one project to the next. A tab change, and a load, put it away - a hidden pane draws nothing, and a load's own findings must not appear behind a panel covering the window. No figure moves and no file changes. tools/test_zoom.py is new.</t>
        </is>
      </c>
      <c r="F31" s="17" t="inlineStr">
        <is>
          <t>Issued for review</t>
        </is>
      </c>
    </row>
    <row r="32">
      <c r="A32" s="17" t="inlineStr">
        <is>
          <t>2.61</t>
        </is>
      </c>
      <c r="B32" s="17" t="inlineStr">
        <is>
          <t>2026-09-23</t>
        </is>
      </c>
      <c r="C32" s="17" t="inlineStr">
        <is>
          <t>Claude Code</t>
        </is>
      </c>
      <c r="D32" s="17" t="inlineStr">
        <is>
          <t>Pending</t>
        </is>
      </c>
      <c r="E32" s="18" t="inlineStr">
        <is>
          <t>R-50, REQ-PRJ-14: A MILESTONE CAN BE MARKED IN A COLOUR, AND THE MARK FINDS IT ON EVERY TIMELINE. Asked for from the field: the Project timeline draws every milestone the same black triangle, so the two or three that a reader is actually scanning for - the inspection, the date that slipped, the one the sponsor asks about - are indistinguishable from the twenty that are merely on the plan. Milestone gains milestone_highlight, beside the date it marks; source schema version steps 12 to 13. THE COLUMN HOLDS A WORD FROM THE LISTS SHEET, NOT A COLOUR CODE. The template ships 'Highlight (Red)', '(Yellow)', '(Blue)', '(Green)' and '(Orange)', and what the application reads is the COLOUR WORD inside the value - so a team that decides red means something in particular may say so in their own list ('Highlight (Red) - slipped') and keep both the colour and the reason. The legend then prints their words back rather than the word 'red'. That is the whole reason the check is a lookup and not an equality test: the list belongs to the people using it, and a rule that broke the moment somebody explained their own convention in it is a rule they would have to work around. IT BEATS THE DB-LOCK RED THE CHART APPLIES BY ITSELF, deliberately. One is a standing rule about what a milestone does to the period derivation; the other is somebody saying 'look at this one'. The second is the newer statement and the one made on purpose, and nothing is lost by letting it win - the pop-up goes on saying the milestone sets a boundary. WHERE IT SHOWS: the Overall tab's timeline, the project tab's timeline, the milestone table (a colour chip in the cell, drawn as a pseudo-element so it can never become part of what the cell contains), the pop-up, and the legend - which lists only the colours actually in use, because a legend teaching five colours when one is in use answers a question nobody asked. V-37 IS NEW: a value with no colour word in it leaves the milestone unmarked, which looks exactly like forgetting to mark it, so it is said out loud with the values the file itself offers. Warning, never a refusal - a mark changes no figure. NO FIGURE MOVES. The highlight is kept BESIDE the milestone dates rather than inside them: M.milestones stays name -&gt; dates, which is the shape the period derivation, V-14, V-20 and V-21 all read, and a presentation choice has no business inside the structure the arithmetic depends on. Template steps to v1.17 and the two example workbooks to v1.19 and v1.11; a file at schema 12 still opens, with V-09 saying which columns may be missing. tools/test_highlight.py is new.</t>
        </is>
      </c>
      <c r="F32" s="17" t="inlineStr">
        <is>
          <t>Issued for review</t>
        </is>
      </c>
    </row>
    <row r="33">
      <c r="A33" s="17" t="inlineStr">
        <is>
          <t>2.60</t>
        </is>
      </c>
      <c r="B33" s="17" t="inlineStr">
        <is>
          <t>2026-09-13</t>
        </is>
      </c>
      <c r="C33" s="17" t="inlineStr">
        <is>
          <t>Claude Code</t>
        </is>
      </c>
      <c r="D33" s="17" t="inlineStr">
        <is>
          <t>Pending</t>
        </is>
      </c>
      <c r="E33" s="18" t="inlineStr">
        <is>
          <t>R-49, REQ-DSH-17: THE DASHBOARD NOW SHOWS THE FIGURE V-36 DESCRIBES. The half of the field report that v2.59 deliberately did not build, asked for once the rule was in: the note told a planner what an unstaffed project needs, and the screen still printed a dot for it. A DOT IS A STATEMENT, AND IT WAS THE WRONG ONE. It says this month costs nothing. For a month inside the project's own run with nobody on it that is false - it costs exactly what its standard says - and the falsehood is the same one V-34 exists for, where a study needing 10.00 and staffed at 5.00 read as a study that only ever needed 5.00. Here it is staffed at nothing and reads as needing nothing. DEMAND IS NOW A PROPERTY OF THE PROJECT-MONTH, computed from the PERIODS alone with no reference to who is on it, by ONE function shared with V-36 - two copies would eventually disagree, and the symptom would be a screen whose figure contradicts the finding beside it. AND IT IS DRAWN AS DEMAND RATHER THAN AS RESOURCE, which is the whole design problem. The applied figures carry a filled sequential background meaning 'this much is being done'; none of this is being done, so it takes an outline and a hatch instead, italic, with a hollow ring glyph so the distinction survives a monochrome print and a colour-blind reader (D-04). IT IS NEVER ADDED TO A TOTAL, and that is not fastidiousness. The specification guarantees that this table's grand total equals the person table's; unallocated demand belongs to no person, so netting it in would break the one reconciliation the screen promises AND would assert that somebody is doing the work. It is totalled on a line of its own and beside each project's applied total - counted apart and never netted, exactly as short and over are. Measured: applied totals 713.78 against 713.78 with an unstaffed project present, and 38.05 unallocated beside them. NOTHING EXISTING MOVES. The fill happens only where the calculation produced no figure at all; a month that already has one keeps it untouched. That rule is not cosmetic - the month_run on a line is the greatest COVERAGE any assignment has in that month, while this is the project's own run, and the two are not always equal, so recomputing a month that already had a figure would silently move it. On the delivered fixture the count of unallocated months is ZERO and every figure is unchanged. THE HORIZON BUG THAT WAS HIDING BEHIND IT IS FIXED TOO. The span offered by 'show everything' came only off the assignment lines, so a project starting after every assignment in the file had ended was not reachable at all - its figures would have been drawn in months that could not be brought on screen. It is taken from these months as well now, and the test pushes a project six years out to prove it. WHAT IS STILL NOT DONE, and is recorded rather than quietly skipped: the demand charts. A stacked bar that mixed allocated and unallocated bands would misstate its own total, and the fix is a separate series rather than a taller stack. The results export is unchanged for the same reason - REQ-OUT-06 promises every monthly figure is the sum of its detail rows, and unallocated demand has no detail rows to be the sum of.</t>
        </is>
      </c>
      <c r="F33" s="17" t="inlineStr">
        <is>
          <t>Issued for review</t>
        </is>
      </c>
    </row>
    <row r="34">
      <c r="A34" s="19" t="inlineStr">
        <is>
          <t>2.59</t>
        </is>
      </c>
      <c r="B34" s="19" t="inlineStr">
        <is>
          <t>2026-09-13</t>
        </is>
      </c>
      <c r="C34" s="19" t="inlineStr">
        <is>
          <t>Claude Code</t>
        </is>
      </c>
      <c r="D34" s="19" t="inlineStr">
        <is>
          <t>Pending</t>
        </is>
      </c>
      <c r="E34" s="20" t="inlineStr">
        <is>
          <t>R-48, V-36: A PROJECT WITH NOBODY ON IT NOW SAYS WHAT IT NEEDS. Reported from the field: a project is added, and the application shows no FTE for it until somebody is assigned - even though the figure is computable from the moment its periods exist. IT WAS A ROW OF BLANKS, NOT A WRONG NUMBER, WHICH IS WHY NOTHING CAUGHT IT. And the first wording of this entry got the symptom wrong: it said the project was absent from everything but the timeline. It is not. SCREENSHOTS SETTLED IT - the project IS listed in Resource by project, IS drawn on the timeline and IS counted in the projects tile. What it has is every month EMPTY, nothing on the three demand charts, no legend entry and no line in Standard vs staffed. That is worse than being absent, and it is the very failure V-34 exists for: a row of blanks reads as a project that costs nothing, exactly as a study needing 10.00 and staffed at 5.00 read as a study that only ever needed 5.00. Type, phase, scope and periods are all the standard needs; nothing was missing but the asking. AND THE RULE THAT SHOULD HAVE CAUGHT IT STRUCTURALLY COULD NOT. V-34 compares DEMAND against APPLIED, and a project staffed at nothing is that gap at its widest - but V-34 is built from projGap, which is built from projMonth, which is built from the LINES, and the lines come from the assignments. No assignment, no line, no entry, no finding. The one project short by the whole of its standard was the only shortfall the shortfall rule could not see. Measured on a fixture: a project needing 38.05 FTE-months produced ZERO calculated rows and ZERO findings in both the browser and tools/prap_io.py. V-36 IS INFORMATION AND CLASSED INCOMPLETE, and both were chosen rather than defaulted. A project with nobody on it yet is not a fault - it is the state every project is in for the minute after it is created, exactly as a person with no assignment is (v2.52, and the same argument) - so it must never refuse an edit, never block a save and never ask a question. INCOMPLETE is the class for a row still being built whose finding answers itself, and this one answers itself the moment anybody is assigned. IT CARRIES THE FIGURE, and that is the whole point of raising it from the CALCULATION rather than from the validation. 'PRJ-099 has no assignments' tells a planner what they can already see; 'it needs 38.05 FTE-months over 24 months, peaking at 1.86 in 2026-10' tells them what it will cost to fix. Every term is the one an assignment with blank dates would get (REQ-CAL-15), so the figure is not an estimate OF the application's answer - it IS the application's answer, arrived at early. tools/test_unstaffed.py asserts exactly that in both directions: the total, the span, the peak and the peak month it predicts all equal the project's own once one assignment exists, and the finding then disappears. WHAT IT DELIBERATELY DOES NOT DO. It does not put the project in Resource by project or on the charts. That was the larger option and it was not the one chosen: the demand would have to become a property of the project-month rather than of the assignments, which is a better answer to the original complaint and a much wider change - it also breaks the stated invariant that the project and person tables reconcile, unless demand and applied are kept as separate figures. Recorded here so the option is not lost: the rule reports the number, the dashboard still does not show it. TWO OF MY OWN MISTAKES, BOTH CAUGHT BY THE PROJECT'S OWN CONVENTIONS RATHER THAN BY TESTING HARDER. The severity was written as 'info' where this application's vocabulary is fatal / error / warning / INFORMATION - it would have sorted and filtered wrongly everywhere, including in the suite that checks findings. And the reference implementation named months one later than the browser, because every other call in prap_io.py converts the 1-based month with month_key(y, m - 1) and the two new ones did not. The second was found only by running both engines on the same fixture and reading the two messages side by side, which is what the four-implementation rule is for.</t>
        </is>
      </c>
      <c r="F34" s="19" t="inlineStr">
        <is>
          <t>Issued for review</t>
        </is>
      </c>
    </row>
    <row r="35">
      <c r="A35" s="19" t="inlineStr">
        <is>
          <t>2.58</t>
        </is>
      </c>
      <c r="B35" s="19" t="inlineStr">
        <is>
          <t>2026-09-13</t>
        </is>
      </c>
      <c r="C35" s="19" t="inlineStr">
        <is>
          <t>Claude Code</t>
        </is>
      </c>
      <c r="D35" s="19" t="inlineStr">
        <is>
          <t>Pending</t>
        </is>
      </c>
      <c r="E35" s="20" t="inlineStr">
        <is>
          <t>R-47: REQ-NFR-03 IS AMENDED TO 100 PROJECTS AND 150 PEOPLE, AND X-04 STOPS BEING A DEFECT. The decision v2.57 left open is taken, on the measurements v2.56 and v2.57 produced, and it is taken in the MIDDLE: not the 50 x 100 put forward as today's real use, and not a build of row virtualisation, but the largest volume that measures inside budget so there is growth room without code nobody needs. WHY 150 AND NOT 200 OR 400. Candidates were built and driven in one session so they could be compared fairly, at the 60-month horizon, against the 1,000 ms budget for an Overall tab switch that was fixed before any number was seen: 50 x 100 529 ms (53% of budget, worst case 571) | 100 x 100 689 ms (69%, 746) | 100 x 150 810 ms (81%, 894) | 100 x 200 981 ms (98%, 1,225). 100 x 150 IS THE LARGEST VOLUME WHOSE WORST CASE IS STILL INSIDE BUDGET. 100 x 200 is not: its median is 98% and it peaks over. That is the whole of the reason, and it makes the number a measurement rather than a preference. THE MEDIAN REPRODUCES, THE PEAK DOES NOT, WHICH IS WHY THE PEAK DECIDED IT. The same candidates were measured twice in separate runs: 100 x 150 gave 800 ms and then 810, 100 x 200 gave 941 and then 981 - the medians agree to a few per cent. The WORST cases moved much more (100 x 200: 1,026 then 1,225), so a volume chosen on its median alone would have been chosen on the more flattering of two figures. WHAT THE AMENDED REQUIREMENT NOW SAYS THAT THE OLD ONE DID NOT. It names the figure to re-measure: the two Overall tables are (projects + people) rows x horizon months, so 50 x 200 and 100 x 150 are the same rendering problem - 252 rows - and measured within 10 ms of each other. A requirement that named only projects could be doubled by a reader who thought they were staying inside it. It also names where the cliff is - about 400 people - so the next person to ask for more volume knows what it costs before they ask. REQ-DSH-09 LOSES THE VIRTUALISATION CLAUSE AND KEEPS EVERYTHING ELSE. The chart cap stays, because a chart of 200 bars is unreadable at any speed and that is not a performance question. Panel-level scrolling with a frozen header stays. And the one property that matters whether or not rows are virtualised is stated outright: sorting, filtering and totals run over the WHOLE MODEL, never over the drawn slice. X-04 IS NOW 'NOT BUILT, NOT REQUIRED' RATHER THAN AN OPEN DEFECT, with the figures in the entry. It spent five weeks recorded as built, one revision recorded as a defect, and is now recorded as a decision - which is the only one of the three states that a later reader can act on. The desktop plan's A-N01 inherited the old volume by restating it; it now inherits REQ-NFR-03 BY REFERENCE, so the next time this figure moves that document does not silently go stale. AND THE GUARD GAINS THREE CHECKS, FROM THREE BREACHES FOUND WHILE MAKING THIS CHANGE. None was about the figures; all three were the same failure as the one v2.55 diagnosed - a fact kept in two places, with only one of them checked - so each is closed by a check rather than by a resolution to remember. (1) NO HISTORY ROW FOR ITS OWN VERSION. The desktop plan was issued as v1.13 and the desktop specification as v1.5, and NEITHER carried a version-history row for the version on its own cover. REQ-VC-04 requires one of every re-issue, and this is the document set whose own subject is keeping versions in step. Both are back-filled from the change that made them - NR-DEP-17, the console window that outlived its browser - and every controlled document is now checked for a row naming itself. (2) THE CONTRACT STILL PINNED COMPONENT LIST v1.0. There were THREE copies of 'which component list is current' - the application's provenance strip, the path check_consistency.py reads, and prap_contract.UIL - and only the first two were ever compared. So UIL sat at v1.0 from August, straight through the v2.0 re-issue, and docs/PRAP_Manifest.json, the AI agent guide and its workbook all told a reader that the APPROVED v1.0 was the document in force. That manifest is the file the README tells people to trust over filenames, which is what made it worth finding. The contract's pins are now held to the application's provenance strip. (3) THE README CALLED v2.40 CURRENT. Its document index labelled development plan v2.40 and specification v1.14 'current' while v2.57 and v1.28 were in force - eighteen revisions of drift in the file a newcomer reads first. The 'current' labels are now held to the manifest. Only the label is checked, not the prose beside it: a thin summary is not a false one, but a stale 'current' is. BREACH (2) WAS FOUND BY CHECK (3), two artefacts downstream and within a minute of its being added, which is the argument for adding checks rather than for reading more carefully. Each of the three was made to fail on purpose before being trusted.</t>
        </is>
      </c>
      <c r="F35" s="19" t="inlineStr">
        <is>
          <t>Issued for review</t>
        </is>
      </c>
    </row>
    <row r="36">
      <c r="A36" s="19" t="inlineStr">
        <is>
          <t>2.57</t>
        </is>
      </c>
      <c r="B36" s="19" t="inlineStr">
        <is>
          <t>2026-09-13</t>
        </is>
      </c>
      <c r="C36" s="19" t="inlineStr">
        <is>
          <t>Claude Code</t>
        </is>
      </c>
      <c r="D36" s="19" t="inlineStr">
        <is>
          <t>Pending</t>
        </is>
      </c>
      <c r="E36" s="20" t="inlineStr">
        <is>
          <t>MEASURED AT THE SCALE ACTUALLY IN USE, AND X-04 LOOKS DIFFERENT FROM THERE. Asked at review to re-measure against 50 projects x 100 people rather than the 100 x 1,000 REQ-NFR-03 names. Done, across a range, so the shape of the curve is visible rather than one point of it. 50 projects and a 60-month horizon throughout; the figure is how long the Overall tab takes to switch to, against a 1,000 ms budget fixed before any number was seen: 50 people 369 ms (37% of budget) | 100 people 503 ms (50%) | 200 people 786 ms (79%) | 400 people 1,044 ms (104%) | 1,000 people 3,207 ms (321%). THE BUDGET IS CROSSED AT ABOUT 400 PEOPLE. Below that the application is comfortable and row virtualisation would change no number anybody feels; above it the Overall pair is the binding cost, exactly as X-04 describes. AT 50 x 100 EVERYTHING IS INSIDE BUDGET with room to spare: import 814 ms against 5,000, the Overall tab 503 ms against 1,000 and worst case 669, editing a cell 67 ms, opening a column filter 45 ms, 152 rows and 9,272 cells, 16 MB of heap. The tightest measurement of any kind is 55% of its budget - about a factor of two of headroom before anything needs doing. SO THE QUESTION IS NOT WHETHER TO BUILD VIRTUALISATION. It is which volume this application is for. At 100 x 1,000 it is a real defect and the figures say so: the tab is 3.3x over and the import 1.7x, of which 3,590 ms is the CALCULATION - 180,160 person-months - which virtualisation cannot touch, so building it would answer the tab and about half the import. At 50 x 100 there is nothing to fix. THIS ENTRY CHANGES NO REQUIREMENT. REQ-NFR-03 still names 100 projects and 1,000 people, and until that is amended X-04 stands as an unmet requirement with its cost now measured rather than argued. Amending it is a decision about what the application is for, which is not a decision to take inside a documentation pass. tools/build_stress_workbook.py takes --projects and --people, so any volume can be re-measured with tools/measure_scale.py in a few minutes. The fixtures are not committed: generated filler, reproduced from a fixed seed by one command.</t>
        </is>
      </c>
      <c r="F36" s="19" t="inlineStr">
        <is>
          <t>Issued for review</t>
        </is>
      </c>
    </row>
    <row r="37">
      <c r="A37" s="17" t="inlineStr">
        <is>
          <t>2.56</t>
        </is>
      </c>
      <c r="B37" s="17" t="inlineStr">
        <is>
          <t>2026-09-13</t>
        </is>
      </c>
      <c r="C37" s="17" t="inlineStr">
        <is>
          <t>Claude Code</t>
        </is>
      </c>
      <c r="D37" s="17" t="inlineStr">
        <is>
          <t>Pending</t>
        </is>
      </c>
      <c r="E37" s="18" t="inlineStr">
        <is>
          <t>TWO THINGS FROM THE SAME REVIEW: the guard that should have caught the drift, and the measurement that settles X-04. THE COMPONENT LIST IS NOW CHECKED LIKE EVERYTHING ELSE. check_consistency.py gains four checks over it: no component may cite a requirement the plan does not have; every REQ-DSH-* must reach at least one component; every panel heading in the source and every dialog in the page must be NAMED somewhere in the list; and the version must match the one the application's own provenance claims. The panel check is the one that matters - it is the exact shape of the drift - and it immediately found a SIXTH stale entry that reading had missed: A-01 was still called 'Standard period weights' over the sheet PeriodWeightStandard, both renamed at R-33. Each check was made to fail on purpose before being trusted. X-04 IS A REAL DEFECT, AND THE MEASUREMENT SAYS SO. A fixture at exactly the volume REQ-NFR-03 names - 100 projects, 1,000 people, 8,000 assignments, 60 months - was built and driven (tools/build_stress_workbook.py, tools/measure_scale.py). Budgets were fixed before the numbers were seen. THE OVERALL TAB TAKES 3,058 ms TO SWITCH TO, worst case 4,537 ms, against a 1,000 ms budget: three times over, drawing 67,222 cells in 1,102 rows. That is the cost row virtualisation removes and it is exactly the two tables X-04 names. IT IS NOT THE WHOLE STORY, WHICH IS WHY THE MEASUREMENT WAS WORTH TAKING. The import at that volume is 7,328 ms against 5,000, and 3,076 ms of it is the CALCULATION - 180,160 person-months. Virtualisation touches neither that nor the workbook parse, so building it answers the tab and roughly half the import, not all of it. A first pass at this measured only the import, saw one number over budget, and was about to blame virtualisation for a cost virtualisation cannot reach; splitting the stages is what stopped that. WHAT IS ALREADY FINE AT FULL VOLUME: editing a cell 98 ms, opening a column filter 49 ms, scrolling the tall table 0.1 ms a step, the project tab 404 ms and the person tab 935 ms. The two short tabs are not the question; the Overall pair is. AND THE HORIZON IS PART OF THE ANSWER. The same Overall tab switches in 632 ms at the default 24 months and 3,058 ms at 60, because the tables are rows x MONTHS. Measuring at the default would have reported no problem and been wrong. No code change in this entry. The defect is recorded with its figures so the decision to build or to move the requirement is taken on evidence.</t>
        </is>
      </c>
      <c r="F37" s="17" t="inlineStr">
        <is>
          <t>Issued for review</t>
        </is>
      </c>
    </row>
    <row r="38">
      <c r="A38" s="17" t="inlineStr">
        <is>
          <t>2.55</t>
        </is>
      </c>
      <c r="B38" s="17" t="inlineStr">
        <is>
          <t>2026-09-13</t>
        </is>
      </c>
      <c r="C38" s="17" t="inlineStr">
        <is>
          <t>Claude Code</t>
        </is>
      </c>
      <c r="D38" s="17" t="inlineStr">
        <is>
          <t>Pending</t>
        </is>
      </c>
      <c r="E38" s="18" t="inlineStr">
        <is>
          <t>THE UI COMPONENT LIST CATCHES UP, AND ONE REAL FINDING COMES OUT OF IT. Raised at review: the application had changed many times while that document stood still. It had. v1.0 closed the Step 3 gate against plan v2.0; thirty-four change requests later it described an application that no longer existed. Re-issued as v2.0: 22 components added, each naming the change request that introduced it, and FIVE EXISTING ENTRIES CORRECTED because they had become not merely stale but WRONG - a missing entry leaves a reader uninformed, a wrong one leaves them misinformed. IT DRIFTED FOR A MECHANICAL REASON. check_consistency.py holds the plan, the specification, the template, both dummies and the contract to each other on every build, and has been clean throughout - but the component list was not in that set. It was the one artefact nothing checked, so it fell behind in silence while everything else was kept in step automatically. FOUR OF THE FIVE CORRECTIONS ARE EDITORIAL: the export writes eleven sheets and the list said ten; there are six summary tiles and it said five; 'No legend' is true of the chart it was written about and false of the five others; and the 'Mean load per person' bar chart it recorded as unchanged does not exist, having been replaced by the stacked 'Monthly demand by person'. THE FIFTH IS NOT EDITORIAL AND NEEDS A DECISION. X-04 recorded row virtualisation as 'Keep - unchanged', which reads as built. It was never built: there is no virtualisation anywhere in src/, and both Overall tables render every row. At the sizes in use that is fast enough and the chart caps keep the drawing bounded, but REQ-DSH-09 and REQ-NFR-03 name a THOUSAND PEOPLE, and at that size this is an open performance risk that has been carried as done since August. It is now recorded as NOT IMPLEMENTED so it stops passing for finished. The choice is to build it or to move the requirement; this entry does neither, because that is not a documentation decision. No code change, no schema change, no figure moves. The v1.0 review trail is preserved exactly - the reviewer's words, the decisions, the confirm marks - and the 22 additions carry 'Added after approval' rather than a disposition nobody gave them. Component list v2.0.</t>
        </is>
      </c>
      <c r="F38" s="17" t="inlineStr">
        <is>
          <t>Issued for review</t>
        </is>
      </c>
    </row>
    <row r="39">
      <c r="A39" s="17" t="inlineStr">
        <is>
          <t>2.54</t>
        </is>
      </c>
      <c r="B39" s="17" t="inlineStr">
        <is>
          <t>2026-09-12</t>
        </is>
      </c>
      <c r="C39" s="17" t="inlineStr">
        <is>
          <t>Claude Code</t>
        </is>
      </c>
      <c r="D39" s="17" t="inlineStr">
        <is>
          <t>Pending</t>
        </is>
      </c>
      <c r="E39" s="18" t="inlineStr">
        <is>
          <t>R-46: MonthlyEstimate.edited_at IS RETIRED. Schema 11 to 12, and the FIRST column this schema has removed rather than added or renamed. IT COULD NOT DO THE JOB IT WAS ADDED FOR. The column was 'when this figure was last set, so a reader can tell a figure somebody typed from one the application copied across on switching' - the distinction REQ-CAL-18 creates, because switching to manual seeds every month at its calculated value and those seeded figures sit in the same column as the ones somebody then types. Three findings, all measured against the running application rather than read off the source. ONE: the ordinary editing path never stamped it. Typing 0.77 over a stated 0.35 in the Monthly estimation table left edited_at null. It was written in exactly three places - the switch, 'fill the missing months', and the gap dialog - none of which is a person typing a figure, which is the single action it existed to mark. TWO: where it WAS written it was not a date. MonthlyEstimate never declared it a date column, so the model rebuild coerced the value to text and the cell held 'Sat Sep 12 2026 10:58:24 GMT+0000 (Coordinated Universal Time)' - saved as a string, not a date serial, unsortable in Excel, and formatted by whichever machine and locale happened to write it. THREE: nothing read it. The engine carried it to every manual line as manual_at and no export, report, screen or rule ever asked for that field. THE QUESTION IT ASKED IS ALREADY ANSWERED, PROPERLY. Every edit pushes a change-log entry carrying the time, the sheet, the row, the column, the value before and the value after, and that log is archived to the shared folder on Save with the editor's identity on it. Two answers to one question is the arrangement that drifts, and this was the worse of the two: partial, mistyped, and read by nothing. Fixing it instead was considered and is recorded here because it is the obvious alternative: stamp every write to fte and declare the column a date. That buys a second, weaker copy of what the change log already holds, and keeps a column in the source workbook whose value the user cannot be responsible for. A FILE WRITTEN TO SCHEMA 11 STILL OPENS AND STILL SAVES. Retiring a column has the same hazard at the edges as renaming one, so it gets the same courtesy: a new RETIRED_COLS map drops the column on the way in and tells the reader once, and the JSON interchange reader drops it too rather than refusing the file over a column this application asked for and then stopped wanting. Nothing is migrated, because there is nowhere for it to go. No calculation change and NO FIGURE MOVES. Template v1.16, dummies v1.18 and v1.10. tools/test_retired.py is new.</t>
        </is>
      </c>
      <c r="F39" s="17" t="inlineStr">
        <is>
          <t>Issued for review</t>
        </is>
      </c>
    </row>
    <row r="40">
      <c r="A40" s="17" t="inlineStr">
        <is>
          <t>2.53</t>
        </is>
      </c>
      <c r="B40" s="17" t="inlineStr">
        <is>
          <t>2026-09-12</t>
        </is>
      </c>
      <c r="C40" s="17" t="inlineStr">
        <is>
          <t>Claude Code</t>
        </is>
      </c>
      <c r="D40" s="17" t="inlineStr">
        <is>
          <t>Pending</t>
        </is>
      </c>
      <c r="E40" s="18" t="inlineStr">
        <is>
          <t>R-45, REQ-DSH-16: FIVE THINGS ABOUT READING THE SCREEN, all reported from the field, none of them a change to a figure. ONE. THE TWO UTILISATION CHARTS GROW WITH THE HORIZON. They were a fixed 1,080 wide whatever the span, which is right for the two years almost everybody opens on and wrong for the long plans that most need reading: five years is sixty columns in 790 points of plot, thirteen points each, and a three-letter month does not fit in thirteen points - so the axis ran its labels into one another exactly where the chart stopped being optional. Each month is now guaranteed 32 points and the panel scrolls sideways past the point where they all fit, which is what every other chart on the page already did. 32 rather than a rounder number so that at 24 months the chart is EXACTLY the width it has always been and this change is invisible to anyone who did not need it. TWO. ASSIGNMENTS, WEIGHT OVERRIDES AND MONTHLY ESTIMATION ARE ONE COLUMN, NOT TWO. They were a two-column grid, so each of three wide tables - eleven columns, seven and eight, one of those a sentence of arithmetic - had half a screen and all three scrolled sideways permanently. Stacked full width they also read in the order they are worked in: pick the assignment, then its override windows, then its months. THREE. MONTHLY ESTIMATION NAMES ITS ASSIGNMENT. It is a child of the row selected above it and said so nowhere - eight columns of months with no statement of what they belong to. It now carries the same line Weight overrides carries, word for word from one helper so the two cannot drift: the id, the project, the role, the window and the weight. FOUR. CLICKING A LEGEND ENTRY PICKS THAT SERIES OUT OF THE CHART. Twenty bands in twenty shades of one palette read perfectly well as a total and not at all as a series; finding one project in the stack by colour alone means carrying a swatch in your head down sixty months of bars. Everything that is not the picked series fades back; a second click, another entry, or Escape brings it home. THE PICK APPLIES TO THE WHOLE TAB, because the question is 'where is this project on this page' and not 'where is it in this one drawing' - the trend line, the stack and the timeline all mean the same project by the same id, so one click answers it in all three. A CHART CUT ALONG A DIFFERENT AXIS IS LEFT ALONE: a person's id means nothing to a chart stacked by project, and dimming it anyway would fade a whole chart to nothing and light none of it, which reads as 'this has no data' rather than 'you asked something this chart cannot answer'. A timeline band is a period OF a project and carries both keys, so picking a period lights it across every project and picking a project lights that project's whole row. Marks belonging to the MONTH rather than to any series - the threshold lines, the baseline, the outline that marks a month off its standard - never fade. Every entry is a real button: focusable, operable from the keyboard, and it states whether it is pressed (D-04). FIVE. EVERY HEADING SAYS WHAT THE COLUMN MEANS, AND ONLY THAT. The tables used to show the workbook's own column names: work_scope_type, outsourcing_scope_det, absorbed_by, ref_id - legible to whoever wrote the schema and opaque to the person filling the plan in. The meaning was only ever a hover away, which is to say invisible to anyone who did not know to hover. The heading now prints the plain name and nothing else. THE COLUMN'S OWN NAME IS IN THE POP-UP, NOT ON THE PAGE, and this was decided twice. It was first put on a second line under the label, on the reasoning that the screen and the file are the same thing, so a heading you cannot find in the spreadsheet is one you cannot quote in a mail or look up in a document. That reasoning was right about the NEED and wrong about the PLACE, which the reviewer said plainly: the need is occasional - you go looking for a column name when you are editing the workbook or chasing a finding - and the heading is read on every glance by everyone. Paying for a rare need out of the common one is the wrong way round when the pop-up already answers it in full. Every heading now carries a pop-up naming both, and the identifier is on the element as data-cid for whatever needs to read it. The badge on a derived column names the plain name too - a heading row that has stopped printing identifiers must not keep one in a badge. NOTHING IS RENAMED: the file keeps its columns, every validation message still names them, and the cell still writes back through the identifier. The same head is used on the heading's pop-up, on every cell's and on the filter buttons', so it is learned once. ONE DEFECT EXPOSED, NOT CAUSED, AND FIXED. Widening those three panels put a table into a gap no layout before it had landed in: the two drawn scroll bars decide each other, each costing the region 15px of its own space, and paintCue measured once - so a region that only overflows sideways ONCE ITS OWN VERTICAL BAR IS DRAWN got no horizontal bar, which is exactly the failure REQ-DSH-13 exists to prevent. Measured on the 62-project fixture: scrollWidth 1316 with both flags off and 1318 with the vertical bar there, against a client width of 1316 - two pixels, which is why no earlier layout met it. The flags are now settled before anything is drawn, and it cannot oscillate because padding can only create overflow, never remove it. Found by the REQ-DSH-13 check in test_ui, which failed on this build and passes on the fix. No calculation change, no schema change and no figure moves. tools/test_screen.py and tools/test_labels.py are new, 33 checks between them; test_columns and test_lookup read the identifier from the heading's second line.</t>
        </is>
      </c>
      <c r="F40" s="17" t="inlineStr">
        <is>
          <t>Issued for review</t>
        </is>
      </c>
    </row>
    <row r="41">
      <c r="A41" s="8" t="inlineStr">
        <is>
          <t>2.52</t>
        </is>
      </c>
      <c r="B41" s="8" t="inlineStr">
        <is>
          <t>2026-09-12</t>
        </is>
      </c>
      <c r="C41" s="8" t="inlineStr">
        <is>
          <t>Claude Code</t>
        </is>
      </c>
      <c r="D41" s="8" t="inlineStr">
        <is>
          <t>Pending</t>
        </is>
      </c>
      <c r="E41" s="9" t="inlineStr">
        <is>
          <t>R-44, V-35: capacity_fte IS BOUNDED, 0.00 TO 1.00. Reported from the field. It is the one figure on the Person sheet with a hard ceiling and it did not have one - 1.5 went in, was believed, and sat beside everybody else's 1.00 as though it meant something. capacity_fte is how much of ONE PERSON there is; 0.00 is allowed, because somebody on the books and not available is a true thing to say. IT REFUSES, WHICH IS A DEPARTURE AND IS THE POINT. Every other rule added this year reports rather than refuses - V-31 to V-34 all leave the decision with the user, because a period weight, a role factor and a stated month are judgements somebody is entitled to make. A capacity of 1.5 is not a judgement. It is a number in the wrong unit, the usual cause is hours typed into an FTE column, and the moment of entry is the only one at which the person who knows what they meant is still there to be asked. The message names the unit, does the hours-to-FTE arithmetic, and says what to do instead: two assignments, or a person weight above 1.00 on one of them. FOUR PLACES ENFORCE IT, and the fourth is the one that matters most in practice. The application refuses the edit; prap_io and verify_source_workbook raise the same rule at the same severity, because the four-implementation rule applies to what the application REFUSES exactly as it applies to what it calculates; and the TEMPLATE now carries a decimal range on the column, so Excel stops the figure where people actually type it, with a message of its own rather than the generic one. A FILE THAT ALREADY BREAKS IT STILL OPENS - checked, because the alternative would be a rule that locks somebody out of their own plan. Both the save and the edit path compare the COUNT of blocking findings before and after, so a pre-existing breach is reported and only the edits that would make matters worse are stopped. V-22 stands down on an out-of-range row rather than piling on. Template v1.15, dummies v1.17 and v1.9 - the schema is UNCHANGED at 11; only the guard rail is new. No calculation change and no figure moves. tools/test_capacity.py is new, 22 checks across all four places.</t>
        </is>
      </c>
      <c r="F41" s="8" t="inlineStr">
        <is>
          <t>Issued for review</t>
        </is>
      </c>
    </row>
    <row r="42">
      <c r="A42" s="10" t="inlineStr">
        <is>
          <t>2.51</t>
        </is>
      </c>
      <c r="B42" s="10" t="inlineStr">
        <is>
          <t>2026-09-11</t>
        </is>
      </c>
      <c r="C42" s="10" t="inlineStr">
        <is>
          <t>Claude Code</t>
        </is>
      </c>
      <c r="D42" s="10" t="inlineStr">
        <is>
          <t>Pending</t>
        </is>
      </c>
      <c r="E42" s="11" t="inlineStr">
        <is>
          <t>R-43: THE STATED CELL IS EDITABLE FOR EVERY PERSON IN THE DIALOG, not only for those already on manual. Reported from the field, and it was the most important half of the section missing: a gap is usually somebody ELSE's figure, and the person whose figure you want to change is very often still on automatic - for whom the cell rendered as a dash, which reads as 'this screen is read-only for them'. THE RULE THAT MADE IT A DASH IS STILL THE RULE, and it is why this is not a one-line change. An automatic assignment ignores MonthlyEstimate entirely, so a lone row written against it is a figure nothing reads; and setting estimation_type without seeding the other months counts every one of them as 0.00, the one change in this application that silently zeroes a figure (REQ-CAL-18). estimation_type has one way in for exactly that reason, and typing it into a cell is refused everywhere else. SO THE CELL ASKS. Type a figure against somebody on automatic and the dialog names how many months will be stated, what they total, and what this month becomes - then the switch, the seeding of every month and the typed figure are applied together, or none of them are. Somebody ALREADY on manual with no figure for that month is the V-31 case and is NOT asked: the months are already theirs, and asking would be asking permission for something already given. A figure that is not a number is refused in the same words the tables use, and nothing is written. ALL OF IT THROUGH beginEditSession AND S.pending, so the switch, the seed and the change are three kinds of entry in one change list, undone together by Leave without change and archived together at Save. The generic cell handler now ignores a contenteditable cell with no data-sheet, which is what lets a creating cell carry its own handler instead of calling applyEdit with an undefined sheet and a NaN row. TWO THINGS WERE CONNECTED WHILE THERE. The Estimation column now reads MANUAL from the ASSIGNMENT rather than from whether this month happens to carry a row - an assignment on manual with a month missing was showing as 'auto', which is the opposite of what is wrong with it. And a row whose Applied is not its Stated now carries the V-33 mark, so two figures differing on one line is explained where it is seen rather than only in the estimation panel on another tab. No calculation change and no figure moves. tools/test_gap.py grows to 49 checks.</t>
        </is>
      </c>
      <c r="F42" s="10" t="inlineStr">
        <is>
          <t>Superseded by v2.52</t>
        </is>
      </c>
    </row>
    <row r="43">
      <c r="A43" s="8" t="inlineStr">
        <is>
          <t>2.50</t>
        </is>
      </c>
      <c r="B43" s="8" t="inlineStr">
        <is>
          <t>2026-09-11</t>
        </is>
      </c>
      <c r="C43" s="8" t="inlineStr">
        <is>
          <t>Claude Code</t>
        </is>
      </c>
      <c r="D43" s="8" t="inlineStr">
        <is>
          <t>Pending</t>
        </is>
      </c>
      <c r="E43" s="9"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43" s="8" t="inlineStr">
        <is>
          <t>Superseded by v2.51</t>
        </is>
      </c>
    </row>
    <row r="44">
      <c r="A44" s="10" t="inlineStr">
        <is>
          <t>2.49</t>
        </is>
      </c>
      <c r="B44" s="10" t="inlineStr">
        <is>
          <t>2026-09-06</t>
        </is>
      </c>
      <c r="C44" s="10" t="inlineStr">
        <is>
          <t>Claude Code</t>
        </is>
      </c>
      <c r="D44" s="10" t="inlineStr">
        <is>
          <t>Pending</t>
        </is>
      </c>
      <c r="E44" s="11"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44" s="10" t="inlineStr">
        <is>
          <t>Superseded by v2.50</t>
        </is>
      </c>
    </row>
    <row r="45">
      <c r="A45" s="8" t="inlineStr">
        <is>
          <t>2.48</t>
        </is>
      </c>
      <c r="B45" s="8" t="inlineStr">
        <is>
          <t>2026-09-06</t>
        </is>
      </c>
      <c r="C45" s="8" t="inlineStr">
        <is>
          <t>Claude Code</t>
        </is>
      </c>
      <c r="D45" s="8" t="inlineStr">
        <is>
          <t>Pending</t>
        </is>
      </c>
      <c r="E45" s="9"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45" s="8" t="inlineStr">
        <is>
          <t>Superseded by v2.49</t>
        </is>
      </c>
    </row>
    <row r="46">
      <c r="A46" s="10" t="inlineStr">
        <is>
          <t>2.47</t>
        </is>
      </c>
      <c r="B46" s="10" t="inlineStr">
        <is>
          <t>2026-09-05</t>
        </is>
      </c>
      <c r="C46" s="10" t="inlineStr">
        <is>
          <t>Claude Code</t>
        </is>
      </c>
      <c r="D46" s="10" t="inlineStr">
        <is>
          <t>Pending</t>
        </is>
      </c>
      <c r="E46" s="11"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46" s="10" t="inlineStr">
        <is>
          <t>Superseded by v2.48</t>
        </is>
      </c>
    </row>
    <row r="47">
      <c r="A47" s="8" t="inlineStr">
        <is>
          <t>2.46</t>
        </is>
      </c>
      <c r="B47" s="8" t="inlineStr">
        <is>
          <t>2026-09-05</t>
        </is>
      </c>
      <c r="C47" s="8" t="inlineStr">
        <is>
          <t>Claude Code</t>
        </is>
      </c>
      <c r="D47" s="8" t="inlineStr">
        <is>
          <t>Pending</t>
        </is>
      </c>
      <c r="E47" s="9"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47" s="8" t="inlineStr">
        <is>
          <t>Superseded by v2.47</t>
        </is>
      </c>
    </row>
    <row r="48">
      <c r="A48" s="10" t="inlineStr">
        <is>
          <t>2.45</t>
        </is>
      </c>
      <c r="B48" s="10" t="inlineStr">
        <is>
          <t>2026-09-05</t>
        </is>
      </c>
      <c r="C48" s="10" t="inlineStr">
        <is>
          <t>Claude Code</t>
        </is>
      </c>
      <c r="D48" s="10" t="inlineStr">
        <is>
          <t>Pending</t>
        </is>
      </c>
      <c r="E48" s="11"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48" s="10" t="inlineStr">
        <is>
          <t>Superseded by v2.46</t>
        </is>
      </c>
    </row>
    <row r="49">
      <c r="A49" s="8" t="inlineStr">
        <is>
          <t>2.44</t>
        </is>
      </c>
      <c r="B49" s="8" t="inlineStr">
        <is>
          <t>2026-09-04</t>
        </is>
      </c>
      <c r="C49" s="8" t="inlineStr">
        <is>
          <t>Claude Code</t>
        </is>
      </c>
      <c r="D49" s="8" t="inlineStr">
        <is>
          <t>Pending</t>
        </is>
      </c>
      <c r="E49" s="9"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49" s="8" t="inlineStr">
        <is>
          <t>Superseded by v2.45</t>
        </is>
      </c>
    </row>
    <row r="50">
      <c r="A50" s="10" t="inlineStr">
        <is>
          <t>2.43</t>
        </is>
      </c>
      <c r="B50" s="10" t="inlineStr">
        <is>
          <t>2026-09-04</t>
        </is>
      </c>
      <c r="C50" s="10" t="inlineStr">
        <is>
          <t>Claude Code</t>
        </is>
      </c>
      <c r="D50" s="10" t="inlineStr">
        <is>
          <t>Pending</t>
        </is>
      </c>
      <c r="E50" s="11"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50" s="10" t="inlineStr">
        <is>
          <t>Superseded by v2.44</t>
        </is>
      </c>
    </row>
    <row r="51">
      <c r="A51" s="8" t="inlineStr">
        <is>
          <t>2.42</t>
        </is>
      </c>
      <c r="B51" s="8" t="inlineStr">
        <is>
          <t>2026-09-04</t>
        </is>
      </c>
      <c r="C51" s="8" t="inlineStr">
        <is>
          <t>Claude Code</t>
        </is>
      </c>
      <c r="D51" s="8" t="inlineStr">
        <is>
          <t>Pending</t>
        </is>
      </c>
      <c r="E51" s="9"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51" s="8" t="inlineStr">
        <is>
          <t>Superseded by v2.43</t>
        </is>
      </c>
    </row>
    <row r="52">
      <c r="A52" s="10" t="inlineStr">
        <is>
          <t>2.41</t>
        </is>
      </c>
      <c r="B52" s="10" t="inlineStr">
        <is>
          <t>2026-09-04</t>
        </is>
      </c>
      <c r="C52" s="10" t="inlineStr">
        <is>
          <t>Claude Code</t>
        </is>
      </c>
      <c r="D52" s="10" t="inlineStr">
        <is>
          <t>Pending</t>
        </is>
      </c>
      <c r="E52" s="11"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52" s="10" t="inlineStr">
        <is>
          <t>Issued for review</t>
        </is>
      </c>
    </row>
    <row r="53">
      <c r="A53" s="8" t="inlineStr">
        <is>
          <t>2.39</t>
        </is>
      </c>
      <c r="B53" s="8" t="inlineStr">
        <is>
          <t>2026-09-02</t>
        </is>
      </c>
      <c r="C53" s="8" t="inlineStr">
        <is>
          <t>Claude Code</t>
        </is>
      </c>
      <c r="D53" s="8" t="inlineStr">
        <is>
          <t>Pending</t>
        </is>
      </c>
      <c r="E53" s="9"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53" s="8" t="inlineStr">
        <is>
          <t>Issued for review</t>
        </is>
      </c>
    </row>
    <row r="54">
      <c r="A54" s="10" t="inlineStr">
        <is>
          <t>2.38</t>
        </is>
      </c>
      <c r="B54" s="10" t="inlineStr">
        <is>
          <t>2026-08-30</t>
        </is>
      </c>
      <c r="C54" s="10" t="inlineStr">
        <is>
          <t>Claude Code</t>
        </is>
      </c>
      <c r="D54" s="10" t="inlineStr">
        <is>
          <t>Pending</t>
        </is>
      </c>
      <c r="E54" s="11"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54" s="10" t="inlineStr">
        <is>
          <t>Issued for review</t>
        </is>
      </c>
    </row>
    <row r="55">
      <c r="A55" s="8" t="inlineStr">
        <is>
          <t>2.37</t>
        </is>
      </c>
      <c r="B55" s="8" t="inlineStr">
        <is>
          <t>2026-08-28</t>
        </is>
      </c>
      <c r="C55" s="8" t="inlineStr">
        <is>
          <t>Claude Code</t>
        </is>
      </c>
      <c r="D55" s="8" t="inlineStr">
        <is>
          <t>Pending</t>
        </is>
      </c>
      <c r="E55" s="9"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55" s="8" t="inlineStr">
        <is>
          <t>Issued for review</t>
        </is>
      </c>
    </row>
    <row r="56">
      <c r="A56" s="10" t="inlineStr">
        <is>
          <t>2.36</t>
        </is>
      </c>
      <c r="B56" s="10" t="inlineStr">
        <is>
          <t>2026-08-28</t>
        </is>
      </c>
      <c r="C56" s="10" t="inlineStr">
        <is>
          <t>Claude Code</t>
        </is>
      </c>
      <c r="D56" s="10" t="inlineStr">
        <is>
          <t>Pending</t>
        </is>
      </c>
      <c r="E56" s="11"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56" s="10" t="inlineStr">
        <is>
          <t>Issued for review</t>
        </is>
      </c>
    </row>
    <row r="57">
      <c r="A57" s="8" t="inlineStr">
        <is>
          <t>2.35</t>
        </is>
      </c>
      <c r="B57" s="8" t="inlineStr">
        <is>
          <t>2026-08-27</t>
        </is>
      </c>
      <c r="C57" s="8" t="inlineStr">
        <is>
          <t>Claude Code</t>
        </is>
      </c>
      <c r="D57" s="8" t="inlineStr">
        <is>
          <t>Pending</t>
        </is>
      </c>
      <c r="E57" s="9"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57" s="8" t="inlineStr">
        <is>
          <t>Issued for review</t>
        </is>
      </c>
    </row>
    <row r="58">
      <c r="A58" s="10" t="inlineStr">
        <is>
          <t>2.34</t>
        </is>
      </c>
      <c r="B58" s="10" t="inlineStr">
        <is>
          <t>2026-08-27</t>
        </is>
      </c>
      <c r="C58" s="10" t="inlineStr">
        <is>
          <t>Claude Code</t>
        </is>
      </c>
      <c r="D58" s="10" t="inlineStr">
        <is>
          <t>Pending</t>
        </is>
      </c>
      <c r="E58" s="11"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58" s="10" t="inlineStr">
        <is>
          <t>Issued for review</t>
        </is>
      </c>
    </row>
    <row r="59">
      <c r="A59" s="8" t="inlineStr">
        <is>
          <t>2.33</t>
        </is>
      </c>
      <c r="B59" s="8" t="inlineStr">
        <is>
          <t>2026-08-27</t>
        </is>
      </c>
      <c r="C59" s="8" t="inlineStr">
        <is>
          <t>Claude Code</t>
        </is>
      </c>
      <c r="D59" s="8" t="inlineStr">
        <is>
          <t>Pending</t>
        </is>
      </c>
      <c r="E59" s="9"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59" s="8" t="inlineStr">
        <is>
          <t>Issued for review</t>
        </is>
      </c>
    </row>
    <row r="60">
      <c r="A60" s="10" t="inlineStr">
        <is>
          <t>2.32</t>
        </is>
      </c>
      <c r="B60" s="10" t="inlineStr">
        <is>
          <t>2026-08-26</t>
        </is>
      </c>
      <c r="C60" s="10" t="inlineStr">
        <is>
          <t>Claude Code</t>
        </is>
      </c>
      <c r="D60" s="10" t="inlineStr">
        <is>
          <t>Pending</t>
        </is>
      </c>
      <c r="E60" s="11"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60" s="10" t="inlineStr">
        <is>
          <t>Issued for review</t>
        </is>
      </c>
    </row>
    <row r="61">
      <c r="A61" s="8" t="inlineStr">
        <is>
          <t>2.31</t>
        </is>
      </c>
      <c r="B61" s="8" t="inlineStr">
        <is>
          <t>2026-08-26</t>
        </is>
      </c>
      <c r="C61" s="8" t="inlineStr">
        <is>
          <t>Claude Code</t>
        </is>
      </c>
      <c r="D61" s="8" t="inlineStr">
        <is>
          <t>Pending</t>
        </is>
      </c>
      <c r="E61" s="9"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61" s="8" t="inlineStr">
        <is>
          <t>Issued for review</t>
        </is>
      </c>
    </row>
    <row r="62">
      <c r="A62" s="10" t="inlineStr">
        <is>
          <t>2.30</t>
        </is>
      </c>
      <c r="B62" s="10" t="inlineStr">
        <is>
          <t>2026-08-25</t>
        </is>
      </c>
      <c r="C62" s="10" t="inlineStr">
        <is>
          <t>Claude Code</t>
        </is>
      </c>
      <c r="D62" s="10" t="inlineStr">
        <is>
          <t>Pending</t>
        </is>
      </c>
      <c r="E62" s="11"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62" s="10" t="inlineStr">
        <is>
          <t>Issued for review</t>
        </is>
      </c>
    </row>
    <row r="63">
      <c r="A63" s="8" t="inlineStr">
        <is>
          <t>2.29</t>
        </is>
      </c>
      <c r="B63" s="8" t="inlineStr">
        <is>
          <t>2026-08-25</t>
        </is>
      </c>
      <c r="C63" s="8" t="inlineStr">
        <is>
          <t>Claude Code</t>
        </is>
      </c>
      <c r="D63" s="8" t="inlineStr">
        <is>
          <t>Pending</t>
        </is>
      </c>
      <c r="E63" s="9"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63" s="8" t="inlineStr">
        <is>
          <t>Issued for review</t>
        </is>
      </c>
    </row>
    <row r="64">
      <c r="A64" s="10" t="inlineStr">
        <is>
          <t>2.28</t>
        </is>
      </c>
      <c r="B64" s="10" t="inlineStr">
        <is>
          <t>2026-08-22</t>
        </is>
      </c>
      <c r="C64" s="10" t="inlineStr">
        <is>
          <t>Claude Code</t>
        </is>
      </c>
      <c r="D64" s="10" t="inlineStr">
        <is>
          <t>Pending</t>
        </is>
      </c>
      <c r="E64" s="11"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64" s="10" t="inlineStr">
        <is>
          <t>Issued for review</t>
        </is>
      </c>
    </row>
    <row r="65">
      <c r="A65" s="8" t="inlineStr">
        <is>
          <t>2.27</t>
        </is>
      </c>
      <c r="B65" s="8" t="inlineStr">
        <is>
          <t>2026-08-20</t>
        </is>
      </c>
      <c r="C65" s="8" t="inlineStr">
        <is>
          <t>Claude Code</t>
        </is>
      </c>
      <c r="D65" s="8" t="inlineStr">
        <is>
          <t>Pending</t>
        </is>
      </c>
      <c r="E65" s="9"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65" s="8" t="inlineStr">
        <is>
          <t>Issued for review</t>
        </is>
      </c>
    </row>
    <row r="66">
      <c r="A66" s="10" t="inlineStr">
        <is>
          <t>2.26</t>
        </is>
      </c>
      <c r="B66" s="10" t="inlineStr">
        <is>
          <t>2026-07-31</t>
        </is>
      </c>
      <c r="C66" s="10" t="inlineStr">
        <is>
          <t>Claude Code</t>
        </is>
      </c>
      <c r="D66" s="10" t="inlineStr">
        <is>
          <t>Pending</t>
        </is>
      </c>
      <c r="E66" s="11"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66" s="10" t="inlineStr">
        <is>
          <t>Issued for review</t>
        </is>
      </c>
    </row>
    <row r="67">
      <c r="A67" s="8" t="inlineStr">
        <is>
          <t>2.25</t>
        </is>
      </c>
      <c r="B67" s="8" t="inlineStr">
        <is>
          <t>2026-07-31</t>
        </is>
      </c>
      <c r="C67" s="8" t="inlineStr">
        <is>
          <t>Claude Code</t>
        </is>
      </c>
      <c r="D67" s="8" t="inlineStr">
        <is>
          <t>Pending</t>
        </is>
      </c>
      <c r="E67" s="9"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67" s="8" t="inlineStr">
        <is>
          <t>Superseded by v2.26</t>
        </is>
      </c>
    </row>
    <row r="68">
      <c r="A68" s="10" t="inlineStr">
        <is>
          <t>2.24</t>
        </is>
      </c>
      <c r="B68" s="10" t="inlineStr">
        <is>
          <t>2026-07-31</t>
        </is>
      </c>
      <c r="C68" s="10" t="inlineStr">
        <is>
          <t>Claude Code</t>
        </is>
      </c>
      <c r="D68" s="10" t="inlineStr">
        <is>
          <t>Pending</t>
        </is>
      </c>
      <c r="E68"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68" s="10" t="inlineStr">
        <is>
          <t>Superseded by v2.25</t>
        </is>
      </c>
    </row>
    <row r="69">
      <c r="A69" s="8" t="inlineStr">
        <is>
          <t>2.23</t>
        </is>
      </c>
      <c r="B69" s="8" t="inlineStr">
        <is>
          <t>2026-07-31</t>
        </is>
      </c>
      <c r="C69" s="8" t="inlineStr">
        <is>
          <t>Claude Code</t>
        </is>
      </c>
      <c r="D69" s="8" t="inlineStr">
        <is>
          <t>Pending</t>
        </is>
      </c>
      <c r="E69"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69" s="8" t="inlineStr">
        <is>
          <t>Superseded by v2.24</t>
        </is>
      </c>
    </row>
    <row r="70">
      <c r="A70" s="10" t="inlineStr">
        <is>
          <t>2.22</t>
        </is>
      </c>
      <c r="B70" s="10" t="inlineStr">
        <is>
          <t>2026-07-31</t>
        </is>
      </c>
      <c r="C70" s="10" t="inlineStr">
        <is>
          <t>Claude Code</t>
        </is>
      </c>
      <c r="D70" s="10" t="inlineStr">
        <is>
          <t>Pending</t>
        </is>
      </c>
      <c r="E70"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70" s="10" t="inlineStr">
        <is>
          <t>Superseded by v2.23</t>
        </is>
      </c>
    </row>
    <row r="71">
      <c r="A71" s="8" t="inlineStr">
        <is>
          <t>2.21</t>
        </is>
      </c>
      <c r="B71" s="8" t="inlineStr">
        <is>
          <t>2026-07-31</t>
        </is>
      </c>
      <c r="C71" s="8" t="inlineStr">
        <is>
          <t>Claude Code</t>
        </is>
      </c>
      <c r="D71" s="8" t="inlineStr">
        <is>
          <t>Pending</t>
        </is>
      </c>
      <c r="E71"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71" s="8" t="inlineStr">
        <is>
          <t>Superseded by v2.22</t>
        </is>
      </c>
    </row>
    <row r="72">
      <c r="A72" s="10" t="inlineStr">
        <is>
          <t>2.20</t>
        </is>
      </c>
      <c r="B72" s="10" t="inlineStr">
        <is>
          <t>2026-07-31</t>
        </is>
      </c>
      <c r="C72" s="10" t="inlineStr">
        <is>
          <t>Claude Code</t>
        </is>
      </c>
      <c r="D72" s="10" t="inlineStr">
        <is>
          <t>Pending</t>
        </is>
      </c>
      <c r="E72"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72" s="10" t="inlineStr">
        <is>
          <t>Superseded by v2.21</t>
        </is>
      </c>
    </row>
    <row r="73">
      <c r="A73" s="8" t="inlineStr">
        <is>
          <t>2.19</t>
        </is>
      </c>
      <c r="B73" s="8" t="inlineStr">
        <is>
          <t>2026-07-31</t>
        </is>
      </c>
      <c r="C73" s="8" t="inlineStr">
        <is>
          <t>Claude Code</t>
        </is>
      </c>
      <c r="D73" s="8" t="inlineStr">
        <is>
          <t>Pending</t>
        </is>
      </c>
      <c r="E73"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73" s="8" t="inlineStr">
        <is>
          <t>Superseded by v2.20</t>
        </is>
      </c>
    </row>
    <row r="74">
      <c r="A74" s="10" t="inlineStr">
        <is>
          <t>2.18</t>
        </is>
      </c>
      <c r="B74" s="10" t="inlineStr">
        <is>
          <t>2026-07-31</t>
        </is>
      </c>
      <c r="C74" s="10" t="inlineStr">
        <is>
          <t>Claude Code</t>
        </is>
      </c>
      <c r="D74" s="10" t="inlineStr">
        <is>
          <t>Pending</t>
        </is>
      </c>
      <c r="E74"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74" s="10" t="inlineStr">
        <is>
          <t>Superseded by v2.19</t>
        </is>
      </c>
    </row>
    <row r="75">
      <c r="A75" s="8" t="inlineStr">
        <is>
          <t>2.17</t>
        </is>
      </c>
      <c r="B75" s="8" t="inlineStr">
        <is>
          <t>2026-07-31</t>
        </is>
      </c>
      <c r="C75" s="8" t="inlineStr">
        <is>
          <t>Claude Code</t>
        </is>
      </c>
      <c r="D75" s="8" t="inlineStr">
        <is>
          <t>Pending</t>
        </is>
      </c>
      <c r="E75"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75" s="8" t="inlineStr">
        <is>
          <t>Superseded by v2.18</t>
        </is>
      </c>
    </row>
    <row r="76">
      <c r="A76" s="10" t="inlineStr">
        <is>
          <t>2.16</t>
        </is>
      </c>
      <c r="B76" s="10" t="inlineStr">
        <is>
          <t>2026-07-31</t>
        </is>
      </c>
      <c r="C76" s="10" t="inlineStr">
        <is>
          <t>Claude Code</t>
        </is>
      </c>
      <c r="D76" s="10" t="inlineStr">
        <is>
          <t>Pending</t>
        </is>
      </c>
      <c r="E76"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76" s="10" t="inlineStr">
        <is>
          <t>Superseded by v2.17</t>
        </is>
      </c>
    </row>
    <row r="77">
      <c r="A77" s="8" t="inlineStr">
        <is>
          <t>2.15</t>
        </is>
      </c>
      <c r="B77" s="8" t="inlineStr">
        <is>
          <t>2026-07-31</t>
        </is>
      </c>
      <c r="C77" s="8" t="inlineStr">
        <is>
          <t>Claude Code</t>
        </is>
      </c>
      <c r="D77" s="8" t="inlineStr">
        <is>
          <t>Pending</t>
        </is>
      </c>
      <c r="E77"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77" s="8" t="inlineStr">
        <is>
          <t>Superseded by v2.16</t>
        </is>
      </c>
    </row>
    <row r="78">
      <c r="A78" s="10" t="inlineStr">
        <is>
          <t>2.14</t>
        </is>
      </c>
      <c r="B78" s="10" t="inlineStr">
        <is>
          <t>2026-07-31</t>
        </is>
      </c>
      <c r="C78" s="10" t="inlineStr">
        <is>
          <t>Claude Code</t>
        </is>
      </c>
      <c r="D78" s="10" t="inlineStr">
        <is>
          <t>Pending</t>
        </is>
      </c>
      <c r="E78"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78" s="10" t="inlineStr">
        <is>
          <t>Issued for review</t>
        </is>
      </c>
    </row>
    <row r="79">
      <c r="A79" s="8" t="inlineStr">
        <is>
          <t>2.13</t>
        </is>
      </c>
      <c r="B79" s="8" t="inlineStr">
        <is>
          <t>2026-07-31</t>
        </is>
      </c>
      <c r="C79" s="8" t="inlineStr">
        <is>
          <t>Claude Code</t>
        </is>
      </c>
      <c r="D79" s="8" t="inlineStr">
        <is>
          <t>Pending</t>
        </is>
      </c>
      <c r="E79"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79" s="8" t="inlineStr">
        <is>
          <t>Superseded by v2.14</t>
        </is>
      </c>
    </row>
    <row r="80">
      <c r="A80" s="10" t="inlineStr">
        <is>
          <t>2.12</t>
        </is>
      </c>
      <c r="B80" s="10" t="inlineStr">
        <is>
          <t>2026-07-31</t>
        </is>
      </c>
      <c r="C80" s="10" t="inlineStr">
        <is>
          <t>Claude Code</t>
        </is>
      </c>
      <c r="D80" s="10" t="inlineStr">
        <is>
          <t>Pending</t>
        </is>
      </c>
      <c r="E80"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80" s="10" t="inlineStr">
        <is>
          <t>Superseded by v2.13</t>
        </is>
      </c>
    </row>
    <row r="81">
      <c r="A81" s="8" t="inlineStr">
        <is>
          <t>2.11</t>
        </is>
      </c>
      <c r="B81" s="8" t="inlineStr">
        <is>
          <t>2026-07-31</t>
        </is>
      </c>
      <c r="C81" s="8" t="inlineStr">
        <is>
          <t>Claude Code</t>
        </is>
      </c>
      <c r="D81" s="8" t="inlineStr">
        <is>
          <t>Pending</t>
        </is>
      </c>
      <c r="E81"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81" s="8" t="inlineStr">
        <is>
          <t>Issued for review</t>
        </is>
      </c>
    </row>
    <row r="82">
      <c r="A82" s="10" t="inlineStr">
        <is>
          <t>2.10</t>
        </is>
      </c>
      <c r="B82" s="10" t="inlineStr">
        <is>
          <t>2026-07-31</t>
        </is>
      </c>
      <c r="C82" s="10" t="inlineStr">
        <is>
          <t>Claude Code</t>
        </is>
      </c>
      <c r="D82" s="10" t="inlineStr">
        <is>
          <t>Pending</t>
        </is>
      </c>
      <c r="E82"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82" s="10" t="inlineStr">
        <is>
          <t>Superseded by v2.11</t>
        </is>
      </c>
    </row>
    <row r="83">
      <c r="A83" s="8" t="inlineStr">
        <is>
          <t>2.9</t>
        </is>
      </c>
      <c r="B83" s="8" t="inlineStr">
        <is>
          <t>2026-07-31</t>
        </is>
      </c>
      <c r="C83" s="8" t="inlineStr">
        <is>
          <t>Claude Code</t>
        </is>
      </c>
      <c r="D83" s="8" t="inlineStr">
        <is>
          <t>Pending</t>
        </is>
      </c>
      <c r="E83"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83" s="8" t="inlineStr">
        <is>
          <t>Superseded by v2.10</t>
        </is>
      </c>
    </row>
    <row r="84">
      <c r="A84" s="10" t="inlineStr">
        <is>
          <t>2.8</t>
        </is>
      </c>
      <c r="B84" s="10" t="inlineStr">
        <is>
          <t>2026-07-31</t>
        </is>
      </c>
      <c r="C84" s="10" t="inlineStr">
        <is>
          <t>Claude Code</t>
        </is>
      </c>
      <c r="D84" s="10" t="inlineStr">
        <is>
          <t>Pending</t>
        </is>
      </c>
      <c r="E84"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84" s="10" t="inlineStr">
        <is>
          <t>Superseded by v2.9</t>
        </is>
      </c>
    </row>
    <row r="85">
      <c r="A85" s="8" t="inlineStr">
        <is>
          <t>2.7</t>
        </is>
      </c>
      <c r="B85" s="8" t="inlineStr">
        <is>
          <t>2026-07-31</t>
        </is>
      </c>
      <c r="C85" s="8" t="inlineStr">
        <is>
          <t>Claude Code</t>
        </is>
      </c>
      <c r="D85" s="8" t="inlineStr">
        <is>
          <t>Pending</t>
        </is>
      </c>
      <c r="E85"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85" s="8" t="inlineStr">
        <is>
          <t>Superseded by v2.8</t>
        </is>
      </c>
    </row>
    <row r="86">
      <c r="A86" s="10" t="inlineStr">
        <is>
          <t>2.6</t>
        </is>
      </c>
      <c r="B86" s="10" t="inlineStr">
        <is>
          <t>2026-07-31</t>
        </is>
      </c>
      <c r="C86" s="10" t="inlineStr">
        <is>
          <t>Claude Code</t>
        </is>
      </c>
      <c r="D86" s="10" t="inlineStr">
        <is>
          <t>Pending</t>
        </is>
      </c>
      <c r="E86"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86" s="10" t="inlineStr">
        <is>
          <t>Superseded by v2.7</t>
        </is>
      </c>
    </row>
    <row r="87">
      <c r="A87" s="8" t="inlineStr">
        <is>
          <t>2.5</t>
        </is>
      </c>
      <c r="B87" s="8" t="inlineStr">
        <is>
          <t>2026-07-31</t>
        </is>
      </c>
      <c r="C87" s="8" t="inlineStr">
        <is>
          <t>Claude Code</t>
        </is>
      </c>
      <c r="D87" s="8" t="inlineStr">
        <is>
          <t>Pending</t>
        </is>
      </c>
      <c r="E87"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87" s="8" t="inlineStr">
        <is>
          <t>Issued for review</t>
        </is>
      </c>
    </row>
    <row r="88">
      <c r="A88" s="10" t="inlineStr">
        <is>
          <t>2.4</t>
        </is>
      </c>
      <c r="B88" s="10" t="inlineStr">
        <is>
          <t>2026-07-31</t>
        </is>
      </c>
      <c r="C88" s="10" t="inlineStr">
        <is>
          <t>Claude Code</t>
        </is>
      </c>
      <c r="D88" s="10" t="inlineStr">
        <is>
          <t>Pending</t>
        </is>
      </c>
      <c r="E88"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88" s="10" t="inlineStr">
        <is>
          <t>Issued for review</t>
        </is>
      </c>
    </row>
    <row r="89">
      <c r="A89" s="8" t="inlineStr">
        <is>
          <t>2.3</t>
        </is>
      </c>
      <c r="B89" s="8" t="inlineStr">
        <is>
          <t>2026-07-31</t>
        </is>
      </c>
      <c r="C89" s="8" t="inlineStr">
        <is>
          <t>Claude Code</t>
        </is>
      </c>
      <c r="D89" s="8" t="inlineStr">
        <is>
          <t>Pending</t>
        </is>
      </c>
      <c r="E89"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89" s="8" t="inlineStr">
        <is>
          <t>Issued for review</t>
        </is>
      </c>
    </row>
    <row r="90">
      <c r="A90" s="10" t="inlineStr">
        <is>
          <t>2.2</t>
        </is>
      </c>
      <c r="B90" s="10" t="inlineStr">
        <is>
          <t>2026-07-31</t>
        </is>
      </c>
      <c r="C90" s="10" t="inlineStr">
        <is>
          <t>Claude Code</t>
        </is>
      </c>
      <c r="D90" s="10" t="inlineStr">
        <is>
          <t>Pending</t>
        </is>
      </c>
      <c r="E90"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90" s="10" t="inlineStr">
        <is>
          <t>Issued for review</t>
        </is>
      </c>
    </row>
    <row r="91">
      <c r="A91" s="8" t="inlineStr">
        <is>
          <t>2.1</t>
        </is>
      </c>
      <c r="B91" s="8" t="inlineStr">
        <is>
          <t>2026-07-31</t>
        </is>
      </c>
      <c r="C91" s="8" t="inlineStr">
        <is>
          <t>Claude Code</t>
        </is>
      </c>
      <c r="D91" s="8" t="inlineStr">
        <is>
          <t>Pending</t>
        </is>
      </c>
      <c r="E91"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91" s="8" t="inlineStr">
        <is>
          <t>Issued for review</t>
        </is>
      </c>
    </row>
    <row r="92">
      <c r="A92" s="10" t="inlineStr">
        <is>
          <t>2.0</t>
        </is>
      </c>
      <c r="B92" s="10" t="inlineStr">
        <is>
          <t>2026-08-02</t>
        </is>
      </c>
      <c r="C92" s="10" t="inlineStr">
        <is>
          <t>Claude Code</t>
        </is>
      </c>
      <c r="D92" s="10" t="inlineStr">
        <is>
          <t>Dan</t>
        </is>
      </c>
      <c r="E92"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92" s="10" t="inlineStr">
        <is>
          <t>APPROVED 2026-08-02 by Dan - BASELINE</t>
        </is>
      </c>
    </row>
    <row r="93">
      <c r="A93" s="8" t="inlineStr">
        <is>
          <t>1.10</t>
        </is>
      </c>
      <c r="B93" s="8" t="inlineStr">
        <is>
          <t>2026-07-31</t>
        </is>
      </c>
      <c r="C93" s="8" t="inlineStr">
        <is>
          <t>Claude Code</t>
        </is>
      </c>
      <c r="D93" s="8" t="inlineStr">
        <is>
          <t>Pending</t>
        </is>
      </c>
      <c r="E93"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93" s="8" t="inlineStr">
        <is>
          <t>Issued for approval</t>
        </is>
      </c>
    </row>
    <row r="94">
      <c r="A94" s="10" t="inlineStr">
        <is>
          <t>1.9</t>
        </is>
      </c>
      <c r="B94" s="10" t="inlineStr">
        <is>
          <t>2026-07-31</t>
        </is>
      </c>
      <c r="C94" s="10" t="inlineStr">
        <is>
          <t>Claude Code</t>
        </is>
      </c>
      <c r="D94" s="10" t="inlineStr">
        <is>
          <t>Pending</t>
        </is>
      </c>
      <c r="E94"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94" s="10" t="inlineStr">
        <is>
          <t>Issued for approval</t>
        </is>
      </c>
    </row>
    <row r="95">
      <c r="A95" s="8" t="inlineStr">
        <is>
          <t>1.8</t>
        </is>
      </c>
      <c r="B95" s="8" t="inlineStr">
        <is>
          <t>2026-07-31</t>
        </is>
      </c>
      <c r="C95" s="8" t="inlineStr">
        <is>
          <t>Claude Code</t>
        </is>
      </c>
      <c r="D95" s="8" t="inlineStr">
        <is>
          <t>Pending</t>
        </is>
      </c>
      <c r="E95"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95" s="8" t="inlineStr">
        <is>
          <t>Superseded by v1.9</t>
        </is>
      </c>
    </row>
    <row r="96">
      <c r="A96" s="10" t="inlineStr">
        <is>
          <t>1.7</t>
        </is>
      </c>
      <c r="B96" s="10" t="inlineStr">
        <is>
          <t>2026-07-31</t>
        </is>
      </c>
      <c r="C96" s="10" t="inlineStr">
        <is>
          <t>Claude Code</t>
        </is>
      </c>
      <c r="D96" s="10" t="inlineStr">
        <is>
          <t>Pending</t>
        </is>
      </c>
      <c r="E96"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96" s="10" t="inlineStr">
        <is>
          <t>Superseded by v1.8</t>
        </is>
      </c>
    </row>
    <row r="97">
      <c r="A97" s="8" t="inlineStr">
        <is>
          <t>1.6</t>
        </is>
      </c>
      <c r="B97" s="8" t="inlineStr">
        <is>
          <t>2026-07-31</t>
        </is>
      </c>
      <c r="C97" s="8" t="inlineStr">
        <is>
          <t>Claude Code</t>
        </is>
      </c>
      <c r="D97" s="8" t="inlineStr">
        <is>
          <t>Pending</t>
        </is>
      </c>
      <c r="E97"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97" s="8" t="inlineStr">
        <is>
          <t>Issued for approval</t>
        </is>
      </c>
    </row>
    <row r="99">
      <c r="A99"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20" t="inlineStr">
        <is>
          <t>Import of all project and person data from ONE Excel workbook via a browser file picker or drag-and-drop.</t>
        </is>
      </c>
      <c r="B22" s="19"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20" t="inlineStr">
        <is>
          <t>Monthly resource simulation in FTE per project and per person, default 24-month horizon, expandable to the latest project end date.</t>
        </is>
      </c>
      <c r="B25" s="19"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9"/>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9" t="inlineStr">
        <is>
          <t>REQ-OUT-03</t>
        </is>
      </c>
      <c r="B7" s="19" t="inlineStr">
        <is>
          <t>Output</t>
        </is>
      </c>
      <c r="C7" s="20" t="inlineStr">
        <is>
          <t>Source data lives in ONE Excel workbook held separately from the HTML file, and that workbook is the archive of record.</t>
        </is>
      </c>
      <c r="D7" s="19" t="inlineStr">
        <is>
          <t>Must</t>
        </is>
      </c>
      <c r="E7" s="19" t="inlineStr">
        <is>
          <t>Q-09</t>
        </is>
      </c>
      <c r="F7" s="19"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9" t="inlineStr">
        <is>
          <t>REQ-PRJ-01</t>
        </is>
      </c>
      <c r="B10" s="19" t="inlineStr">
        <is>
          <t>Project data</t>
        </is>
      </c>
      <c r="C10" s="20" t="inlineStr">
        <is>
          <t>Each project records a project type, restricted to 'NewDrug CT', 'Biosimilar CT' or 'Others'. The first two are clinical trials and every clinical trial is exactly one of them.</t>
        </is>
      </c>
      <c r="D10" s="19" t="inlineStr">
        <is>
          <t>Must</t>
        </is>
      </c>
      <c r="E10" s="19" t="inlineStr">
        <is>
          <t>R-05</t>
        </is>
      </c>
      <c r="F10" s="19" t="inlineStr">
        <is>
          <t>2</t>
        </is>
      </c>
    </row>
    <row r="11">
      <c r="A11" s="19" t="inlineStr">
        <is>
          <t>REQ-PRJ-02</t>
        </is>
      </c>
      <c r="B11" s="19" t="inlineStr">
        <is>
          <t>Project data</t>
        </is>
      </c>
      <c r="C11" s="20" t="inlineStr">
        <is>
          <t>Each project records a project category. For either clinical trial type the category is the product name; the field is optional for 'Others'.</t>
        </is>
      </c>
      <c r="D11" s="19" t="inlineStr">
        <is>
          <t>Must</t>
        </is>
      </c>
      <c r="E11" s="19" t="inlineStr">
        <is>
          <t>R-05</t>
        </is>
      </c>
      <c r="F11" s="19"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9" t="inlineStr">
        <is>
          <t>REQ-PRJ-04</t>
        </is>
      </c>
      <c r="B13" s="19" t="inlineStr">
        <is>
          <t>Project data</t>
        </is>
      </c>
      <c r="C13" s="20" t="inlineStr">
        <is>
          <t>Each project records its conditions: outsourcing type ('Full outsourcing' / 'Partial outsourcing' / 'Full In-house') and the number of project members.</t>
        </is>
      </c>
      <c r="D13" s="19" t="inlineStr">
        <is>
          <t>Must</t>
        </is>
      </c>
      <c r="E13" s="19" t="inlineStr">
        <is>
          <t>Q-14</t>
        </is>
      </c>
      <c r="F13" s="19" t="inlineStr">
        <is>
          <t>2</t>
        </is>
      </c>
    </row>
    <row r="14">
      <c r="A14" s="19" t="inlineStr">
        <is>
          <t>REQ-PRJ-06</t>
        </is>
      </c>
      <c r="B14" s="19" t="inlineStr">
        <is>
          <t>Project data</t>
        </is>
      </c>
      <c r="C14" s="20" t="inlineStr">
        <is>
          <t>Each project carries a resource weight per period. For a clinical trial the weight is seeded from a standard keyed on clinical phase; for 'Others' it is entered by hand.</t>
        </is>
      </c>
      <c r="D14" s="19" t="inlineStr">
        <is>
          <t>Must</t>
        </is>
      </c>
      <c r="E14" s="19" t="inlineStr">
        <is>
          <t>Q-26, Q-28</t>
        </is>
      </c>
      <c r="F14" s="19"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19" t="inlineStr">
        <is>
          <t>REQ-PRJ-12</t>
        </is>
      </c>
      <c r="B18" s="19" t="inlineStr">
        <is>
          <t>Project data</t>
        </is>
      </c>
      <c r="C18" s="20"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19" t="inlineStr">
        <is>
          <t>Must</t>
        </is>
      </c>
      <c r="E18" s="19" t="inlineStr">
        <is>
          <t>Q-18, Q-23, R-02, R-11</t>
        </is>
      </c>
      <c r="F18" s="19"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17" t="inlineStr">
        <is>
          <t>REQ-PRJ-16</t>
        </is>
      </c>
      <c r="B20" s="17" t="inlineStr">
        <is>
          <t>Project data</t>
        </is>
      </c>
      <c r="C20" s="18" t="inlineStr">
        <is>
          <t>The colour each PERIOD is drawn in is a standing assumption: one default per period name, held on the PeriodHighlight sheet and edited on the General assumptions tab, applies to every project. A project's own choice for one of its periods (REQ-PRJ-15) wins over the default; a period with neither is gray. The defaults reach periods derived from milestones too. A colour changes no figure; a default that cannot be applied is reported (V-39).</t>
        </is>
      </c>
      <c r="D20" s="17" t="inlineStr">
        <is>
          <t>Should</t>
        </is>
      </c>
      <c r="E20" s="17" t="inlineStr">
        <is>
          <t>R-60</t>
        </is>
      </c>
      <c r="F20" s="17" t="inlineStr">
        <is>
          <t>4</t>
        </is>
      </c>
    </row>
    <row r="21">
      <c r="A21" s="17" t="inlineStr">
        <is>
          <t>REQ-PRJ-15</t>
        </is>
      </c>
      <c r="B21" s="17" t="inlineStr">
        <is>
          <t>Project data</t>
        </is>
      </c>
      <c r="C21" s="18" t="inlineStr">
        <is>
          <t>A project's period may be given a COLOUR, and the Project timeline draws the period in it - on the Overall tab and on the project's own tab. The colour is chosen from the Lists sheet's period_highlight list in the Periods table's Highlight column; a period with no colour is drawn gray, shaded by its weight. A colour changes no figure and never refuses a save; a value naming no colour is reported (V-38).</t>
        </is>
      </c>
      <c r="D21" s="17" t="inlineStr">
        <is>
          <t>Should</t>
        </is>
      </c>
      <c r="E21" s="17" t="inlineStr">
        <is>
          <t>R-59</t>
        </is>
      </c>
      <c r="F21" s="17" t="inlineStr">
        <is>
          <t>4</t>
        </is>
      </c>
    </row>
    <row r="22">
      <c r="A22" s="17" t="inlineStr">
        <is>
          <t>REQ-PRJ-14</t>
        </is>
      </c>
      <c r="B22" s="17" t="inlineStr">
        <is>
          <t>Project data</t>
        </is>
      </c>
      <c r="C22" s="18" t="inlineStr">
        <is>
          <t>A milestone may be MARKED IN A COLOUR, and the mark finds that milestone wherever the Project timeline is drawn - on the Overall tab and on the project's own tab. The colour is chosen from the Lists sheet, so the set belongs to the people using the plan rather than to the code; an empty value means no mark, which is what every milestone was before schema 13. A mark changes no figure and never refuses a save.</t>
        </is>
      </c>
      <c r="D22" s="17" t="inlineStr">
        <is>
          <t>Should</t>
        </is>
      </c>
      <c r="E22" s="17" t="inlineStr">
        <is>
          <t>R-50</t>
        </is>
      </c>
      <c r="F22" s="17" t="inlineStr">
        <is>
          <t>4</t>
        </is>
      </c>
    </row>
    <row r="23">
      <c r="A23" s="19" t="inlineStr">
        <is>
          <t>REQ-PRJ-09</t>
        </is>
      </c>
      <c r="B23" s="19" t="inlineStr">
        <is>
          <t>Project data</t>
        </is>
      </c>
      <c r="C23" s="20" t="inlineStr">
        <is>
          <t>A clinical trial of either type records its clinical phase (phase 1 / 2 / 3 / 4). The phase determines the project's period weights, so it drives the simulation rather than merely describing the project.</t>
        </is>
      </c>
      <c r="D23" s="19" t="inlineStr">
        <is>
          <t>Must</t>
        </is>
      </c>
      <c r="E23" s="19" t="inlineStr">
        <is>
          <t>Q-26</t>
        </is>
      </c>
      <c r="F23" s="19" t="inlineStr">
        <is>
          <t>2</t>
        </is>
      </c>
    </row>
    <row r="24">
      <c r="A24" s="17" t="inlineStr">
        <is>
          <t>REQ-PRJ-10</t>
        </is>
      </c>
      <c r="B24" s="17" t="inlineStr">
        <is>
          <t>Project data</t>
        </is>
      </c>
      <c r="C24" s="18" t="inlineStr">
        <is>
          <t>A clinical trial of either type records who performs each of EDC set-up, data-review-system set-up, RBQM set-up and DM conduct ('by CRO' / 'by SB').</t>
        </is>
      </c>
      <c r="D24" s="17" t="inlineStr">
        <is>
          <t>Must</t>
        </is>
      </c>
      <c r="E24" s="17" t="inlineStr">
        <is>
          <t>Reviewer v0.11</t>
        </is>
      </c>
      <c r="F24" s="17" t="inlineStr">
        <is>
          <t>2</t>
        </is>
      </c>
    </row>
    <row r="25">
      <c r="A25" s="17" t="inlineStr">
        <is>
          <t>REQ-PRJ-11</t>
        </is>
      </c>
      <c r="B25" s="17" t="inlineStr">
        <is>
          <t>Project data</t>
        </is>
      </c>
      <c r="C25" s="18" t="inlineStr">
        <is>
          <t>A clinical trial of either type records the EDC system, data review system and RBQM system in use, from data-driven value lists.</t>
        </is>
      </c>
      <c r="D25" s="17" t="inlineStr">
        <is>
          <t>Must</t>
        </is>
      </c>
      <c r="E25" s="17" t="inlineStr">
        <is>
          <t>Reviewer v0.11</t>
        </is>
      </c>
      <c r="F25" s="17" t="inlineStr">
        <is>
          <t>2</t>
        </is>
      </c>
    </row>
    <row r="26">
      <c r="A26" s="10" t="inlineStr">
        <is>
          <t>REQ-PSN-01</t>
        </is>
      </c>
      <c r="B26" s="10" t="inlineStr">
        <is>
          <t>Person data</t>
        </is>
      </c>
      <c r="C26" s="11" t="inlineStr">
        <is>
          <t>Data is managed by person, by project assigned, and by project role assigned.</t>
        </is>
      </c>
      <c r="D26" s="10" t="inlineStr">
        <is>
          <t>Must</t>
        </is>
      </c>
      <c r="E26" s="10" t="inlineStr">
        <is>
          <t>Requester</t>
        </is>
      </c>
      <c r="F26" s="10" t="inlineStr">
        <is>
          <t>2</t>
        </is>
      </c>
    </row>
    <row r="27">
      <c r="A27" s="8" t="inlineStr">
        <is>
          <t>REQ-PSN-02</t>
        </is>
      </c>
      <c r="B27" s="8" t="inlineStr">
        <is>
          <t>Person data</t>
        </is>
      </c>
      <c r="C27" s="9" t="inlineStr">
        <is>
          <t>Each assignment records the project(s) the person is assigned to.</t>
        </is>
      </c>
      <c r="D27" s="8" t="inlineStr">
        <is>
          <t>Must</t>
        </is>
      </c>
      <c r="E27" s="8" t="inlineStr">
        <is>
          <t>Requester</t>
        </is>
      </c>
      <c r="F27" s="8" t="inlineStr">
        <is>
          <t>2</t>
        </is>
      </c>
    </row>
    <row r="28">
      <c r="A28" s="19" t="inlineStr">
        <is>
          <t>REQ-PSN-03</t>
        </is>
      </c>
      <c r="B28" s="19" t="inlineStr">
        <is>
          <t>Person data</t>
        </is>
      </c>
      <c r="C28" s="20" t="inlineStr">
        <is>
          <t>Each assignment records the role(s) the person holds on that project, drawn from the role list valid for that project's type.</t>
        </is>
      </c>
      <c r="D28" s="19" t="inlineStr">
        <is>
          <t>Must</t>
        </is>
      </c>
      <c r="E28" s="19" t="inlineStr">
        <is>
          <t>Q-03</t>
        </is>
      </c>
      <c r="F28" s="19" t="inlineStr">
        <is>
          <t>2</t>
        </is>
      </c>
    </row>
    <row r="29">
      <c r="A29" s="8" t="inlineStr">
        <is>
          <t>REQ-PSN-04</t>
        </is>
      </c>
      <c r="B29" s="8" t="inlineStr">
        <is>
          <t>Person data</t>
        </is>
      </c>
      <c r="C29" s="9" t="inlineStr">
        <is>
          <t>Each assignment records the start date the person joins and the end date they leave that study.</t>
        </is>
      </c>
      <c r="D29" s="8" t="inlineStr">
        <is>
          <t>Must</t>
        </is>
      </c>
      <c r="E29" s="8" t="inlineStr">
        <is>
          <t>Requester</t>
        </is>
      </c>
      <c r="F29" s="8" t="inlineStr">
        <is>
          <t>2</t>
        </is>
      </c>
    </row>
    <row r="30">
      <c r="A30" s="19" t="inlineStr">
        <is>
          <t>REQ-PSN-05</t>
        </is>
      </c>
      <c r="B30" s="19" t="inlineStr">
        <is>
          <t>Person data</t>
        </is>
      </c>
      <c r="C30" s="20" t="inlineStr">
        <is>
          <t>Each assignment carries a person weight saying how much that person works on that project, with optional period-specific overrides.</t>
        </is>
      </c>
      <c r="D30" s="19" t="inlineStr">
        <is>
          <t>Must</t>
        </is>
      </c>
      <c r="E30" s="19" t="inlineStr">
        <is>
          <t>Q-01</t>
        </is>
      </c>
      <c r="F30" s="19" t="inlineStr">
        <is>
          <t>2</t>
        </is>
      </c>
    </row>
    <row r="31">
      <c r="A31" s="8" t="inlineStr">
        <is>
          <t>REQ-PSN-06</t>
        </is>
      </c>
      <c r="B31" s="8" t="inlineStr">
        <is>
          <t>Person data</t>
        </is>
      </c>
      <c r="C31" s="9" t="inlineStr">
        <is>
          <t>The person record accepts further project-related information without a schema change.</t>
        </is>
      </c>
      <c r="D31" s="8" t="inlineStr">
        <is>
          <t>Should</t>
        </is>
      </c>
      <c r="E31" s="8" t="inlineStr">
        <is>
          <t>Requester</t>
        </is>
      </c>
      <c r="F31" s="8" t="inlineStr">
        <is>
          <t>2</t>
        </is>
      </c>
    </row>
    <row r="32">
      <c r="A32" s="10" t="inlineStr">
        <is>
          <t>REQ-PSN-07</t>
        </is>
      </c>
      <c r="B32" s="10" t="inlineStr">
        <is>
          <t>Person data</t>
        </is>
      </c>
      <c r="C32" s="11" t="inlineStr">
        <is>
          <t>One person may hold assignments on several projects simultaneously, and may hold more than one role on the same project.</t>
        </is>
      </c>
      <c r="D32" s="10" t="inlineStr">
        <is>
          <t>Must</t>
        </is>
      </c>
      <c r="E32" s="10" t="inlineStr">
        <is>
          <t>Derived</t>
        </is>
      </c>
      <c r="F32" s="10" t="inlineStr">
        <is>
          <t>2</t>
        </is>
      </c>
    </row>
    <row r="33">
      <c r="A33" s="19" t="inlineStr">
        <is>
          <t>REQ-CAL-01</t>
        </is>
      </c>
      <c r="B33" s="19" t="inlineStr">
        <is>
          <t>Calculation</t>
        </is>
      </c>
      <c r="C33" s="20" t="inlineStr">
        <is>
          <t>Resource is simulated on a monthly grid, default horizon 24 months, expandable to the latest project end date.</t>
        </is>
      </c>
      <c r="D33" s="19" t="inlineStr">
        <is>
          <t>Must</t>
        </is>
      </c>
      <c r="E33" s="19" t="inlineStr">
        <is>
          <t>Q-11</t>
        </is>
      </c>
      <c r="F33" s="19" t="inlineStr">
        <is>
          <t>4</t>
        </is>
      </c>
    </row>
    <row r="34">
      <c r="A34" s="19" t="inlineStr">
        <is>
          <t>REQ-CAL-02</t>
        </is>
      </c>
      <c r="B34" s="19" t="inlineStr">
        <is>
          <t>Calculation</t>
        </is>
      </c>
      <c r="C34" s="20"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4" s="19" t="inlineStr">
        <is>
          <t>Must</t>
        </is>
      </c>
      <c r="E34" s="19" t="inlineStr">
        <is>
          <t>Q-01, R-10, R-12, R-13</t>
        </is>
      </c>
      <c r="F34" s="19" t="inlineStr">
        <is>
          <t>2,4</t>
        </is>
      </c>
    </row>
    <row r="35">
      <c r="A35" s="17" t="inlineStr">
        <is>
          <t>REQ-DSH-19</t>
        </is>
      </c>
      <c r="B35" s="17" t="inlineStr">
        <is>
          <t>Dashboard</t>
        </is>
      </c>
      <c r="C35" s="18" t="inlineStr">
        <is>
          <t>A ROW'S IDENTITY STAYS ON SCREEN WHILE ITS TABLE SCROLLS SIDEWAYS. A source-data sheet can be far wider than the panel that holds it - the Project sheet is twenty-five columns in a panel that shows less than half of them - so a reader editing a far column is working on a row with nothing on screen to say which record it is. The row's handle, its identifier and its name are FROZEN at the left edge and the rest of the table scrolls under them. They remain ordinary editable cells where they stand. Which columns is declared PER SHEET rather than per place the table is drawn, so one sheet cannot be pinned two ways, and only a leading run of columns can be frozen. The frozen cells must be OPAQUE in every state a row can be in - striped, hovered, selected, edited - because a row passing underneath would otherwise show through; and they must leave no seam at their boundaries, which costs a pixel of overlap that nothing can see. This changes no figure and no file.</t>
        </is>
      </c>
      <c r="D35" s="17" t="inlineStr">
        <is>
          <t>Should</t>
        </is>
      </c>
      <c r="E35" s="17" t="inlineStr">
        <is>
          <t>R-53</t>
        </is>
      </c>
      <c r="F35" s="17" t="inlineStr">
        <is>
          <t>4</t>
        </is>
      </c>
    </row>
    <row r="36">
      <c r="A36" s="17" t="inlineStr">
        <is>
          <t>REQ-DSH-18</t>
        </is>
      </c>
      <c r="B36" s="17" t="inlineStr">
        <is>
          <t>Dashboard</t>
        </is>
      </c>
      <c r="C36" s="18" t="inlineStr">
        <is>
          <t>ANY SECTION CAN BE GIVEN THE WHOLE WINDOW, AND THE DATA IN IT IS STILL EDITABLE THERE. Every panel holding a bounded scroll region carries a control in its head that draws that panel against the viewport instead of against the 1400px page column: the same table, every column it had, at the height of the screen rather than the 340px REQ-DSH-13 caps an entry table at. It is the SAME SCREEN and not a view of it - nothing is moved, nothing is copied, and editing, validation, the type-ahead, the column filters and the pop-ups all work exactly as they do on the page, because none of them is told it is happening. THE EDIT BAR AND THE TABS STAY IN FRONT: a full screen that hides Save is a trap, so the sticky band is lifted above the section rather than covered by it, and the section begins underneath it. The filter bar is covered and Escape brings it back. A SHELL WITH ITS OWN WINDOW BARS - the desktop and Python editions both put a title strip and a status strip above everything the page draws - keeps those in front too, and the section begins below them; the room they take is measured from the shells' own declaration of which elements they are, so the page layer names none of them. A section is remembered BY NAME, so it stays open across the re-render every committed edit causes, and across a change of selected row that rewrites its heading. Changing tab closes it, because a hidden pane draws nothing; loading a plan closes it, because that load's own report must not appear behind it. No figure changes and nothing is written to the file.</t>
        </is>
      </c>
      <c r="D36" s="17" t="inlineStr">
        <is>
          <t>Should</t>
        </is>
      </c>
      <c r="E36" s="17" t="inlineStr">
        <is>
          <t>R-51</t>
        </is>
      </c>
      <c r="F36" s="17" t="inlineStr">
        <is>
          <t>4</t>
        </is>
      </c>
    </row>
    <row r="37">
      <c r="A37" s="17" t="inlineStr">
        <is>
          <t>REQ-DSH-17</t>
        </is>
      </c>
      <c r="B37" s="17" t="inlineStr">
        <is>
          <t>Dashboard</t>
        </is>
      </c>
      <c r="C37" s="18" t="inlineStr">
        <is>
          <t>A PROJECT-MONTH THE PLAN ASKS FOR AND NOBODY IS ASSIGNED TO SHOWS WHAT IT ASKS FOR. Resource by project used to print a dot there, and a dot is a statement: it says this month costs nothing. For a month inside the project's own run with nobody on it that is false - what it costs is exactly what the standard for its type, phase, scope and period says, which the application has had all along (REQ-CAL-19: the project-month IS its standard, and the people on it divide it; a divisor of nobody does not make it nought). The figure is now drawn in the cell. DEMAND, NEVER RESOURCE, AND THE DIFFERENCE IS CARRIED BY THE DRAWING. No filled background - the sequential scale means this much is being done, and none of it is - an outline and a hatch instead, italic, and a hollow ring glyph in the cell so the distinction survives a monochrome print and a colour-blind reader (D-04). IT IS NEVER ADDED TO A TOTAL. Not the row total, not the column total, not the grand total: those stay the APPLIED figure, because the grand total of this table must equal the grand total of the person table and unallocated demand belongs to no person. Netting it in would also assert that somebody is doing the work, which is the opposite of what it says. It is totalled instead on a line of its own, and on the project's own row beside the applied total - counted apart and never netted, exactly as short and over are (V-34). ONLY WHERE THERE IS NOTHING. A month that already carries a figure keeps it untouched, whatever the standard says - V-34 is what reports a month being given less than it asks for, and this is for the months V-34 cannot see because they produced no line at all. So no existing figure moves: on the delivered fixture the count of such months is zero. AND THE HORIZON HAS TO REACH IT. The span offered by 'show everything' was taken from the assignment lines, so a project starting after every assignment in the file ended was not reachable at all and its figures would have been drawn in months off the screen. It is taken from these months too.</t>
        </is>
      </c>
      <c r="D37" s="17" t="inlineStr">
        <is>
          <t>Should</t>
        </is>
      </c>
      <c r="E37" s="17" t="inlineStr">
        <is>
          <t>R-49</t>
        </is>
      </c>
      <c r="F37" s="17" t="inlineStr">
        <is>
          <t>4</t>
        </is>
      </c>
    </row>
    <row r="38">
      <c r="A38" s="17" t="inlineStr">
        <is>
          <t>REQ-DSH-16</t>
        </is>
      </c>
      <c r="B38" s="17" t="inlineStr">
        <is>
          <t>Dashboard</t>
        </is>
      </c>
      <c r="C38" s="18" t="inlineStr">
        <is>
          <t>THE SCREEN IS READABLE AT THE SIZE THE PLAN ACTUALLY IS, AND SAYS WHAT ITS COLUMNS MEAN. Five things, none of which changes a figure. (a) A CHART THAT CAN RUN LONG GROWS WITH ITS HORIZON AND ITS PANEL SCROLLS. Every month is guaranteed a minimum width of plot; past the point where they all fit, the panel scrolls sideways rather than compressing the axis until its labels overlap. A fixed width is only readable over the span it was chosen for, and it fails silently - the chart still draws, it simply stops being legible, and it does so on the long plans that most need reading. The default two-year view is unchanged, so the rule is invisible to anyone who did not need it. (b) A WIDE TABLE GETS THE WHOLE WIDTH. Panels are placed side by side only where both are narrow enough to be read there; three tables of eleven, seven and eight columns are stacked, in the order the work is done in - the assignment, then its override windows, then its months - not tiled into halves that each scroll sideways permanently. (c) A PANEL THAT IS A CHILD OF A SELECTION NAMES THE ROW IT BELONGS TO, under its title, from ONE helper shared with every other panel that names the same thing, so two statements of the same fact cannot drift apart. (d) CLICKING A LEGEND ENTRY PICKS THAT SERIES OUT: everything that is not it fades back, a second click or Escape brings it home. Twenty bands in twenty shades of one palette read as a total and not as a series, and the fix is not more colours. THE PICK APPLIES TO THE WHOLE TAB, because the question asked is 'where is this project on this page'; a chart cut along a DIFFERENT axis, which has no mark for that key at all, is left alone rather than faded to nothing, since a chart with everything dimmed and nothing lit reads as 'this has no data' instead of 'this cannot answer that'. A mark standing for two series at once - a timeline band is a period OF a project - answers to either. Marks belonging to the MONTH rather than to a series never fade: thresholds, baselines, and the outline that marks a month off its standard are facts about the month and stay at full strength. Every entry is a button, operable from the keyboard and stating whether it is pressed (D-04). (e) EVERY COLUMN HEADING IS A PLAIN NAME, and the workbook's own column name is in the pop-up rather than on the page. Those column names are not, by themselves, labels, and their meaning existed only in a pop-up - which is to say only for a reader who knew to hover. WHERE THE IDENTIFIER BELONGS WAS SETTLED TWICE and the second answer is the one to keep: it was first printed on a second line under the label, because the screen and the file are the same thing and a heading must be findable in the spreadsheet; but looking a column name up is OCCASIONAL - editing the workbook, chasing a finding - while a heading is read on EVERY glance, so printing it charged the common case for the rare one when the pop-up already answered it in full. Every heading carries a pop-up naming both, and the identifier as data-cid for whatever must read it. Nothing is renamed, the cell still writes back through the identifier, and the same two-part head is used on the heading's pop-up, on every cell's and on the filter buttons', so it is learned once.</t>
        </is>
      </c>
      <c r="D38" s="17" t="inlineStr">
        <is>
          <t>Should</t>
        </is>
      </c>
      <c r="E38" s="17" t="inlineStr">
        <is>
          <t>R-45</t>
        </is>
      </c>
      <c r="F38" s="17" t="inlineStr">
        <is>
          <t>4</t>
        </is>
      </c>
    </row>
    <row r="39">
      <c r="A39" s="17" t="inlineStr">
        <is>
          <t>REQ-DSH-15</t>
        </is>
      </c>
      <c r="B39" s="17" t="inlineStr">
        <is>
          <t>Dashboard</t>
        </is>
      </c>
      <c r="C39"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the LIST of every month with what it needs, what it is getting and the gap opens from RESOURCE BY PROJECT's own head (R-52), where every month in it is a cell in the table beside it. It was a section under the tiles, on the ground that something whose whole danger is being silent must not sit behind a click; moving it keeps that property by moving it to the CONTROL, which states the count and the direction rather than naming the screen - so the alarm is on screen with nothing opened, and only the list, which nobody reads until they are investigating, is a click away. The control is present even when it has nothing to report. THE LIST CAN BE NARROWED - by direction, by project, and by a smallest gap worth looking at - and the narrowing reaches the LIST ONLY: the tile and the control go on counting every month off its standard, since they are the alarm and an alarm that followed somebody's own view would be lying about the plan. A narrowed list says how many of how many, and one emptied by its own filter says that rather than that there is nothing to report. Not a tab either: a tab is the surface you visit only once you already suspect a problem - and the findings report is already the list of everything wrong. EVERY ROW OPENS THE MONTH ITSELF, AND EVERY FIGURE IN IT CAN BE CHANGED THERE. A month that already has a MonthlyEstimate row is an ORDINARY editable cell over it, so the one editing path validates, logs, marks and undoes it; a second way to change a figure is a second way that can drift. A month that has NO row cannot be one - there is nothing to write through - so its cell offers to CREATE the row instead, and it must, because the figure a reader most wants to change on this screen is the one belonging to somebody still on automatic, and a dash there said the screen was read-only for them. WHAT IT MUST NOT DO IS QUIETLY WRITE ONE ROW: an automatic assignment ignores MonthlyEstimate entirely, so a lone row is a figure nothing reads, and setting estimation_type without seeding the other months counts every one of them as 0.00 - the one change in this application that silently zeroes a figure (REQ-CAL-18). So a figure typed against an automatic assignment ASKS, naming how many months will be stated and what this one becomes, and then the switch, the seeding and the typed figure happen together or none of them happen. A thing ALREADY manual with no figure for that month is V-31 and does not ask - the months are already the user's, and asking would be asking permission for something already given.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39" s="17" t="inlineStr">
        <is>
          <t>Should</t>
        </is>
      </c>
      <c r="E39" s="17" t="inlineStr">
        <is>
          <t>R-42</t>
        </is>
      </c>
      <c r="F39" s="17" t="inlineStr">
        <is>
          <t>4</t>
        </is>
      </c>
    </row>
    <row r="40">
      <c r="A40" s="17" t="inlineStr">
        <is>
          <t>REQ-DSH-14</t>
        </is>
      </c>
      <c r="B40" s="17" t="inlineStr">
        <is>
          <t>Dashboard</t>
        </is>
      </c>
      <c r="C40"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40" s="17" t="inlineStr">
        <is>
          <t>Should</t>
        </is>
      </c>
      <c r="E40" s="17" t="inlineStr">
        <is>
          <t>R-40</t>
        </is>
      </c>
      <c r="F40" s="17" t="inlineStr">
        <is>
          <t>4</t>
        </is>
      </c>
    </row>
    <row r="41">
      <c r="A41" s="17" t="inlineStr">
        <is>
          <t>REQ-DSH-13</t>
        </is>
      </c>
      <c r="B41" s="17" t="inlineStr">
        <is>
          <t>Dashboard</t>
        </is>
      </c>
      <c r="C41"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41" s="17" t="inlineStr">
        <is>
          <t>Must</t>
        </is>
      </c>
      <c r="E41" s="17" t="inlineStr">
        <is>
          <t>R-23</t>
        </is>
      </c>
      <c r="F41" s="17" t="inlineStr">
        <is>
          <t>4</t>
        </is>
      </c>
    </row>
    <row r="42">
      <c r="A42" s="17" t="inlineStr">
        <is>
          <t>REQ-CAL-20</t>
        </is>
      </c>
      <c r="B42" s="17" t="inlineStr">
        <is>
          <t>Calculation</t>
        </is>
      </c>
      <c r="C42"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42" s="17" t="inlineStr">
        <is>
          <t>Must</t>
        </is>
      </c>
      <c r="E42" s="17" t="inlineStr">
        <is>
          <t>R-38</t>
        </is>
      </c>
      <c r="F42" s="17" t="inlineStr">
        <is>
          <t>4</t>
        </is>
      </c>
    </row>
    <row r="43">
      <c r="A43" s="17" t="inlineStr">
        <is>
          <t>REQ-CAL-19</t>
        </is>
      </c>
      <c r="B43" s="17" t="inlineStr">
        <is>
          <t>Calculation</t>
        </is>
      </c>
      <c r="C43"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43" s="17" t="inlineStr">
        <is>
          <t>Must</t>
        </is>
      </c>
      <c r="E43" s="17" t="inlineStr">
        <is>
          <t>R-31, R-32</t>
        </is>
      </c>
      <c r="F43" s="17" t="inlineStr">
        <is>
          <t>4</t>
        </is>
      </c>
    </row>
    <row r="44">
      <c r="A44" s="17" t="inlineStr">
        <is>
          <t>REQ-CAL-18</t>
        </is>
      </c>
      <c r="B44" s="17" t="inlineStr">
        <is>
          <t>Calculation</t>
        </is>
      </c>
      <c r="C44"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44" s="17" t="inlineStr">
        <is>
          <t>Must</t>
        </is>
      </c>
      <c r="E44" s="17" t="inlineStr">
        <is>
          <t>R-30</t>
        </is>
      </c>
      <c r="F44" s="17" t="inlineStr">
        <is>
          <t>4</t>
        </is>
      </c>
    </row>
    <row r="45">
      <c r="A45" s="17" t="inlineStr">
        <is>
          <t>REQ-CAL-17</t>
        </is>
      </c>
      <c r="B45" s="17" t="inlineStr">
        <is>
          <t>Calculation</t>
        </is>
      </c>
      <c r="C45"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45" s="17" t="inlineStr">
        <is>
          <t>Must</t>
        </is>
      </c>
      <c r="E45" s="17" t="inlineStr">
        <is>
          <t>R-20</t>
        </is>
      </c>
      <c r="F45" s="17" t="inlineStr">
        <is>
          <t>4</t>
        </is>
      </c>
    </row>
    <row r="46">
      <c r="A46" s="17" t="inlineStr">
        <is>
          <t>REQ-CAL-16</t>
        </is>
      </c>
      <c r="B46" s="17" t="inlineStr">
        <is>
          <t>Calculation</t>
        </is>
      </c>
      <c r="C46"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46" s="17" t="inlineStr">
        <is>
          <t>Must</t>
        </is>
      </c>
      <c r="E46" s="17" t="inlineStr">
        <is>
          <t>R-17</t>
        </is>
      </c>
      <c r="F46" s="17" t="inlineStr">
        <is>
          <t>4</t>
        </is>
      </c>
    </row>
    <row r="47">
      <c r="A47" s="17" t="inlineStr">
        <is>
          <t>REQ-CAL-15</t>
        </is>
      </c>
      <c r="B47" s="17" t="inlineStr">
        <is>
          <t>Calculation</t>
        </is>
      </c>
      <c r="C47"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47" s="17" t="inlineStr">
        <is>
          <t>Must</t>
        </is>
      </c>
      <c r="E47" s="17" t="inlineStr">
        <is>
          <t>R-15</t>
        </is>
      </c>
      <c r="F47" s="17" t="inlineStr">
        <is>
          <t>4</t>
        </is>
      </c>
    </row>
    <row r="48">
      <c r="A48" s="17" t="inlineStr">
        <is>
          <t>REQ-CAL-14</t>
        </is>
      </c>
      <c r="B48" s="17" t="inlineStr">
        <is>
          <t>Calculation</t>
        </is>
      </c>
      <c r="C48"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48" s="17" t="inlineStr">
        <is>
          <t>Must</t>
        </is>
      </c>
      <c r="E48" s="17" t="inlineStr">
        <is>
          <t>R-13</t>
        </is>
      </c>
      <c r="F48" s="17" t="inlineStr">
        <is>
          <t>4</t>
        </is>
      </c>
    </row>
    <row r="49">
      <c r="A49" s="8" t="inlineStr">
        <is>
          <t>REQ-CAL-03</t>
        </is>
      </c>
      <c r="B49" s="8" t="inlineStr">
        <is>
          <t>Calculation</t>
        </is>
      </c>
      <c r="C49" s="9" t="inlineStr">
        <is>
          <t>Project monthly load is the sum of its assignments; person monthly load is the sum across all their projects.</t>
        </is>
      </c>
      <c r="D49" s="8" t="inlineStr">
        <is>
          <t>Must</t>
        </is>
      </c>
      <c r="E49" s="8" t="inlineStr">
        <is>
          <t>Requester</t>
        </is>
      </c>
      <c r="F49" s="8" t="inlineStr">
        <is>
          <t>4</t>
        </is>
      </c>
    </row>
    <row r="50">
      <c r="A50" s="19" t="inlineStr">
        <is>
          <t>REQ-CAL-04</t>
        </is>
      </c>
      <c r="B50" s="19" t="inlineStr">
        <is>
          <t>Calculation</t>
        </is>
      </c>
      <c r="C50" s="20" t="inlineStr">
        <is>
          <t>A person-month whose total exceeds the over-allocation threshold (default 1.50 FTE) is flagged as over-allocated. The threshold is absolute, not scaled by capacity (S2-01).</t>
        </is>
      </c>
      <c r="D50" s="19" t="inlineStr">
        <is>
          <t>Must</t>
        </is>
      </c>
      <c r="E50" s="19" t="inlineStr">
        <is>
          <t>Q-08, S2-01</t>
        </is>
      </c>
      <c r="F50" s="19" t="inlineStr">
        <is>
          <t>4</t>
        </is>
      </c>
    </row>
    <row r="51">
      <c r="A51" s="19" t="inlineStr">
        <is>
          <t>REQ-CAL-05</t>
        </is>
      </c>
      <c r="B51" s="19" t="inlineStr">
        <is>
          <t>Calculation</t>
        </is>
      </c>
      <c r="C51" s="20" t="inlineStr">
        <is>
          <t>A partial first or last month is pro-rated by calendar days worked, not counted as a whole month.</t>
        </is>
      </c>
      <c r="D51" s="19" t="inlineStr">
        <is>
          <t>Must</t>
        </is>
      </c>
      <c r="E51" s="19" t="inlineStr">
        <is>
          <t>Q-02</t>
        </is>
      </c>
      <c r="F51" s="19" t="inlineStr">
        <is>
          <t>4</t>
        </is>
      </c>
    </row>
    <row r="52">
      <c r="A52" s="10" t="inlineStr">
        <is>
          <t>REQ-CAL-06</t>
        </is>
      </c>
      <c r="B52" s="10" t="inlineStr">
        <is>
          <t>Calculation</t>
        </is>
      </c>
      <c r="C52" s="11" t="inlineStr">
        <is>
          <t>All weights, factors and thresholds are data, held in the source workbook, never hardcoded in the program.</t>
        </is>
      </c>
      <c r="D52" s="10" t="inlineStr">
        <is>
          <t>Must</t>
        </is>
      </c>
      <c r="E52" s="10" t="inlineStr">
        <is>
          <t>Derived</t>
        </is>
      </c>
      <c r="F52" s="10" t="inlineStr">
        <is>
          <t>4</t>
        </is>
      </c>
    </row>
    <row r="53">
      <c r="A53" s="19" t="inlineStr">
        <is>
          <t>REQ-CAL-07</t>
        </is>
      </c>
      <c r="B53" s="19" t="inlineStr">
        <is>
          <t>Calculation</t>
        </is>
      </c>
      <c r="C53" s="20" t="inlineStr">
        <is>
          <t>A person whose monthly total stays below the under-allocation threshold (default 0.60 FTE) for three or more consecutive months is flagged as under-allocated, with the run's start and length reported. The threshold is absolute, not scaled by capacity.</t>
        </is>
      </c>
      <c r="D53" s="19" t="inlineStr">
        <is>
          <t>Must</t>
        </is>
      </c>
      <c r="E53" s="19" t="inlineStr">
        <is>
          <t>Q-08, S2-01, S2-05</t>
        </is>
      </c>
      <c r="F53" s="19" t="inlineStr">
        <is>
          <t>4</t>
        </is>
      </c>
    </row>
    <row r="54">
      <c r="A54" s="17" t="inlineStr">
        <is>
          <t>REQ-CAL-08</t>
        </is>
      </c>
      <c r="B54" s="17" t="inlineStr">
        <is>
          <t>Calculation</t>
        </is>
      </c>
      <c r="C54" s="18" t="inlineStr">
        <is>
          <t>Load is expressed in FTE, where 1.00 FTE = 160 hours per month (8 h/day x 5 days/week x 20 days/month). Hours are shown alongside FTE where useful.</t>
        </is>
      </c>
      <c r="D54" s="17" t="inlineStr">
        <is>
          <t>Must</t>
        </is>
      </c>
      <c r="E54" s="17" t="inlineStr">
        <is>
          <t>Q-08</t>
        </is>
      </c>
      <c r="F54" s="17" t="inlineStr">
        <is>
          <t>4</t>
        </is>
      </c>
    </row>
    <row r="55">
      <c r="A55" s="19" t="inlineStr">
        <is>
          <t>REQ-CAL-09</t>
        </is>
      </c>
      <c r="B55" s="19" t="inlineStr">
        <is>
          <t>Calculation</t>
        </is>
      </c>
      <c r="C55" s="20"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55" s="19" t="inlineStr">
        <is>
          <t>Must</t>
        </is>
      </c>
      <c r="E55" s="19" t="inlineStr">
        <is>
          <t>Q-16, Q-22, Q-23, Q-25</t>
        </is>
      </c>
      <c r="F55" s="19" t="inlineStr">
        <is>
          <t>2,4</t>
        </is>
      </c>
    </row>
    <row r="56">
      <c r="A56" s="17" t="inlineStr">
        <is>
          <t>REQ-CAL-10</t>
        </is>
      </c>
      <c r="B56" s="17" t="inlineStr">
        <is>
          <t>Calculation</t>
        </is>
      </c>
      <c r="C56" s="18" t="inlineStr">
        <is>
          <t>Every month of a project's timeline falls in exactly one period. A month left uncovered by the derivation is reported and carries weight 1.00 rather than being dropped from the simulation.</t>
        </is>
      </c>
      <c r="D56" s="17" t="inlineStr">
        <is>
          <t>Must</t>
        </is>
      </c>
      <c r="E56" s="17" t="inlineStr">
        <is>
          <t>Derived from Q-16</t>
        </is>
      </c>
      <c r="F56" s="17" t="inlineStr">
        <is>
          <t>2,4</t>
        </is>
      </c>
    </row>
    <row r="57">
      <c r="A57" s="19" t="inlineStr">
        <is>
          <t>REQ-CAL-11</t>
        </is>
      </c>
      <c r="B57" s="19" t="inlineStr">
        <is>
          <t>Calculation</t>
        </is>
      </c>
      <c r="C57" s="20"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57" s="19" t="inlineStr">
        <is>
          <t>Must</t>
        </is>
      </c>
      <c r="E57" s="19" t="inlineStr">
        <is>
          <t>Q-23, R-11</t>
        </is>
      </c>
      <c r="F57" s="19" t="inlineStr">
        <is>
          <t>2,4</t>
        </is>
      </c>
    </row>
    <row r="58">
      <c r="A58" s="17" t="inlineStr">
        <is>
          <t>REQ-CAL-13</t>
        </is>
      </c>
      <c r="B58" s="17" t="inlineStr">
        <is>
          <t>Calculation</t>
        </is>
      </c>
      <c r="C58" s="18" t="inlineStr">
        <is>
          <t>Where a period boundary has both a milestone and a month-offset definition, a recorded milestone date wins. The offset is the fallback for a project that does not carry that milestone.</t>
        </is>
      </c>
      <c r="D58" s="17" t="inlineStr">
        <is>
          <t>Must</t>
        </is>
      </c>
      <c r="E58" s="17" t="inlineStr">
        <is>
          <t>R-02</t>
        </is>
      </c>
      <c r="F58" s="17" t="inlineStr">
        <is>
          <t>2,4</t>
        </is>
      </c>
    </row>
    <row r="59">
      <c r="A59" s="17" t="inlineStr">
        <is>
          <t>REQ-CAL-12</t>
        </is>
      </c>
      <c r="B59" s="17" t="inlineStr">
        <is>
          <t>Calculation</t>
        </is>
      </c>
      <c r="C59" s="18" t="inlineStr">
        <is>
          <t>Where a timeline squeezes a derived period to zero or negative length, that period is omitted and the omission reported. Boundaries are applied in order so the periods always stay contiguous.</t>
        </is>
      </c>
      <c r="D59" s="17" t="inlineStr">
        <is>
          <t>Must</t>
        </is>
      </c>
      <c r="E59" s="17" t="inlineStr">
        <is>
          <t>Derived from Q-22, Q-23</t>
        </is>
      </c>
      <c r="F59" s="17" t="inlineStr">
        <is>
          <t>2,4</t>
        </is>
      </c>
    </row>
    <row r="60">
      <c r="A60" s="10" t="inlineStr">
        <is>
          <t>REQ-DSH-01</t>
        </is>
      </c>
      <c r="B60" s="10" t="inlineStr">
        <is>
          <t>Dashboard</t>
        </is>
      </c>
      <c r="C60" s="11" t="inlineStr">
        <is>
          <t>Tab 'Overall' shows monthly resource simulation per project and per person as tables.</t>
        </is>
      </c>
      <c r="D60" s="10" t="inlineStr">
        <is>
          <t>Must</t>
        </is>
      </c>
      <c r="E60" s="10" t="inlineStr">
        <is>
          <t>Requester</t>
        </is>
      </c>
      <c r="F60" s="10" t="inlineStr">
        <is>
          <t>3,4</t>
        </is>
      </c>
    </row>
    <row r="61">
      <c r="A61" s="8" t="inlineStr">
        <is>
          <t>REQ-DSH-02</t>
        </is>
      </c>
      <c r="B61" s="8" t="inlineStr">
        <is>
          <t>Dashboard</t>
        </is>
      </c>
      <c r="C61" s="9" t="inlineStr">
        <is>
          <t>Tab 'Overall' shows appropriate graphs of the same simulation.</t>
        </is>
      </c>
      <c r="D61" s="8" t="inlineStr">
        <is>
          <t>Must</t>
        </is>
      </c>
      <c r="E61" s="8" t="inlineStr">
        <is>
          <t>Requester</t>
        </is>
      </c>
      <c r="F61" s="8" t="inlineStr">
        <is>
          <t>3,4</t>
        </is>
      </c>
    </row>
    <row r="62">
      <c r="A62" s="10" t="inlineStr">
        <is>
          <t>REQ-DSH-03</t>
        </is>
      </c>
      <c r="B62" s="10" t="inlineStr">
        <is>
          <t>Dashboard</t>
        </is>
      </c>
      <c r="C62" s="11" t="inlineStr">
        <is>
          <t>Tab 'Source data (project)' shows project information as a table.</t>
        </is>
      </c>
      <c r="D62" s="10" t="inlineStr">
        <is>
          <t>Must</t>
        </is>
      </c>
      <c r="E62" s="10" t="inlineStr">
        <is>
          <t>Requester</t>
        </is>
      </c>
      <c r="F62" s="10" t="inlineStr">
        <is>
          <t>3,4</t>
        </is>
      </c>
    </row>
    <row r="63">
      <c r="A63" s="8" t="inlineStr">
        <is>
          <t>REQ-DSH-04</t>
        </is>
      </c>
      <c r="B63" s="8" t="inlineStr">
        <is>
          <t>Dashboard</t>
        </is>
      </c>
      <c r="C63" s="9" t="inlineStr">
        <is>
          <t>Tab 'Source data (person)' shows person information as a table.</t>
        </is>
      </c>
      <c r="D63" s="8" t="inlineStr">
        <is>
          <t>Must</t>
        </is>
      </c>
      <c r="E63" s="8" t="inlineStr">
        <is>
          <t>Requester</t>
        </is>
      </c>
      <c r="F63" s="8" t="inlineStr">
        <is>
          <t>3,4</t>
        </is>
      </c>
    </row>
    <row r="64">
      <c r="A64" s="19" t="inlineStr">
        <is>
          <t>REQ-DSH-05</t>
        </is>
      </c>
      <c r="B64" s="19" t="inlineStr">
        <is>
          <t>Dashboard</t>
        </is>
      </c>
      <c r="C64" s="20" t="inlineStr">
        <is>
          <t>One filter set drives every tab: date horizon, project type, clinical phase, project, person, role and department, with a single action to clear them all. The display unit is a setting, not a filter - it changes how figures are written, not which are shown.</t>
        </is>
      </c>
      <c r="D64" s="19" t="inlineStr">
        <is>
          <t>Should</t>
        </is>
      </c>
      <c r="E64" s="19" t="inlineStr">
        <is>
          <t>Derived / O-03</t>
        </is>
      </c>
      <c r="F64" s="19" t="inlineStr">
        <is>
          <t>3,4</t>
        </is>
      </c>
    </row>
    <row r="65">
      <c r="A65" s="8" t="inlineStr">
        <is>
          <t>REQ-DSH-06</t>
        </is>
      </c>
      <c r="B65" s="8" t="inlineStr">
        <is>
          <t>Dashboard</t>
        </is>
      </c>
      <c r="C65" s="9" t="inlineStr">
        <is>
          <t>Any table on screen can be exported to Excel.</t>
        </is>
      </c>
      <c r="D65" s="8" t="inlineStr">
        <is>
          <t>Should</t>
        </is>
      </c>
      <c r="E65" s="8" t="inlineStr">
        <is>
          <t>Derived</t>
        </is>
      </c>
      <c r="F65" s="8" t="inlineStr">
        <is>
          <t>4</t>
        </is>
      </c>
    </row>
    <row r="66">
      <c r="A66" s="17" t="inlineStr">
        <is>
          <t>REQ-DSH-07</t>
        </is>
      </c>
      <c r="B66" s="17" t="inlineStr">
        <is>
          <t>Dashboard</t>
        </is>
      </c>
      <c r="C66" s="18" t="inlineStr">
        <is>
          <t>The horizon control offers 24 months by default and a one-click expansion to cover the latest project end date across all projects.</t>
        </is>
      </c>
      <c r="D66" s="17" t="inlineStr">
        <is>
          <t>Must</t>
        </is>
      </c>
      <c r="E66" s="17" t="inlineStr">
        <is>
          <t>Q-11</t>
        </is>
      </c>
      <c r="F66" s="17" t="inlineStr">
        <is>
          <t>3,4</t>
        </is>
      </c>
    </row>
    <row r="67">
      <c r="A67" s="17" t="inlineStr">
        <is>
          <t>REQ-DSH-08</t>
        </is>
      </c>
      <c r="B67" s="17" t="inlineStr">
        <is>
          <t>Dashboard</t>
        </is>
      </c>
      <c r="C67" s="18" t="inlineStr">
        <is>
          <t>Over-allocated and under-allocated person-months are distinguishable at a glance, and both are counted in the summary tiles.</t>
        </is>
      </c>
      <c r="D67" s="17" t="inlineStr">
        <is>
          <t>Must</t>
        </is>
      </c>
      <c r="E67" s="17" t="inlineStr">
        <is>
          <t>Q-08</t>
        </is>
      </c>
      <c r="F67" s="17" t="inlineStr">
        <is>
          <t>3,4</t>
        </is>
      </c>
    </row>
    <row r="68">
      <c r="A68" s="19" t="inlineStr">
        <is>
          <t>REQ-DSH-09</t>
        </is>
      </c>
      <c r="B68" s="19" t="inlineStr">
        <is>
          <t>Dashboard</t>
        </is>
      </c>
      <c r="C68" s="20" t="inlineStr">
        <is>
          <t>THE PER-PERSON CHART SHOWS AN AGGREGATE OR A RANKED SUBSET rather than one bar per person, and says which it is showing. A thousand bars is not a chart, and neither is two hundred: past the point where a bar is narrower than the gap beside it the drawing stops carrying information, so the cap is on the BARS and not on the data - the remainder is rolled into one band and named, never dropped. A TABLE TALLER THAN THE VIEWPORT SCROLLS INSIDE ITS OWN PANEL, keeping its header row visible, and the page body never scrolls to reach it. Sorting, filtering and totals are computed over the whole model rather than over whatever is currently drawn - which is the property that must hold whether or not the rows are virtualised, and is therefore the one stated here. ROW VIRTUALISATION IS NOT REQUIRED AT THE VOLUME REQ-NFR-03 NAMES, and the clause that required it was removed at R-47 rather than carried as a Must nobody intended to build. Measured: the Overall pair renders 252 rows x 60 months in 810 ms against a 1,000 ms budget, and the budget is first crossed at about 400 people. Virtualisation becomes a requirement if and when a volume past that is asked for; until then it would change no number a user feels, and the measurement that says so is reproducible from two commands.</t>
        </is>
      </c>
      <c r="D68" s="19" t="inlineStr">
        <is>
          <t>Must</t>
        </is>
      </c>
      <c r="E68" s="19" t="inlineStr">
        <is>
          <t>S2-06, R-47</t>
        </is>
      </c>
      <c r="F68" s="19" t="inlineStr">
        <is>
          <t>3,4</t>
        </is>
      </c>
    </row>
    <row r="69">
      <c r="A69" s="19" t="inlineStr">
        <is>
          <t>REQ-DSH-10</t>
        </is>
      </c>
      <c r="B69" s="19" t="inlineStr">
        <is>
          <t>Dashboard</t>
        </is>
      </c>
      <c r="C69" s="20"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9" s="19" t="inlineStr">
        <is>
          <t>Must</t>
        </is>
      </c>
      <c r="E69" s="19" t="inlineStr">
        <is>
          <t>S2-04, R-11</t>
        </is>
      </c>
      <c r="F69" s="19" t="inlineStr">
        <is>
          <t>3,4</t>
        </is>
      </c>
    </row>
    <row r="70">
      <c r="A70" s="17" t="inlineStr">
        <is>
          <t>REQ-DSH-12</t>
        </is>
      </c>
      <c r="B70" s="17" t="inlineStr">
        <is>
          <t>Dashboard</t>
        </is>
      </c>
      <c r="C70"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70" s="17" t="inlineStr">
        <is>
          <t>Should</t>
        </is>
      </c>
      <c r="E70" s="17" t="inlineStr">
        <is>
          <t>Reviewer v0.7</t>
        </is>
      </c>
      <c r="F70" s="17" t="inlineStr">
        <is>
          <t>3,4</t>
        </is>
      </c>
    </row>
    <row r="71">
      <c r="A71" s="17" t="inlineStr">
        <is>
          <t>REQ-DSH-11</t>
        </is>
      </c>
      <c r="B71" s="17" t="inlineStr">
        <is>
          <t>Dashboard</t>
        </is>
      </c>
      <c r="C71" s="18" t="inlineStr">
        <is>
          <t>The standing assumptions the simulation multiplies by - standard period weights, role factors, configuration and value lists - are presented on their own tab, so a reader can see what every figure was derived from without opening the workbook.</t>
        </is>
      </c>
      <c r="D71" s="17" t="inlineStr">
        <is>
          <t>Must</t>
        </is>
      </c>
      <c r="E71" s="17" t="inlineStr">
        <is>
          <t>G-07</t>
        </is>
      </c>
      <c r="F71" s="17" t="inlineStr">
        <is>
          <t>3,4</t>
        </is>
      </c>
    </row>
    <row r="72">
      <c r="A72" s="19" t="inlineStr">
        <is>
          <t>REQ-IMP-01</t>
        </is>
      </c>
      <c r="B72" s="19" t="inlineStr">
        <is>
          <t>Import/Export</t>
        </is>
      </c>
      <c r="C72" s="20" t="inlineStr">
        <is>
          <t>The user loads the source workbook through a file picker or drag-and-drop, chosen because a local HTML page cannot open a file from disk unaided.</t>
        </is>
      </c>
      <c r="D72" s="19" t="inlineStr">
        <is>
          <t>Must</t>
        </is>
      </c>
      <c r="E72" s="19" t="inlineStr">
        <is>
          <t>Decision D-01</t>
        </is>
      </c>
      <c r="F72" s="19" t="inlineStr">
        <is>
          <t>4</t>
        </is>
      </c>
    </row>
    <row r="73">
      <c r="A73" s="8" t="inlineStr">
        <is>
          <t>REQ-IMP-02</t>
        </is>
      </c>
      <c r="B73" s="8" t="inlineStr">
        <is>
          <t>Import/Export</t>
        </is>
      </c>
      <c r="C73" s="9" t="inlineStr">
        <is>
          <t>Loading validates the workbook and reports every problem found - missing sheet, missing column, bad date, unknown project reference - without stopping at the first one.</t>
        </is>
      </c>
      <c r="D73" s="8" t="inlineStr">
        <is>
          <t>Must</t>
        </is>
      </c>
      <c r="E73" s="8" t="inlineStr">
        <is>
          <t>Derived</t>
        </is>
      </c>
      <c r="F73" s="8" t="inlineStr">
        <is>
          <t>4</t>
        </is>
      </c>
    </row>
    <row r="74">
      <c r="A74" s="19" t="inlineStr">
        <is>
          <t>REQ-IMP-03</t>
        </is>
      </c>
      <c r="B74" s="19" t="inlineStr">
        <is>
          <t>Import/Export</t>
        </is>
      </c>
      <c r="C74" s="20" t="inlineStr">
        <is>
          <t>A blank source workbook template with correct sheet names, headers, value lists and one example row is delivered with the application.</t>
        </is>
      </c>
      <c r="D74" s="19" t="inlineStr">
        <is>
          <t>Must</t>
        </is>
      </c>
      <c r="E74" s="19" t="inlineStr">
        <is>
          <t>Derived</t>
        </is>
      </c>
      <c r="F74" s="19" t="inlineStr">
        <is>
          <t>4</t>
        </is>
      </c>
    </row>
    <row r="75">
      <c r="A75" s="8" t="inlineStr">
        <is>
          <t>REQ-IMP-04</t>
        </is>
      </c>
      <c r="B75" s="8" t="inlineStr">
        <is>
          <t>Import/Export</t>
        </is>
      </c>
      <c r="C75" s="9" t="inlineStr">
        <is>
          <t>The user can export current data back to .xlsx, preserving the template layout so the export can be re-imported.</t>
        </is>
      </c>
      <c r="D75" s="8" t="inlineStr">
        <is>
          <t>Must</t>
        </is>
      </c>
      <c r="E75" s="8" t="inlineStr">
        <is>
          <t>Derived</t>
        </is>
      </c>
      <c r="F75" s="8" t="inlineStr">
        <is>
          <t>4</t>
        </is>
      </c>
    </row>
    <row r="76">
      <c r="A76" s="19" t="inlineStr">
        <is>
          <t>REQ-IMP-05</t>
        </is>
      </c>
      <c r="B76" s="19" t="inlineStr">
        <is>
          <t>Import/Export</t>
        </is>
      </c>
      <c r="C76" s="20" t="inlineStr">
        <is>
          <t>The application records which file was loaded and when, and shows it on screen with its time zone - a bare timestamp is ambiguous to anyone reading it from another country.</t>
        </is>
      </c>
      <c r="D76" s="19" t="inlineStr">
        <is>
          <t>Should</t>
        </is>
      </c>
      <c r="E76" s="19" t="inlineStr">
        <is>
          <t>Derived / G-02</t>
        </is>
      </c>
      <c r="F76" s="19" t="inlineStr">
        <is>
          <t>4</t>
        </is>
      </c>
    </row>
    <row r="77">
      <c r="A77" s="8" t="inlineStr">
        <is>
          <t>REQ-IMP-06</t>
        </is>
      </c>
      <c r="B77" s="8" t="inlineStr">
        <is>
          <t>Import/Export</t>
        </is>
      </c>
      <c r="C77" s="9" t="inlineStr">
        <is>
          <t>Loaded data may be cached in the browser so re-opening the page does not force a re-import; the cache never replaces the workbook as the record.</t>
        </is>
      </c>
      <c r="D77" s="8" t="inlineStr">
        <is>
          <t>Could</t>
        </is>
      </c>
      <c r="E77" s="8" t="inlineStr">
        <is>
          <t>Derived</t>
        </is>
      </c>
      <c r="F77" s="8" t="inlineStr">
        <is>
          <t>4</t>
        </is>
      </c>
    </row>
    <row r="78">
      <c r="A78" s="17" t="inlineStr">
        <is>
          <t>REQ-IMP-07</t>
        </is>
      </c>
      <c r="B78" s="17" t="inlineStr">
        <is>
          <t>Import/Export</t>
        </is>
      </c>
      <c r="C78" s="18" t="inlineStr">
        <is>
          <t>After import, the application lets the user update the data on screen, and those updates are carried into the file produced on export.</t>
        </is>
      </c>
      <c r="D78" s="17" t="inlineStr">
        <is>
          <t>Must</t>
        </is>
      </c>
      <c r="E78" s="17" t="inlineStr">
        <is>
          <t>Reviewer v0.11</t>
        </is>
      </c>
      <c r="F78" s="17" t="inlineStr">
        <is>
          <t>4</t>
        </is>
      </c>
    </row>
    <row r="79">
      <c r="A79" s="17" t="inlineStr">
        <is>
          <t>REQ-IMP-08</t>
        </is>
      </c>
      <c r="B79" s="17" t="inlineStr">
        <is>
          <t>Import/Export</t>
        </is>
      </c>
      <c r="C79" s="18" t="inlineStr">
        <is>
          <t>Unsaved edits are visible as such, and the user is warned before any action that would discard them (closing the page, loading another file).</t>
        </is>
      </c>
      <c r="D79" s="17" t="inlineStr">
        <is>
          <t>Must</t>
        </is>
      </c>
      <c r="E79" s="17" t="inlineStr">
        <is>
          <t>Derived from REQ-IMP-07</t>
        </is>
      </c>
      <c r="F79" s="17" t="inlineStr">
        <is>
          <t>4</t>
        </is>
      </c>
    </row>
    <row r="80">
      <c r="A80" s="19" t="inlineStr">
        <is>
          <t>REQ-IMP-09</t>
        </is>
      </c>
      <c r="B80" s="19" t="inlineStr">
        <is>
          <t>Import/Export</t>
        </is>
      </c>
      <c r="C80" s="20" t="inlineStr">
        <is>
          <t>Every field is editable, including identifiers. An on-screen edit is re-validated against the same rules as an imported value, so editing cannot introduce data the import would have rejected.</t>
        </is>
      </c>
      <c r="D80" s="19" t="inlineStr">
        <is>
          <t>Must</t>
        </is>
      </c>
      <c r="E80" s="19" t="inlineStr">
        <is>
          <t>Q-20</t>
        </is>
      </c>
      <c r="F80" s="19" t="inlineStr">
        <is>
          <t>4</t>
        </is>
      </c>
    </row>
    <row r="81">
      <c r="A81" s="17" t="inlineStr">
        <is>
          <t>REQ-IMP-10</t>
        </is>
      </c>
      <c r="B81" s="17" t="inlineStr">
        <is>
          <t>Import/Export</t>
        </is>
      </c>
      <c r="C81" s="18" t="inlineStr">
        <is>
          <t>Editing an identifier that other sheets reference cascades to every referencing row, after showing how many rows will change. Deleting a referenced row is refused, naming what still points at it.</t>
        </is>
      </c>
      <c r="D81" s="17" t="inlineStr">
        <is>
          <t>Must</t>
        </is>
      </c>
      <c r="E81" s="17" t="inlineStr">
        <is>
          <t>Q-20</t>
        </is>
      </c>
      <c r="F81" s="17" t="inlineStr">
        <is>
          <t>4</t>
        </is>
      </c>
    </row>
    <row r="82">
      <c r="A82" s="17" t="inlineStr">
        <is>
          <t>REQ-IMP-14</t>
        </is>
      </c>
      <c r="B82" s="17" t="inlineStr">
        <is>
          <t>Import/Export</t>
        </is>
      </c>
      <c r="C82"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82" s="17" t="inlineStr">
        <is>
          <t>Must</t>
        </is>
      </c>
      <c r="E82" s="17" t="inlineStr">
        <is>
          <t>R-28</t>
        </is>
      </c>
      <c r="F82" s="17" t="inlineStr">
        <is>
          <t>4</t>
        </is>
      </c>
    </row>
    <row r="83">
      <c r="A83" s="17" t="inlineStr">
        <is>
          <t>REQ-OUT-06</t>
        </is>
      </c>
      <c r="B83" s="17" t="inlineStr">
        <is>
          <t>Output</t>
        </is>
      </c>
      <c r="C83"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 SINCE R-55 IT ALSO SAYS WHAT EACH PROJECT NEEDS: every project-month carries its demand, its staffed figure, the gap between the two and the direction of the gap, once per project-month, so nobody has to derive demand from the detail rows, where it repeats on every row of the month; a month the periods ask for and nobody is on is a row of its own, because the largest shortfall must not be the one the file cannot show; the gap is the WHOLE project's whatever filter is on; and the flags carry project runs short of, over and unallocated against the standard beside the person flags. Every month a person is employed and on nothing is a person-month row of its own, at 0, so the file shows spare capacity as well as overload.</t>
        </is>
      </c>
      <c r="D83" s="17" t="inlineStr">
        <is>
          <t>Must</t>
        </is>
      </c>
      <c r="E83" s="17" t="inlineStr">
        <is>
          <t>R-29</t>
        </is>
      </c>
      <c r="F83" s="17" t="inlineStr">
        <is>
          <t>4</t>
        </is>
      </c>
    </row>
    <row r="84">
      <c r="A84" s="17" t="inlineStr">
        <is>
          <t>REQ-IMP-12</t>
        </is>
      </c>
      <c r="B84" s="17" t="inlineStr">
        <is>
          <t>Import/Export</t>
        </is>
      </c>
      <c r="C84"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84" s="17" t="inlineStr">
        <is>
          <t>Should</t>
        </is>
      </c>
      <c r="E84" s="17" t="inlineStr">
        <is>
          <t>R-21</t>
        </is>
      </c>
      <c r="F84" s="17" t="inlineStr">
        <is>
          <t>4</t>
        </is>
      </c>
    </row>
    <row r="85">
      <c r="A85" s="17" t="inlineStr">
        <is>
          <t>REQ-IMP-13</t>
        </is>
      </c>
      <c r="B85" s="17" t="inlineStr">
        <is>
          <t>Import/Export</t>
        </is>
      </c>
      <c r="C85"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85" s="17" t="inlineStr">
        <is>
          <t>Must</t>
        </is>
      </c>
      <c r="E85" s="17" t="inlineStr">
        <is>
          <t>R-25</t>
        </is>
      </c>
      <c r="F85" s="17" t="inlineStr">
        <is>
          <t>4</t>
        </is>
      </c>
    </row>
    <row r="86">
      <c r="A86" s="17" t="inlineStr">
        <is>
          <t>REQ-IMP-11</t>
        </is>
      </c>
      <c r="B86" s="17" t="inlineStr">
        <is>
          <t>Import/Export</t>
        </is>
      </c>
      <c r="C86" s="18" t="inlineStr">
        <is>
          <t>A new row can be inserted into any editable table, positioned immediately below the row the user acts on rather than appended at the end, and validated on entry like any other edit.</t>
        </is>
      </c>
      <c r="D86" s="17" t="inlineStr">
        <is>
          <t>Must</t>
        </is>
      </c>
      <c r="E86" s="17" t="inlineStr">
        <is>
          <t>P-01, S-01</t>
        </is>
      </c>
      <c r="F86" s="17" t="inlineStr">
        <is>
          <t>4</t>
        </is>
      </c>
    </row>
    <row r="87">
      <c r="A87" s="8" t="inlineStr">
        <is>
          <t>REQ-VC-01</t>
        </is>
      </c>
      <c r="B87" s="8" t="inlineStr">
        <is>
          <t>Version control</t>
        </is>
      </c>
      <c r="C87" s="9" t="inlineStr">
        <is>
          <t>Development plan, programming specification and output files are version-controlled together and their versions are cross-referenced.</t>
        </is>
      </c>
      <c r="D87" s="8" t="inlineStr">
        <is>
          <t>Must</t>
        </is>
      </c>
      <c r="E87" s="8" t="inlineStr">
        <is>
          <t>Requester</t>
        </is>
      </c>
      <c r="F87" s="8" t="inlineStr">
        <is>
          <t>1-5</t>
        </is>
      </c>
    </row>
    <row r="88">
      <c r="A88" s="10" t="inlineStr">
        <is>
          <t>REQ-VC-02</t>
        </is>
      </c>
      <c r="B88" s="10" t="inlineStr">
        <is>
          <t>Version control</t>
        </is>
      </c>
      <c r="C88" s="11" t="inlineStr">
        <is>
          <t>The application displays its own version, and the version of the source data schema it expects.</t>
        </is>
      </c>
      <c r="D88" s="10" t="inlineStr">
        <is>
          <t>Must</t>
        </is>
      </c>
      <c r="E88" s="10" t="inlineStr">
        <is>
          <t>Requester</t>
        </is>
      </c>
      <c r="F88" s="10" t="inlineStr">
        <is>
          <t>4</t>
        </is>
      </c>
    </row>
    <row r="89">
      <c r="A89" s="8" t="inlineStr">
        <is>
          <t>REQ-VC-03</t>
        </is>
      </c>
      <c r="B89" s="8" t="inlineStr">
        <is>
          <t>Version control</t>
        </is>
      </c>
      <c r="C89" s="9" t="inlineStr">
        <is>
          <t>Loading a source file whose schema version is newer or older than the application expects produces a clear warning.</t>
        </is>
      </c>
      <c r="D89" s="8" t="inlineStr">
        <is>
          <t>Should</t>
        </is>
      </c>
      <c r="E89" s="8" t="inlineStr">
        <is>
          <t>Derived</t>
        </is>
      </c>
      <c r="F89" s="8" t="inlineStr">
        <is>
          <t>4</t>
        </is>
      </c>
    </row>
    <row r="90">
      <c r="A90" s="10" t="inlineStr">
        <is>
          <t>REQ-VC-04</t>
        </is>
      </c>
      <c r="B90" s="10" t="inlineStr">
        <is>
          <t>Version control</t>
        </is>
      </c>
      <c r="C90" s="11" t="inlineStr">
        <is>
          <t>Every document re-issue adds a version-history row stating what changed and why.</t>
        </is>
      </c>
      <c r="D90" s="10" t="inlineStr">
        <is>
          <t>Must</t>
        </is>
      </c>
      <c r="E90" s="10" t="inlineStr">
        <is>
          <t>Requester</t>
        </is>
      </c>
      <c r="F90" s="10" t="inlineStr">
        <is>
          <t>1-5</t>
        </is>
      </c>
    </row>
    <row r="91">
      <c r="A91" s="8" t="inlineStr">
        <is>
          <t>REQ-NFR-01</t>
        </is>
      </c>
      <c r="B91" s="8" t="inlineStr">
        <is>
          <t>Non-functional</t>
        </is>
      </c>
      <c r="C91" s="9" t="inlineStr">
        <is>
          <t>The application is built so later requirements can be added without restructuring: parsing, calculation and presentation are separated.</t>
        </is>
      </c>
      <c r="D91" s="8" t="inlineStr">
        <is>
          <t>Must</t>
        </is>
      </c>
      <c r="E91" s="8" t="inlineStr">
        <is>
          <t>Requester</t>
        </is>
      </c>
      <c r="F91" s="8" t="inlineStr">
        <is>
          <t>4</t>
        </is>
      </c>
    </row>
    <row r="92">
      <c r="A92" s="10" t="inlineStr">
        <is>
          <t>REQ-NFR-02</t>
        </is>
      </c>
      <c r="B92" s="10" t="inlineStr">
        <is>
          <t>Non-functional</t>
        </is>
      </c>
      <c r="C92" s="11" t="inlineStr">
        <is>
          <t>Works in Microsoft Edge and Google Chrome on Windows 10/11, offline.</t>
        </is>
      </c>
      <c r="D92" s="10" t="inlineStr">
        <is>
          <t>Must</t>
        </is>
      </c>
      <c r="E92" s="10" t="inlineStr">
        <is>
          <t>Q-05</t>
        </is>
      </c>
      <c r="F92" s="10" t="inlineStr">
        <is>
          <t>4</t>
        </is>
      </c>
    </row>
    <row r="93">
      <c r="A93" s="19" t="inlineStr">
        <is>
          <t>REQ-NFR-03</t>
        </is>
      </c>
      <c r="B93" s="19" t="inlineStr">
        <is>
          <t>Non-functional</t>
        </is>
      </c>
      <c r="C93" s="20" t="inlineStr">
        <is>
          <t>HANDLES 100 PROJECTS AND 150 PEOPLE over a 60-month horizon, with the assignments that implies (order 1,000). MEASURED AT THAT VOLUME, NOT ESTIMATED (tools/build_stress_workbook.py builds the fixture, tools/measure_scale.py drives it): switching to the Overall tab takes 810 ms against a 1,000 ms budget, worst case 894; import 1,182 ms against 5,000; one cell edit 60 ms and opening a column filter 51 ms, each against 1,000 and 600. The budgets were fixed before any number was seen. THE BINDING COST IS THE OVERALL PAIR, whose two tables are (projects + people) rows x horizon months - 252 rows x 60 months here - so the figure to re-measure against is the ROW COUNT and the HORIZON together, not the project count alone. 100 x 150 is the largest volume measured whose WORST case is still inside budget: 100 x 200 medians 981 ms and peaks at 1,225, which is over. The budget is crossed at about 400 people, and only beyond that does row virtualisation become necessary - see REQ-DSH-09. AMENDED AT R-47 from 100 projects and 1,000 people, a figure set at S2-06 and never measured. At 1,000 people the tab takes 3,058 ms; but about half the overage is the CALCULATION - 180,160 person-months - which virtualisation cannot reach, so that volume was never one requirement away from working.</t>
        </is>
      </c>
      <c r="D93" s="19" t="inlineStr">
        <is>
          <t>Must</t>
        </is>
      </c>
      <c r="E93" s="19" t="inlineStr">
        <is>
          <t>S2-06, R-47</t>
        </is>
      </c>
      <c r="F93" s="19" t="inlineStr">
        <is>
          <t>4</t>
        </is>
      </c>
    </row>
    <row r="94">
      <c r="A94" s="10" t="inlineStr">
        <is>
          <t>REQ-NFR-04</t>
        </is>
      </c>
      <c r="B94" s="10" t="inlineStr">
        <is>
          <t>Non-functional</t>
        </is>
      </c>
      <c r="C94" s="11" t="inlineStr">
        <is>
          <t>No data leaves the PC: no network calls, no external CDN, no telemetry.</t>
        </is>
      </c>
      <c r="D94" s="10" t="inlineStr">
        <is>
          <t>Must</t>
        </is>
      </c>
      <c r="E94" s="10" t="inlineStr">
        <is>
          <t>Derived</t>
        </is>
      </c>
      <c r="F94" s="10" t="inlineStr">
        <is>
          <t>4</t>
        </is>
      </c>
    </row>
    <row r="95">
      <c r="A95" s="8" t="inlineStr">
        <is>
          <t>REQ-NFR-05</t>
        </is>
      </c>
      <c r="B95" s="8" t="inlineStr">
        <is>
          <t>Non-functional</t>
        </is>
      </c>
      <c r="C95" s="9" t="inlineStr">
        <is>
          <t>Dates are handled unambiguously (ISO yyyy-mm-dd internally) regardless of Windows regional settings.</t>
        </is>
      </c>
      <c r="D95" s="8" t="inlineStr">
        <is>
          <t>Must</t>
        </is>
      </c>
      <c r="E95" s="8" t="inlineStr">
        <is>
          <t>Derived</t>
        </is>
      </c>
      <c r="F95" s="8" t="inlineStr">
        <is>
          <t>4</t>
        </is>
      </c>
    </row>
    <row r="97">
      <c r="A97" s="5" t="inlineStr">
        <is>
          <t>Requirement count by priority</t>
        </is>
      </c>
    </row>
    <row r="98" ht="28" customHeight="1">
      <c r="A98" s="7" t="inlineStr">
        <is>
          <t>Priority</t>
        </is>
      </c>
      <c r="B98" s="7" t="inlineStr">
        <is>
          <t>Count</t>
        </is>
      </c>
    </row>
    <row r="99">
      <c r="A99" s="8" t="inlineStr">
        <is>
          <t>Must</t>
        </is>
      </c>
      <c r="B99" s="8">
        <f>COUNTIF(D5:D95,"Must")</f>
        <v/>
      </c>
    </row>
    <row r="100">
      <c r="A100" s="10" t="inlineStr">
        <is>
          <t>Should</t>
        </is>
      </c>
      <c r="B100" s="10">
        <f>COUNTIF(D5:D95,"Should")</f>
        <v/>
      </c>
    </row>
    <row r="101">
      <c r="A101" s="8" t="inlineStr">
        <is>
          <t>Could</t>
        </is>
      </c>
      <c r="B101" s="8">
        <f>COUNTIF(D5:D95,"Could")</f>
        <v/>
      </c>
    </row>
    <row r="102">
      <c r="A102" s="10" t="inlineStr">
        <is>
          <t>Total</t>
        </is>
      </c>
      <c r="B102" s="10">
        <f>COUNTA(A5:A95)</f>
        <v/>
      </c>
    </row>
    <row r="104">
      <c r="A104" s="16" t="inlineStr">
        <is>
          <t>47 requirements at v0.1, 58 at v0.2, 61 at v0.3, 63 at v0.4 and v1.0. v1.1 adds 2 and rewords 3, as a change against the approved baseline.</t>
        </is>
      </c>
    </row>
    <row r="105">
      <c r="A105" s="16" t="inlineStr">
        <is>
          <t>'Source' = Requester (in the original request), a Q-number (answered at v0.11 review), 'Reviewer v0.11' (added by the reviewer directly), Derived (engineering consequence), or a Decision ID from 07_Architecture.</t>
        </is>
      </c>
    </row>
    <row r="106">
      <c r="A106" s="3" t="inlineStr">
        <is>
          <t>Legend</t>
        </is>
      </c>
    </row>
    <row r="107">
      <c r="A107" s="12" t="inlineStr">
        <is>
          <t>Green = new in v0.2, added from your review answers.</t>
        </is>
      </c>
    </row>
    <row r="108">
      <c r="A108" s="13" t="inlineStr">
        <is>
          <t>Orange = changed in v0.2 as a consequence of your review.</t>
        </is>
      </c>
    </row>
    <row r="109">
      <c r="A109" s="14" t="inlineStr">
        <is>
          <t>Yellow = still needs your input.</t>
        </is>
      </c>
    </row>
  </sheetData>
  <dataValidations count="1">
    <dataValidation sqref="D5:D95"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8"/>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9" t="inlineStr">
        <is>
          <t>PeriodFTEStandard</t>
        </is>
      </c>
      <c r="B9" s="20" t="inlineStr">
        <is>
          <t>THE STANDARD MONTHLY FTE per project type, phase, work scope and period - where every figure gets its size (REQ-CAL-19).</t>
        </is>
      </c>
      <c r="C9" s="19" t="inlineStr">
        <is>
          <t>Reference</t>
        </is>
      </c>
    </row>
    <row r="10">
      <c r="A10" s="19" t="inlineStr">
        <is>
          <t>RoleFactor</t>
        </is>
      </c>
      <c r="B10" s="20" t="inlineStr">
        <is>
          <t>Role burden factor, per project type, clinical phase and period.</t>
        </is>
      </c>
      <c r="C10" s="19"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19" t="inlineStr">
        <is>
          <t>project_type</t>
        </is>
      </c>
      <c r="B22" s="19" t="inlineStr">
        <is>
          <t>List</t>
        </is>
      </c>
      <c r="C22" s="19" t="inlineStr">
        <is>
          <t>Yes</t>
        </is>
      </c>
      <c r="D22" s="20"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19"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19" t="inlineStr">
        <is>
          <t>work_scope_type</t>
        </is>
      </c>
      <c r="B25" s="19" t="inlineStr">
        <is>
          <t>List</t>
        </is>
      </c>
      <c r="C25" s="19" t="inlineStr">
        <is>
          <t>Yes</t>
        </is>
      </c>
      <c r="D25" s="20"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19" t="inlineStr">
        <is>
          <t>R-12, R-16</t>
        </is>
      </c>
    </row>
    <row r="26">
      <c r="A26" s="19" t="inlineStr">
        <is>
          <t>outsourcing_scope_det</t>
        </is>
      </c>
      <c r="B26" s="19" t="inlineStr">
        <is>
          <t>Text</t>
        </is>
      </c>
      <c r="C26" s="19" t="inlineStr">
        <is>
          <t>No</t>
        </is>
      </c>
      <c r="D26" s="20"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19"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19" t="inlineStr">
        <is>
          <t>milestone_name</t>
        </is>
      </c>
      <c r="B47" s="19" t="inlineStr">
        <is>
          <t>List</t>
        </is>
      </c>
      <c r="C47" s="19" t="inlineStr">
        <is>
          <t>Yes</t>
        </is>
      </c>
      <c r="D47" s="20"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19" t="inlineStr">
        <is>
          <t>REQ-PRJ-05, REQ-PRJ-13</t>
        </is>
      </c>
    </row>
    <row r="48">
      <c r="A48" s="10" t="inlineStr">
        <is>
          <t>milestone_date</t>
        </is>
      </c>
      <c r="B48" s="10" t="inlineStr">
        <is>
          <t>Date</t>
        </is>
      </c>
      <c r="C48" s="10" t="inlineStr">
        <is>
          <t>Yes</t>
        </is>
      </c>
      <c r="D48" s="11" t="inlineStr">
        <is>
          <t>Planned date.</t>
        </is>
      </c>
      <c r="E48" s="10" t="inlineStr">
        <is>
          <t>REQ-PRJ-05</t>
        </is>
      </c>
    </row>
    <row r="49">
      <c r="A49" s="17" t="inlineStr">
        <is>
          <t>milestone_highlight</t>
        </is>
      </c>
      <c r="B49" s="17" t="inlineStr">
        <is>
          <t>List</t>
        </is>
      </c>
      <c r="C49" s="17" t="inlineStr">
        <is>
          <t>No</t>
        </is>
      </c>
      <c r="D49" s="18" t="inlineStr">
        <is>
          <t>OPTIONAL, schema 13. Marks this milestone on every Project timeline in a colour - the Overall tab's and the project's own. Held in Lists ('Highlight (Red)' and four more); what is read is the COLOUR WORD inside the value, so a team may add what their colour means and keep both. Empty means no mark, which is what every milestone was before schema 13. A value naming no colour is reported as V-37 and drawn unmarked.</t>
        </is>
      </c>
      <c r="E49" s="17" t="inlineStr">
        <is>
          <t>REQ-PRJ-14</t>
        </is>
      </c>
    </row>
    <row r="50">
      <c r="A50" s="10" t="inlineStr">
        <is>
          <t>milestone_seq</t>
        </is>
      </c>
      <c r="B50" s="10" t="inlineStr">
        <is>
          <t>Integer</t>
        </is>
      </c>
      <c r="C50" s="10" t="inlineStr">
        <is>
          <t>No</t>
        </is>
      </c>
      <c r="D50" s="11" t="inlineStr">
        <is>
          <t>Carried in the file and kept on export; allocated on insert. It ORDERS NOTHING - both engines place a milestone on the timeline by its date - and since R-54 the application does not draw it.</t>
        </is>
      </c>
      <c r="E50" s="10" t="inlineStr">
        <is>
          <t>REQ-PRJ-05</t>
        </is>
      </c>
    </row>
    <row r="51">
      <c r="A51" s="17" t="inlineStr">
        <is>
          <t>note_1</t>
        </is>
      </c>
      <c r="B51" s="17" t="inlineStr">
        <is>
          <t>Text</t>
        </is>
      </c>
      <c r="C51" s="17" t="inlineStr">
        <is>
          <t>No</t>
        </is>
      </c>
      <c r="D51" s="18" t="inlineStr">
        <is>
          <t>Free extension column.</t>
        </is>
      </c>
      <c r="E51" s="17" t="inlineStr">
        <is>
          <t>REQ-PRJ-07</t>
        </is>
      </c>
    </row>
    <row r="53">
      <c r="A53"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4">
      <c r="A54" s="5" t="inlineStr">
        <is>
          <t>Sheet: ProjectPeriod  [was ProjectPeriodWeight]</t>
        </is>
      </c>
    </row>
    <row r="55" ht="28" customHeight="1">
      <c r="A55" s="7" t="inlineStr">
        <is>
          <t>Column</t>
        </is>
      </c>
      <c r="B55" s="7" t="inlineStr">
        <is>
          <t>Type</t>
        </is>
      </c>
      <c r="C55" s="7" t="inlineStr">
        <is>
          <t>Required</t>
        </is>
      </c>
      <c r="D55" s="7" t="inlineStr">
        <is>
          <t>Definition / rule</t>
        </is>
      </c>
      <c r="E55" s="7" t="inlineStr">
        <is>
          <t>REQ-ID</t>
        </is>
      </c>
    </row>
    <row r="56">
      <c r="A56" s="8" t="inlineStr">
        <is>
          <t>project_id</t>
        </is>
      </c>
      <c r="B56" s="8" t="inlineStr">
        <is>
          <t>Text</t>
        </is>
      </c>
      <c r="C56" s="8" t="inlineStr">
        <is>
          <t>Yes</t>
        </is>
      </c>
      <c r="D56" s="9" t="inlineStr">
        <is>
          <t>Foreign key to Project.</t>
        </is>
      </c>
      <c r="E56" s="8" t="inlineStr">
        <is>
          <t>REQ-PRJ-06</t>
        </is>
      </c>
    </row>
    <row r="57">
      <c r="A57" s="19" t="inlineStr">
        <is>
          <t>period_name</t>
        </is>
      </c>
      <c r="B57" s="19" t="inlineStr">
        <is>
          <t>List</t>
        </is>
      </c>
      <c r="C57" s="19" t="inlineStr">
        <is>
          <t>Yes</t>
        </is>
      </c>
      <c r="D57" s="20" t="inlineStr">
        <is>
          <t>From the period set for the project's TYPE - see the two sets below. A period name from the wrong set is rejected. UNIQUE within a project since R-11, so (project_id, period_name) is the key.</t>
        </is>
      </c>
      <c r="E57" s="19" t="inlineStr">
        <is>
          <t>REQ-PRJ-12, REQ-CAL-11, R-11</t>
        </is>
      </c>
    </row>
    <row r="58">
      <c r="A58" s="19" t="inlineStr">
        <is>
          <t>period_seq</t>
        </is>
      </c>
      <c r="B58" s="19" t="inlineStr">
        <is>
          <t>Integer</t>
        </is>
      </c>
      <c r="C58" s="19" t="inlineStr">
        <is>
          <t>Yes</t>
        </is>
      </c>
      <c r="D58" s="20" t="inlineStr">
        <is>
          <t>Orders the periods along the timeline. Unique within a project. No longer part of the key - it carries order, not identity (R-11).</t>
        </is>
      </c>
      <c r="E58" s="19" t="inlineStr">
        <is>
          <t>REQ-CAL-11</t>
        </is>
      </c>
    </row>
    <row r="59">
      <c r="A59" s="19" t="inlineStr">
        <is>
          <t>period_start</t>
        </is>
      </c>
      <c r="B59" s="19" t="inlineStr">
        <is>
          <t>Date</t>
        </is>
      </c>
      <c r="C59" s="19" t="inlineStr">
        <is>
          <t>Yes</t>
        </is>
      </c>
      <c r="D59" s="20" t="inlineStr">
        <is>
          <t>Inclusive. For Clinical Trial, computed from milestones (sheet 05) and then editable. For Others, entered directly.</t>
        </is>
      </c>
      <c r="E59" s="19" t="inlineStr">
        <is>
          <t>REQ-CAL-09</t>
        </is>
      </c>
    </row>
    <row r="60">
      <c r="A60" s="19" t="inlineStr">
        <is>
          <t>period_end</t>
        </is>
      </c>
      <c r="B60" s="19" t="inlineStr">
        <is>
          <t>Date</t>
        </is>
      </c>
      <c r="C60" s="19" t="inlineStr">
        <is>
          <t>Yes</t>
        </is>
      </c>
      <c r="D60" s="20" t="inlineStr">
        <is>
          <t>Inclusive. Periods for one project must not overlap and must leave no gap (REQ-CAL-10).</t>
        </is>
      </c>
      <c r="E60" s="19" t="inlineStr">
        <is>
          <t>REQ-CAL-09</t>
        </is>
      </c>
    </row>
    <row r="61">
      <c r="A61" s="17" t="inlineStr">
        <is>
          <t>period_highlight</t>
        </is>
      </c>
      <c r="B61" s="17" t="inlineStr">
        <is>
          <t>List</t>
        </is>
      </c>
      <c r="C61" s="17" t="inlineStr">
        <is>
          <t>No</t>
        </is>
      </c>
      <c r="D61" s="18" t="inlineStr">
        <is>
          <t>OPTIONAL, schema 14. The colour this period is drawn in on every Project timeline. Held in Lists (period_highlight: 'Highlight (Red)' and four more); what is read is the COLOUR WORD inside the value. Empty means GRAY, shaded by weight. A value naming no colour is reported as V-38 and drawn gray.</t>
        </is>
      </c>
      <c r="E61" s="17" t="inlineStr">
        <is>
          <t>REQ-PRJ-15</t>
        </is>
      </c>
    </row>
    <row r="62">
      <c r="A62" s="19" t="inlineStr">
        <is>
          <t>weight</t>
        </is>
      </c>
      <c r="B62" s="19" t="inlineStr">
        <is>
          <t>Decimal</t>
        </is>
      </c>
      <c r="C62" s="19" t="inlineStr">
        <is>
          <t>Yes</t>
        </is>
      </c>
      <c r="D62" s="20"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2" s="19" t="inlineStr">
        <is>
          <t>REQ-PRJ-06, R-31</t>
        </is>
      </c>
    </row>
    <row r="63">
      <c r="A63" s="17" t="inlineStr">
        <is>
          <t>note_1</t>
        </is>
      </c>
      <c r="B63" s="17" t="inlineStr">
        <is>
          <t>Text</t>
        </is>
      </c>
      <c r="C63" s="17" t="inlineStr">
        <is>
          <t>No</t>
        </is>
      </c>
      <c r="D63" s="18" t="inlineStr">
        <is>
          <t>Free extension column, e.g. why a derived date was overridden.</t>
        </is>
      </c>
      <c r="E63" s="17" t="inlineStr">
        <is>
          <t>REQ-PRJ-07</t>
        </is>
      </c>
    </row>
    <row r="65">
      <c r="A65" s="5" t="inlineStr">
        <is>
          <t>Sheet: PeriodHighlight  [schema 15, R-60]</t>
        </is>
      </c>
    </row>
    <row r="66" ht="28" customHeight="1">
      <c r="A66" s="7" t="inlineStr">
        <is>
          <t>Column</t>
        </is>
      </c>
      <c r="B66" s="7" t="inlineStr">
        <is>
          <t>Type</t>
        </is>
      </c>
      <c r="C66" s="7" t="inlineStr">
        <is>
          <t>Required</t>
        </is>
      </c>
      <c r="D66" s="7" t="inlineStr">
        <is>
          <t>Definition / rule</t>
        </is>
      </c>
      <c r="E66" s="7" t="inlineStr">
        <is>
          <t>REQ-ID</t>
        </is>
      </c>
    </row>
    <row r="67">
      <c r="A67" s="17" t="inlineStr">
        <is>
          <t>period_name</t>
        </is>
      </c>
      <c r="B67" s="17" t="inlineStr">
        <is>
          <t>List</t>
        </is>
      </c>
      <c r="C67" s="17" t="inlineStr">
        <is>
          <t>Yes</t>
        </is>
      </c>
      <c r="D67" s="18" t="inlineStr">
        <is>
          <t>A period name from either period set. One row per name; a second is V-39 and ignored.</t>
        </is>
      </c>
      <c r="E67" s="17" t="inlineStr">
        <is>
          <t>REQ-PRJ-16</t>
        </is>
      </c>
    </row>
    <row r="68">
      <c r="A68" s="17" t="inlineStr">
        <is>
          <t>period_highlight</t>
        </is>
      </c>
      <c r="B68" s="17" t="inlineStr">
        <is>
          <t>List</t>
        </is>
      </c>
      <c r="C68" s="17" t="inlineStr">
        <is>
          <t>No</t>
        </is>
      </c>
      <c r="D68" s="18" t="inlineStr">
        <is>
          <t>The default colour of every project's period of this name, from Lists.period_highlight; the COLOUR WORD is read. Empty = gray. A project's own ProjectPeriod.period_highlight wins.</t>
        </is>
      </c>
      <c r="E68" s="17" t="inlineStr">
        <is>
          <t>REQ-PRJ-16</t>
        </is>
      </c>
    </row>
    <row r="69">
      <c r="A69" s="17" t="inlineStr">
        <is>
          <t>note_1</t>
        </is>
      </c>
      <c r="B69" s="17" t="inlineStr">
        <is>
          <t>Text</t>
        </is>
      </c>
      <c r="C69" s="17" t="inlineStr">
        <is>
          <t>No</t>
        </is>
      </c>
      <c r="D69" s="18" t="inlineStr">
        <is>
          <t>Free text, e.g. what the colour is meant to say.</t>
        </is>
      </c>
      <c r="E69" s="17" t="inlineStr">
        <is>
          <t>REQ-PRJ-07</t>
        </is>
      </c>
    </row>
    <row r="71">
      <c r="A71" s="16" t="inlineStr">
        <is>
          <t>Period sets are type-specific (Q-18). The derivation itself is on sheet 05.</t>
        </is>
      </c>
    </row>
    <row r="72" ht="28" customHeight="1">
      <c r="A72" s="7" t="inlineStr">
        <is>
          <t>project_type</t>
        </is>
      </c>
      <c r="B72" s="7" t="inlineStr">
        <is>
          <t>Period set</t>
        </is>
      </c>
      <c r="C72" s="7" t="inlineStr">
        <is>
          <t>How boundaries are set</t>
        </is>
      </c>
    </row>
    <row r="73">
      <c r="A73" s="19" t="inlineStr">
        <is>
          <t>NewDrug CT / Biosimilar CT</t>
        </is>
      </c>
      <c r="B73" s="20" t="inlineStr">
        <is>
          <t>Before-Start-up, Start-up, Conduct (interim), Close-out (interim), Conduct (final), Close-out (final), After Close-out (final)</t>
        </is>
      </c>
      <c r="C73" s="20" t="inlineStr">
        <is>
          <t>Seven names, in timeline order. Both trial types share one period set and one derivation; they differ in their WEIGHTS, not their shape. A trial with no interim DB lock simply omits 'Conduct (interim)' and 'Close-out (interim)'.</t>
        </is>
      </c>
    </row>
    <row r="74">
      <c r="A74" s="10" t="inlineStr">
        <is>
          <t>Others</t>
        </is>
      </c>
      <c r="B74" s="11" t="inlineStr">
        <is>
          <t>Planning, Develop, Close</t>
        </is>
      </c>
      <c r="C74" s="11" t="inlineStr">
        <is>
          <t>Entered directly - dates confirmed manual at Q-25, weights at Q-28. 'Others' projects are hand-entered throughout.</t>
        </is>
      </c>
    </row>
    <row r="76">
      <c r="A76" s="5" t="inlineStr">
        <is>
          <t>Sheet: PeriodFTEStandard</t>
        </is>
      </c>
    </row>
    <row r="77" ht="28" customHeight="1">
      <c r="A77" s="7" t="inlineStr">
        <is>
          <t>Column</t>
        </is>
      </c>
      <c r="B77" s="7" t="inlineStr">
        <is>
          <t>Type</t>
        </is>
      </c>
      <c r="C77" s="7" t="inlineStr">
        <is>
          <t>Required</t>
        </is>
      </c>
      <c r="D77" s="7" t="inlineStr">
        <is>
          <t>Definition / rule</t>
        </is>
      </c>
      <c r="E77" s="7" t="inlineStr">
        <is>
          <t>Basis</t>
        </is>
      </c>
    </row>
    <row r="78">
      <c r="A78" s="19" t="inlineStr">
        <is>
          <t>project_type</t>
        </is>
      </c>
      <c r="B78" s="19" t="inlineStr">
        <is>
          <t>List</t>
        </is>
      </c>
      <c r="C78" s="19" t="inlineStr">
        <is>
          <t>Yes</t>
        </is>
      </c>
      <c r="D78" s="20" t="inlineStr">
        <is>
          <t>A clinical trial type. Part of the key: a biosimilar trial at a given phase is not the same workload as a new-drug trial at that phase. 'Others' take manual weights (Q-28).</t>
        </is>
      </c>
      <c r="E78" s="19" t="inlineStr">
        <is>
          <t>R-05</t>
        </is>
      </c>
    </row>
    <row r="79">
      <c r="A79" s="19" t="inlineStr">
        <is>
          <t>clinical_phase</t>
        </is>
      </c>
      <c r="B79" s="19" t="inlineStr">
        <is>
          <t>List</t>
        </is>
      </c>
      <c r="C79" s="19" t="inlineStr">
        <is>
          <t>Yes</t>
        </is>
      </c>
      <c r="D79" s="20" t="inlineStr">
        <is>
          <t>The phase the standard applies to.</t>
        </is>
      </c>
      <c r="E79" s="19" t="inlineStr">
        <is>
          <t>Q-26</t>
        </is>
      </c>
    </row>
    <row r="80">
      <c r="A80" s="17" t="inlineStr">
        <is>
          <t>work_scope_type</t>
        </is>
      </c>
      <c r="B80" s="17" t="inlineStr">
        <is>
          <t>List</t>
        </is>
      </c>
      <c r="C80" s="17" t="inlineStr">
        <is>
          <t>No</t>
        </is>
      </c>
      <c r="D80" s="18" t="inlineStr">
        <is>
          <t>The work scope this standard applies to. SCHEMA 6. EMPTY means the row applies to EVERY scope - see the note below, which is the important part of this change.</t>
        </is>
      </c>
      <c r="E80" s="17" t="inlineStr">
        <is>
          <t>R-12</t>
        </is>
      </c>
    </row>
    <row r="81">
      <c r="A81" s="19" t="inlineStr">
        <is>
          <t>standard_fte</t>
        </is>
      </c>
      <c r="B81" s="19" t="inlineStr">
        <is>
          <t>Decimal</t>
        </is>
      </c>
      <c r="C81" s="19" t="inlineStr">
        <is>
          <t>Yes</t>
        </is>
      </c>
      <c r="D81" s="20"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81" s="19" t="inlineStr">
        <is>
          <t>R-31</t>
        </is>
      </c>
    </row>
    <row r="82">
      <c r="A82" s="8" t="inlineStr">
        <is>
          <t>period_name</t>
        </is>
      </c>
      <c r="B82" s="8" t="inlineStr">
        <is>
          <t>List</t>
        </is>
      </c>
      <c r="C82" s="8" t="inlineStr">
        <is>
          <t>Yes</t>
        </is>
      </c>
      <c r="D82" s="9" t="inlineStr">
        <is>
          <t>A period from that type's set.</t>
        </is>
      </c>
      <c r="E82" s="8" t="inlineStr">
        <is>
          <t>Q-04, Q-18</t>
        </is>
      </c>
    </row>
    <row r="83">
      <c r="A83" s="17" t="inlineStr">
        <is>
          <t>note_1</t>
        </is>
      </c>
      <c r="B83" s="17" t="inlineStr">
        <is>
          <t>Text</t>
        </is>
      </c>
      <c r="C83" s="17" t="inlineStr">
        <is>
          <t>No</t>
        </is>
      </c>
      <c r="D83" s="18" t="inlineStr">
        <is>
          <t>Free extension column, e.g. the basis for the weight.</t>
        </is>
      </c>
      <c r="E83" s="17" t="inlineStr">
        <is>
          <t>Q-01</t>
        </is>
      </c>
    </row>
    <row r="85">
      <c r="A85"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87">
      <c r="A87"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8">
      <c r="A88" s="5" t="inlineStr">
        <is>
          <t>Sheet: RoleFactor   [key extended at R-10]</t>
        </is>
      </c>
    </row>
    <row r="89" ht="28" customHeight="1">
      <c r="A89" s="7" t="inlineStr">
        <is>
          <t>Column</t>
        </is>
      </c>
      <c r="B89" s="7" t="inlineStr">
        <is>
          <t>Type</t>
        </is>
      </c>
      <c r="C89" s="7" t="inlineStr">
        <is>
          <t>Required</t>
        </is>
      </c>
      <c r="D89" s="7" t="inlineStr">
        <is>
          <t>Definition / rule</t>
        </is>
      </c>
      <c r="E89" s="7" t="inlineStr">
        <is>
          <t>Basis</t>
        </is>
      </c>
    </row>
    <row r="90">
      <c r="A90" s="19" t="inlineStr">
        <is>
          <t>project_type</t>
        </is>
      </c>
      <c r="B90" s="19" t="inlineStr">
        <is>
          <t>List</t>
        </is>
      </c>
      <c r="C90" s="19" t="inlineStr">
        <is>
          <t>Yes</t>
        </is>
      </c>
      <c r="D90" s="20" t="inlineStr">
        <is>
          <t>'NewDrug CT', 'Biosimilar CT (Healthy)', 'Biosimilar CT (Patient)' or 'Others'. Roles are keyed by type, so a factor can differ between the trial types.</t>
        </is>
      </c>
      <c r="E90" s="19" t="inlineStr">
        <is>
          <t>Q-03, R-05, R-12</t>
        </is>
      </c>
    </row>
    <row r="91">
      <c r="A91" s="17" t="inlineStr">
        <is>
          <t>clinical_phase</t>
        </is>
      </c>
      <c r="B91" s="17" t="inlineStr">
        <is>
          <t>List</t>
        </is>
      </c>
      <c r="C91" s="17" t="inlineStr">
        <is>
          <t>Trials only</t>
        </is>
      </c>
      <c r="D91" s="18" t="inlineStr">
        <is>
          <t>The phase this factor applies to. EMPTY on 'Others' rows, which carry no phase.</t>
        </is>
      </c>
      <c r="E91" s="17" t="inlineStr">
        <is>
          <t>R-10</t>
        </is>
      </c>
    </row>
    <row r="92">
      <c r="A92" s="17" t="inlineStr">
        <is>
          <t>work_scope_type</t>
        </is>
      </c>
      <c r="B92" s="17" t="inlineStr">
        <is>
          <t>List</t>
        </is>
      </c>
      <c r="C92" s="17" t="inlineStr">
        <is>
          <t>No</t>
        </is>
      </c>
      <c r="D92" s="18" t="inlineStr">
        <is>
          <t>The work scope this factor applies to. SCHEMA 6. EMPTY means EVERY scope, exactly as on PeriodFTEStandard - and it matters more here, because this is the larger sheet.</t>
        </is>
      </c>
      <c r="E92" s="17" t="inlineStr">
        <is>
          <t>R-12</t>
        </is>
      </c>
    </row>
    <row r="93">
      <c r="A93" s="17" t="inlineStr">
        <is>
          <t>absorbed_by</t>
        </is>
      </c>
      <c r="B93" s="17" t="inlineStr">
        <is>
          <t>Text</t>
        </is>
      </c>
      <c r="C93" s="17" t="inlineStr">
        <is>
          <t>No</t>
        </is>
      </c>
      <c r="D93"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93" s="17" t="inlineStr">
        <is>
          <t>R-17</t>
        </is>
      </c>
    </row>
    <row r="94">
      <c r="A94" s="19" t="inlineStr">
        <is>
          <t>period_name</t>
        </is>
      </c>
      <c r="B94" s="19" t="inlineStr">
        <is>
          <t>Text</t>
        </is>
      </c>
      <c r="C94" s="19" t="inlineStr">
        <is>
          <t>Yes</t>
        </is>
      </c>
      <c r="D94" s="20" t="inlineStr">
        <is>
          <t>The period this factor applies to. One of the seven clinical periods, or one of the three 'Others' periods, matching the project_type.</t>
        </is>
      </c>
      <c r="E94" s="19" t="inlineStr">
        <is>
          <t>R-10, R-11</t>
        </is>
      </c>
    </row>
    <row r="95">
      <c r="A95" s="10" t="inlineStr">
        <is>
          <t>role_name</t>
        </is>
      </c>
      <c r="B95" s="10" t="inlineStr">
        <is>
          <t>Text</t>
        </is>
      </c>
      <c r="C95" s="10" t="inlineStr">
        <is>
          <t>Yes</t>
        </is>
      </c>
      <c r="D95" s="11" t="inlineStr">
        <is>
          <t>Clinical Trial: 'Project oversight', 'Lead data manager', 'Clinical Data Associator', 'Clinical Database Programmer', 'Data Analyst'. Others: 'Project lead', 'Main staff', 'Other staff'.</t>
        </is>
      </c>
      <c r="E95" s="10" t="inlineStr">
        <is>
          <t>Q-03</t>
        </is>
      </c>
    </row>
    <row r="96">
      <c r="A96" s="19" t="inlineStr">
        <is>
          <t>role_factor</t>
        </is>
      </c>
      <c r="B96" s="19" t="inlineStr">
        <is>
          <t>Decimal</t>
        </is>
      </c>
      <c r="C96" s="19" t="inlineStr">
        <is>
          <t>Yes</t>
        </is>
      </c>
      <c r="D96" s="20"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96" s="19" t="inlineStr">
        <is>
          <t>Q-01, R-10</t>
        </is>
      </c>
    </row>
    <row r="97">
      <c r="A97" s="10" t="inlineStr">
        <is>
          <t>role_note</t>
        </is>
      </c>
      <c r="B97" s="10" t="inlineStr">
        <is>
          <t>Text</t>
        </is>
      </c>
      <c r="C97" s="10" t="inlineStr">
        <is>
          <t>No</t>
        </is>
      </c>
      <c r="D97" s="11" t="inlineStr">
        <is>
          <t>Basis for the factor.</t>
        </is>
      </c>
      <c r="E97" s="10" t="inlineStr">
        <is>
          <t>REQ-CAL-06</t>
        </is>
      </c>
    </row>
    <row r="99">
      <c r="A99"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101">
      <c r="A101"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102">
      <c r="A102" s="5" t="inlineStr">
        <is>
          <t>Sheet: Person</t>
        </is>
      </c>
    </row>
    <row r="103" ht="28" customHeight="1">
      <c r="A103" s="7" t="inlineStr">
        <is>
          <t>Column</t>
        </is>
      </c>
      <c r="B103" s="7" t="inlineStr">
        <is>
          <t>Type</t>
        </is>
      </c>
      <c r="C103" s="7" t="inlineStr">
        <is>
          <t>Required</t>
        </is>
      </c>
      <c r="D103" s="7" t="inlineStr">
        <is>
          <t>Definition / rule</t>
        </is>
      </c>
      <c r="E103" s="7" t="inlineStr">
        <is>
          <t>REQ-ID</t>
        </is>
      </c>
    </row>
    <row r="104">
      <c r="A104" s="8" t="inlineStr">
        <is>
          <t>person_id</t>
        </is>
      </c>
      <c r="B104" s="8" t="inlineStr">
        <is>
          <t>Text</t>
        </is>
      </c>
      <c r="C104" s="8" t="inlineStr">
        <is>
          <t>Yes</t>
        </is>
      </c>
      <c r="D104" s="9" t="inlineStr">
        <is>
          <t>Unique key, e.g. PSN-001.</t>
        </is>
      </c>
      <c r="E104" s="8" t="inlineStr">
        <is>
          <t>REQ-PSN-01</t>
        </is>
      </c>
    </row>
    <row r="105">
      <c r="A105" s="10" t="inlineStr">
        <is>
          <t>person_name</t>
        </is>
      </c>
      <c r="B105" s="10" t="inlineStr">
        <is>
          <t>Text</t>
        </is>
      </c>
      <c r="C105" s="10" t="inlineStr">
        <is>
          <t>Yes</t>
        </is>
      </c>
      <c r="D105" s="11" t="inlineStr">
        <is>
          <t>Display name.</t>
        </is>
      </c>
      <c r="E105" s="10" t="inlineStr">
        <is>
          <t>REQ-PSN-01</t>
        </is>
      </c>
    </row>
    <row r="106">
      <c r="A106" s="8" t="inlineStr">
        <is>
          <t>department</t>
        </is>
      </c>
      <c r="B106" s="8" t="inlineStr">
        <is>
          <t>Text</t>
        </is>
      </c>
      <c r="C106" s="8" t="inlineStr">
        <is>
          <t>No</t>
        </is>
      </c>
      <c r="D106" s="9" t="inlineStr">
        <is>
          <t>Grouping for the dashboard.</t>
        </is>
      </c>
      <c r="E106" s="8" t="inlineStr">
        <is>
          <t>REQ-PSN-06</t>
        </is>
      </c>
    </row>
    <row r="107">
      <c r="A107" s="10" t="inlineStr">
        <is>
          <t>primary_role</t>
        </is>
      </c>
      <c r="B107" s="10" t="inlineStr">
        <is>
          <t>Text</t>
        </is>
      </c>
      <c r="C107" s="10" t="inlineStr">
        <is>
          <t>No</t>
        </is>
      </c>
      <c r="D107" s="11" t="inlineStr">
        <is>
          <t>Usual role; an assignment can override it.</t>
        </is>
      </c>
      <c r="E107" s="10" t="inlineStr">
        <is>
          <t>REQ-PSN-03</t>
        </is>
      </c>
    </row>
    <row r="108">
      <c r="A108" s="19" t="inlineStr">
        <is>
          <t>capacity_fte</t>
        </is>
      </c>
      <c r="B108" s="19" t="inlineStr">
        <is>
          <t>Decimal</t>
        </is>
      </c>
      <c r="C108" s="19" t="inlineStr">
        <is>
          <t>No</t>
        </is>
      </c>
      <c r="D108" s="20" t="inlineStr">
        <is>
          <t>Available capacity in FTE, default 1.00 (= 160 h/month). Lower it for a part-timer.</t>
        </is>
      </c>
      <c r="E108" s="19" t="inlineStr">
        <is>
          <t>REQ-CAL-08</t>
        </is>
      </c>
    </row>
    <row r="109">
      <c r="A109" s="10" t="inlineStr">
        <is>
          <t>employment_start / employment_end</t>
        </is>
      </c>
      <c r="B109" s="10" t="inlineStr">
        <is>
          <t>Date</t>
        </is>
      </c>
      <c r="C109" s="10" t="inlineStr">
        <is>
          <t>No</t>
        </is>
      </c>
      <c r="D109" s="11" t="inlineStr">
        <is>
          <t>Bounds availability; blank end = open.</t>
        </is>
      </c>
      <c r="E109" s="10" t="inlineStr">
        <is>
          <t>REQ-PSN-04</t>
        </is>
      </c>
    </row>
    <row r="110">
      <c r="A110" s="8" t="inlineStr">
        <is>
          <t>note_1 .. note_5</t>
        </is>
      </c>
      <c r="B110" s="8" t="inlineStr">
        <is>
          <t>Text</t>
        </is>
      </c>
      <c r="C110" s="8" t="inlineStr">
        <is>
          <t>No</t>
        </is>
      </c>
      <c r="D110" s="9" t="inlineStr">
        <is>
          <t>Free extension columns.</t>
        </is>
      </c>
      <c r="E110" s="8" t="inlineStr">
        <is>
          <t>REQ-PSN-06</t>
        </is>
      </c>
    </row>
    <row r="112">
      <c r="A112" s="5" t="inlineStr">
        <is>
          <t>Sheet: Assignment</t>
        </is>
      </c>
    </row>
    <row r="113" ht="28" customHeight="1">
      <c r="A113" s="7" t="inlineStr">
        <is>
          <t>Column</t>
        </is>
      </c>
      <c r="B113" s="7" t="inlineStr">
        <is>
          <t>Type</t>
        </is>
      </c>
      <c r="C113" s="7" t="inlineStr">
        <is>
          <t>Required</t>
        </is>
      </c>
      <c r="D113" s="7" t="inlineStr">
        <is>
          <t>Definition / rule</t>
        </is>
      </c>
      <c r="E113" s="7" t="inlineStr">
        <is>
          <t>REQ-ID</t>
        </is>
      </c>
    </row>
    <row r="114">
      <c r="A114" s="8" t="inlineStr">
        <is>
          <t>assignment_id</t>
        </is>
      </c>
      <c r="B114" s="8" t="inlineStr">
        <is>
          <t>Text</t>
        </is>
      </c>
      <c r="C114" s="8" t="inlineStr">
        <is>
          <t>Yes</t>
        </is>
      </c>
      <c r="D114" s="9" t="inlineStr">
        <is>
          <t>Unique key. One row per person + project + role.</t>
        </is>
      </c>
      <c r="E114" s="8" t="inlineStr">
        <is>
          <t>REQ-PSN-07</t>
        </is>
      </c>
    </row>
    <row r="115">
      <c r="A115" s="10" t="inlineStr">
        <is>
          <t>person_id</t>
        </is>
      </c>
      <c r="B115" s="10" t="inlineStr">
        <is>
          <t>Text</t>
        </is>
      </c>
      <c r="C115" s="10" t="inlineStr">
        <is>
          <t>Yes</t>
        </is>
      </c>
      <c r="D115" s="11" t="inlineStr">
        <is>
          <t>Foreign key to Person.</t>
        </is>
      </c>
      <c r="E115" s="10" t="inlineStr">
        <is>
          <t>REQ-PSN-01</t>
        </is>
      </c>
    </row>
    <row r="116">
      <c r="A116" s="8" t="inlineStr">
        <is>
          <t>person_name</t>
        </is>
      </c>
      <c r="B116" s="8" t="inlineStr">
        <is>
          <t>Derived</t>
        </is>
      </c>
      <c r="C116" s="8" t="inlineStr">
        <is>
          <t>No</t>
        </is>
      </c>
      <c r="D116" s="9" t="inlineStr">
        <is>
          <t>DERIVED - looked up from Person on import and refreshed from it. Locked in the template; a value typed here is discarded and the disagreement reported as V-13.</t>
        </is>
      </c>
      <c r="E116" s="8" t="inlineStr">
        <is>
          <t>REQ-PSN-01</t>
        </is>
      </c>
    </row>
    <row r="117">
      <c r="A117" s="10" t="inlineStr">
        <is>
          <t>project_id</t>
        </is>
      </c>
      <c r="B117" s="10" t="inlineStr">
        <is>
          <t>Text</t>
        </is>
      </c>
      <c r="C117" s="10" t="inlineStr">
        <is>
          <t>Yes</t>
        </is>
      </c>
      <c r="D117" s="11" t="inlineStr">
        <is>
          <t>Foreign key to Project.</t>
        </is>
      </c>
      <c r="E117" s="10" t="inlineStr">
        <is>
          <t>REQ-PSN-02</t>
        </is>
      </c>
    </row>
    <row r="118">
      <c r="A118" s="19" t="inlineStr">
        <is>
          <t>role_name</t>
        </is>
      </c>
      <c r="B118" s="19" t="inlineStr">
        <is>
          <t>Text</t>
        </is>
      </c>
      <c r="C118" s="19" t="inlineStr">
        <is>
          <t>Yes</t>
        </is>
      </c>
      <c r="D118" s="20" t="inlineStr">
        <is>
          <t>Foreign key to RoleFactor, matched on (project's type, role_name); the phase and period are supplied by the project and the month being calculated. Several rows = several roles on one project.</t>
        </is>
      </c>
      <c r="E118" s="19" t="inlineStr">
        <is>
          <t>REQ-PSN-03</t>
        </is>
      </c>
    </row>
    <row r="119">
      <c r="A119" s="19" t="inlineStr">
        <is>
          <t>assign_start_date</t>
        </is>
      </c>
      <c r="B119" s="19" t="inlineStr">
        <is>
          <t>Date</t>
        </is>
      </c>
      <c r="C119" s="19" t="inlineStr">
        <is>
          <t>No</t>
        </is>
      </c>
      <c r="D119" s="20" t="inlineStr">
        <is>
          <t>Date the person joins the study. BLANK = the project's own start date (REQ-CAL-15). Optional since v2.29: leave both dates blank for somebody on the project throughout, and fill them in only for a partial involvement.</t>
        </is>
      </c>
      <c r="E119" s="19" t="inlineStr">
        <is>
          <t>REQ-PSN-04, REQ-CAL-15</t>
        </is>
      </c>
    </row>
    <row r="120">
      <c r="A120" s="19" t="inlineStr">
        <is>
          <t>assign_end_date</t>
        </is>
      </c>
      <c r="B120" s="19" t="inlineStr">
        <is>
          <t>Date</t>
        </is>
      </c>
      <c r="C120" s="19" t="inlineStr">
        <is>
          <t>No</t>
        </is>
      </c>
      <c r="D120" s="20" t="inlineStr">
        <is>
          <t>Date the person leaves the study. BLANK = the project's own end date. This one has always behaved that way; v2.29 makes the start match it.</t>
        </is>
      </c>
      <c r="E120" s="19" t="inlineStr">
        <is>
          <t>REQ-PSN-04, REQ-CAL-15</t>
        </is>
      </c>
    </row>
    <row r="121">
      <c r="A121" s="19" t="inlineStr">
        <is>
          <t>person_weight</t>
        </is>
      </c>
      <c r="B121" s="19" t="inlineStr">
        <is>
          <t>Decimal</t>
        </is>
      </c>
      <c r="C121" s="19" t="inlineStr">
        <is>
          <t>Yes</t>
        </is>
      </c>
      <c r="D121" s="20" t="inlineStr">
        <is>
          <t>RENAMED from base_allocation. How much this person works on this project, e.g. 0.40. Q-01 folded the two former fields into this one.</t>
        </is>
      </c>
      <c r="E121" s="19" t="inlineStr">
        <is>
          <t>REQ-CAL-02</t>
        </is>
      </c>
    </row>
    <row r="122">
      <c r="A122" s="17" t="inlineStr">
        <is>
          <t>estimation_type</t>
        </is>
      </c>
      <c r="B122" s="17" t="inlineStr">
        <is>
          <t>List</t>
        </is>
      </c>
      <c r="C122" s="17" t="inlineStr">
        <is>
          <t>No</t>
        </is>
      </c>
      <c r="D122" s="18" t="inlineStr">
        <is>
          <t>SCHEMA 9. 'automatic' (the default) or 'manual'. Manual means THIS PERSON'S contribution to this project is stated on MonthlyEstimate rather than taken as a share of the project's month - the level below the project's own, and applied first (REQ-CAL-18).</t>
        </is>
      </c>
      <c r="E122" s="17" t="inlineStr">
        <is>
          <t>REQ-CAL-18</t>
        </is>
      </c>
    </row>
    <row r="123">
      <c r="A123" s="17" t="inlineStr">
        <is>
          <t>estimation_type</t>
        </is>
      </c>
      <c r="B123" s="17" t="inlineStr">
        <is>
          <t>List</t>
        </is>
      </c>
      <c r="C123" s="17" t="inlineStr">
        <is>
          <t>No</t>
        </is>
      </c>
      <c r="D123" s="18" t="inlineStr">
        <is>
          <t>SCHEMA 9. 'automatic' (the default) or 'manual'. Manual means THIS PERSON'S contribution to this project is stated on MonthlyEstimate rather than taken as a share of the project's month - the level below the project's own, and applied first (REQ-CAL-18).</t>
        </is>
      </c>
      <c r="E123" s="17" t="inlineStr">
        <is>
          <t>REQ-CAL-18</t>
        </is>
      </c>
    </row>
    <row r="124">
      <c r="A124" s="8" t="inlineStr">
        <is>
          <t>note_1 .. note_3</t>
        </is>
      </c>
      <c r="B124" s="8" t="inlineStr">
        <is>
          <t>Text</t>
        </is>
      </c>
      <c r="C124" s="8" t="inlineStr">
        <is>
          <t>No</t>
        </is>
      </c>
      <c r="D124" s="9" t="inlineStr">
        <is>
          <t>Free extension columns.</t>
        </is>
      </c>
      <c r="E124" s="8" t="inlineStr">
        <is>
          <t>REQ-PSN-06</t>
        </is>
      </c>
    </row>
    <row r="126">
      <c r="A126" s="5" t="inlineStr">
        <is>
          <t>Sheet: PersonPeriodWeight</t>
        </is>
      </c>
    </row>
    <row r="127" ht="28" customHeight="1">
      <c r="A127" s="7" t="inlineStr">
        <is>
          <t>Column</t>
        </is>
      </c>
      <c r="B127" s="7" t="inlineStr">
        <is>
          <t>Type</t>
        </is>
      </c>
      <c r="C127" s="7" t="inlineStr">
        <is>
          <t>Required</t>
        </is>
      </c>
      <c r="D127" s="7" t="inlineStr">
        <is>
          <t>Definition / rule</t>
        </is>
      </c>
      <c r="E127" s="7" t="inlineStr">
        <is>
          <t>REQ-ID</t>
        </is>
      </c>
    </row>
    <row r="128">
      <c r="A128" s="8" t="inlineStr">
        <is>
          <t>assignment_id</t>
        </is>
      </c>
      <c r="B128" s="8" t="inlineStr">
        <is>
          <t>Text</t>
        </is>
      </c>
      <c r="C128" s="8" t="inlineStr">
        <is>
          <t>Yes</t>
        </is>
      </c>
      <c r="D128" s="9" t="inlineStr">
        <is>
          <t>Foreign key to Assignment.</t>
        </is>
      </c>
      <c r="E128" s="8" t="inlineStr">
        <is>
          <t>REQ-PSN-05</t>
        </is>
      </c>
    </row>
    <row r="129">
      <c r="A129" s="10" t="inlineStr">
        <is>
          <t>period_start</t>
        </is>
      </c>
      <c r="B129" s="10" t="inlineStr">
        <is>
          <t>Date</t>
        </is>
      </c>
      <c r="C129" s="10" t="inlineStr">
        <is>
          <t>Yes</t>
        </is>
      </c>
      <c r="D129" s="11" t="inlineStr">
        <is>
          <t>Inclusive. Part of the key: one assignment may carry SEVERAL non-overlapping windows, so assignment_id alone does not identify a row.</t>
        </is>
      </c>
      <c r="E129" s="10" t="inlineStr">
        <is>
          <t>REQ-PSN-05</t>
        </is>
      </c>
    </row>
    <row r="130">
      <c r="A130" s="8" t="inlineStr">
        <is>
          <t>period_end</t>
        </is>
      </c>
      <c r="B130" s="8" t="inlineStr">
        <is>
          <t>Date</t>
        </is>
      </c>
      <c r="C130" s="8" t="inlineStr">
        <is>
          <t>Yes</t>
        </is>
      </c>
      <c r="D130" s="9" t="inlineStr">
        <is>
          <t>Inclusive. Periods within one assignment must not overlap.</t>
        </is>
      </c>
      <c r="E130" s="8" t="inlineStr">
        <is>
          <t>REQ-PSN-05</t>
        </is>
      </c>
    </row>
    <row r="131">
      <c r="A131" s="19" t="inlineStr">
        <is>
          <t>weight_override</t>
        </is>
      </c>
      <c r="B131" s="19" t="inlineStr">
        <is>
          <t>Decimal</t>
        </is>
      </c>
      <c r="C131" s="19" t="inlineStr">
        <is>
          <t>Yes</t>
        </is>
      </c>
      <c r="D131" s="20" t="inlineStr">
        <is>
          <t>REPLACES person_weight for months inside this window - it no longer multiplies it. Where no row covers a month, person_weight applies unchanged.</t>
        </is>
      </c>
      <c r="E131" s="19" t="inlineStr">
        <is>
          <t>REQ-PSN-05</t>
        </is>
      </c>
    </row>
    <row r="132">
      <c r="A132" s="8" t="inlineStr">
        <is>
          <t>reason</t>
        </is>
      </c>
      <c r="B132" s="8" t="inlineStr">
        <is>
          <t>Text</t>
        </is>
      </c>
      <c r="C132" s="8" t="inlineStr">
        <is>
          <t>No</t>
        </is>
      </c>
      <c r="D132" s="9" t="inlineStr">
        <is>
          <t>Why the weight differs, e.g. 'part-time', 'covering start-up peak'.</t>
        </is>
      </c>
      <c r="E132" s="8" t="inlineStr">
        <is>
          <t>REQ-PSN-05</t>
        </is>
      </c>
    </row>
    <row r="134">
      <c r="A134"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35">
      <c r="A135" s="5" t="inlineStr">
        <is>
          <t>Sheet: MonthlyEstimate   [new]</t>
        </is>
      </c>
    </row>
    <row r="136" ht="28" customHeight="1">
      <c r="A136" s="7" t="inlineStr">
        <is>
          <t>Column</t>
        </is>
      </c>
      <c r="B136" s="7" t="inlineStr">
        <is>
          <t>Type</t>
        </is>
      </c>
      <c r="C136" s="7" t="inlineStr">
        <is>
          <t>Required</t>
        </is>
      </c>
      <c r="D136" s="7" t="inlineStr">
        <is>
          <t>Definition / rule</t>
        </is>
      </c>
      <c r="E136" s="7" t="inlineStr">
        <is>
          <t>REQ-ID</t>
        </is>
      </c>
    </row>
    <row r="137">
      <c r="A137" s="17" t="inlineStr">
        <is>
          <t>scope</t>
        </is>
      </c>
      <c r="B137" s="17" t="inlineStr">
        <is>
          <t>List</t>
        </is>
      </c>
      <c r="C137" s="17" t="inlineStr">
        <is>
          <t>Yes</t>
        </is>
      </c>
      <c r="D137" s="18" t="inlineStr">
        <is>
          <t>'project' or 'assignment' - which of the two this figure is for. The only sheet whose parent depends on a value IN the row, which is why the key carries it.</t>
        </is>
      </c>
      <c r="E137" s="17" t="inlineStr">
        <is>
          <t>REQ-CAL-18</t>
        </is>
      </c>
    </row>
    <row r="138">
      <c r="A138" s="17" t="inlineStr">
        <is>
          <t>ref_id</t>
        </is>
      </c>
      <c r="B138" s="17" t="inlineStr">
        <is>
          <t>Text</t>
        </is>
      </c>
      <c r="C138" s="17" t="inlineStr">
        <is>
          <t>Yes</t>
        </is>
      </c>
      <c r="D138" s="18" t="inlineStr">
        <is>
          <t>The project_id or the assignment_id this figure belongs to, according to scope.</t>
        </is>
      </c>
      <c r="E138" s="17" t="inlineStr">
        <is>
          <t>REQ-CAL-18</t>
        </is>
      </c>
    </row>
    <row r="139">
      <c r="A139" s="17" t="inlineStr">
        <is>
          <t>month</t>
        </is>
      </c>
      <c r="B139" s="17" t="inlineStr">
        <is>
          <t>Text</t>
        </is>
      </c>
      <c r="C139" s="17" t="inlineStr">
        <is>
          <t>Yes</t>
        </is>
      </c>
      <c r="D139" s="18" t="inlineStr">
        <is>
          <t>The month, as YYYY-MM. One figure per month per thing (V-08).</t>
        </is>
      </c>
      <c r="E139" s="17" t="inlineStr">
        <is>
          <t>REQ-CAL-18</t>
        </is>
      </c>
    </row>
    <row r="140">
      <c r="A140" s="17" t="inlineStr">
        <is>
          <t>fte</t>
        </is>
      </c>
      <c r="B140" s="17" t="inlineStr">
        <is>
          <t>Decimal</t>
        </is>
      </c>
      <c r="C140" s="17" t="inlineStr">
        <is>
          <t>Yes</t>
        </is>
      </c>
      <c r="D140" s="18" t="inlineStr">
        <is>
          <t>The monthly FTE, STATED rather than calculated. An assignment figure is that person's own contribution to that project; a project figure is the whole month, and the people on it are scaled to add up to it.</t>
        </is>
      </c>
      <c r="E140" s="17" t="inlineStr">
        <is>
          <t>REQ-CAL-18</t>
        </is>
      </c>
    </row>
    <row r="141">
      <c r="A141" s="17" t="inlineStr">
        <is>
          <t>note_1</t>
        </is>
      </c>
      <c r="B141" s="17" t="inlineStr">
        <is>
          <t>Text</t>
        </is>
      </c>
      <c r="C141" s="17" t="inlineStr">
        <is>
          <t>No</t>
        </is>
      </c>
      <c r="D141" s="18" t="inlineStr">
        <is>
          <t>Why this figure was stated. The argument for a departure from the assumptions belongs beside it.</t>
        </is>
      </c>
      <c r="E141" s="17" t="inlineStr">
        <is>
          <t>REQ-CAL-18</t>
        </is>
      </c>
    </row>
    <row r="143">
      <c r="A143"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44">
      <c r="A144" s="5" t="inlineStr">
        <is>
          <t>Sheet: Config</t>
        </is>
      </c>
    </row>
    <row r="145" ht="28" customHeight="1">
      <c r="A145" s="7" t="inlineStr">
        <is>
          <t>parameter</t>
        </is>
      </c>
      <c r="B145" s="7" t="inlineStr">
        <is>
          <t>Meaning</t>
        </is>
      </c>
      <c r="C145" s="7" t="inlineStr">
        <is>
          <t>Default value</t>
        </is>
      </c>
      <c r="D145" s="7" t="inlineStr">
        <is>
          <t>REQ-ID</t>
        </is>
      </c>
    </row>
    <row r="146">
      <c r="A146" s="19" t="inlineStr">
        <is>
          <t>schema_version</t>
        </is>
      </c>
      <c r="B146" s="20" t="inlineStr">
        <is>
          <t>Version of this workbook structure; checked on import. Steps to 3 at v1.4, 4 at v1.7, 5 at v1.8, 6 at v2.27 (R-12), 7 at v2.30 (R-16), 8 at v2.31 (R-17), 9 at v2.38 (R-30), 10 at v2.39 (R-31), 11 at v2.41 (R-33, the standards sheet renamed), 12 at v2.54 (R-46, MonthlyEstimate.edited_at retired - the first column this schema has REMOVED rather than added or renamed), 13 at v2.61 (R-50, Milestone.milestone_highlight), 14 at v2.70 (R-59, ProjectPeriod.period_highlight), 15 at v2.71 (R-60, the PeriodHighlight sheet).</t>
        </is>
      </c>
      <c r="C146" s="19" t="inlineStr">
        <is>
          <t>15</t>
        </is>
      </c>
      <c r="D146" s="19" t="inlineStr">
        <is>
          <t>REQ-VC-02</t>
        </is>
      </c>
    </row>
    <row r="147">
      <c r="A147" s="17" t="inlineStr">
        <is>
          <t>absorb_unstaffed_role_factor</t>
        </is>
      </c>
      <c r="B147"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7" s="17" t="inlineStr">
        <is>
          <t>1</t>
        </is>
      </c>
      <c r="D147" s="17" t="inlineStr">
        <is>
          <t>REQ-CAL-16</t>
        </is>
      </c>
    </row>
    <row r="148">
      <c r="A148" s="17" t="inlineStr">
        <is>
          <t>split_shared_role_fte</t>
        </is>
      </c>
      <c r="B148"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8" s="17" t="inlineStr">
        <is>
          <t>1</t>
        </is>
      </c>
      <c r="D148" s="17" t="inlineStr">
        <is>
          <t>REQ-CAL-14</t>
        </is>
      </c>
    </row>
    <row r="149">
      <c r="A149" s="17" t="inlineStr">
        <is>
          <t>fte_hours_per_month</t>
        </is>
      </c>
      <c r="B149" s="18" t="inlineStr">
        <is>
          <t>Hours equal to 1.00 FTE.</t>
        </is>
      </c>
      <c r="C149" s="17" t="inlineStr">
        <is>
          <t>160</t>
        </is>
      </c>
      <c r="D149" s="17" t="inlineStr">
        <is>
          <t>REQ-CAL-08</t>
        </is>
      </c>
    </row>
    <row r="150">
      <c r="A150" s="17" t="inlineStr">
        <is>
          <t>over_allocation_fte</t>
        </is>
      </c>
      <c r="B150" s="18" t="inlineStr">
        <is>
          <t>Person-month total above this is over-allocated.</t>
        </is>
      </c>
      <c r="C150" s="17" t="inlineStr">
        <is>
          <t>1.50</t>
        </is>
      </c>
      <c r="D150" s="17" t="inlineStr">
        <is>
          <t>REQ-CAL-04</t>
        </is>
      </c>
    </row>
    <row r="151">
      <c r="A151" s="19" t="inlineStr">
        <is>
          <t>under_allocation_fte</t>
        </is>
      </c>
      <c r="B151" s="20" t="inlineStr">
        <is>
          <t>Person-month total below this counts toward an under-allocated run. Absolute, not scaled by capacity.</t>
        </is>
      </c>
      <c r="C151" s="19" t="inlineStr">
        <is>
          <t>0.60</t>
        </is>
      </c>
      <c r="D151" s="19" t="inlineStr">
        <is>
          <t>REQ-CAL-07</t>
        </is>
      </c>
    </row>
    <row r="152">
      <c r="A152" s="17" t="inlineStr">
        <is>
          <t>under_allocation_min_months</t>
        </is>
      </c>
      <c r="B152" s="18" t="inlineStr">
        <is>
          <t>Consecutive months below the threshold before flagging.</t>
        </is>
      </c>
      <c r="C152" s="17" t="inlineStr">
        <is>
          <t>3</t>
        </is>
      </c>
      <c r="D152" s="17" t="inlineStr">
        <is>
          <t>REQ-CAL-07</t>
        </is>
      </c>
    </row>
    <row r="153">
      <c r="A153" s="19" t="inlineStr">
        <is>
          <t>default_horizon_months</t>
        </is>
      </c>
      <c r="B153" s="20" t="inlineStr">
        <is>
          <t>Months shown on opening.</t>
        </is>
      </c>
      <c r="C153" s="19" t="inlineStr">
        <is>
          <t>24</t>
        </is>
      </c>
      <c r="D153" s="19" t="inlineStr">
        <is>
          <t>REQ-CAL-01</t>
        </is>
      </c>
    </row>
    <row r="154">
      <c r="A154" s="19" t="inlineStr">
        <is>
          <t>capacity_unit</t>
        </is>
      </c>
      <c r="B154" s="20"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54" s="19" t="inlineStr">
        <is>
          <t>FTE</t>
        </is>
      </c>
      <c r="D154" s="19" t="inlineStr">
        <is>
          <t>REQ-CAL-08</t>
        </is>
      </c>
    </row>
    <row r="156">
      <c r="A156" s="5" t="inlineStr">
        <is>
          <t>Sheet: Lists   [new]</t>
        </is>
      </c>
    </row>
    <row r="157">
      <c r="A157" s="6" t="inlineStr">
        <is>
          <t>Two columns - list_name, value - holding every data-driven dropdown: outsourcing_type, clinical_phase,</t>
        </is>
      </c>
    </row>
    <row r="158">
      <c r="A158" s="6" t="inlineStr">
        <is>
          <t>milestone_name, period_name, EDC_system, DataReviewSystem, RBQM_system, setup_party, project_status.</t>
        </is>
      </c>
    </row>
    <row r="159">
      <c r="A159" s="6" t="inlineStr">
        <is>
          <t>Adding a permitted value is a data edit, never a code change (REQ-CAL-06). A third column, note_1,</t>
        </is>
      </c>
    </row>
    <row r="160">
      <c r="A160" s="6" t="inlineStr">
        <is>
          <t>carries free text about a value - when it was added, or what it means.</t>
        </is>
      </c>
    </row>
    <row r="162">
      <c r="A162" s="5" t="inlineStr">
        <is>
          <t>Referential rules checked on import</t>
        </is>
      </c>
    </row>
    <row r="163" ht="28" customHeight="1">
      <c r="A163" s="7" t="inlineStr">
        <is>
          <t>ID</t>
        </is>
      </c>
      <c r="B163" s="7" t="inlineStr">
        <is>
          <t>Rule</t>
        </is>
      </c>
      <c r="C163" s="7" t="inlineStr">
        <is>
          <t>On failure</t>
        </is>
      </c>
    </row>
    <row r="164">
      <c r="A164" s="8" t="inlineStr">
        <is>
          <t>V-01</t>
        </is>
      </c>
      <c r="B164" s="9" t="inlineStr">
        <is>
          <t>Every Assignment.project_id exists in Project.</t>
        </is>
      </c>
      <c r="C164" s="9" t="inlineStr">
        <is>
          <t>Error - row rejected, reported with its row number.</t>
        </is>
      </c>
    </row>
    <row r="165">
      <c r="A165" s="10" t="inlineStr">
        <is>
          <t>V-02</t>
        </is>
      </c>
      <c r="B165" s="11" t="inlineStr">
        <is>
          <t>Every Assignment.person_id exists in Person.</t>
        </is>
      </c>
      <c r="C165" s="11" t="inlineStr">
        <is>
          <t>Error - row rejected.</t>
        </is>
      </c>
    </row>
    <row r="166">
      <c r="A166" s="19" t="inlineStr">
        <is>
          <t>V-03</t>
        </is>
      </c>
      <c r="B166" s="20" t="inlineStr">
        <is>
          <t>Every Assignment.role_name appears in RoleFactor for that project's type - the coarse half of the question V-23 asks precisely.</t>
        </is>
      </c>
      <c r="C166" s="20"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7">
      <c r="A167" s="17" t="inlineStr">
        <is>
          <t>V-24</t>
        </is>
      </c>
      <c r="B167" s="18" t="inlineStr">
        <is>
          <t>Every PersonPeriodWeight.assignment_id exists in Assignment, and (assignment_id, period_start) is unique.</t>
        </is>
      </c>
      <c r="C167" s="18" t="inlineStr">
        <is>
          <t>Error - an override on an assignment that does not exist is silently ignored, so the weight the user typed never applies and nothing says so.</t>
        </is>
      </c>
    </row>
    <row r="168">
      <c r="A168" s="17" t="inlineStr">
        <is>
          <t>V-27</t>
        </is>
      </c>
      <c r="B168" s="18" t="inlineStr">
        <is>
          <t>Every clinical trial's (project_type, clinical_phase, work_scope_type) has at least one row in PeriodFTEStandard - checked on the PROJECT, not on its periods.</t>
        </is>
      </c>
      <c r="C168"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9">
      <c r="A169" s="19" t="inlineStr">
        <is>
          <t>V-28</t>
        </is>
      </c>
      <c r="B169" s="20" t="inlineStr">
        <is>
          <t>RETIRED at v2.32 (R-18), one version after it was added. It reported an assignment whose role had no RoleFactor row for that project's (project_type, clinical_phase, work_scope_type) at all.</t>
        </is>
      </c>
      <c r="C169" s="20"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70">
      <c r="A170" s="17" t="inlineStr">
        <is>
          <t>V-29</t>
        </is>
      </c>
      <c r="B170" s="18" t="inlineStr">
        <is>
          <t>A role that carries a factor, that nobody holds on the project, and that nothing covers for.</t>
        </is>
      </c>
      <c r="C170"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71">
      <c r="A171" s="17" t="inlineStr">
        <is>
          <t>V-31</t>
        </is>
      </c>
      <c r="B171" s="18" t="inlineStr">
        <is>
          <t>A project or assignment set to MANUAL has months it covers that carry no MonthlyEstimate figure. Named, with the months listed.</t>
        </is>
      </c>
      <c r="C171"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72">
      <c r="A172" s="17" t="inlineStr">
        <is>
          <t>V-39</t>
        </is>
      </c>
      <c r="B172" s="18" t="inlineStr">
        <is>
          <t>A PeriodHighlight row cannot be applied: its value names no colour, its period name is given twice, or no period list knows the name.</t>
        </is>
      </c>
      <c r="C172" s="18" t="inlineStr">
        <is>
          <t>Warning - the period is drawn gray, or on its first row's colour, which looks exactly like a choice nobody made, so it is said. Never a refusal: a colour changes no figure.</t>
        </is>
      </c>
    </row>
    <row r="173">
      <c r="A173" s="17" t="inlineStr">
        <is>
          <t>V-38</t>
        </is>
      </c>
      <c r="B173" s="18" t="inlineStr">
        <is>
          <t>ProjectPeriod.period_highlight carries a value that names no colour the application can draw.</t>
        </is>
      </c>
      <c r="C173" s="18" t="inlineStr">
        <is>
          <t>Warning - the period is drawn gray, which is what it would have been with the column empty, and the finding says so with the values the file's own Lists sheet offers. The period twin of V-37, for the same reason: a gray period looks exactly like one nobody chose a colour for, so a typo would quietly undo what the user asked for. Never a refusal - a colour changes no figure.</t>
        </is>
      </c>
    </row>
    <row r="174">
      <c r="A174" s="17" t="inlineStr">
        <is>
          <t>V-37</t>
        </is>
      </c>
      <c r="B174" s="18" t="inlineStr">
        <is>
          <t>Milestone.milestone_highlight carries a value that names no colour the application can draw.</t>
        </is>
      </c>
      <c r="C174" s="18" t="inlineStr">
        <is>
          <t>Warning - the milestone is drawn unmarked, which is what it would have been with the column empty, and the finding says so with the values the file's own Lists sheet offers. Never a refusal: a mark changes no figure, and a plan whose highlight column is misspelt is still a correct plan. It is reported rather than ignored because the failure is INVISIBLE otherwise - an unmarked milestone looks exactly like one nobody got round to marking, so a typo in the list value would quietly undo the thing the user asked for. What the application reads is the colour word inside the value ('red', 'yellow', 'blue', 'green', 'orange'), which is what lets a team write what their colour means beside it; the rule fires only when no such word is there at all.</t>
        </is>
      </c>
    </row>
    <row r="175">
      <c r="A175" s="17" t="inlineStr">
        <is>
          <t>V-36</t>
        </is>
      </c>
      <c r="B175" s="18" t="inlineStr">
        <is>
          <t>A project that has periods and NOBODY ASSIGNED TO IT AT ALL. Raised from the CALCULATION, one finding per project, carrying what the project needs: the total FTE-months, the span, the peak and the month it falls in.</t>
        </is>
      </c>
      <c r="C175" s="18" t="inlineStr">
        <is>
          <t>Information - and classed INCOMPLETE, so it never refuses an edit and never questions a save. A project with nobody on it yet is not a fault: it is the state every project is in for the minute after it is created, exactly as a person with no assignment is (v2.52). WHAT IT FIXES IS A ROW OF BLANKS, NOT AN ERROR. The project IS listed - it has a row in Resource by project, it is drawn on the timeline, and it counts in the projects tile - but every one of its months is EMPTY, it puts nothing on the three demand charts, it takes no legend entry and it reaches no line of Standard vs staffed. That is worse than being absent: a row of blanks reads as a project that costs nothing rather than one nobody has been put on yet, which is the same failure V-34 exists for. Type, phase, scope and periods are all the standard needs to say what it costs. REQ-CAL-19 is explicit that the project-month IS its standard and the people on it DIVIDE it; a divisor of nobody does not make the demand nought. AND NOTHING ELSE REPORTED IT: V-34 compares demand against applied, which is this gap at its widest, but V-34 is built from projGap, which is built from projMonth, which is built from the LINES - so no assignment means no line, no entry and no finding, and the one project short by the whole of its standard was the only shortfall the shortfall rule could not see. IT CARRIES THE FIGURE, which is why it is raised from the calculation rather than from the validation, and why every term is the one an assignment with blank dates would get (REQ-CAL-15): the number it states is to the hundredth the number the project shows the moment somebody is assigned, which tools/test_unstaffed.py asserts in both directions. SKIPPED where there is nothing to say or nothing to do: a project with no periods has no demand to state and V-12 or V-16 already says so, and a Completed project is history rather than a gap to fill - its finding would never answer itself, which is what the INCOMPLETE class promises.</t>
        </is>
      </c>
    </row>
    <row r="176">
      <c r="A176" s="17" t="inlineStr">
        <is>
          <t>V-35</t>
        </is>
      </c>
      <c r="B176" s="18" t="inlineStr">
        <is>
          <t>Person.capacity_fte outside 0.00 to 1.00, in either direction.</t>
        </is>
      </c>
      <c r="C176" s="18" t="inlineStr">
        <is>
          <t>Error - and it REFUSES, which almost nothing else in this application does. capacity_fte is how much of ONE PERSON there is: 1.00 is full-time, 0.50 is half a week, 0.00 is somebody on the books who is not available at all and is therefore allowed. Every other figure here is a judgement somebody is entitled to make - a period weight, a role factor, a stated month - and the rules about those report rather than refuse, because which of two deliberate numbers is wrong is not the application's business. This is not a judgement: there is no such thing as one and a half of a person, the number is in the wrong unit, and the usual cause is hours typed into an FTE column - which the message says, with the arithmetic. Somebody doing the work of two people is TWO ASSIGNMENTS, or a person weight above 1.00 on one of them. A workbook that already breaks it still OPENS: the save and edit checks compare the count of blocking findings before and after, so a rule broken by an incoming file is reported without locking anybody out of their own plan. V-22 stands down on the same row - reporting that 1.50 is also not below the under-allocation floor would be true and useless.</t>
        </is>
      </c>
    </row>
    <row r="177">
      <c r="A177" s="17" t="inlineStr">
        <is>
          <t>V-34</t>
        </is>
      </c>
      <c r="B177" s="18" t="inlineStr">
        <is>
          <t>A project whose month is not what its own standard says it needs - standard FTE x period weight x the part of the month it runs - in either direction. Raised from the CALCULATION, one finding per project, naming the months and the worst of them.</t>
        </is>
      </c>
      <c r="C177"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78">
      <c r="A178" s="17" t="inlineStr">
        <is>
          <t>V-33</t>
        </is>
      </c>
      <c r="B178"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78" s="18" t="inlineStr">
        <is>
          <t>Warning</t>
        </is>
      </c>
      <c r="D178" s="17" t="inlineStr">
        <is>
          <t>R-39</t>
        </is>
      </c>
      <c r="E178" s="17" t="inlineStr">
        <is>
          <t>4</t>
        </is>
      </c>
    </row>
    <row r="179">
      <c r="A179" s="17" t="inlineStr">
        <is>
          <t>V-32</t>
        </is>
      </c>
      <c r="B179" s="18" t="inlineStr">
        <is>
          <t>A project set to MANUAL has a figure for a month in which nobody is assigned to it.</t>
        </is>
      </c>
      <c r="C179"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80">
      <c r="A180" s="17" t="inlineStr">
        <is>
          <t>V-30</t>
        </is>
      </c>
      <c r="B180" s="18" t="inlineStr">
        <is>
          <t>Config has no row for a setting the application reads, so its built-in default is in force. Reported for every such setting, naming the value being used.</t>
        </is>
      </c>
      <c r="C180"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81">
      <c r="A181" s="19" t="inlineStr">
        <is>
          <t>V-25</t>
        </is>
      </c>
      <c r="B181" s="20" t="inlineStr">
        <is>
          <t>RETIRED at schema 7 (R-16). It reported a project whose work_scope_type contradicted its outsourcing_type.</t>
        </is>
      </c>
      <c r="C181" s="20"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82">
      <c r="A182" s="17" t="inlineStr">
        <is>
          <t>V-26</t>
        </is>
      </c>
      <c r="B182" s="18" t="inlineStr">
        <is>
          <t>No project carries a project_type that schema 6 retired - at present 'Biosimilar CT', which became 'Biosimilar CT (Healthy)' and 'Biosimilar CT (Patient)'.</t>
        </is>
      </c>
      <c r="C182"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83">
      <c r="A183" s="19" t="inlineStr">
        <is>
          <t>V-23</t>
        </is>
      </c>
      <c r="B183" s="20" t="inlineStr">
        <is>
          <t>Every (project_type, clinical_phase, work_scope_type, period_name, role_name) that a PERSON-MONTH ACTUALLY LOOKED UP has a RoleFactor row. Raised BY the calculation (R-19), grouped on that whole composition, and counted in person-months affected.</t>
        </is>
      </c>
      <c r="C183" s="20"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84">
      <c r="A184" s="8" t="inlineStr">
        <is>
          <t>V-04</t>
        </is>
      </c>
      <c r="B184" s="9" t="inlineStr">
        <is>
          <t>project_category is present for either clinical trial type.</t>
        </is>
      </c>
      <c r="C184" s="9" t="inlineStr">
        <is>
          <t>Warning - shown as blank in the dashboard.</t>
        </is>
      </c>
    </row>
    <row r="185">
      <c r="A185" s="10" t="inlineStr">
        <is>
          <t>V-05</t>
        </is>
      </c>
      <c r="B185" s="11" t="inlineStr">
        <is>
          <t>end_date is on or after start_date, for projects, assignments and all weight periods.</t>
        </is>
      </c>
      <c r="C185" s="11" t="inlineStr">
        <is>
          <t>Error - row rejected.</t>
        </is>
      </c>
    </row>
    <row r="186">
      <c r="A186" s="19" t="inlineStr">
        <is>
          <t>V-06</t>
        </is>
      </c>
      <c r="B186" s="20" t="inlineStr">
        <is>
          <t>Periods within one project, and override windows within one assignment, do not overlap.</t>
        </is>
      </c>
      <c r="C186" s="20" t="inlineStr">
        <is>
          <t>Error - overlapping pair reported. The assignment half was specified from v1.0 but not implemented until R-12; an overlap there makes the applied weight depend on row order.</t>
        </is>
      </c>
    </row>
    <row r="187">
      <c r="A187" s="10" t="inlineStr">
        <is>
          <t>V-07</t>
        </is>
      </c>
      <c r="B187" s="11" t="inlineStr">
        <is>
          <t>Assignment dates fall inside the project's own start and end dates.</t>
        </is>
      </c>
      <c r="C187" s="11" t="inlineStr">
        <is>
          <t>Warning - kept, but listed for review.</t>
        </is>
      </c>
    </row>
    <row r="188">
      <c r="A188" s="8" t="inlineStr">
        <is>
          <t>V-08</t>
        </is>
      </c>
      <c r="B188" s="9" t="inlineStr">
        <is>
          <t>project_id, person_id and assignment_id are unique in their sheet.</t>
        </is>
      </c>
      <c r="C188" s="9" t="inlineStr">
        <is>
          <t>Error - duplicate rejected.</t>
        </is>
      </c>
    </row>
    <row r="189">
      <c r="A189" s="10" t="inlineStr">
        <is>
          <t>V-09</t>
        </is>
      </c>
      <c r="B189" s="11" t="inlineStr">
        <is>
          <t>schema_version in Config matches the version the application expects.</t>
        </is>
      </c>
      <c r="C189" s="11" t="inlineStr">
        <is>
          <t>Warning - proceeds, banner shown.</t>
        </is>
      </c>
    </row>
    <row r="190">
      <c r="A190" s="17" t="inlineStr">
        <is>
          <t>V-10</t>
        </is>
      </c>
      <c r="B190" s="18" t="inlineStr">
        <is>
          <t>Clinical-trial projects carry clinical_phase and the four *_setup values.</t>
        </is>
      </c>
      <c r="C190" s="18" t="inlineStr">
        <is>
          <t>Warning - the project still simulates; the gap is listed.</t>
        </is>
      </c>
    </row>
    <row r="191">
      <c r="A191" s="17" t="inlineStr">
        <is>
          <t>V-11</t>
        </is>
      </c>
      <c r="B191" s="18" t="inlineStr">
        <is>
          <t>Every list-typed value appears in the Lists sheet for its list.</t>
        </is>
      </c>
      <c r="C191" s="18" t="inlineStr">
        <is>
          <t>Warning - value kept, reported as unrecognised.</t>
        </is>
      </c>
    </row>
    <row r="192">
      <c r="A192" s="19" t="inlineStr">
        <is>
          <t>V-12</t>
        </is>
      </c>
      <c r="B192" s="20" t="inlineStr">
        <is>
          <t>A project's periods leave no gap and no overlap across its timeline. The full set need not be present - a period may be legitimately omitted (REQ-CAL-12).</t>
        </is>
      </c>
      <c r="C192" s="20" t="inlineStr">
        <is>
          <t>Warning - months with no period use weight 1.00 and are listed (REQ-CAL-10).</t>
        </is>
      </c>
    </row>
    <row r="193">
      <c r="A193" s="17" t="inlineStr">
        <is>
          <t>V-13</t>
        </is>
      </c>
      <c r="B193" s="18" t="inlineStr">
        <is>
          <t>Denormalised project_name / person_name match their master row.</t>
        </is>
      </c>
      <c r="C193" s="18" t="inlineStr">
        <is>
          <t>Warning - the master value wins and the copy is refreshed.</t>
        </is>
      </c>
    </row>
    <row r="194">
      <c r="A194" s="19" t="inlineStr">
        <is>
          <t>V-14</t>
        </is>
      </c>
      <c r="B194" s="20" t="inlineStr">
        <is>
          <t>A milestone date falls inside its project's start..end window, and the boundary milestones appear in chronological order. Repeated 'Inspection' rows are exempt from the uniqueness part of this check.</t>
        </is>
      </c>
      <c r="C194" s="20" t="inlineStr">
        <is>
          <t>Error for period-defining milestones - the derivation cannot run. Warning for markers.</t>
        </is>
      </c>
    </row>
    <row r="195">
      <c r="A195" s="17" t="inlineStr">
        <is>
          <t>V-15</t>
        </is>
      </c>
      <c r="B195" s="18" t="inlineStr">
        <is>
          <t>A period_name belongs to the period set of its project's type.</t>
        </is>
      </c>
      <c r="C195" s="18" t="inlineStr">
        <is>
          <t>Error - a 'Planning' period on a clinical trial is a category mistake, not a typo.</t>
        </is>
      </c>
    </row>
    <row r="196">
      <c r="A196" s="17" t="inlineStr">
        <is>
          <t>V-16</t>
        </is>
      </c>
      <c r="B196" s="18" t="inlineStr">
        <is>
          <t>A clinical trial carries the milestones the derivation needs: CTA submission, and at least one DB lock.</t>
        </is>
      </c>
      <c r="C196" s="18" t="inlineStr">
        <is>
          <t>Error - without them no period boundary can be computed.</t>
        </is>
      </c>
    </row>
    <row r="197">
      <c r="A197" s="19" t="inlineStr">
        <is>
          <t>V-18</t>
        </is>
      </c>
      <c r="B197" s="20" t="inlineStr">
        <is>
          <t>Within a project, period_name is unique, and period_seq is unique.</t>
        </is>
      </c>
      <c r="C197" s="20" t="inlineStr">
        <is>
          <t>Error - since R-11 the key is (project_id, period_name), so a repeated name is a duplicate key rather than a legitimate second stretch. period_seq stays unique because it carries the order.</t>
        </is>
      </c>
    </row>
    <row r="198">
      <c r="A198" s="19" t="inlineStr">
        <is>
          <t>V-19</t>
        </is>
      </c>
      <c r="B198" s="20" t="inlineStr">
        <is>
          <t>A clinical trial carries a clinical_phase, and PeriodFTEStandard has rows for that phase. Not applied to 'Others' projects, whose weights are entered directly.</t>
        </is>
      </c>
      <c r="C198" s="20" t="inlineStr">
        <is>
          <t>Error - since Q-26 the phase selects the weights, so a missing phase leaves the project unweighted.</t>
        </is>
      </c>
    </row>
    <row r="199">
      <c r="A199" s="17" t="inlineStr">
        <is>
          <t>V-20</t>
        </is>
      </c>
      <c r="B199" s="18" t="inlineStr">
        <is>
          <t>A milestone other than 'Inspection' appears at most once per project.</t>
        </is>
      </c>
      <c r="C199" s="18" t="inlineStr">
        <is>
          <t>Warning - repeats are allowed but usually a data-entry slip outside Inspection.</t>
        </is>
      </c>
    </row>
    <row r="200">
      <c r="A200" s="17" t="inlineStr">
        <is>
          <t>V-21</t>
        </is>
      </c>
      <c r="B200" s="18" t="inlineStr">
        <is>
          <t>'Inspection' dates on or before the final DB lock are treated as markers, not as the start of period 7.</t>
        </is>
      </c>
      <c r="C200" s="18" t="inlineStr">
        <is>
          <t>Information - listed so the reader can see why an early inspection did not open a period.</t>
        </is>
      </c>
    </row>
    <row r="201">
      <c r="A201" s="17" t="inlineStr">
        <is>
          <t>V-22</t>
        </is>
      </c>
      <c r="B201" s="18" t="inlineStr">
        <is>
          <t>No person carries a capacity_fte below the under-allocation floor.</t>
        </is>
      </c>
      <c r="C201" s="18" t="inlineStr">
        <is>
          <t>Warning - such a person can never clear the floor however fully they are booked, so the flag would be permanent and meaningless.</t>
        </is>
      </c>
    </row>
    <row r="202">
      <c r="A202" s="17" t="inlineStr">
        <is>
          <t>V-17</t>
        </is>
      </c>
      <c r="B202" s="18" t="inlineStr">
        <is>
          <t>On editing an identifier, every referencing row is updated; on deleting a row, nothing may still reference it.</t>
        </is>
      </c>
      <c r="C202" s="18" t="inlineStr">
        <is>
          <t>Cascade after confirmation / deletion refused (REQ-IMP-10).</t>
        </is>
      </c>
    </row>
    <row r="204">
      <c r="A204" s="16" t="inlineStr">
        <is>
          <t>Import never stops at the first problem: it collects every finding and presents one report (REQ-IMP-02). Under REQ-IMP-09 the same rules run again on any value edited on screen.</t>
        </is>
      </c>
    </row>
    <row r="205">
      <c r="A205" s="3" t="inlineStr">
        <is>
          <t>Legend</t>
        </is>
      </c>
    </row>
    <row r="206">
      <c r="A206" s="12" t="inlineStr">
        <is>
          <t>Green = new in v0.2, added from your review answers.</t>
        </is>
      </c>
    </row>
    <row r="207">
      <c r="A207" s="13" t="inlineStr">
        <is>
          <t>Orange = changed in v0.2 as a consequence of your review.</t>
        </is>
      </c>
    </row>
    <row r="208">
      <c r="A208"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19" t="inlineStr">
        <is>
          <t>Over-allocation flag</t>
        </is>
      </c>
      <c r="B30" s="20" t="inlineStr">
        <is>
          <t>Person-month total &gt; over_allocation_fte (1.50).</t>
        </is>
      </c>
      <c r="C30" s="20" t="inlineStr">
        <is>
          <t>Red cell + count in summary tiles</t>
        </is>
      </c>
      <c r="D30" s="19"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19" t="inlineStr">
        <is>
          <t>1</t>
        </is>
      </c>
      <c r="B44" s="19" t="inlineStr">
        <is>
          <t>Before-Start-up</t>
        </is>
      </c>
      <c r="C44" s="20" t="inlineStr">
        <is>
          <t>project start_date</t>
        </is>
      </c>
      <c r="D44" s="20" t="inlineStr">
        <is>
          <t>'Protocol (v1)' where recorded, otherwise the day before Start-up begins</t>
        </is>
      </c>
      <c r="E44" s="19" t="inlineStr">
        <is>
          <t>R-02</t>
        </is>
      </c>
    </row>
    <row r="45">
      <c r="A45" s="19" t="inlineStr">
        <is>
          <t>2</t>
        </is>
      </c>
      <c r="B45" s="19" t="inlineStr">
        <is>
          <t>Start-up</t>
        </is>
      </c>
      <c r="C45" s="20" t="inlineStr">
        <is>
          <t>day after 'Protocol (v1)' where recorded, otherwise one month before 'CTA submission'</t>
        </is>
      </c>
      <c r="D45" s="20" t="inlineStr">
        <is>
          <t>'First SIV' where recorded (or 'FPI'), otherwise start + 4 months - 1 day</t>
        </is>
      </c>
      <c r="E45" s="19" t="inlineStr">
        <is>
          <t>R-02</t>
        </is>
      </c>
    </row>
    <row r="46">
      <c r="A46" s="19" t="inlineStr">
        <is>
          <t>3</t>
        </is>
      </c>
      <c r="B46" s="19" t="inlineStr">
        <is>
          <t>Conduct (interim)</t>
        </is>
      </c>
      <c r="C46" s="20" t="inlineStr">
        <is>
          <t>day after Start-up ends</t>
        </is>
      </c>
      <c r="D46" s="20" t="inlineStr">
        <is>
          <t>day before Close-out (interim) begins</t>
        </is>
      </c>
      <c r="E46" s="19"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19" t="inlineStr">
        <is>
          <t>5</t>
        </is>
      </c>
      <c r="B48" s="19" t="inlineStr">
        <is>
          <t>Conduct (final)</t>
        </is>
      </c>
      <c r="C48" s="20" t="inlineStr">
        <is>
          <t>day after 'interim DB lock'</t>
        </is>
      </c>
      <c r="D48" s="20" t="inlineStr">
        <is>
          <t>day before Close-out (final) begins</t>
        </is>
      </c>
      <c r="E48" s="19" t="inlineStr">
        <is>
          <t>Q-23, R-11</t>
        </is>
      </c>
    </row>
    <row r="49">
      <c r="A49" s="19" t="inlineStr">
        <is>
          <t>6</t>
        </is>
      </c>
      <c r="B49" s="19" t="inlineStr">
        <is>
          <t>Close-out (final)</t>
        </is>
      </c>
      <c r="C49" s="20" t="inlineStr">
        <is>
          <t>3 months before 'final DB lock'</t>
        </is>
      </c>
      <c r="D49" s="20" t="inlineStr">
        <is>
          <t>day before period 7 begins; where there is no period 7, 'final DB lock' or project end_date if later</t>
        </is>
      </c>
      <c r="E49" s="19"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19" t="inlineStr">
        <is>
          <t>C-03</t>
        </is>
      </c>
      <c r="B95" s="20" t="inlineStr">
        <is>
          <t>A missing PersonPeriodWeight row means person_weight applies unchanged.</t>
        </is>
      </c>
      <c r="C95" s="20" t="inlineStr">
        <is>
          <t>Follows from the override semantics. No row is the normal case, not an exception.</t>
        </is>
      </c>
      <c r="D95" s="19" t="inlineStr">
        <is>
          <t>CONFIRMED</t>
        </is>
      </c>
    </row>
    <row r="96">
      <c r="A96" s="19" t="inlineStr">
        <is>
          <t>C-04</t>
        </is>
      </c>
      <c r="B96" s="20" t="inlineStr">
        <is>
          <t>Capacity is FTE. 1.00 FTE = 160 h/month.</t>
        </is>
      </c>
      <c r="C96" s="20" t="inlineStr">
        <is>
          <t>Confirmed at Q-08. Note the flag is NOT at 1.00 - over-allocation begins above 1.50.</t>
        </is>
      </c>
      <c r="D96" s="19" t="inlineStr">
        <is>
          <t>CONFIRMED</t>
        </is>
      </c>
    </row>
    <row r="97">
      <c r="A97" s="19" t="inlineStr">
        <is>
          <t>C-05</t>
        </is>
      </c>
      <c r="B97" s="20" t="inlineStr">
        <is>
          <t>The unit shown on screen is FTE, with hours available.</t>
        </is>
      </c>
      <c r="C97" s="20" t="inlineStr">
        <is>
          <t>Q-08 was expressed in FTE and hours, so FTE is now the default rather than percent.</t>
        </is>
      </c>
      <c r="D97" s="19"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0"/>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19" t="inlineStr">
        <is>
          <t>Control bar</t>
        </is>
      </c>
      <c r="B6" s="20"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19"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9" t="inlineStr">
        <is>
          <t>Table B - resource by person</t>
        </is>
      </c>
      <c r="B8" s="20" t="inlineStr">
        <is>
          <t>Rows = person, columns = months, cells = FTE summed across projects. Over-allocated cells red, under-allocated runs amber. Expanding a person reveals their projects.</t>
        </is>
      </c>
      <c r="C8" s="19"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9" t="inlineStr">
        <is>
          <t>Graph 2 - grouped bar, by person</t>
        </is>
      </c>
      <c r="B10" s="20" t="inlineStr">
        <is>
          <t>Monthly FTE per person with reference lines at 1.50 and 0.80, so both thresholds are visible.</t>
        </is>
      </c>
      <c r="C10" s="19"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9" t="inlineStr">
        <is>
          <t>Summary tiles</t>
        </is>
      </c>
      <c r="B12" s="20" t="inlineStr">
        <is>
          <t>Active projects, people assigned, total FTE in the horizon, over-allocated person-months, under-allocated runs.</t>
        </is>
      </c>
      <c r="C12" s="19" t="inlineStr">
        <is>
          <t>REQ-DSH-08</t>
        </is>
      </c>
    </row>
    <row r="14">
      <c r="A14" s="5" t="inlineStr">
        <is>
          <t>Tab 2 - Source data (project)</t>
        </is>
      </c>
    </row>
    <row r="15" ht="28" customHeight="1">
      <c r="A15" s="7" t="inlineStr">
        <is>
          <t>Component</t>
        </is>
      </c>
      <c r="B15" s="7" t="inlineStr">
        <is>
          <t>Content</t>
        </is>
      </c>
      <c r="C15" s="7" t="inlineStr">
        <is>
          <t>REQ-ID</t>
        </is>
      </c>
    </row>
    <row r="16">
      <c r="A16" s="19" t="inlineStr">
        <is>
          <t>Project table</t>
        </is>
      </c>
      <c r="B16" s="20" t="inlineStr">
        <is>
          <t>Every Project column from sheet 04, sortable and filterable, with derived total period. Editable under REQ-IMP-07.</t>
        </is>
      </c>
      <c r="C16" s="19" t="inlineStr">
        <is>
          <t>REQ-DSH-03</t>
        </is>
      </c>
    </row>
    <row r="17">
      <c r="A17" s="10" t="inlineStr">
        <is>
          <t>Milestone sub-table</t>
        </is>
      </c>
      <c r="B17" s="11" t="inlineStr">
        <is>
          <t>Milestones of the selected project, in sequence.</t>
        </is>
      </c>
      <c r="C17" s="10" t="inlineStr">
        <is>
          <t>REQ-PRJ-05</t>
        </is>
      </c>
    </row>
    <row r="18">
      <c r="A18" s="19" t="inlineStr">
        <is>
          <t>Period sub-table</t>
        </is>
      </c>
      <c r="B18" s="20" t="inlineStr">
        <is>
          <t>The selected project's four periods, their derived dates and their weights.</t>
        </is>
      </c>
      <c r="C18" s="19"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9" t="inlineStr">
        <is>
          <t>Person table</t>
        </is>
      </c>
      <c r="B23" s="20" t="inlineStr">
        <is>
          <t>Every Person column from sheet 04, sortable and filterable. Editable under REQ-IMP-07.</t>
        </is>
      </c>
      <c r="C23" s="19" t="inlineStr">
        <is>
          <t>REQ-DSH-04</t>
        </is>
      </c>
    </row>
    <row r="24">
      <c r="A24" s="19" t="inlineStr">
        <is>
          <t>Assignment sub-table</t>
        </is>
      </c>
      <c r="B24" s="20" t="inlineStr">
        <is>
          <t>The selected person's assignments: project, role, start, end, person weight.</t>
        </is>
      </c>
      <c r="C24" s="19"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20" t="inlineStr">
        <is>
          <t>The v0.1 rule 'nothing on screen is editable' is withdrawn. Imported data can be edited in the application.</t>
        </is>
      </c>
      <c r="B30" s="19"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20" t="inlineStr">
        <is>
          <t>Every field is editable, identifiers included (Q-20). Consistency is protected by rule, not by locking fields.</t>
        </is>
      </c>
      <c r="B33" s="19"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5">
      <c r="A45" s="18" t="inlineStr">
        <is>
          <t>Any section holding a bounded scroll region can be given the whole window from a control in its head, and the data in it stays editable there; the edit bar and the tabs stay in front of it, and Escape gives the page back (REQ-DSH-18).</t>
        </is>
      </c>
    </row>
    <row r="47">
      <c r="A47" s="3" t="inlineStr">
        <is>
          <t>Legend</t>
        </is>
      </c>
    </row>
    <row r="48">
      <c r="A48" s="12" t="inlineStr">
        <is>
          <t>Green = new in v0.2, added from your review answers.</t>
        </is>
      </c>
    </row>
    <row r="49">
      <c r="A49" s="13" t="inlineStr">
        <is>
          <t>Orange = changed in v0.2 as a consequence of your review.</t>
        </is>
      </c>
    </row>
    <row r="50">
      <c r="A50"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19" t="inlineStr">
        <is>
          <t>5. Calculation layer</t>
        </is>
      </c>
      <c r="B28" s="20" t="inlineStr">
        <is>
          <t>The monthly engine above. Pure functions - no DOM, no file access.</t>
        </is>
      </c>
      <c r="C28" s="20" t="inlineStr">
        <is>
          <t>Directly unit-testable, and the piece most likely to be refined once you see real output.</t>
        </is>
      </c>
    </row>
    <row r="29">
      <c r="A29" s="19" t="inlineStr">
        <is>
          <t>6. Presentation layer</t>
        </is>
      </c>
      <c r="B29" s="20" t="inlineStr">
        <is>
          <t>Tabs, tables, graphs, filters, editing controls, export buttons.</t>
        </is>
      </c>
      <c r="C29" s="20"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20"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PRAP_SourceData_Template_v1.19.xlsx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9" t="inlineStr">
        <is>
          <t>Source data template</t>
        </is>
      </c>
      <c r="B8" s="20" t="inlineStr">
        <is>
          <t>PRAP_SourceData_v&lt;ver&gt;.xlsx  (one workbook, was two)</t>
        </is>
      </c>
      <c r="C8" s="19" t="inlineStr">
        <is>
          <t>templates/</t>
        </is>
      </c>
      <c r="D8" s="20"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9" t="inlineStr">
        <is>
          <t>R-01</t>
        </is>
      </c>
      <c r="B5" s="20" t="inlineStr">
        <is>
          <t>The resource formula does not match how burden is actually judged, so output looks wrong.</t>
        </is>
      </c>
      <c r="C5" s="19" t="inlineStr">
        <is>
          <t>Medium</t>
        </is>
      </c>
      <c r="D5" s="19" t="inlineStr">
        <is>
          <t>High</t>
        </is>
      </c>
      <c r="E5" s="20"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9" t="inlineStr">
        <is>
          <t>R-03</t>
        </is>
      </c>
      <c r="B7" s="20" t="inlineStr">
        <is>
          <t>Corporate policy blocks local .html files or restricts the browser.</t>
        </is>
      </c>
      <c r="C7" s="19" t="inlineStr">
        <is>
          <t>-</t>
        </is>
      </c>
      <c r="D7" s="19" t="inlineStr">
        <is>
          <t>-</t>
        </is>
      </c>
      <c r="E7" s="20"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9" t="inlineStr">
        <is>
          <t>R-05</t>
        </is>
      </c>
      <c r="B9" s="20" t="inlineStr">
        <is>
          <t>Data volume grows beyond what a browser handles comfortably.</t>
        </is>
      </c>
      <c r="C9" s="19" t="inlineStr">
        <is>
          <t>Low</t>
        </is>
      </c>
      <c r="D9" s="19" t="inlineStr">
        <is>
          <t>Low</t>
        </is>
      </c>
      <c r="E9" s="20"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19" t="inlineStr">
        <is>
          <t>R-09</t>
        </is>
      </c>
      <c r="B13" s="20" t="inlineStr">
        <is>
          <t>Milestone-derived periods break for a project with missing or out-of-order milestones.</t>
        </is>
      </c>
      <c r="C13" s="19" t="inlineStr">
        <is>
          <t>Medium</t>
        </is>
      </c>
      <c r="D13" s="19" t="inlineStr">
        <is>
          <t>High</t>
        </is>
      </c>
      <c r="E13" s="20"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9" t="inlineStr">
        <is>
          <t>R-10</t>
        </is>
      </c>
      <c r="B14" s="20" t="inlineStr">
        <is>
          <t>The weight and role-factor values are unknown to the plan, so output cannot be checked against reality until they are entered.</t>
        </is>
      </c>
      <c r="C14" s="19" t="inlineStr">
        <is>
          <t>Medium</t>
        </is>
      </c>
      <c r="D14" s="19" t="inlineStr">
        <is>
          <t>Medium</t>
        </is>
      </c>
      <c r="E14" s="20"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19" t="inlineStr">
        <is>
          <t>R-11</t>
        </is>
      </c>
      <c r="B15" s="20" t="inlineStr">
        <is>
          <t>The period mapping leaves parts of a project with no period, so months silently carry a default weight.</t>
        </is>
      </c>
      <c r="C15" s="19" t="inlineStr">
        <is>
          <t>Low</t>
        </is>
      </c>
      <c r="D15" s="19" t="inlineStr">
        <is>
          <t>Medium</t>
        </is>
      </c>
      <c r="E15" s="20"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9" t="inlineStr">
        <is>
          <t>A-01</t>
        </is>
      </c>
      <c r="B20" s="20" t="inlineStr">
        <is>
          <t>Data volume is under 20 projects and 30 people.</t>
        </is>
      </c>
      <c r="C20" s="19" t="inlineStr">
        <is>
          <t>CONFIRMED Q-06</t>
        </is>
      </c>
    </row>
    <row r="21">
      <c r="A21" s="19" t="inlineStr">
        <is>
          <t>A-02</t>
        </is>
      </c>
      <c r="B21" s="20" t="inlineStr">
        <is>
          <t>One person's capacity is 1.00 FTE = 160 hours per month; part-timers carry a lower capacity_fte.</t>
        </is>
      </c>
      <c r="C21" s="19"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9" t="inlineStr">
        <is>
          <t>A-05</t>
        </is>
      </c>
      <c r="B24" s="20" t="inlineStr">
        <is>
          <t>Windows 10 or 11 with Edge or Chrome, and local .html files open.</t>
        </is>
      </c>
      <c r="C24" s="19" t="inlineStr">
        <is>
          <t>CONFIRMED Q-05</t>
        </is>
      </c>
    </row>
    <row r="25">
      <c r="A25" s="10" t="inlineStr">
        <is>
          <t>A-06</t>
        </is>
      </c>
      <c r="B25" s="11" t="inlineStr">
        <is>
          <t>Only one person maintains the workbook at a time - no concurrent editing to reconcile.</t>
        </is>
      </c>
      <c r="C25" s="10" t="inlineStr">
        <is>
          <t>Standing</t>
        </is>
      </c>
    </row>
    <row r="26">
      <c r="A26" s="19" t="inlineStr">
        <is>
          <t>A-07</t>
        </is>
      </c>
      <c r="B26" s="20" t="inlineStr">
        <is>
          <t>Milestone dates now DRIVE period boundaries (REQ-CAL-09); they are no longer merely informational.</t>
        </is>
      </c>
      <c r="C26" s="19" t="inlineStr">
        <is>
          <t>Changed by Q-01/Q-04</t>
        </is>
      </c>
    </row>
    <row r="27">
      <c r="A27" s="19" t="inlineStr">
        <is>
          <t>A-08</t>
        </is>
      </c>
      <c r="B27" s="20" t="inlineStr">
        <is>
          <t>Period sets are type-specific: seven names for either clinical trial type, three for 'Others'. No name repeats within a project.</t>
        </is>
      </c>
      <c r="C27" s="19" t="inlineStr">
        <is>
          <t>CONFIRMED Q-18, Q-23; revised at R-11</t>
        </is>
      </c>
    </row>
    <row r="28">
      <c r="A28" s="19" t="inlineStr">
        <is>
          <t>A-09</t>
        </is>
      </c>
      <c r="B28" s="20" t="inlineStr">
        <is>
          <t>A clinical trial's period weights are selected by its clinical phase.</t>
        </is>
      </c>
      <c r="C28" s="19" t="inlineStr">
        <is>
          <t>CONFIRMED Q-26</t>
        </is>
      </c>
    </row>
    <row r="29">
      <c r="A29" s="19" t="inlineStr">
        <is>
          <t>A-10</t>
        </is>
      </c>
      <c r="B29" s="20" t="inlineStr">
        <is>
          <t>'Others' projects have no milestone mapping, so their three periods are entered by hand.</t>
        </is>
      </c>
      <c r="C29" s="19"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5"/>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R-60</t>
        </is>
      </c>
      <c r="B47" s="8" t="inlineStr">
        <is>
          <t>Data model</t>
        </is>
      </c>
      <c r="C47" s="9" t="inlineStr">
        <is>
          <t>Colour every project's periods from an assumption on the General assumptions tab; where none is assumed for a period, let the project choose.</t>
        </is>
      </c>
      <c r="D47" s="9" t="inlineStr">
        <is>
          <t>Applied. New sheet PeriodHighlight, one default colour per period name; source schema steps 14 to 15. The project's own Highlight wins, then the default, then gray; derived periods take the default too. Shipped defaults restore the O-10 reading as data. V-39 added; REQ-PRJ-16 added; no figure moves.</t>
        </is>
      </c>
      <c r="E47" s="17" t="inlineStr">
        <is>
          <t>Applied</t>
        </is>
      </c>
    </row>
    <row r="48">
      <c r="A48" s="10" t="inlineStr">
        <is>
          <t>R-61</t>
        </is>
      </c>
      <c r="B48" s="10" t="inlineStr">
        <is>
          <t>Storage</t>
        </is>
      </c>
      <c r="C48" s="11" t="inlineStr">
        <is>
          <t>Let a user whose session timed out save the working plan into their personal folder.</t>
        </is>
      </c>
      <c r="D48" s="11" t="inlineStr">
        <is>
          <t>Applied (Python edition). When the shared plan can no longer be written - the hold lapsed and was taken over, or a colleague saved since it was opened - a bar offers 'Save my version to My plans': a new, uniquely named file in the person's own folder, after which the window works on it. Also on the File menu. The team's plan is never touched.</t>
        </is>
      </c>
      <c r="E48" s="17" t="inlineStr">
        <is>
          <t>Applied</t>
        </is>
      </c>
    </row>
    <row r="49">
      <c r="A49" s="8" t="inlineStr">
        <is>
          <t>R-59</t>
        </is>
      </c>
      <c r="B49" s="8" t="inlineStr">
        <is>
          <t>Data model</t>
        </is>
      </c>
      <c r="C49" s="9" t="inlineStr">
        <is>
          <t>Add a Highlight column to Periods like the Milestones one: choose the colour of each project's period, gray when none is chosen.</t>
        </is>
      </c>
      <c r="D49" s="9" t="inlineStr">
        <is>
          <t>Applied. ProjectPeriod gains period_highlight after period_end; source schema steps 13 to 14. Its own list of the same five colours; the colour word inside the value is what is read. Unmarked periods are gray, shaded by weight, superseding the per-period-name hues of O-10. A value naming no colour is V-38. REQ-PRJ-15 added; no figure moves.</t>
        </is>
      </c>
      <c r="E49" s="17" t="inlineStr">
        <is>
          <t>Applied</t>
        </is>
      </c>
    </row>
    <row r="50">
      <c r="A50" s="10" t="inlineStr">
        <is>
          <t>R-58</t>
        </is>
      </c>
      <c r="B50" s="10" t="inlineStr">
        <is>
          <t>Audit</t>
        </is>
      </c>
      <c r="C50" s="11" t="inlineStr">
        <is>
          <t>Saving shows 'the change log could not be written to the audit folder ... Failed to fetch' - is the audit trail working?</t>
        </is>
      </c>
      <c r="D50" s="11" t="inlineStr">
        <is>
          <t>It works; the Python application behind the window had stopped. Its watchdog gave up after fifteen minutes without a heartbeat, which a sleeping browser tab or laptop reaches. Now only the page closing stops it, and a window whose application has stopped says so and offers downloads of the plan and the unarchived change log.</t>
        </is>
      </c>
      <c r="E50" s="17" t="inlineStr">
        <is>
          <t>Applied</t>
        </is>
      </c>
    </row>
    <row r="51">
      <c r="A51" s="8" t="inlineStr">
        <is>
          <t>R-57</t>
        </is>
      </c>
      <c r="B51" s="8" t="inlineStr">
        <is>
          <t>UI</t>
        </is>
      </c>
      <c r="C51" s="9" t="inlineStr">
        <is>
          <t>The import file window does not show the sub-folders of a level-1 folder.</t>
        </is>
      </c>
      <c r="D51" s="9" t="inlineStr">
        <is>
          <t>Fixed in the Python edition. A double-click opened the folder on its first click and then the row under the pointer in the redrawn list on its second, so the folder asked for was skipped. The second click of a sequence is now ignored on a freshly drawn list, and a double-click chooses only the row it began on.</t>
        </is>
      </c>
      <c r="E51" s="17" t="inlineStr">
        <is>
          <t>Applied</t>
        </is>
      </c>
    </row>
    <row r="52">
      <c r="A52" s="10" t="inlineStr">
        <is>
          <t>R-56</t>
        </is>
      </c>
      <c r="B52" s="10" t="inlineStr">
        <is>
          <t>UI</t>
        </is>
      </c>
      <c r="C52" s="11" t="inlineStr">
        <is>
          <t>Filters by name; a new project or person stays selected after Save; Resource by project to show auto vs manual, to filter to problem projects, and to count not-staffed months; file dates when importing and exporting.</t>
        </is>
      </c>
      <c r="D52" s="11" t="inlineStr">
        <is>
          <t>Applied. Project and Person filters list names with a search box. A row added with + row is the selection through typing, Save and a change of identifier. Resource by project gains an estimation pill per project, a mark on stated months and a Show control (issues, short, over, not staffed, stated by hand); not-staffed months are counted on the control, the tile and the Standard vs staffed list. The Python file browser shows modified dates, newest first; exported names carry date and time.</t>
        </is>
      </c>
      <c r="E52" s="17" t="inlineStr">
        <is>
          <t>Applied</t>
        </is>
      </c>
    </row>
    <row r="53">
      <c r="A53" s="8" t="inlineStr">
        <is>
          <t>R-55</t>
        </is>
      </c>
      <c r="B53" s="8" t="inlineStr">
        <is>
          <t>Output</t>
        </is>
      </c>
      <c r="C53" s="9" t="inlineStr">
        <is>
          <t>Make the calculated-FTE export usable for analysis outside the application, including by an AI: which projects are short or over, and by how much.</t>
        </is>
      </c>
      <c r="D53" s="9" t="inlineStr">
        <is>
          <t>Applied. ProjectMonth gains demand_fte, staffed_fte, gap_fte and gap_dir, and a row for every month nobody is on (V-36), which used to be dropped. Flags gains project runs - short, over, unallocated - and Summary the matching totals. The gap is the project's own whatever filter is on. PersonMonth gains the months a person is employed and on nothing, as spare capacity. REQ-OUT-06 amended. Alongside: tools/prap_analyze.py (scorecard and what-if comparison) and docs/PRAP_AI_Analysis_Guide.md.</t>
        </is>
      </c>
      <c r="E53" s="17" t="inlineStr">
        <is>
          <t>Applied</t>
        </is>
      </c>
    </row>
    <row r="54">
      <c r="A54" s="10" t="inlineStr">
        <is>
          <t>R-54</t>
        </is>
      </c>
      <c r="B54" s="10" t="inlineStr">
        <is>
          <t>UI</t>
        </is>
      </c>
      <c r="C54" s="11" t="inlineStr">
        <is>
          <t>Two raised from the screen: three cell marks were printing their own CSS escape, and the Order column on Milestones is not wanted.</t>
        </is>
      </c>
      <c r="D54" s="11" t="inlineStr">
        <is>
          <t>Both applied. The marks were written with a doubled backslash, so \25B2, \25BC and \26A0 were drawn as text instead of the arrows and the warning sign; three guards added, one static and two on the rendered character. milestone_seq is no longer drawn - it orders nothing, and its pop-up said otherwise. period_seq is kept: both engines sort by it and V-18 reports a duplicate as an error.</t>
        </is>
      </c>
      <c r="E54" s="17" t="inlineStr">
        <is>
          <t>Applied</t>
        </is>
      </c>
    </row>
    <row r="55">
      <c r="A55" s="8" t="inlineStr">
        <is>
          <t>R-53</t>
        </is>
      </c>
      <c r="B55" s="8" t="inlineStr">
        <is>
          <t>UI</t>
        </is>
      </c>
      <c r="C55" s="9" t="inlineStr">
        <is>
          <t>Let the Standard vs staffed list be narrowed, and keep a project's identity on screen while its table scrolls sideways.</t>
        </is>
      </c>
      <c r="D55" s="9" t="inlineStr">
        <is>
          <t>Both applied. The list gains three controls - direction, project, smallest gap - which narrow the LIST only; the tile and the control in the panel head go on counting everything, because they are the alarm. The Project table freezes the row handle, project_id and project_name at its left edge. REQ-DSH-15 amended and REQ-DSH-19 added.</t>
        </is>
      </c>
      <c r="E55" s="17" t="inlineStr">
        <is>
          <t>Applied</t>
        </is>
      </c>
    </row>
    <row r="56">
      <c r="A56" s="10" t="inlineStr">
        <is>
          <t>R-52</t>
        </is>
      </c>
      <c r="B56" s="10" t="inlineStr">
        <is>
          <t>UI</t>
        </is>
      </c>
      <c r="C56" s="11" t="inlineStr">
        <is>
          <t>Move Standard vs staffed onto Resource by project and open it from a control there.</t>
        </is>
      </c>
      <c r="D56" s="11" t="inlineStr">
        <is>
          <t>Applied. The list is now a dialog opened from that panel's head; a row opens the month on top of it. What the move costs - a list behind a click - is paid back by the control, which states how many months are off their standard and in which direction instead of naming the screen. REQ-DSH-15 amended. It also exposed a defect of its own: the tile that was supposed to jump to the old panel had never worked, because the pop-up handler runs in the capture phase and swallowed the click on a div that declares role=button.</t>
        </is>
      </c>
      <c r="E56" s="17" t="inlineStr">
        <is>
          <t>Applied</t>
        </is>
      </c>
    </row>
    <row r="57">
      <c r="A57" s="8" t="inlineStr">
        <is>
          <t>R-51</t>
        </is>
      </c>
      <c r="B57" s="8" t="inlineStr">
        <is>
          <t>UI</t>
        </is>
      </c>
      <c r="C57" s="9" t="inlineStr">
        <is>
          <t>Give every section a control that opens it full screen, so wide tables can be read and typed into at the size they actually are.</t>
        </is>
      </c>
      <c r="D57" s="9" t="inlineStr">
        <is>
          <t>Applied. The panel is drawn against the viewport rather than moved into an overlay or a dialog - an edit re-renders the pane it lives in, so a detached node would be orphaned by the first keystroke saved, and a modal would make Save inert. The sticky band carrying Save and the tabs is lifted above the section instead of being covered. Panels gained names so the state survives a re-render and a change of selected row. REQ-DSH-18 added.</t>
        </is>
      </c>
      <c r="E57" s="17" t="inlineStr">
        <is>
          <t>Applied</t>
        </is>
      </c>
    </row>
    <row r="58">
      <c r="A58" s="10" t="inlineStr">
        <is>
          <t>R-50</t>
        </is>
      </c>
      <c r="B58" s="10" t="inlineStr">
        <is>
          <t>Data model</t>
        </is>
      </c>
      <c r="C58" s="11" t="inlineStr">
        <is>
          <t>Mark a milestone in a colour, and carry the mark to the Project timeline on both tabs.</t>
        </is>
      </c>
      <c r="D58" s="11" t="inlineStr">
        <is>
          <t>Applied. Milestone gains milestone_highlight beside milestone_date; source schema steps 12 to 13. The colours live in Lists, and the application reads the COLOUR WORD inside the value - so a team may write what their colour means and keep both. A value with no colour word in it is V-37 and the milestone draws unmarked. REQ-PRJ-14 added.</t>
        </is>
      </c>
      <c r="E58" s="17" t="inlineStr">
        <is>
          <t>Applied</t>
        </is>
      </c>
    </row>
    <row r="59">
      <c r="A59" s="8" t="inlineStr">
        <is>
          <t>R-01</t>
        </is>
      </c>
      <c r="B59" s="8" t="inlineStr">
        <is>
          <t>Data model</t>
        </is>
      </c>
      <c r="C59" s="9" t="inlineStr">
        <is>
          <t>Add 'Inspection' as a standard milestone.</t>
        </is>
      </c>
      <c r="D59" s="9" t="inlineStr">
        <is>
          <t>Applied. Milestone list grows to ten. Unlike the others, 'Inspection' MAY REPEAT within one project, so REQ-PRJ-13 and V-20 were added and V-14's uniqueness check now exempts it.</t>
        </is>
      </c>
      <c r="E59" s="17" t="inlineStr">
        <is>
          <t>Applied</t>
        </is>
      </c>
    </row>
    <row r="60">
      <c r="A60" s="10" t="inlineStr">
        <is>
          <t>R-02</t>
        </is>
      </c>
      <c r="B60" s="10" t="inlineStr">
        <is>
          <t>Calculation</t>
        </is>
      </c>
      <c r="C60" s="11" t="inlineStr">
        <is>
          <t>Sheet 05 derivation edits: Before-Start-up ends at 'Protocol (v1)'; Start-up begins the day after it and ends at 'First SIV' (or 'FPI'); a seventh period 'After Close-out (final)' spans the Inspection dates.</t>
        </is>
      </c>
      <c r="D60" s="11" t="inlineStr">
        <is>
          <t>Applied. Clinical period set grows to six names; REQ-PRJ-12 and REQ-CAL-09 reworded; REQ-CAL-13 added for the milestone-beats-offset rule; 'FPI' restored to the milestone list as the First SIV fallback.</t>
        </is>
      </c>
      <c r="E60" s="17" t="inlineStr">
        <is>
          <t>Applied</t>
        </is>
      </c>
    </row>
    <row r="61">
      <c r="A61" s="8" t="inlineStr">
        <is>
          <t>R-03</t>
        </is>
      </c>
      <c r="B61" s="8" t="inlineStr">
        <is>
          <t>Calculation</t>
        </is>
      </c>
      <c r="C61" s="9" t="inlineStr">
        <is>
          <t>Not requested - found while applying R-02.</t>
        </is>
      </c>
      <c r="D61"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61" s="17" t="inlineStr">
        <is>
          <t>CONFIRMED</t>
        </is>
      </c>
    </row>
    <row r="62">
      <c r="A62" s="10" t="inlineStr">
        <is>
          <t>R-13</t>
        </is>
      </c>
      <c r="B62" s="10" t="inlineStr">
        <is>
          <t>UI</t>
        </is>
      </c>
      <c r="C62" s="11" t="inlineStr">
        <is>
          <t>Two requests at the component-list v0.7 review: highlight the interim and final DB lock milestones in red, and add a project utilisation graph to the 'Source data (project)' tab.</t>
        </is>
      </c>
      <c r="D62"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62" s="17" t="inlineStr">
        <is>
          <t>Applied</t>
        </is>
      </c>
    </row>
    <row r="63">
      <c r="A63" s="8" t="inlineStr">
        <is>
          <t>R-12</t>
        </is>
      </c>
      <c r="B63" s="8" t="inlineStr">
        <is>
          <t>Validation</t>
        </is>
      </c>
      <c r="C63" s="9" t="inlineStr">
        <is>
          <t>Raised as a question about the PersonPeriodWeight key - why is period_start needed when assignment_id looks unique?</t>
        </is>
      </c>
      <c r="D63"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63" s="17" t="inlineStr">
        <is>
          <t>Applied</t>
        </is>
      </c>
    </row>
    <row r="64">
      <c r="A64" s="10" t="inlineStr">
        <is>
          <t>R-11</t>
        </is>
      </c>
      <c r="B64" s="10" t="inlineStr">
        <is>
          <t>Data model</t>
        </is>
      </c>
      <c r="C64" s="11" t="inlineStr">
        <is>
          <t>Name the two conduct stretches apart - 'Conduct (interim)' before an interim DB lock, 'Conduct (final)' after it or where there is no interim lock - and key ProjectPeriod on (project_id, period_name).</t>
        </is>
      </c>
      <c r="D64"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64" s="17" t="inlineStr">
        <is>
          <t>Applied</t>
        </is>
      </c>
    </row>
    <row r="65">
      <c r="A65" s="8" t="inlineStr">
        <is>
          <t>R-10</t>
        </is>
      </c>
      <c r="B65" s="8" t="inlineStr">
        <is>
          <t>Data model</t>
        </is>
      </c>
      <c r="C65" s="9" t="inlineStr">
        <is>
          <t>The role factor must be given by role AND project type AND clinical phase AND period, not by role and type alone.</t>
        </is>
      </c>
      <c r="D65"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65" s="17" t="inlineStr">
        <is>
          <t>Applied</t>
        </is>
      </c>
    </row>
    <row r="66">
      <c r="A66" s="10" t="inlineStr">
        <is>
          <t>R-09</t>
        </is>
      </c>
      <c r="B66" s="10" t="inlineStr">
        <is>
          <t>UI</t>
        </is>
      </c>
      <c r="C66"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66"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66" s="17" t="inlineStr">
        <is>
          <t>Applied</t>
        </is>
      </c>
    </row>
    <row r="67">
      <c r="A67" s="8" t="inlineStr">
        <is>
          <t>R-08</t>
        </is>
      </c>
      <c r="B67" s="8" t="inlineStr">
        <is>
          <t>UI</t>
        </is>
      </c>
      <c r="C67" s="9" t="inlineStr">
        <is>
          <t>The two 'Conduct' stretches of a project must be distinguishable on screen (S2-04).</t>
        </is>
      </c>
      <c r="D67" s="9" t="inlineStr">
        <is>
          <t>Applied as REQ-DSH-10. A display rule, not a data change: period_name stays 'Conduct' in the workbook and the screen shows it with its sequence, 'Conduct (1)' and 'Conduct (2)'. Changing the stored name would have broken the weight lookup and V-15.</t>
        </is>
      </c>
      <c r="E67" s="17" t="inlineStr">
        <is>
          <t>Applied</t>
        </is>
      </c>
    </row>
    <row r="68">
      <c r="A68" s="10" t="inlineStr">
        <is>
          <t>R-07</t>
        </is>
      </c>
      <c r="B68" s="10" t="inlineStr">
        <is>
          <t>Calculation</t>
        </is>
      </c>
      <c r="C68" s="11" t="inlineStr">
        <is>
          <t>Thresholds stay ABSOLUTE, not relative to capacity_fte (S2-01), and the under-allocation floor moves to 0.60 FTE (S2-05).</t>
        </is>
      </c>
      <c r="D68"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68" s="17" t="inlineStr">
        <is>
          <t>Applied</t>
        </is>
      </c>
    </row>
    <row r="69">
      <c r="A69" s="8" t="inlineStr">
        <is>
          <t>R-06</t>
        </is>
      </c>
      <c r="B69" s="8" t="inlineStr">
        <is>
          <t>Non-functional</t>
        </is>
      </c>
      <c r="C69" s="9" t="inlineStr">
        <is>
          <t>Re-baseline REQ-NFR-03 to 100 projects and 1,000 people (S2-06).</t>
        </is>
      </c>
      <c r="D69" s="9" t="inlineStr">
        <is>
          <t>Applied, and it was the most consequential answer in this round. At that volume the person table is 1,000 rows x 60 months = 60,000 cells, and the per-person chart would be 1,000 bars at roughly 1.2px each. Neither survives a naive build, so virtualisation and aggregation became requirements (REQ-DSH-09) rather than optimisations. Priority raised from Should to Must. SUPERSEDED AT R-47, and worth reading as a lesson rather than only as a record: the volume was reasoned about and never measured, the aggregation half was duly built, and the VIRTUALISATION half was recorded as built for five weeks without existing. Measurement then put the rendering budget's crossing point at about 400 people, so REQ-NFR-03 is now 100 projects and 150 people and the virtualisation clause is withdrawn. Priority stays Must.</t>
        </is>
      </c>
      <c r="E69" s="17" t="inlineStr">
        <is>
          <t>Applied; volume superseded at R-47</t>
        </is>
      </c>
    </row>
    <row r="70">
      <c r="A70" s="10" t="inlineStr">
        <is>
          <t>R-05</t>
        </is>
      </c>
      <c r="B70" s="10" t="inlineStr">
        <is>
          <t>Data model</t>
        </is>
      </c>
      <c r="C70" s="11" t="inlineStr">
        <is>
          <t>Split project_type: 'Clinical Trial' becomes 'NewDrug CT' and 'Biosimilar CT'; every clinical trial is one or the other.</t>
        </is>
      </c>
      <c r="D70"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70" s="17" t="inlineStr">
        <is>
          <t>Applied</t>
        </is>
      </c>
    </row>
    <row r="71">
      <c r="A71" s="8" t="inlineStr">
        <is>
          <t>R-04</t>
        </is>
      </c>
      <c r="B71" s="8" t="inlineStr">
        <is>
          <t>Data model</t>
        </is>
      </c>
      <c r="C71" s="9" t="inlineStr">
        <is>
          <t>Add at least one free-text note column to every sheet of the source workbook.</t>
        </is>
      </c>
      <c r="D71"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71" s="17" t="inlineStr">
        <is>
          <t>Applied</t>
        </is>
      </c>
    </row>
    <row r="73">
      <c r="A73" s="16" t="inlineStr">
        <is>
          <t>All four are settled. Nothing on this sheet is open, and the plan is final.</t>
        </is>
      </c>
    </row>
    <row r="75">
      <c r="A75"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2026-10-08T09:27:40Z</dcterms:created>
  <dcterms:modified xsi:type="dcterms:W3CDTF">2026-10-08T09:27:40Z</dcterms:modified>
</cp:coreProperties>
</file>