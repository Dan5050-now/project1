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Version_History" sheetId="2" state="visible" r:id="rId2"/>
    <sheet xmlns:r="http://schemas.openxmlformats.org/officeDocument/2006/relationships" name="02_Scope" sheetId="3" state="visible" r:id="rId3"/>
    <sheet xmlns:r="http://schemas.openxmlformats.org/officeDocument/2006/relationships" name="03_Requirements" sheetId="4" state="visible" r:id="rId4"/>
    <sheet xmlns:r="http://schemas.openxmlformats.org/officeDocument/2006/relationships" name="04_Data_Model" sheetId="5" state="visible" r:id="rId5"/>
    <sheet xmlns:r="http://schemas.openxmlformats.org/officeDocument/2006/relationships" name="05_Resource_Logic" sheetId="6" state="visible" r:id="rId6"/>
    <sheet xmlns:r="http://schemas.openxmlformats.org/officeDocument/2006/relationships" name="06_Dashboard_Design" sheetId="7" state="visible" r:id="rId7"/>
    <sheet xmlns:r="http://schemas.openxmlformats.org/officeDocument/2006/relationships" name="07_Architecture" sheetId="8" state="visible" r:id="rId8"/>
    <sheet xmlns:r="http://schemas.openxmlformats.org/officeDocument/2006/relationships" name="08_WBS_Schedule" sheetId="9" state="visible" r:id="rId9"/>
    <sheet xmlns:r="http://schemas.openxmlformats.org/officeDocument/2006/relationships" name="09_Version_Control" sheetId="10" state="visible" r:id="rId10"/>
    <sheet xmlns:r="http://schemas.openxmlformats.org/officeDocument/2006/relationships" name="10_Risks" sheetId="11" state="visible" r:id="rId11"/>
    <sheet xmlns:r="http://schemas.openxmlformats.org/officeDocument/2006/relationships" name="11_Open_Questions" sheetId="12" state="visible" r:id="rId12"/>
    <sheet xmlns:r="http://schemas.openxmlformats.org/officeDocument/2006/relationships"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v2.48</t>
        </is>
      </c>
    </row>
    <row r="7">
      <c r="A7" s="3" t="inlineStr">
        <is>
          <t>Status</t>
        </is>
      </c>
      <c r="B7" s="4" t="inlineStr">
        <is>
          <t>Baseline v2.0 + Step 4 progress. Application v1.25 - Gate 4 refinements rounds 1-25, plus SCHEMA 6 (the work scope, the biosimilar split), the shared-role division and the delivered default assumptions.</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6"/>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8" t="inlineStr">
        <is>
          <t>2.40</t>
        </is>
      </c>
      <c r="B21" s="8" t="inlineStr">
        <is>
          <t>2026-09-03</t>
        </is>
      </c>
      <c r="C21" s="8" t="inlineStr">
        <is>
          <t>Claude Code</t>
        </is>
      </c>
      <c r="D21" s="8" t="inlineStr">
        <is>
          <t>Pending</t>
        </is>
      </c>
      <c r="E21" s="9" t="inlineStr">
        <is>
          <t>R-32, REQ-CAL-19 AMENDED: A PROJECT-MONTH IS ITS STANDARD, and person_weight now decides how it is DIVIDED rather than how big it is. The reviewer reported that the standard was being ignored on import; it was not - it was applied, indexed and in the arithmetic on every line, and doubling one doubled the figure. What made it look ignored was person_weight: on the delivered fixture the median project-month came to 30% of standard x period weight, because the median person weight is 0.29 and each person's share was scaled by their own weight AFTER the demand was divided. That was v2.39's chosen reading, taken deliberately so a shortfall would be visible. Asked again with the arithmetic in front of them, the reviewer chose the other one. So person_weight, month coverage and the role factor now all make a CLAIM on the month, and the share is that claim over the sum of the claims: fte = demand x claim / sum(claims), where demand = standard_fte x period weight x the month the project actually ran. The shares add to one BY CONSTRUCTION, so the month is its demand however many people are on it and whatever their weights - checked on 1,557 and 203 automatic project-months of the two fixtures, all exact. THE DEMAND IS SCALED BY THE MONTH THE PROJECT RAN, taken as the largest coverage any of its people have, or every project would spike to a full standard month in the month it opened and the month it closed. Two consequences worth stating: a part-time person now pushes load ONTO their colleagues instead of lowering the project, so under-staffing shows on the PEOPLE as months over the ceiling; and split_shared_role_fte can no longer inflate a project total, so on a single-role project it is inert - it still decides the split where roles have different numbers of holders, which is the case it was always really about. The results export gains month_run and demand_fte, and every row is now demand x share rather than a five-term product. Figures move throughout: the 62-project fixture goes from 731 to 4,334 FTE-months, which is the demand it always described and never showed.</t>
        </is>
      </c>
      <c r="F21" s="8" t="inlineStr">
        <is>
          <t>Superseded by v2.41</t>
        </is>
      </c>
    </row>
    <row r="22">
      <c r="A22" s="17" t="inlineStr">
        <is>
          <t>2.48</t>
        </is>
      </c>
      <c r="B22" s="17" t="inlineStr">
        <is>
          <t>2026-09-06</t>
        </is>
      </c>
      <c r="C22" s="17" t="inlineStr">
        <is>
          <t>Claude Code</t>
        </is>
      </c>
      <c r="D22" s="17" t="inlineStr">
        <is>
          <t>Pending</t>
        </is>
      </c>
      <c r="E22" s="18" t="inlineStr">
        <is>
          <t>R-40, REQ-DSH-14: THREE LOOKUP COLUMNS, SO A TABLE SHOWING A FIGURE CAN SAY WHAT DECIDED ITS SIZE. Every figure in this application is standard FTE x period weight x (role factor / sharers) x person weight x month coverage, and three tables each showed one term of that and left the rest in another tab. (1) THE PERIODS TABLE now names the STANDARD MONTHLY FTE its period selects, beside the weight, and multiplies the two: 'Start-up 1.12 | 2.02 -&gt; 2.26 a month'. A row reading 'x1.12' said this study is an eighth heavier than usual and did not say heavier than WHAT - answerable only by leaving the tab and reading a 48-row matrix on General assumptions for one figure. (2) BOTH MONTHLY ESTIMATION PANELS name the PERIOD the month falls in and its weight, and (3) THE PERSON'S ALSO NAMES THE DIVISOR - how many people held that role that month. Those are the two usual explanations for a figure that is not the size somebody expected: the month moved into a heavier period, or a second holder arrived and halved the share. The project's panel deliberately does NOT carry the divisor: a project month is divided between several roles, each with its own count, so one number there would average things that do not compare. LOOKED UP, NEVER STORED. None of the three is a column of the sheet it sits beside, and the tests hold them to that - a standard copied onto a ProjectPeriod row would survive the standards being edited afterwards, which is the whole failure the lookup avoids. Read off the calculation's own lines, so a screen cannot name one period while the figure beside it came from another; calculate() now hands out periodAt for the one case the lines cannot answer, a manual project month with nobody assigned to it (V-32). A missing standard says 'none - V-19' rather than printing the 1.00 the calculation falls back to; that fallback is a degradation and showing it as a standard would hide exactly what V-19 reports. No calculation change and no figure moves. tools/test_lookup.py is new: a three-month fixture whose every figure is workable by hand, checking each column against the calculation's own line rather than against a plausible number.</t>
        </is>
      </c>
      <c r="F22" s="17" t="inlineStr">
        <is>
          <t>Issued for review</t>
        </is>
      </c>
    </row>
    <row r="23">
      <c r="A23" s="8" t="inlineStr">
        <is>
          <t>2.47</t>
        </is>
      </c>
      <c r="B23" s="8" t="inlineStr">
        <is>
          <t>2026-09-05</t>
        </is>
      </c>
      <c r="C23" s="8" t="inlineStr">
        <is>
          <t>Claude Code</t>
        </is>
      </c>
      <c r="D23" s="8" t="inlineStr">
        <is>
          <t>Pending</t>
        </is>
      </c>
      <c r="E23" s="9" t="inlineStr">
        <is>
          <t>R-39, PROJECT AND PERSON FIGURES KEPT CONSISTENT, AND SAID TO BE. (1) THE FIRST REQUEST WAS ALREADY THE BEHAVIOUR, which is worth recording rather than quietly re-implementing: a manual PROJECT month has always realigned every person on it, including anyone whose own figure is manual, because applyManual applies the assignment level first and then scales the whole group to the project's stated total. Verified: project set to 10.00 with a person stating 99.00 gives the person 9.97 and the month 10.00. The project figure is the mother figure and wins. (2) WHAT WAS MISSING IS THAT NOTHING SAID SO. The sheet held 99.00, the chart showed 9.97, and nothing connected them. Now V-33 reports it; the Monthly estimation panel carries a table of stated against actually-given against the project's month; the cell is marked; and editing such a figure SOFT-STOPS at the cell - naming both numbers, offering Keep what I typed or Put it back. It never refuses: both numbers were typed deliberately and which is wrong is not the application's judgement. The finding reaches the findings report and the archived change log, so it is on the record either way. (3) automatic_fte and difference in the Monthly estimation tables were the last four-place figures on screen and are now two, like everything else (REQ-CAL-20). A stated 2.41 beside an automatic 2.4120 read as a discrepancy the user had caused rather than as four decimals nothing else uses. One defect found by testing the undo rather than by reading it: rebuild() makes fresh row objects, so the row reference captured before it was orphaned and 'Put it back' silently did nothing. It re-finds the row by number now.</t>
        </is>
      </c>
      <c r="F23" s="8" t="inlineStr">
        <is>
          <t>Superseded by v2.48</t>
        </is>
      </c>
    </row>
    <row r="24">
      <c r="A24" s="10" t="inlineStr">
        <is>
          <t>2.46</t>
        </is>
      </c>
      <c r="B24" s="10" t="inlineStr">
        <is>
          <t>2026-09-05</t>
        </is>
      </c>
      <c r="C24" s="10" t="inlineStr">
        <is>
          <t>Claude Code</t>
        </is>
      </c>
      <c r="D24" s="10" t="inlineStr">
        <is>
          <t>Pending</t>
        </is>
      </c>
      <c r="E24" s="11" t="inlineStr">
        <is>
          <t>R-38, THREE REQUESTS. (1) THE IN-APP EXPORT OF THE CHANGE LOG IS REMOVED. The archive is written at every save, so a button handing over the same record afterwards was a second answer to one question and always the staler of the two. The menu items, the date range, the CSV download and the code behind them are gone rather than hidden. (2) THE ARCHIVE IS ONE FOLDER FOR THE INSTALLATION, beside users/ rather than inside any one person's copy of it - the layout PRAP_DATA and the shared-drive deployment already assume (NR-DEP-15). A log split per person answers 'what did I do' and not 'what happened to this plan', and on a shared deployment only the second question is worth asking; every row already names who made the change. NOT YET BUILT, and stated so the gap is not mistaken for done: a CENTRAL SERVER needs network binding, real authentication and sessions, per-user authorisation and concurrent-write handling. The shell today binds to 127.0.0.1 and refuses non-loopback Host headers BY DESIGN - that refusal is what makes an open socket on a company laptop defensible - and 'login' is the Windows account name, a label rather than an authentication. Replacing that is a security-sensitive piece of work to be specified before it is started. (3) REQ-CAL-20, THE DECIMAL RULE - see the requirement for the whole of it. EVERY FIGURE IN EVERY PLAN MOVES slightly: the 62-project fixture goes 4,333.46 to 4,333.77 FTE-months and the 10x10 fixture 713.94 to 713.78, which is the rounding and nothing else. Checked on the 62-project fixture: all 7,001 lines are whole hundredths, all 1,629 project-months have their lines summing to the month with nothing left over, and all 1,557 automatic months still equal standard x weight x month_run to the hundredth. All four implementations agree line for line - 7,001 lines and 1,629 project-months identical between the browser and prap_io.</t>
        </is>
      </c>
      <c r="F24" s="10" t="inlineStr">
        <is>
          <t>Superseded by v2.47</t>
        </is>
      </c>
    </row>
    <row r="25">
      <c r="A25" s="8" t="inlineStr">
        <is>
          <t>2.45</t>
        </is>
      </c>
      <c r="B25" s="8" t="inlineStr">
        <is>
          <t>2026-09-05</t>
        </is>
      </c>
      <c r="C25" s="8" t="inlineStr">
        <is>
          <t>Claude Code</t>
        </is>
      </c>
      <c r="D25" s="8" t="inlineStr">
        <is>
          <t>Pending</t>
        </is>
      </c>
      <c r="E25" s="9" t="inlineStr">
        <is>
          <t>R-37, THE POP-UPS NAME THE PROJECT PERIOD. Every figure in this application is standard FTE x PERIOD WEIGHT x the month the project ran, so the period is the row of the plan that decided the size of whatever is being hovered over - and it was the one thing the pop-ups did not say. A reader who thought a month looked heavy had to leave the chart, find the project and read its periods to learn the month was mid-Conduct. All four charts named in the request now carry it: both Overall stacks, and Utilisation on each source-data tab. The WEIGHT goes with the name, because the two are one fact - which row applied, and what it did to the figure. READ FROM THE CALCULATION, not looked up again. calculate() already stamped period_name on every line, so it now also returns projPeriod (project|month -&gt; name and weight) built from those same lines, exactly as projMonth and persMonth are. A second lookup could name one period while the number beside it came from another; this cannot. Checked on 154 project-months against S.calc.lines, all matching, and the check fails if the tooltip line is removed. WHERE ONE BAND SPANS SEVERAL PROJECTS - the person stack and the person Utilisation chart - the period is tagged against EACH PROJECT rather than against the band, because a person's month is made of projects that need not be in the same period as each other; the delivered fixture has a person in Conduct (final) on one project and Conduct (interim) on another in the same month. A month belonging to no period says so and names V-12, rather than leaving a blank that reads as a defect in the chart. No figure moves.</t>
        </is>
      </c>
      <c r="F25" s="8" t="inlineStr">
        <is>
          <t>Superseded by v2.46</t>
        </is>
      </c>
    </row>
    <row r="26">
      <c r="A26" s="10" t="inlineStr">
        <is>
          <t>2.44</t>
        </is>
      </c>
      <c r="B26" s="10" t="inlineStr">
        <is>
          <t>2026-09-04</t>
        </is>
      </c>
      <c r="C26" s="10" t="inlineStr">
        <is>
          <t>Claude Code</t>
        </is>
      </c>
      <c r="D26" s="10" t="inlineStr">
        <is>
          <t>Pending</t>
        </is>
      </c>
      <c r="E26" s="11" t="inlineStr">
        <is>
          <t>R-36, A CHANGE LOG AND COLUMN FILTERS. Two requests; no figure moves for either. (1) THE CHANGE LOG. Every saved change is recorded - the time in UTC, who, which RECORD (its natural key, not its spreadsheet row: inserting a row renumbers everything under it and PRJ-004 does not move), which column, and the value before and after - together with the errors and warnings standing at each save and which of them the user was asked about and chose to keep. It is NOT S.pending: that is emptied at every save because its job is 'what is not saved yet', and this is only ever appended to, with a save being what WRITES it rather than what clears it. Asked for as an in-app tab first and then narrowed by the requester to 'in memory while the session runs, archived to a local folder on Save, CSV is enough' - so there is no tab and no schema change. THE DESKTOP SHELL archives it: an `audit` folder beside the workspaces, one CSV a month, header written when the file is created and rows APPENDED at every save. THE BROWSER CANNOT do that - a file:// page has no folder and cannot append to one - so it holds the record for the session and hands it over from Export, narrowed by a date range, which was the other half of the request. A failed archive never fails a save: the entries stay and the next save carries them too. WHO: the desktop shell takes the Windows account it already signed in with; the browser asks once, in the EDIT BAR rather than in a dialog - a modal blocks the cell being typed into, and a floating card sits on top of the table. Both were built and both were wrong before the bar was tried. (2) COLUMN FILTERS on the six tables named: Projects, Monthly estimation (both tabs), People, Standard period FTE for project types and Role factors. A spreadsheet's filter - tick the values to keep, different columns narrow together, and the values offered are what the OTHER columns leave reachable. It narrows the TABLE and not the plan: the charts and totals above are unchanged, because a row hidden here is still in the plan, and the horizon-and-filters bar remains the one control that changes what the figures mean. Two new suites, test_audit.py and test_colfilter.py; the storage seam budget in test_layers.py re-baselined 150 -&gt; 220 and the reason recorded, since the seam legitimately gained a third responsibility.</t>
        </is>
      </c>
      <c r="F26" s="10" t="inlineStr">
        <is>
          <t>Superseded by v2.45</t>
        </is>
      </c>
    </row>
    <row r="27">
      <c r="A27" s="8" t="inlineStr">
        <is>
          <t>2.43</t>
        </is>
      </c>
      <c r="B27" s="8" t="inlineStr">
        <is>
          <t>2026-09-04</t>
        </is>
      </c>
      <c r="C27" s="8" t="inlineStr">
        <is>
          <t>Claude Code</t>
        </is>
      </c>
      <c r="D27" s="8" t="inlineStr">
        <is>
          <t>Pending</t>
        </is>
      </c>
      <c r="E27" s="9" t="inlineStr">
        <is>
          <t>R-35, TWO FAULTS IN THE DATE PICKER, both reported from the field and both reproduced before being touched. (1) THE MONTH ARROWS MOVED ONE MONTH AND NO FURTHER. step() re-read the cell and snapped the grid back to the cell's own month before stepping, so a cell holding 2026-09-01 went to August and stayed at August however many times the arrow was pressed - a date several months away could not be reached by navigating at all. It had a workaround that did not work: blank the cell, render, put the text back, which step() then defeated by re-reading before it rendered. The grid now knows WHO IS STEERING - the cell while it is being opened or typed into, the user while they are working the arrows - and the cell keeps its text throughout. (2) 'TODAY' WROTE THE DATE IN GREENWICH, not on the user's clock. ymd() is toISOString(), which is right for every other date in the application because those are built with Date.UTC(); `new Date()` is an instant, and putting an instant through a UTC formatter asks what day it is in London. In Seoul before 09:00 that is yesterday; in Los Angeles after 17:00 it is tomorrow. The local getters now read the date off the user's own calendar and Date.UTC puts it back into the form the rest of the application stores. The same figure highlights today in the grid and opens an empty cell on the right month. NO CALCULATION CHANGES. test_ui.py gains both: five clicks must move five months (the old test stepped ONCE, which is why this passed for so long - one step did work), and Today is checked in three time zones on a pinned clock, because CI keeps UTC and in UTC the wrong answer and the right one are the same answer. Both verified to fail against the old code.</t>
        </is>
      </c>
      <c r="F27" s="8" t="inlineStr">
        <is>
          <t>Superseded by v2.44</t>
        </is>
      </c>
    </row>
    <row r="28">
      <c r="A28" s="10" t="inlineStr">
        <is>
          <t>2.42</t>
        </is>
      </c>
      <c r="B28" s="10" t="inlineStr">
        <is>
          <t>2026-09-04</t>
        </is>
      </c>
      <c r="C28" s="10" t="inlineStr">
        <is>
          <t>Claude Code</t>
        </is>
      </c>
      <c r="D28" s="10" t="inlineStr">
        <is>
          <t>Pending</t>
        </is>
      </c>
      <c r="E28" s="11" t="inlineStr">
        <is>
          <t>R-34, THE PROJECT DEMAND CHART SAYS WHAT ITS MONTH CAME TO. 'Monthly demand by person' ended its pop-up with a rule and the month's total across everyone in view, and gave each band its share of that month; 'Monthly demand by project' gave neither, only the band's own figure. A band read on its own cannot say whether the month came to five FTE or to fifty, which is the question a stacked chart exists to answer - so the reader had to leave the chart and find the Overall table to interpret what they were hovering over. Both are added, worded to match the person chart. The total is summed over every project IN VIEW rather than over the bands actually drawn, for the same reason the person chart sums over every person in view: so the two pop-ups report the SAME figure for a given month, which is what the panel caption already claims about these two charts. Checked on the 10x10 fixture - 24 months, every one identical between the two, and the per-band shares summing to 100% (+/-1, rounding to a whole percent) in all 24. NO FIGURE CHANGES: the total is the sum the chart was already drawing. test_charts.py gains two checks. It already compared the two charts as DRAWN, in pixel heights; these compare what they SAY, which is what a reader acts on - that every band states a month total, and that the total it states is the one the person chart states for that month. Both were verified to fail with the line removed from the build.</t>
        </is>
      </c>
      <c r="F28" s="10" t="inlineStr">
        <is>
          <t>Superseded by v2.43</t>
        </is>
      </c>
    </row>
    <row r="29">
      <c r="A29" s="8" t="inlineStr">
        <is>
          <t>2.41</t>
        </is>
      </c>
      <c r="B29" s="8" t="inlineStr">
        <is>
          <t>2026-09-04</t>
        </is>
      </c>
      <c r="C29" s="8" t="inlineStr">
        <is>
          <t>Claude Code</t>
        </is>
      </c>
      <c r="D29" s="8" t="inlineStr">
        <is>
          <t>Pending</t>
        </is>
      </c>
      <c r="E29" s="9" t="inlineStr">
        <is>
          <t>R-33, WHAT THE STANDARDS SHEET IS CALLED, and the notes that describe the calculation. Three things the reviewer reported after using v2.40, none of them arithmetic - every figure in this revision is unchanged, checked at 4,333.46 FTE-months on the 62-project fixture before and after. (1) SHEET RENAMED PeriodWeightStandard -&gt; PeriodFTEStandard, and the panel over it from 'Standard period weights' to 'Standard period FTE for project types'. Schema 10 renamed the COLUMN to standard_fte when it became clear the sheet holds a magnitude in FTE rather than a multiplier; the sheet and the panel went on saying 'weight', which is the reading that made the standards look ignorable in the first place - R-32 exists because of it. Source schema version steps 10 to 11. A schema 10 workbook still opens: the old sheet name is translated on the way in and the reader is told once, exactly as a renamed column is. (2) THE CALCULATION NOTES on the monthly-estimation panels still described the pre-R-32 formula - four factors multiplied together - which has not been how a figure is arrived at since v2.40. They now state it as it is, and separately for the two levels, because under R-32 the two genuinely differ: a PROJECT month is standard FTE x period weight x the part of the month the project ran, and an ASSIGNMENT month is that month divided by share, the share being (role factor / sharers) x person weight x coverage against everyone else's. Same correction to the automatic_fte and ProjectPeriod.weight column help and to the switch-back dialog. (3) THE WINDOW CHROME OVERLAPPED THE PAGE in the Python shell. Its menu bar and status strip are sticky at the top of the window and the page's own sticky band - the edit bar and the four tabs - pinned itself to the same place with a lower z-index, so scrolling slid the tabs and the Save button underneath the File menu. The band now sits below the chrome, at the chrome's MEASURED height: both bars wrap, so a constant would have been wrong exactly when it mattered.</t>
        </is>
      </c>
      <c r="F29" s="8" t="inlineStr">
        <is>
          <t>Issued for review</t>
        </is>
      </c>
    </row>
    <row r="30">
      <c r="A30" s="10" t="inlineStr">
        <is>
          <t>2.39</t>
        </is>
      </c>
      <c r="B30" s="10" t="inlineStr">
        <is>
          <t>2026-09-02</t>
        </is>
      </c>
      <c r="C30" s="10" t="inlineStr">
        <is>
          <t>Claude Code</t>
        </is>
      </c>
      <c r="D30" s="10" t="inlineStr">
        <is>
          <t>Pending</t>
        </is>
      </c>
      <c r="E30" s="11" t="inlineStr">
        <is>
          <t>R-31, REQ-CAL-19, SCHEMA 10: THE STANDARD IS WHERE A FIGURE GETS ITS SIZE, and until now it reached no figure at all. PeriodWeightStandard seeded a derived period's weight and fed V-19, and that was the whole of it: every number the application produced came from ProjectPeriod.weight times the role factors, which is a relative SHAPE with no magnitude behind it. Reported by the reviewer. Two things were wrong and the naming was most of the cause. The column was called `weight`, which reads like something to multiply by, so the calculation multiplied by the PROJECT's weight and never asked the standards sheet anything; and the delivered data seeded the project weight FROM the standard, so the two columns held the same number twice and reading both would have squared it. The column is now `standard_fte` and holds the month's DEMAND in FTE - 4.02 against NewDrug CT Phase 3 Start-up means that period takes about four full-time people a month. The formula becomes standard_fte x period weight x role_share x person weight x month coverage, where role_share is this role's effective factor divided by the people holding it, over the sum of the effective factors of the roles ACTUALLY STAFFED. Three consequences, each a decision the reviewer took: the shares add to one, so a fully committed project-month IS standard x period weight however many roles are on it; an unstaffed role's work lands on the others rather than making the project cheaper, which is REQ-CAL-16 arriving by construction (absorbed_by still decides WHERE it lands); and person_weight scales that person's share, so a part-time commitment leaves the project SHORT of its standard, which is the gap worth seeing. A missing standard falls back to 1.00 and V-19 reports it - deliberately the old behaviour, so an incomplete standards sheet degrades to figures its author recognises rather than to zero. stdWeight now nulls the phase for a non-clinical type exactly as stdFactor does; that cost nothing while the figure only seeded a period and is the difference between a real answer and 1.00 now. The delivered defaults are re-authored throughout: the standards carry FTE magnitudes, ProjectPeriod.weight becomes an adjustment around 1.00, and 'Others' projects gain the standards they never had. A schema 9 file still opens - the column is renamed on the way in. NOTE FOR THE REVIEWER: with real magnitudes the delivered 62-project / 20-person example is resourced at 17% of its own standard, which is arithmetic rather than a defect - 62 concurrent trials at these standards need about 59 people. The fixture keeps the size that was requested; the staffing assumptions are a data decision.</t>
        </is>
      </c>
      <c r="F30" s="10" t="inlineStr">
        <is>
          <t>Issued for review</t>
        </is>
      </c>
    </row>
    <row r="31">
      <c r="A31" s="8" t="inlineStr">
        <is>
          <t>2.38</t>
        </is>
      </c>
      <c r="B31" s="8" t="inlineStr">
        <is>
          <t>2026-08-30</t>
        </is>
      </c>
      <c r="C31" s="8" t="inlineStr">
        <is>
          <t>Claude Code</t>
        </is>
      </c>
      <c r="D31" s="8" t="inlineStr">
        <is>
          <t>Pending</t>
        </is>
      </c>
      <c r="E31" s="9" t="inlineStr">
        <is>
          <t>R-30, REQ-CAL-18, SCHEMA 9: A FIGURE CAN BE STATED INSTEAD OF CALCULATED. Until now every monthly FTE came from the assumptions, and on a project two years in that is often the worse of the two available answers - the manager knows what the rest of it takes, and a standard period weight multiplied by a standard role factor does not. Project and Assignment each gain estimation_type ('automatic' or 'manual'), and a new sheet MonthlyEstimate carries the stated figures, keyed on (scope, ref_id, month) so one sheet serves both levels. TWO LEVELS, applied in that order: an ASSIGNMENT figure IS that person's contribution and replaces the multiplication outright; a PROJECT figure is the whole month, and the people on it are SCALED so they still add up to it - chosen over the alternatives because a project total that did not equal the sum of its people would put the two utilisation charts in disagreement and cost the results export its one real guarantee. The scaling factor is recorded on every line, so a person whose figure moved without anything of their own changing can find out why. MANUAL IS ALL OR NOTHING for the thing it is set on: switching copies EVERY month across from the figures currently on screen - to TWO DECIMAL PLACES, because a stated figure is one somebody reads and edits and 0.01 FTE is already 1.6 hours, so a month can move by up to 0.005 FTE at the moment of switching - so nothing jumps, and switching back discards the lot. That was chosen over per-month marking deliberately - once a figure has been edited, 'which months are still automatic' has no useful answer, because those would still move under a plan somebody has signed off whenever an assumption changed. What the user takes on in exchange is responsibility for all of them, and the confirmation says so in those words. EVERY CHANGE OF CALCULATION WAY IS CONFIRMED, in both directions, and typing 'manual' into the cell opens the same dialog rather than setting the flag - the flag without the copy would count every month as 0.00, which is the one change in the application that could silently zero a figure. V-31 reports a manual thing with a month carrying no figure; V-32 a project figure in a month nobody is assigned to, which cannot be shared out and is therefore NOT applied. Both are raised from the calculation, like V-23, because they are things that happened to a number. The stated figures round-trip through the source export, and the results export gains four columns - estimation, automatic_fte, project_manual_total, project_scale - so a reader can see which rows were stated, at which level, and what the assumptions would have said instead. Nothing moves on a file that uses none of it: test_app.py's four-way comparison agrees on all 1,227 and 441 person-months, and both dummy sets now carry a manual project and a manual assignment so the rule is under that comparison rather than in one unit test.</t>
        </is>
      </c>
      <c r="F31" s="8" t="inlineStr">
        <is>
          <t>Issued for review</t>
        </is>
      </c>
    </row>
    <row r="32">
      <c r="A32" s="10" t="inlineStr">
        <is>
          <t>2.37</t>
        </is>
      </c>
      <c r="B32" s="10" t="inlineStr">
        <is>
          <t>2026-08-28</t>
        </is>
      </c>
      <c r="C32" s="10" t="inlineStr">
        <is>
          <t>Claude Code</t>
        </is>
      </c>
      <c r="D32" s="10" t="inlineStr">
        <is>
          <t>Pending</t>
        </is>
      </c>
      <c r="E32" s="11" t="inlineStr">
        <is>
          <t>R-29, REQ-OUT-06: THE APPLICATION EXPORTS ITS ANSWERS AS WELL AS ITS QUESTIONS. Until now Export meant one thing - the plan, so it could come back - and there was no way to get the monthly figures out for a report, a spreadsheet or somebody else's model short of reading them off the screen. The export control is now a MENU with the choice on it: the plan as .xlsx or as the interchange file, both of which round-trip, or the CALCULATED MONTHLY FTE, which deliberately does not. Each item says which it is, so the choice can be made without trying it. The results workbook carries seven sheets: a ReadMe that states it cannot be imported and gives the formula; Summary, the Overall tab's tiles as figures; ProjectMonth and PersonMonth, one row each per month; DETAIL, one row per assignment per month carrying every term of the multiplication that produced it - period weight, the role factor before and after absorption, the number of sharers, the person weight and which row it came from, the month coverage; Flags, the over-allocated months and under-allocated runs; and Assumptions, the settings in force, marked for whether each one changed a figure or only its display. Two properties are held by test_results.py rather than asserted: every project-month and person-month is EXACTLY the sum of its Detail rows and all four totals in the file are the same number - the monthly sheets are summed FROM the detail rather than from the engine, so a reader who adds the column gets the total - and every Detail row reconciles to its own four numbers. The file covers what was ON SCREEN, horizon and filters included, and the ReadMe names them, so a file that has left the building can still say what it does and does not cover. The calculation now records each term as it works it out (calculate() returns `lines`), because an explanation assembled afterwards from the sheets could drift from the figure it claims to explain.</t>
        </is>
      </c>
      <c r="F32" s="10" t="inlineStr">
        <is>
          <t>Issued for review</t>
        </is>
      </c>
    </row>
    <row r="33">
      <c r="A33" s="8" t="inlineStr">
        <is>
          <t>2.36</t>
        </is>
      </c>
      <c r="B33" s="8" t="inlineStr">
        <is>
          <t>2026-08-28</t>
        </is>
      </c>
      <c r="C33" s="8" t="inlineStr">
        <is>
          <t>Claude Code</t>
        </is>
      </c>
      <c r="D33" s="8" t="inlineStr">
        <is>
          <t>Pending</t>
        </is>
      </c>
      <c r="E33" s="9" t="inlineStr">
        <is>
          <t>R-28, REQ-IMP-14: AN IMPORT SAYS WHICH SETTINGS IT BROUGHT WITH IT. Config stays in the source workbook and an import still applies it - that is deliberate and is what makes a plan reproducible from the file alone. What was missing was being told. A Config row is not like any other row in the file: every other sheet describes the PLAN, and replacing it is the point of an import, while Config describes how the plan is READ. Two of its settings switch calculation rules on and off and three more set the thresholds every allocation flag is measured against, so importing a colleague's workbook to look at their projects took their thresholds with it and every figure and flag on the screen shifted for a reason that was nowhere on it. Now the settings in force are captured before the model is replaced, compared by name afterwards, and any that differ are named on the banner with a screen of their own: what each one was, what it is now, and what it affects - calculation, flags or display only. Nothing is refused. It is a check, not a gate. Done in adopt(), which every import path funnels through - the web picker, the Python shell's open, a version restore and the difference report's apply - so it is asked once and asked of all of them. A first load has nothing to compare against and says nothing; a blank start counts as a baseline, because somebody who started blank, entered a plan and then imported over it is exactly who this is for. Also in this version: the reviewer confirmed that the display unit needs neither to survive an edit nor to reach the exported file - it is information while the application is open - so REQ-CAL-08 is unchanged and only the wording that read '3 informations' is corrected.</t>
        </is>
      </c>
      <c r="F33" s="8" t="inlineStr">
        <is>
          <t>Issued for review</t>
        </is>
      </c>
    </row>
    <row r="34">
      <c r="A34" s="10" t="inlineStr">
        <is>
          <t>2.35</t>
        </is>
      </c>
      <c r="B34" s="10" t="inlineStr">
        <is>
          <t>2026-08-27</t>
        </is>
      </c>
      <c r="C34" s="10" t="inlineStr">
        <is>
          <t>Claude Code</t>
        </is>
      </c>
      <c r="D34" s="10" t="inlineStr">
        <is>
          <t>Pending</t>
        </is>
      </c>
      <c r="E34" s="11" t="inlineStr">
        <is>
          <t>R-26: THE NOTE ON capacity_unit WAS WRONG, and wrong in the way that matters - it named a value the application has never understood. It read "Display unit: 'FTE' or 'percent'"; the two values actually implemented are 'FTE' and 'hours', and anything else, 'percent' included, silently displays as FTE. So a user following the note would type a value, see nothing change, and have no way of telling whether they had misunderstood the setting or the setting was broken. The note now says what the unit IS: FTE is a WEIGHT, 1.00 being one person working a full month on the project, so ordinary values run about 0.1 to 1.0 - and 'hours' is that same weight multiplied by fte_hours_per_month. It also says the setting is display only. Corrected in the one place it is written and carried from there into the template, both dummy sets, the blank start's seed, this plan, the specification and the machine-readable contract. Template v1.11, dummies v1.13 and v1.5. No code and no figure changes. R-27, THE SAME REVIEW: the Configuration table no longer offers 'Delete' - or '+ row'. Nothing references a Config row, so V-17 had no hold on a deletion and nothing refused it; nothing reported it either, because every setting is read through a fallback to a built-in default. Measured on the 10x10 dummy with a house floor of 0.80 and the shared-role division turned off, deleting those two rows moved the total from 356.64 to 346.59 FTE-months and said nothing at all. Removing the control is a better answer than confirming it: there was never a good reason to press it, since the nine settings are read BY NAME and what a user changes is a VALUE, which stays as editable as any other cell. '+ row' goes with it because a row that can be created but never removed is a worse trap than the one being closed. New rule V-30 covers the case the control is no longer responsible for: a workbook that arrives without a setting, hand-edited or from a version that predates it, is told which default is in force.</t>
        </is>
      </c>
      <c r="F34" s="10" t="inlineStr">
        <is>
          <t>Issued for review</t>
        </is>
      </c>
    </row>
    <row r="35">
      <c r="A35" s="8" t="inlineStr">
        <is>
          <t>2.34</t>
        </is>
      </c>
      <c r="B35" s="8" t="inlineStr">
        <is>
          <t>2026-08-27</t>
        </is>
      </c>
      <c r="C35" s="8" t="inlineStr">
        <is>
          <t>Claude Code</t>
        </is>
      </c>
      <c r="D35" s="8" t="inlineStr">
        <is>
          <t>Pending</t>
        </is>
      </c>
      <c r="E35" s="9" t="inlineStr">
        <is>
          <t>FIVE REVIEW POINTS, all about the application rather than the arithmetic - no figure moves. (1) R-21, REQ-IMP-12: A DATE COLUMN OFFERS A CALENDAR and stays typeable. Picking is what you want when the question is 'is the 14th a Tuesday'; typing is what you want on the twentieth row of a set you already know. So the panel is laid BESIDE the cell, never in front of it: the caret stays put, every key still reaches the cell, and what is typed steers the grid. Deliberately not &lt;input type=date&gt;, which would bring one editing model for text cells and another for dates. (2) R-22: THE PERIOD GENERATOR THAT FITS THE PROJECT. Auto derivation was offered on 'Others' projects, where it could only ever answer no - the rule hangs on CTA submission and the DB locks, which an internal project does not have and never will - and a control that refuses every time it is pressed teaches the reader the feature is broken. 'Others' is now offered Standard periods, which lays out Planning / Develop / Close with the dates blank; a trial not ready yet keeps the derivation, disabled, with the two missing milestones named, because that answer changes. The derivation itself was checked across all 62 dummy projects and is correct for all 50 trials. (3) R-23, REQ-DSH-13: THE APPLICATION DRAWS ITS OWN SCROLLBARS. Twice the browser was asked for a bar and twice it gave an overlay occupying no layout space - measured, a plain div with an explicit 14px ::-webkit-scrollbar still reports offsetHeight === clientHeight - so a table with eleven columns off to the right looked like one with none. Native scrolling is untouched. (4) R-24: THE STICKY BAND IS ONE ELEMENT, AND OPAQUE. Two independently sticky bars needed the second to know the height of the first, so a hairline ran between them that the page showed through, and at 92% opacity the rows underneath ghosted through the text. (5) R-25, REQ-IMP-13: WHAT AN ERROR IS ALLOWED TO DO is now a property of the rule, in three values. MUST refuses - something is wrong with the row itself. CONDITIONAL asks at Save, names what will be left unresolved and lets the user go ahead knowingly. INCOMPLETE reports and says nothing else - the row is still being built and asking would put a dialog in front of somebody every time they save a project they are half way through typing. The findings report and prap_io both label every error with its class.</t>
        </is>
      </c>
      <c r="F35" s="8" t="inlineStr">
        <is>
          <t>Issued for review</t>
        </is>
      </c>
    </row>
    <row r="36">
      <c r="A36" s="10" t="inlineStr">
        <is>
          <t>2.33</t>
        </is>
      </c>
      <c r="B36" s="10" t="inlineStr">
        <is>
          <t>2026-08-27</t>
        </is>
      </c>
      <c r="C36" s="10" t="inlineStr">
        <is>
          <t>Claude Code</t>
        </is>
      </c>
      <c r="D36" s="10" t="inlineStr">
        <is>
          <t>Pending</t>
        </is>
      </c>
      <c r="E36" s="11" t="inlineStr">
        <is>
          <t>TWO REQUESTS. (1) R-19: THE ROLE/FACTOR CHECK REPORTS, AND STOPS REFUSING ROWS - and it is asked on the right composition. V-28 was retired at v2.32 for refusing data entry, but it was only the newest of three rules doing it: V-03 and V-23 refused as well, and for the same reason, so the complaint came straight back. All of them ask one question - has anybody entered a factor for this role - and the answer 'not yet' is a fact about the ASSUMPTIONS, a standing document maintained separately and often by somebody else. The person really is on the project. So both keep their severity, because the figures for that role really are wrong, and neither can refuse an edit any more. V-23 is also re-asked properly: it is now raised BY the calculation, keyed on the whole composition the lookup uses (project_type, clinical_phase, work_scope_type, period_name, role_name) and counted in the person-months that were actually calculated at 1.00. Asked off the sheets it walked every period of every project an assignment belonged to and demanded a row for each, including periods nobody was ever booked into. (2) R-20, REQ-CAL-17: THE PROJECT'S WINDOW COMES FROM ITS PERIODS, NOT ITS MILESTONES. Milestones are reference dates - the derivation reads them to lay the periods out, and several of them mark moments inside the run rather than its edges. Taking the window from them stretched the project over months belonging to no period at all, which are costed at weight 1.00, so the utilisation chart grew a flat shoulder at each end that no period justified. Now: the earliest period_start to the latest period_end, with a project that has no periods keeping its own typed dates because there is nothing to take a window from. Save writes the same window back, reading the periods the user TYPED and falling back to the milestone span where there are none - a derived period opens at the project's own start_date, so reading the saved window back from it would mean a wrong window could never correct itself. Figures move where the periods and the milestones disagreed: the 62-project dummy goes from 1,225 to 1,227 person-months.</t>
        </is>
      </c>
      <c r="F36" s="10" t="inlineStr">
        <is>
          <t>Issued for review</t>
        </is>
      </c>
    </row>
    <row r="37">
      <c r="A37" s="8" t="inlineStr">
        <is>
          <t>2.32</t>
        </is>
      </c>
      <c r="B37" s="8" t="inlineStr">
        <is>
          <t>2026-08-26</t>
        </is>
      </c>
      <c r="C37" s="8" t="inlineStr">
        <is>
          <t>Claude Code</t>
        </is>
      </c>
      <c r="D37" s="8" t="inlineStr">
        <is>
          <t>Pending</t>
        </is>
      </c>
      <c r="E37" s="9" t="inlineStr">
        <is>
          <t>R-18: V-28 IS RETIRED, one version after it was added, because of what it did rather than what it said. An error refuses the edit that raised it (REQ-IMP-09) - that is deliberate and stays - and V-28 was the first error about the ASSUMPTIONS that could fire on a project with no periods. So it fired while a project was still being built, which is exactly when its assignments are typed in: a user could not record who was on the project until RoleFactor already carried a factor for their role. That is backwards. The plan is the document being written; the assumptions are a standing document maintained separately, often by somebody else, and entering the plan must not wait on them. The gap V-28 filled is real and is not being denied: V-03 still refuses a role that is not valid for the project type, and V-23 still reports a role with no factor for a period the project spans - the same finding, at the point where the user can act on it. V-27 is unchanged: it is about the project's own type, phase and scope, which are on the row being edited, and the delivered defaults cover every combination the value lists offer, so it does not stand between a user and their own data. REQ-CAL-16 and the absorption arithmetic are untouched - no figure moves.</t>
        </is>
      </c>
      <c r="F37" s="8" t="inlineStr">
        <is>
          <t>Issued for review</t>
        </is>
      </c>
    </row>
    <row r="38">
      <c r="A38" s="10" t="inlineStr">
        <is>
          <t>2.31</t>
        </is>
      </c>
      <c r="B38" s="10" t="inlineStr">
        <is>
          <t>2026-08-26</t>
        </is>
      </c>
      <c r="C38" s="10" t="inlineStr">
        <is>
          <t>Claude Code</t>
        </is>
      </c>
      <c r="D38" s="10" t="inlineStr">
        <is>
          <t>Pending</t>
        </is>
      </c>
      <c r="E38" s="11" t="inlineStr">
        <is>
          <t>TWO REQUESTS, and the second changes figures. (1) CROSS-CHECKS BETWEEN THE ASSUMPTIONS AND THE DATA: V-27 reports a project whose type, phase and work scope have no PeriodWeightStandard rows at all, and V-28 a role given to somebody on an assignment that has no RoleFactor rows at all. V-19 and V-23 already checked both, precisely - but only for periods a project actually HAS, so a project whose milestones are missing was never checked, and a combination nobody had entered was reported once per period rather than once as the one thing wrong. These ask the blunter question first, on the project. (2) R-17, REQ-CAL-16: WHERE NOBODY HOLDS A ROLE, its factor is absorbed by the role named to cover for it. A trial with no Clinical Data Associator still has the data to handle; it lands on the lead data manager, and a project costed without it looks cheaper than it is. Counted per month; one hop only; and WHICH ROLE COVERS FOR WHICH IS DATA - the new column RoleFactor.absorbed_by - because REQ-CAL-06 has said since the first plan that factors live in the workbook and never in the program. V-29 reports the case the rule cannot fix: an unstaffed role that nothing covers for, where the under-estimate remains and nothing else would mention it. Schema 7 to 8. A fifth of the dummy's projects now run without one of those roles, so the rule is under the four-way comparison rather than in one unit test.</t>
        </is>
      </c>
      <c r="F38" s="10" t="inlineStr">
        <is>
          <t>Issued for review</t>
        </is>
      </c>
    </row>
    <row r="39">
      <c r="A39" s="8" t="inlineStr">
        <is>
          <t>2.30</t>
        </is>
      </c>
      <c r="B39" s="8" t="inlineStr">
        <is>
          <t>2026-08-25</t>
        </is>
      </c>
      <c r="C39" s="8" t="inlineStr">
        <is>
          <t>Claude Code</t>
        </is>
      </c>
      <c r="D39" s="8" t="inlineStr">
        <is>
          <t>Pending</t>
        </is>
      </c>
      <c r="E39" s="9" t="inlineStr">
        <is>
          <t>R-16, SCHEMA 7: outsourcing_type becomes outsourcing_scope_det, and becomes FREE TEXT. Schema 6 put work_scope_type in the weights and left outsourcing_type beside it as a second controlled vocabulary on the same axis - two fields to keep in step, one of which decided nothing. It is now a note in the requester's own words: what is outsourced and to whom, the detail a category cannot carry. Three things follow. V-25 is RETIRED, because it existed only to police the two against each other and can no longer fire. The dashboard's scope filter moves to work_scope_type, since a drop-down built from whatever sentences people have typed is not a filter - and the field it used to offer is the one that no longer decides anything. And a workbook still carrying outsourcing_type is READ rather than refused: the column is renamed on the way in and the application says so once, because a rename is the one schema change that otherwise loses a filled-in column in silence.</t>
        </is>
      </c>
      <c r="F39" s="8" t="inlineStr">
        <is>
          <t>Issued for review</t>
        </is>
      </c>
    </row>
    <row r="40">
      <c r="A40" s="10" t="inlineStr">
        <is>
          <t>2.29</t>
        </is>
      </c>
      <c r="B40" s="10" t="inlineStr">
        <is>
          <t>2026-08-25</t>
        </is>
      </c>
      <c r="C40" s="10" t="inlineStr">
        <is>
          <t>Claude Code</t>
        </is>
      </c>
      <c r="D40" s="10" t="inlineStr">
        <is>
          <t>Pending</t>
        </is>
      </c>
      <c r="E40" s="11" t="inlineStr">
        <is>
          <t>R-15, REQ-CAL-15: BOTH ASSIGNMENT DATES ARE OPTIONAL, and a blank one means the project's own. Most people are on a project for the whole of it, and requiring two dates that simply repeat the project's asks somebody to copy the same pair onto every row and then keep them in step when the project moves. The end date already worked this way; the start did not, and a blank one was the worst of the three possible behaviours - the assignment contributed NOTHING, the person looked unassigned, and no finding said why. The window is now computed by one function shared by the calculation and by the role-sharing pre-pass, so the months a person is counted IN cannot differ from the months they are counted AMONG; an undated person is a sharer like any other. Roughly a third of the dummy fixture now leaves both dates blank, which is what a real file looks like and puts the inherited window under the four-way comparison rather than in one unit test.</t>
        </is>
      </c>
      <c r="F40" s="10" t="inlineStr">
        <is>
          <t>Issued for review</t>
        </is>
      </c>
    </row>
    <row r="41">
      <c r="A41" s="8" t="inlineStr">
        <is>
          <t>2.28</t>
        </is>
      </c>
      <c r="B41" s="8" t="inlineStr">
        <is>
          <t>2026-08-22</t>
        </is>
      </c>
      <c r="C41" s="8" t="inlineStr">
        <is>
          <t>Claude Code</t>
        </is>
      </c>
      <c r="D41" s="8" t="inlineStr">
        <is>
          <t>Pending</t>
        </is>
      </c>
      <c r="E41" s="9" t="inlineStr">
        <is>
          <t>TWO CHANGES, BOTH REQUESTED, AND THE FIRST CHANGES EVERY FIGURE A SHARED ROLE EVER PRODUCED. (1) R-13, REQ-CAL-14: where several people hold the same role on the same project in the same month, the role factor is DIVIDED BETWEEN THEM. The factor states what the ROLE costs the project in that period, not what each holder costs, so until now a trial staffed by two data managers cost twice a trial staffed by one - the same work, priced by how many people were named against it. Counted per month, so a sharer leaving restores the others without an edit; by distinct people, so one person on two rows is one person; and each person's own weight still applies to their share. Kept as the setting split_shared_role_fte, default 1, so a figure produced before this rule can still be reproduced and compared. (2) R-14: THE DELIVERED DEFAULTS. PeriodWeightStandard and RoleFactor arrived empty in the template and were filled with a placeholder 1.00 by a blank start - and 1.00 everywhere is not a starting point, it is the absence of one: at 1.00 the period weight and the role factor cancel out of the arithmetic entirely, so the application produced figures that looked like an answer and were not. Both now arrive filled in - 84 period weights and 429 role factors - defined once and read by the template, the blank start and the dummy datasets alike, so the workbook and the application hold the same assumptions by construction. check_consistency.py fails if they drift, and fails too if the figures ever revert to one flat value. A defect was found while testing: prap_io read Config with `or default`, so a setting deliberately set to 0 silently came back on.</t>
        </is>
      </c>
      <c r="F41" s="8" t="inlineStr">
        <is>
          <t>Issued for review</t>
        </is>
      </c>
    </row>
    <row r="42">
      <c r="A42" s="10" t="inlineStr">
        <is>
          <t>2.27</t>
        </is>
      </c>
      <c r="B42" s="10" t="inlineStr">
        <is>
          <t>2026-08-20</t>
        </is>
      </c>
      <c r="C42" s="10" t="inlineStr">
        <is>
          <t>Claude Code</t>
        </is>
      </c>
      <c r="D42" s="10" t="inlineStr">
        <is>
          <t>Pending</t>
        </is>
      </c>
      <c r="E42" s="11" t="inlineStr">
        <is>
          <t>SCHEMA 6 - THE WORK SCOPE, AND THE BIOSIMILAR SPLIT. Requested 2026-08-20, and the first change to the data model since the plan was baselined. (1) work_scope_type joins PeriodWeightStandard and RoleFactor beside clinical_phase, and the keys become (project_type, clinical_phase, work_scope_type, period_name) and that plus role_name. How much of the work is kept in-house changes how much of it lands on this team, and until now the model had nowhere to say so. (2) A ROW WITH AN EMPTY work_scope_type APPLIES TO EVERY SCOPE, and a project falls back to it when there is no row for its own scope. That is a judgment made here rather than requested: without it RoleFactor is 1,269 hand-entered rows instead of 429, two thirds of them repeating their neighbour, and every schema 5 file would stop calculating on the day it was opened. With it, a schema 5 file's rows ARE the every-scope rows and keep working. (3) Project gains work_scope_type, because the key selects a row FOR A PROJECT and nothing could choose between the three scope rows without it - implied by the request rather than stated in it. outsourcing_type stays, descriptive, and V-25 reports the two contradicting each other. (4) 'Biosimilar CT' becomes 'Biosimilar CT (Healthy)' and 'Biosimilar CT (Patient)'. A project type is now recognised as a clinical trial by the START of its name, so the next subdivision is a value-list change rather than a code change. V-26 reports the retired value with the two it became, because only the reader knows which of them a given trial was. Template v1.8, dummies v1.10 and v1.2.</t>
        </is>
      </c>
      <c r="F42" s="10" t="inlineStr">
        <is>
          <t>Issued for review</t>
        </is>
      </c>
    </row>
    <row r="43">
      <c r="A43" s="8" t="inlineStr">
        <is>
          <t>2.26</t>
        </is>
      </c>
      <c r="B43" s="8" t="inlineStr">
        <is>
          <t>2026-07-31</t>
        </is>
      </c>
      <c r="C43" s="8" t="inlineStr">
        <is>
          <t>Claude Code</t>
        </is>
      </c>
      <c r="D43" s="8" t="inlineStr">
        <is>
          <t>Pending</t>
        </is>
      </c>
      <c r="E43" s="9" t="inlineStr">
        <is>
          <t>Gate 4 round 25, application v1.24. (1) EVERY FILTER NOW TAKES SEVERAL VALUES AT ONCE. Each is a drop-down of tick boxes built on &lt;details&gt;, which gives open, close, keyboard operation and focus for nothing; a plain &lt;select multiple&gt; would have cost seven tall boxes across the bar and asked the reader to know that ctrl-click means 'and also'. Nothing ticked means All, which is what the closed control says, so the bar reads as it did with single selects; one ticked reads as that value, more than one as a count with the full list on hover. Values within one filter are an OR - ticking a second project type WIDENS the view - while the filters remain an AND with each other, which is the only reading that makes 'NewDrug CT and Others, in-house' mean anything. Each has its own Clear; Reset still empties them all; and a value that has gone from the file is dropped from the selection, since the page must not stay filtered by something the reader can no longer see. (2) AUTO DERIVATION in the Periods section builds a project's periods from its milestones by the rule on sheet 05, and (3) BLANK LIST in the Milestones section lays out the ten standard milestone names with their dates empty, so only the dates have to be typed. Both produce ORDINARY ROWS - provisional until Save, editable and deletable afterwards, subject to every rule - because the point is to save the typing, not to take the decision away. Auto derivation reads the milestones from the raw sheet so a set just typed and not yet saved still counts, which is the ordinary case when the two buttons are used one after the other; it asks before replacing an existing set; and it refuses what it cannot do, naming the reason: an 'Others' project (the rule hangs on CTA submission and the DB locks) or a trial missing either of those (V-16). Blank list does not repeat a name already listed, since a second 'CTA submission' is the duplicate V-20 exists to catch. A LATENT CRASH was found while testing them and fixed: clicking a row that had not been saved yet made its identifier the selection, and the detail panels below need a RECORD - dates, a name, a calculation - which a draft has none of. projDetail threw, taking the whole re-render with it, so the click appeared to do nothing at all. Both detail panels now fall back to the scratch panels built for exactly that state. tools/test_generate.py checks the derivation against the rule term by term on a project built to exercise every branch. No requirement, rule, calculation or schema version changed.</t>
        </is>
      </c>
      <c r="F43" s="8" t="inlineStr">
        <is>
          <t>Issued for review</t>
        </is>
      </c>
    </row>
    <row r="44">
      <c r="A44" s="10" t="inlineStr">
        <is>
          <t>2.25</t>
        </is>
      </c>
      <c r="B44" s="10" t="inlineStr">
        <is>
          <t>2026-07-31</t>
        </is>
      </c>
      <c r="C44" s="10" t="inlineStr">
        <is>
          <t>Claude Code</t>
        </is>
      </c>
      <c r="D44" s="10" t="inlineStr">
        <is>
          <t>Pending</t>
        </is>
      </c>
      <c r="E44" s="11" t="inlineStr">
        <is>
          <t>Gate 4 round 24, application v1.23. Three changes to the filter bar and to what the unsaved-change counter can tell you. (1) OUTSOURCING TYPE joins the filter conditions, driving the same machinery as the other six - the charts, both Overall tables and the source-data tabs - and Reset puts it back with the rest. (2) THE HORIZON NOW FOLLOWS THE FILTERS. Narrowing to one project type left the window the whole portfolio needed, so a two-year span went mostly empty and the reader was looking at a chart of nothing with no way to tell whether that was the answer or the view. Changing a filter now pulls From and To in to the months the surviving rows actually reach. Two things are deliberately left alone: a combination that matches NOTHING keeps the window where it was, because jumping to an arbitrary span would hide the reason the screen is empty; and typing in From or To is the user moving the window themselves, so the re-fit runs only when a filter DROPDOWN moves. (3) A SHOW DETAILS button beside the counter opens every change waiting to be saved, as a table: the time it happened, which tab, which section, which row, which item, what it was before and what it is now. Newest first, because the question it answers is almost always 'what did I just do' - the edit you are unsure about is the one you made a moment ago - and the first row is tinted for the same reason. The dialog closes, goes full screen for a log too wide or too long for the ordinary box, and scrolls with the same visible bar and edge shading as every other scroll region. The section column shows the name the panel goes by on screen rather than the sheet name, because the point of the log is being able to walk back to the thing you changed; the sheet is still what is recorded underneath. Every pending entry now carries the time it was made, which nothing did before. tools/test_filters.py covers all three. No requirement, rule, calculation or schema version changed.</t>
        </is>
      </c>
      <c r="F44" s="10" t="inlineStr">
        <is>
          <t>Superseded by v2.26</t>
        </is>
      </c>
    </row>
    <row r="45">
      <c r="A45" s="8" t="inlineStr">
        <is>
          <t>2.24</t>
        </is>
      </c>
      <c r="B45" s="8" t="inlineStr">
        <is>
          <t>2026-07-31</t>
        </is>
      </c>
      <c r="C45" s="8" t="inlineStr">
        <is>
          <t>Claude Code</t>
        </is>
      </c>
      <c r="D45" s="8" t="inlineStr">
        <is>
          <t>Pending</t>
        </is>
      </c>
      <c r="E45" s="9" t="inlineStr">
        <is>
          <t>Gate 4 round 23, application v1.22. Four values that were typed by hand while the rows underneath already said what they should be. (1) A project's WINDOW is now recalculated on Save: start_date becomes the earliest of its milestone dates and end_date the latest, and total_period_months follows without anyone touching it. (2) planned_member_count becomes the number of DISTINCT people assigned to the project - people, not assignment rows, since one person may hold several. Both are done at SAVE rather than at load, deliberately: doing them at load would rewrite a workbook produced elsewhere the moment somebody opened it, and the delivered examples set a project start before its first milestone quite legitimately. At Save it is a consequence of an edit just made, and the banner names every value it changed. Two guards keep the change from destroying information: a project with NO milestone dates keeps the window that was typed, because there is nothing to derive it from; and a project with NO assignments keeps the team size that was typed, because 'nobody is assigned yet' is not the statement 'this needs nobody'. ONE CONSEQUENCE IS WORTH STATING: a project now ends at its last milestone, so work that legitimately continues past the final DB lock - close-out, archiving, an inspection - has to be carried by a milestone if it is to be inside the window, and an assignment running past it is reported as V-07. The period derivation already allowed for that headroom by running Close-out (final) to the later of the DB lock and the project end; deriving the end from the milestones removes it. (3) A new row in Periods is given the next PERIOD_SEQ for its project. The request named a 'period_id': the sheet has none, it is keyed on (project_id, period_name) per change R-11, and period_seq is the field that carries the order - so that is the number allocated, one past the highest in that project, exactly as milestone_seq is. (4) A weight-override window now shows the PROJECT and ROLE of its assignment even when that assignment has not been saved. It read them from the validated model, which excludes anything still being entered, so the two lookup columns went blank until Save - and they exist precisely so that, while typing, the user can confirm the window is attached to the right piece of work. They are read from the raw sheets now, and the same two columns were added to the scratch panel that a plan started blank uses. tools/test_derive.py covers all four; seven of its ten checks fail against the previous build. No requirement, rule, calculation or schema version changed.</t>
        </is>
      </c>
      <c r="F45" s="8" t="inlineStr">
        <is>
          <t>Superseded by v2.25</t>
        </is>
      </c>
    </row>
    <row r="46">
      <c r="A46" s="10" t="inlineStr">
        <is>
          <t>2.23</t>
        </is>
      </c>
      <c r="B46" s="10" t="inlineStr">
        <is>
          <t>2026-07-31</t>
        </is>
      </c>
      <c r="C46" s="10" t="inlineStr">
        <is>
          <t>Claude Code</t>
        </is>
      </c>
      <c r="D46" s="10" t="inlineStr">
        <is>
          <t>Pending</t>
        </is>
      </c>
      <c r="E46" s="11" t="inlineStr">
        <is>
          <t>Gate 4 round 22, application v1.21. Three changes to what a new row arrives with, and to whether the reader can tell there is more to see. (1) IDENTIFIERS are now allocated on insert for project_id, person_id and milestone_seq as well as assignment_id, and the rule is ONE PAST THE HIGHEST already in the sheet rather than the smallest unused. The old rule was about tidiness - a file whose ids ran 1..46 and then jumped to 901 for a few hand-placed rows would not start climbing from 902; the new one is about being able to tell at a glance which rows were added today, and a gap left by a deleted row now stays a gap, which is how an identifier sequence behaves everywhere else. milestone_seq counts within its own PROJECT, not across the file, because that is the list it orders. (2) WEIGHTS start at 1.00: ProjectPeriod.weight, Person.capacity_fte, Assignment.person_weight and PersonPeriodWeight.weight_override. 1.00 is the neutral multiplier, and the alternative is not 'no value' but ZERO - an empty weight reads as 0.00 in the calculation, so a row left alone contributed nothing at all and nothing on screen said so. A row that contributes too much is noticed; a row that contributes nothing is not. This required a second concept alongside 'blank': a row carrying only the values the APPLICATION put there is still an empty row, so Save does not promote it and Export refuses to write it - otherwise every insert would immediately become a half-record complaining about what it is missing. (3) SCROLL REGIONS now say which way there is more. Every section was already bounded on both axes, but scrollbar-width:thin bought a browser OVERLAY bar that occupies no layout space and fades when idle - measured, offsetWidth === clientWidth - so a table with eleven columns off to the right looked exactly like a table with none. The bar is now a real 12px with a visible thumb; and because overlay scrollbars are the default on some platforms whatever the CSS asks for, each region ALSO carries a soft shade on any edge that has content beyond it, drawn over the box so table rows cannot paint on top of it, and removed the moment that edge is reached so it always means 'more this way'. tools/test_newrow.py covers all three. Two existing tests had to change, and both were encoding old behaviour rather than finding new faults: test_rows was promoting an override row with no window and no weight in it, which isSkeleton now declines to do, and test_nokey could no longer reach a keyless row by skipping the identifier - the application supplies one - so it clears it explicitly instead. No requirement, rule, calculation or schema version changed.</t>
        </is>
      </c>
      <c r="F46" s="10" t="inlineStr">
        <is>
          <t>Superseded by v2.24</t>
        </is>
      </c>
    </row>
    <row r="47">
      <c r="A47" s="8" t="inlineStr">
        <is>
          <t>2.22</t>
        </is>
      </c>
      <c r="B47" s="8" t="inlineStr">
        <is>
          <t>2026-07-31</t>
        </is>
      </c>
      <c r="C47" s="8" t="inlineStr">
        <is>
          <t>Claude Code</t>
        </is>
      </c>
      <c r="D47" s="8" t="inlineStr">
        <is>
          <t>Pending</t>
        </is>
      </c>
      <c r="E47" s="9"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47" s="8" t="inlineStr">
        <is>
          <t>Superseded by v2.23</t>
        </is>
      </c>
    </row>
    <row r="48">
      <c r="A48" s="10" t="inlineStr">
        <is>
          <t>2.21</t>
        </is>
      </c>
      <c r="B48" s="10" t="inlineStr">
        <is>
          <t>2026-07-31</t>
        </is>
      </c>
      <c r="C48" s="10" t="inlineStr">
        <is>
          <t>Claude Code</t>
        </is>
      </c>
      <c r="D48" s="10" t="inlineStr">
        <is>
          <t>Pending</t>
        </is>
      </c>
      <c r="E48" s="11"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48" s="10" t="inlineStr">
        <is>
          <t>Superseded by v2.22</t>
        </is>
      </c>
    </row>
    <row r="49">
      <c r="A49" s="8" t="inlineStr">
        <is>
          <t>2.20</t>
        </is>
      </c>
      <c r="B49" s="8" t="inlineStr">
        <is>
          <t>2026-07-31</t>
        </is>
      </c>
      <c r="C49" s="8" t="inlineStr">
        <is>
          <t>Claude Code</t>
        </is>
      </c>
      <c r="D49" s="8" t="inlineStr">
        <is>
          <t>Pending</t>
        </is>
      </c>
      <c r="E49" s="9"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49" s="8" t="inlineStr">
        <is>
          <t>Superseded by v2.21</t>
        </is>
      </c>
    </row>
    <row r="50">
      <c r="A50" s="10" t="inlineStr">
        <is>
          <t>2.19</t>
        </is>
      </c>
      <c r="B50" s="10" t="inlineStr">
        <is>
          <t>2026-07-31</t>
        </is>
      </c>
      <c r="C50" s="10" t="inlineStr">
        <is>
          <t>Claude Code</t>
        </is>
      </c>
      <c r="D50" s="10" t="inlineStr">
        <is>
          <t>Pending</t>
        </is>
      </c>
      <c r="E50" s="11"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PeriodFTEStandard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50" s="10" t="inlineStr">
        <is>
          <t>Superseded by v2.20</t>
        </is>
      </c>
    </row>
    <row r="51">
      <c r="A51" s="8" t="inlineStr">
        <is>
          <t>2.18</t>
        </is>
      </c>
      <c r="B51" s="8" t="inlineStr">
        <is>
          <t>2026-07-31</t>
        </is>
      </c>
      <c r="C51" s="8" t="inlineStr">
        <is>
          <t>Claude Code</t>
        </is>
      </c>
      <c r="D51" s="8" t="inlineStr">
        <is>
          <t>Pending</t>
        </is>
      </c>
      <c r="E51" s="9"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51" s="8" t="inlineStr">
        <is>
          <t>Superseded by v2.19</t>
        </is>
      </c>
    </row>
    <row r="52">
      <c r="A52" s="10" t="inlineStr">
        <is>
          <t>2.17</t>
        </is>
      </c>
      <c r="B52" s="10" t="inlineStr">
        <is>
          <t>2026-07-31</t>
        </is>
      </c>
      <c r="C52" s="10" t="inlineStr">
        <is>
          <t>Claude Code</t>
        </is>
      </c>
      <c r="D52" s="10" t="inlineStr">
        <is>
          <t>Pending</t>
        </is>
      </c>
      <c r="E52" s="11"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52" s="10" t="inlineStr">
        <is>
          <t>Superseded by v2.18</t>
        </is>
      </c>
    </row>
    <row r="53">
      <c r="A53" s="8" t="inlineStr">
        <is>
          <t>2.16</t>
        </is>
      </c>
      <c r="B53" s="8" t="inlineStr">
        <is>
          <t>2026-07-31</t>
        </is>
      </c>
      <c r="C53" s="8" t="inlineStr">
        <is>
          <t>Claude Code</t>
        </is>
      </c>
      <c r="D53" s="8" t="inlineStr">
        <is>
          <t>Pending</t>
        </is>
      </c>
      <c r="E53" s="9"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53" s="8" t="inlineStr">
        <is>
          <t>Superseded by v2.17</t>
        </is>
      </c>
    </row>
    <row r="54">
      <c r="A54" s="10" t="inlineStr">
        <is>
          <t>2.15</t>
        </is>
      </c>
      <c r="B54" s="10" t="inlineStr">
        <is>
          <t>2026-07-31</t>
        </is>
      </c>
      <c r="C54" s="10" t="inlineStr">
        <is>
          <t>Claude Code</t>
        </is>
      </c>
      <c r="D54" s="10" t="inlineStr">
        <is>
          <t>Pending</t>
        </is>
      </c>
      <c r="E54" s="11"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54" s="10" t="inlineStr">
        <is>
          <t>Superseded by v2.16</t>
        </is>
      </c>
    </row>
    <row r="55">
      <c r="A55" s="8" t="inlineStr">
        <is>
          <t>2.14</t>
        </is>
      </c>
      <c r="B55" s="8" t="inlineStr">
        <is>
          <t>2026-07-31</t>
        </is>
      </c>
      <c r="C55" s="8" t="inlineStr">
        <is>
          <t>Claude Code</t>
        </is>
      </c>
      <c r="D55" s="8" t="inlineStr">
        <is>
          <t>Pending</t>
        </is>
      </c>
      <c r="E55" s="9"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55" s="8" t="inlineStr">
        <is>
          <t>Issued for review</t>
        </is>
      </c>
    </row>
    <row r="56">
      <c r="A56" s="10" t="inlineStr">
        <is>
          <t>2.13</t>
        </is>
      </c>
      <c r="B56" s="10" t="inlineStr">
        <is>
          <t>2026-07-31</t>
        </is>
      </c>
      <c r="C56" s="10" t="inlineStr">
        <is>
          <t>Claude Code</t>
        </is>
      </c>
      <c r="D56" s="10" t="inlineStr">
        <is>
          <t>Pending</t>
        </is>
      </c>
      <c r="E56" s="11"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56" s="10" t="inlineStr">
        <is>
          <t>Superseded by v2.14</t>
        </is>
      </c>
    </row>
    <row r="57">
      <c r="A57" s="8" t="inlineStr">
        <is>
          <t>2.12</t>
        </is>
      </c>
      <c r="B57" s="8" t="inlineStr">
        <is>
          <t>2026-07-31</t>
        </is>
      </c>
      <c r="C57" s="8" t="inlineStr">
        <is>
          <t>Claude Code</t>
        </is>
      </c>
      <c r="D57" s="8" t="inlineStr">
        <is>
          <t>Pending</t>
        </is>
      </c>
      <c r="E57" s="9"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57" s="8" t="inlineStr">
        <is>
          <t>Superseded by v2.13</t>
        </is>
      </c>
    </row>
    <row r="58">
      <c r="A58" s="10" t="inlineStr">
        <is>
          <t>2.11</t>
        </is>
      </c>
      <c r="B58" s="10" t="inlineStr">
        <is>
          <t>2026-07-31</t>
        </is>
      </c>
      <c r="C58" s="10" t="inlineStr">
        <is>
          <t>Claude Code</t>
        </is>
      </c>
      <c r="D58" s="10" t="inlineStr">
        <is>
          <t>Pending</t>
        </is>
      </c>
      <c r="E58" s="11"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58" s="10" t="inlineStr">
        <is>
          <t>Issued for review</t>
        </is>
      </c>
    </row>
    <row r="59">
      <c r="A59" s="8" t="inlineStr">
        <is>
          <t>2.10</t>
        </is>
      </c>
      <c r="B59" s="8" t="inlineStr">
        <is>
          <t>2026-07-31</t>
        </is>
      </c>
      <c r="C59" s="8" t="inlineStr">
        <is>
          <t>Claude Code</t>
        </is>
      </c>
      <c r="D59" s="8" t="inlineStr">
        <is>
          <t>Pending</t>
        </is>
      </c>
      <c r="E59" s="9"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59" s="8" t="inlineStr">
        <is>
          <t>Superseded by v2.11</t>
        </is>
      </c>
    </row>
    <row r="60">
      <c r="A60" s="10" t="inlineStr">
        <is>
          <t>2.9</t>
        </is>
      </c>
      <c r="B60" s="10" t="inlineStr">
        <is>
          <t>2026-07-31</t>
        </is>
      </c>
      <c r="C60" s="10" t="inlineStr">
        <is>
          <t>Claude Code</t>
        </is>
      </c>
      <c r="D60" s="10" t="inlineStr">
        <is>
          <t>Pending</t>
        </is>
      </c>
      <c r="E60" s="11"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60" s="10" t="inlineStr">
        <is>
          <t>Superseded by v2.10</t>
        </is>
      </c>
    </row>
    <row r="61">
      <c r="A61" s="8" t="inlineStr">
        <is>
          <t>2.8</t>
        </is>
      </c>
      <c r="B61" s="8" t="inlineStr">
        <is>
          <t>2026-07-31</t>
        </is>
      </c>
      <c r="C61" s="8" t="inlineStr">
        <is>
          <t>Claude Code</t>
        </is>
      </c>
      <c r="D61" s="8" t="inlineStr">
        <is>
          <t>Pending</t>
        </is>
      </c>
      <c r="E61" s="9"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61" s="8" t="inlineStr">
        <is>
          <t>Superseded by v2.9</t>
        </is>
      </c>
    </row>
    <row r="62">
      <c r="A62" s="10" t="inlineStr">
        <is>
          <t>2.7</t>
        </is>
      </c>
      <c r="B62" s="10" t="inlineStr">
        <is>
          <t>2026-07-31</t>
        </is>
      </c>
      <c r="C62" s="10" t="inlineStr">
        <is>
          <t>Claude Code</t>
        </is>
      </c>
      <c r="D62" s="10" t="inlineStr">
        <is>
          <t>Pending</t>
        </is>
      </c>
      <c r="E62" s="11"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62" s="10" t="inlineStr">
        <is>
          <t>Superseded by v2.8</t>
        </is>
      </c>
    </row>
    <row r="63">
      <c r="A63" s="8" t="inlineStr">
        <is>
          <t>2.6</t>
        </is>
      </c>
      <c r="B63" s="8" t="inlineStr">
        <is>
          <t>2026-07-31</t>
        </is>
      </c>
      <c r="C63" s="8" t="inlineStr">
        <is>
          <t>Claude Code</t>
        </is>
      </c>
      <c r="D63" s="8" t="inlineStr">
        <is>
          <t>Pending</t>
        </is>
      </c>
      <c r="E63" s="9"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63" s="8" t="inlineStr">
        <is>
          <t>Superseded by v2.7</t>
        </is>
      </c>
    </row>
    <row r="64">
      <c r="A64" s="10" t="inlineStr">
        <is>
          <t>2.5</t>
        </is>
      </c>
      <c r="B64" s="10" t="inlineStr">
        <is>
          <t>2026-07-31</t>
        </is>
      </c>
      <c r="C64" s="10" t="inlineStr">
        <is>
          <t>Claude Code</t>
        </is>
      </c>
      <c r="D64" s="10" t="inlineStr">
        <is>
          <t>Pending</t>
        </is>
      </c>
      <c r="E64" s="11"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64" s="10" t="inlineStr">
        <is>
          <t>Issued for review</t>
        </is>
      </c>
    </row>
    <row r="65">
      <c r="A65" s="8" t="inlineStr">
        <is>
          <t>2.4</t>
        </is>
      </c>
      <c r="B65" s="8" t="inlineStr">
        <is>
          <t>2026-07-31</t>
        </is>
      </c>
      <c r="C65" s="8" t="inlineStr">
        <is>
          <t>Claude Code</t>
        </is>
      </c>
      <c r="D65" s="8" t="inlineStr">
        <is>
          <t>Pending</t>
        </is>
      </c>
      <c r="E65" s="9"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65" s="8" t="inlineStr">
        <is>
          <t>Issued for review</t>
        </is>
      </c>
    </row>
    <row r="66">
      <c r="A66" s="10" t="inlineStr">
        <is>
          <t>2.3</t>
        </is>
      </c>
      <c r="B66" s="10" t="inlineStr">
        <is>
          <t>2026-07-31</t>
        </is>
      </c>
      <c r="C66" s="10" t="inlineStr">
        <is>
          <t>Claude Code</t>
        </is>
      </c>
      <c r="D66" s="10" t="inlineStr">
        <is>
          <t>Pending</t>
        </is>
      </c>
      <c r="E66" s="11"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66" s="10" t="inlineStr">
        <is>
          <t>Issued for review</t>
        </is>
      </c>
    </row>
    <row r="67">
      <c r="A67" s="8" t="inlineStr">
        <is>
          <t>2.2</t>
        </is>
      </c>
      <c r="B67" s="8" t="inlineStr">
        <is>
          <t>2026-07-31</t>
        </is>
      </c>
      <c r="C67" s="8" t="inlineStr">
        <is>
          <t>Claude Code</t>
        </is>
      </c>
      <c r="D67" s="8" t="inlineStr">
        <is>
          <t>Pending</t>
        </is>
      </c>
      <c r="E67" s="9"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67" s="8" t="inlineStr">
        <is>
          <t>Issued for review</t>
        </is>
      </c>
    </row>
    <row r="68">
      <c r="A68" s="10" t="inlineStr">
        <is>
          <t>2.1</t>
        </is>
      </c>
      <c r="B68" s="10" t="inlineStr">
        <is>
          <t>2026-07-31</t>
        </is>
      </c>
      <c r="C68" s="10" t="inlineStr">
        <is>
          <t>Claude Code</t>
        </is>
      </c>
      <c r="D68" s="10" t="inlineStr">
        <is>
          <t>Pending</t>
        </is>
      </c>
      <c r="E68" s="11"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68" s="10" t="inlineStr">
        <is>
          <t>Issued for review</t>
        </is>
      </c>
    </row>
    <row r="69">
      <c r="A69" s="8" t="inlineStr">
        <is>
          <t>2.0</t>
        </is>
      </c>
      <c r="B69" s="8" t="inlineStr">
        <is>
          <t>2026-08-02</t>
        </is>
      </c>
      <c r="C69" s="8" t="inlineStr">
        <is>
          <t>Claude Code</t>
        </is>
      </c>
      <c r="D69" s="8" t="inlineStr">
        <is>
          <t>Dan</t>
        </is>
      </c>
      <c r="E69" s="9"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69" s="8" t="inlineStr">
        <is>
          <t>APPROVED 2026-08-02 by Dan - BASELINE</t>
        </is>
      </c>
    </row>
    <row r="70">
      <c r="A70" s="10" t="inlineStr">
        <is>
          <t>1.10</t>
        </is>
      </c>
      <c r="B70" s="10" t="inlineStr">
        <is>
          <t>2026-07-31</t>
        </is>
      </c>
      <c r="C70" s="10" t="inlineStr">
        <is>
          <t>Claude Code</t>
        </is>
      </c>
      <c r="D70" s="10" t="inlineStr">
        <is>
          <t>Pending</t>
        </is>
      </c>
      <c r="E70" s="11"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70" s="10" t="inlineStr">
        <is>
          <t>Issued for approval</t>
        </is>
      </c>
    </row>
    <row r="71">
      <c r="A71" s="8" t="inlineStr">
        <is>
          <t>1.9</t>
        </is>
      </c>
      <c r="B71" s="8" t="inlineStr">
        <is>
          <t>2026-07-31</t>
        </is>
      </c>
      <c r="C71" s="8" t="inlineStr">
        <is>
          <t>Claude Code</t>
        </is>
      </c>
      <c r="D71" s="8" t="inlineStr">
        <is>
          <t>Pending</t>
        </is>
      </c>
      <c r="E71" s="9"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71" s="8" t="inlineStr">
        <is>
          <t>Issued for approval</t>
        </is>
      </c>
    </row>
    <row r="72">
      <c r="A72" s="10" t="inlineStr">
        <is>
          <t>1.8</t>
        </is>
      </c>
      <c r="B72" s="10" t="inlineStr">
        <is>
          <t>2026-07-31</t>
        </is>
      </c>
      <c r="C72" s="10" t="inlineStr">
        <is>
          <t>Claude Code</t>
        </is>
      </c>
      <c r="D72" s="10" t="inlineStr">
        <is>
          <t>Pending</t>
        </is>
      </c>
      <c r="E72" s="11"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72" s="10" t="inlineStr">
        <is>
          <t>Superseded by v1.9</t>
        </is>
      </c>
    </row>
    <row r="73">
      <c r="A73" s="8" t="inlineStr">
        <is>
          <t>1.7</t>
        </is>
      </c>
      <c r="B73" s="8" t="inlineStr">
        <is>
          <t>2026-07-31</t>
        </is>
      </c>
      <c r="C73" s="8" t="inlineStr">
        <is>
          <t>Claude Code</t>
        </is>
      </c>
      <c r="D73" s="8" t="inlineStr">
        <is>
          <t>Pending</t>
        </is>
      </c>
      <c r="E73" s="9"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73" s="8" t="inlineStr">
        <is>
          <t>Superseded by v1.8</t>
        </is>
      </c>
    </row>
    <row r="74">
      <c r="A74" s="10" t="inlineStr">
        <is>
          <t>1.6</t>
        </is>
      </c>
      <c r="B74" s="10" t="inlineStr">
        <is>
          <t>2026-07-31</t>
        </is>
      </c>
      <c r="C74" s="10" t="inlineStr">
        <is>
          <t>Claude Code</t>
        </is>
      </c>
      <c r="D74" s="10" t="inlineStr">
        <is>
          <t>Pending</t>
        </is>
      </c>
      <c r="E74" s="11"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74" s="10" t="inlineStr">
        <is>
          <t>Issued for approval</t>
        </is>
      </c>
    </row>
    <row r="76">
      <c r="A76"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1"/>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 people sharing that role) x person weight x fraction of the month covered. There is no separate base allocation. The role factor is selected by project type, clinical phase, WORK SCOPE, the period the month falls in, and the role - so a role's burden can vary across the life of a project and with how much of the work is kept in-house.</t>
        </is>
      </c>
      <c r="D31" s="20" t="inlineStr">
        <is>
          <t>Must</t>
        </is>
      </c>
      <c r="E31" s="20" t="inlineStr">
        <is>
          <t>Q-01, R-10, R-12, R-13</t>
        </is>
      </c>
      <c r="F31" s="20" t="inlineStr">
        <is>
          <t>2,4</t>
        </is>
      </c>
    </row>
    <row r="32">
      <c r="A32" s="17" t="inlineStr">
        <is>
          <t>REQ-DSH-14</t>
        </is>
      </c>
      <c r="B32" s="17" t="inlineStr">
        <is>
          <t>Dashboard</t>
        </is>
      </c>
      <c r="C32" s="18" t="inlineStr">
        <is>
          <t>WHERE A FIGURE'S SIZE WAS DECIDED SOMEWHERE ELSE, THE TABLE SHOWING THE FIGURE NAMES WHAT DECIDED IT, in a column that is looked up and cannot be edited. Three of them, because three tables each showed one term of an expression and left the reader to find the rest in another tab: the Periods table names the STANDARD MONTHLY FTE its period selects and multiplies it by the project's own weight, so the row carries the month's demand instead of half the expression for it; both Monthly estimation panels name the PERIOD the month falls in and the weight that period carried; and the person's panel also names HOW MANY PEOPLE held that role that month, which is the divisor in (role factor / sharers) and the usual explanation for a share that halved with nothing of the person's own changing. LOOKED UP, NEVER STORED: none of the three is a column of the sheet it is shown beside, so no edit and no save can leave a stale copy of a standard in a file after the standards have moved - which is the failure the lookup exists to prevent. NAMED FROM THE CALCULATION'S OWN WORKINGS, not by asking the sheets again, so a screen cannot name one period while the figure beside it came from another. A missing standard says it is missing and names V-19 rather than printing the 1.00 the calculation falls back to; that fallback is a degradation, and showing it as a standard would hide the very thing V-19 reports.</t>
        </is>
      </c>
      <c r="D32" s="17" t="inlineStr">
        <is>
          <t>Should</t>
        </is>
      </c>
      <c r="E32" s="17" t="inlineStr">
        <is>
          <t>R-40</t>
        </is>
      </c>
      <c r="F32" s="17" t="inlineStr">
        <is>
          <t>4</t>
        </is>
      </c>
    </row>
    <row r="33">
      <c r="A33" s="17" t="inlineStr">
        <is>
          <t>REQ-DSH-13</t>
        </is>
      </c>
      <c r="B33" s="17" t="inlineStr">
        <is>
          <t>Dashboard</t>
        </is>
      </c>
      <c r="C33" s="18" t="inlineStr">
        <is>
          <t>Every bounded scroll region draws its own scrollbars rather than relying on the browser's. A region deliberately capped on both axes is only honest if the reader can see there is more and reach it, and the browser's bar does not do that on a build that uses overlay scrollbars: it occupies no layout space and fades out when idle, so a table with eleven columns off to the right looks exactly like one with none. The drawn bar is present whenever there is anywhere to scroll to, can be dragged, and pages when its track is clicked. Native scrolling - wheel, shift-wheel, trackpad, keyboard - is untouched.</t>
        </is>
      </c>
      <c r="D33" s="17" t="inlineStr">
        <is>
          <t>Must</t>
        </is>
      </c>
      <c r="E33" s="17" t="inlineStr">
        <is>
          <t>R-23</t>
        </is>
      </c>
      <c r="F33" s="17" t="inlineStr">
        <is>
          <t>4</t>
        </is>
      </c>
    </row>
    <row r="34">
      <c r="A34" s="17" t="inlineStr">
        <is>
          <t>REQ-CAL-20</t>
        </is>
      </c>
      <c r="B34" s="17" t="inlineStr">
        <is>
          <t>Calculation</t>
        </is>
      </c>
      <c r="C34" s="18" t="inlineStr">
        <is>
          <t>EVERY FTE FIGURE THE APPLICATION PRODUCES IS A WHOLE NUMBER OF HUNDREDTHS - not displayed to two places, but IS two places. The rounding happens once, where a person-month is decided, so the screen, the results export, the change log and all four independent implementations report the same number: a figure shown as 4.27 was 4.27 when it was worked out, not 4.2683 dressed up for a table. Two places because that is the granularity the plan is written in: at 160 hours to the FTE, 0.01 is 1.6 hours, the smallest edit that means anything to somebody staffing a study, and already what a manual estimate is typed at (REQ-CAL-18). ROUNDING EACH SHARE ON ITS OWN WOULD NOT DO - round three shares of 4.27 separately and they come to 4.26 or 4.28, so the detail rows would stop summing to the month (REQ-OUT-06) and the shares would stop adding to one (REQ-CAL-19); measured on the 62-project fixture that missed on 644 of 1,629 project-months. So THE MONTH IS ROUNDED FIRST AND ITS HUNDREDTHS ARE HANDED OUT: each line takes its floor and the hundredths left over go to the lines with the largest remainders, one each - the largest-remainder method, which makes both guarantees exact by construction rather than by tolerance. THE TIE-BREAK IS PART OF THE RULE: where two remainders are equal the hundredth goes to the line whose assignment_id sorts first, a total order that does not depend on array order or on the order rows were read from a sheet. Without it two implementations could differ by 0.01 and both be right. A row therefore sits up to 0.01 from the exact product of its own terms - measured worst 0.0070 - and the results export says so. Hundredths are counted as integers throughout, so the arithmetic cannot introduce the error it exists to remove.</t>
        </is>
      </c>
      <c r="D34" s="17" t="inlineStr">
        <is>
          <t>Must</t>
        </is>
      </c>
      <c r="E34" s="17" t="inlineStr">
        <is>
          <t>R-38</t>
        </is>
      </c>
      <c r="F34" s="17" t="inlineStr">
        <is>
          <t>4</t>
        </is>
      </c>
    </row>
    <row r="35">
      <c r="A35" s="17" t="inlineStr">
        <is>
          <t>REQ-CAL-19</t>
        </is>
      </c>
      <c r="B35" s="17" t="inlineStr">
        <is>
          <t>Calculation</t>
        </is>
      </c>
      <c r="C35" s="18" t="inlineStr">
        <is>
          <t>A PROJECT-MONTH IS ITS STANDARD. PeriodFTEStandard.standard_fte is the DEMAND in FTE for a project of this type, clinical phase and work scope in this period; ProjectPeriod.weight ADJUSTS it for the particular study (1.00 = an ordinary project of its kind); and the product, scaled by how much of the month the project actually ran, IS the month. The people on it DIVIDE that month rather than each adding to it. Every term that used to reduce a figure now decides a share: role factor / people holding that role, times person_weight, times that person's own month coverage, makes a CLAIM; the claim over the sum of the claims is the SHARE; the share times the demand is the figure. THE SHARES ADD TO ONE BY CONSTRUCTION, so the month is its demand however many people are on it and whatever their weights - an unstaffed role's work lands on the others (REQ-CAL-16 decides on WHOM), and a part-time commitment pushes load onto colleagues rather than making the project cheaper. Under-staffing is therefore visible on the PEOPLE, as months over the ceiling, and never as a project that costs less than the work it contains. The month a project ran is taken as the largest coverage any of its people have, so a project whose period ends on the 10th draws a third of a month rather than a whole one. A missing standard falls back to 1.00 and V-19 reports it.</t>
        </is>
      </c>
      <c r="D35" s="17" t="inlineStr">
        <is>
          <t>Must</t>
        </is>
      </c>
      <c r="E35" s="17" t="inlineStr">
        <is>
          <t>R-31, R-32</t>
        </is>
      </c>
      <c r="F35" s="17" t="inlineStr">
        <is>
          <t>4</t>
        </is>
      </c>
    </row>
    <row r="36">
      <c r="A36" s="17" t="inlineStr">
        <is>
          <t>REQ-CAL-18</t>
        </is>
      </c>
      <c r="B36" s="17" t="inlineStr">
        <is>
          <t>Calculation</t>
        </is>
      </c>
      <c r="C36" s="18" t="inlineStr">
        <is>
          <t>A PROJECT, OR ONE ASSIGNMENT, MAY HAVE ITS MONTHLY FTE STATED RATHER THAN CALCULATED. estimation_type on Project and on Assignment selects which; MonthlyEstimate carries the stated figures. TWO LEVELS, applied in that order: an ASSIGNMENT figure IS that person's contribution to that project and replaces the share R-32 would otherwise have given them; a PROJECT figure is the whole month, and every person on it that month is SCALED so they still add up to it - because a project total that did not equal the sum of its people would put the two utilisation charts in disagreement and cost the results export its one guarantee. The scaling factor is recorded on every line, so a person whose figure moved with nothing of their own changing can find out why. MANUAL IS ALL OR NOTHING for the thing it is set on: switching copies every month across from the figures currently on screen, so nothing jumps, and switching back discards them all. The copy is written to TWO DECIMAL PLACES: a stated figure lands in a cell somebody reads and edits, and two places is the finest edit that means anything in the unit people think in - at 160 hours to the FTE, 0.01 is 1.6 hours. A month can therefore move by up to 0.005 FTE, about 48 minutes, at the moment of switching. Per-month marking was considered and rejected - once a figure has been edited, months still calculated would keep moving under a signed-off plan whenever an assumption changed, and 'which months are mine' has no useful answer. Every change of calculation way is CONFIRMED, in both directions. A project figure in a month nobody is assigned to cannot be shared out and is NOT applied (V-32); a manual thing with a month carrying no figure counts that month as 0.00 and V-31 says so.</t>
        </is>
      </c>
      <c r="D36" s="17" t="inlineStr">
        <is>
          <t>Must</t>
        </is>
      </c>
      <c r="E36" s="17" t="inlineStr">
        <is>
          <t>R-30</t>
        </is>
      </c>
      <c r="F36" s="17" t="inlineStr">
        <is>
          <t>4</t>
        </is>
      </c>
    </row>
    <row r="37">
      <c r="A37" s="17" t="inlineStr">
        <is>
          <t>REQ-CAL-17</t>
        </is>
      </c>
      <c r="B37" s="17" t="inlineStr">
        <is>
          <t>Calculation</t>
        </is>
      </c>
      <c r="C37" s="18" t="inlineStr">
        <is>
          <t>A PROJECT'S WINDOW, wherever the calculation needs one, is the span of its ProjectPeriod rows: the earliest period_start to the latest period_end. Milestones are reference dates - the period derivation reads them, and several of them mark moments inside the run rather than its edges - so they describe the periods, they do not bound the project. Taking the window from them stretched a project over months belonging to no period, and a month in no period is weighted 1.00, so the project drew resource its own plan did not cover. A project with NO periods keeps its own typed dates, because there is nothing to take a window from and V-12 already reports that. This is what a blank assign_start_date or assign_end_date means (REQ-CAL-15). Save writes the same window back into Project.start_date and Project.end_date, with ONE difference: it reads the periods the user TYPED, and falls back to the milestone span where there are none. A trial whose periods are derived has them opened at its own start_date, so taking the saved window from those would read back the very dates being checked and a wrong window could never correct itself; there the milestones are the only independent statement of when the project runs. Typed periods beat them wherever both exist.</t>
        </is>
      </c>
      <c r="D37" s="17" t="inlineStr">
        <is>
          <t>Must</t>
        </is>
      </c>
      <c r="E37" s="17" t="inlineStr">
        <is>
          <t>R-20</t>
        </is>
      </c>
      <c r="F37" s="17" t="inlineStr">
        <is>
          <t>4</t>
        </is>
      </c>
    </row>
    <row r="38">
      <c r="A38" s="17" t="inlineStr">
        <is>
          <t>REQ-CAL-16</t>
        </is>
      </c>
      <c r="B38" s="17" t="inlineStr">
        <is>
          <t>Calculation</t>
        </is>
      </c>
      <c r="C38" s="18" t="inlineStr">
        <is>
          <t>Where NOBODY holds a role on a project, its role factor is added to the factor of the role named in RoleFactor.absorbed_by - because the work still has to be done by whoever is there. A trial run without a Clinical Data Associator still has the data to handle, and it lands on the lead data manager, who is then under more pressure than the factor for their own role alone describes; costed without it, the project looks cheaper than it is. Counted PER MONTH, so cover ends by itself when somebody arrives. ONE HOP: if the absorbing role is itself unstaffed the work is not passed further along - V-29 reports that rather than piling three absent roles onto whoever is left. Which role covers for which is DATA, on RoleFactor.absorbed_by, never in the program (REQ-CAL-06). Kept as the setting absorb_unstaffed_role_factor.</t>
        </is>
      </c>
      <c r="D38" s="17" t="inlineStr">
        <is>
          <t>Must</t>
        </is>
      </c>
      <c r="E38" s="17" t="inlineStr">
        <is>
          <t>R-17</t>
        </is>
      </c>
      <c r="F38" s="17" t="inlineStr">
        <is>
          <t>4</t>
        </is>
      </c>
    </row>
    <row r="39">
      <c r="A39" s="17" t="inlineStr">
        <is>
          <t>REQ-CAL-15</t>
        </is>
      </c>
      <c r="B39" s="17" t="inlineStr">
        <is>
          <t>Calculation</t>
        </is>
      </c>
      <c r="C39" s="18" t="inlineStr">
        <is>
          <t>BOTH ASSIGNMENT DATES ARE OPTIONAL. A blank assign_start_date means the project's own start date, and a blank assign_end_date the project's own end date - so an assignment with neither runs for the whole project, which is what most assignments are. Filling them in is for a PARTIAL involvement. The end date already behaved this way; the start did not, and a blank one made the assignment contribute nothing at all with no finding to say why.</t>
        </is>
      </c>
      <c r="D39" s="17" t="inlineStr">
        <is>
          <t>Must</t>
        </is>
      </c>
      <c r="E39" s="17" t="inlineStr">
        <is>
          <t>R-15</t>
        </is>
      </c>
      <c r="F39" s="17" t="inlineStr">
        <is>
          <t>4</t>
        </is>
      </c>
    </row>
    <row r="40">
      <c r="A40" s="17" t="inlineStr">
        <is>
          <t>REQ-CAL-14</t>
        </is>
      </c>
      <c r="B40" s="17" t="inlineStr">
        <is>
          <t>Calculation</t>
        </is>
      </c>
      <c r="C40" s="18" t="inlineStr">
        <is>
          <t>Where SEVERAL PEOPLE hold the same role on the same project in the same month, the role factor is DIVIDED BETWEEN THEM. The role factor states what the ROLE costs the project in that period, not what each person holding it costs, so a project staffed by two data managers must not cost twice a project staffed by one. The count is per month, so a sharer leaving restores the others' full share without any edit; it counts distinct PEOPLE, so one person recorded on two rows is one person; and each person's own person_weight then applies to their share. Kept as the setting split_shared_role_fte so a figure produced before this rule can still be reproduced.</t>
        </is>
      </c>
      <c r="D40" s="17" t="inlineStr">
        <is>
          <t>Must</t>
        </is>
      </c>
      <c r="E40" s="17" t="inlineStr">
        <is>
          <t>R-13</t>
        </is>
      </c>
      <c r="F40" s="17" t="inlineStr">
        <is>
          <t>4</t>
        </is>
      </c>
    </row>
    <row r="41">
      <c r="A41" s="8" t="inlineStr">
        <is>
          <t>REQ-CAL-03</t>
        </is>
      </c>
      <c r="B41" s="8" t="inlineStr">
        <is>
          <t>Calculation</t>
        </is>
      </c>
      <c r="C41" s="9" t="inlineStr">
        <is>
          <t>Project monthly load is the sum of its assignments; person monthly load is the sum across all their projects.</t>
        </is>
      </c>
      <c r="D41" s="8" t="inlineStr">
        <is>
          <t>Must</t>
        </is>
      </c>
      <c r="E41" s="8" t="inlineStr">
        <is>
          <t>Requester</t>
        </is>
      </c>
      <c r="F41" s="8" t="inlineStr">
        <is>
          <t>4</t>
        </is>
      </c>
    </row>
    <row r="42">
      <c r="A42" s="20" t="inlineStr">
        <is>
          <t>REQ-CAL-04</t>
        </is>
      </c>
      <c r="B42" s="20" t="inlineStr">
        <is>
          <t>Calculation</t>
        </is>
      </c>
      <c r="C42" s="19" t="inlineStr">
        <is>
          <t>A person-month whose total exceeds the over-allocation threshold (default 1.50 FTE) is flagged as over-allocated. The threshold is absolute, not scaled by capacity (S2-01).</t>
        </is>
      </c>
      <c r="D42" s="20" t="inlineStr">
        <is>
          <t>Must</t>
        </is>
      </c>
      <c r="E42" s="20" t="inlineStr">
        <is>
          <t>Q-08, S2-01</t>
        </is>
      </c>
      <c r="F42" s="20" t="inlineStr">
        <is>
          <t>4</t>
        </is>
      </c>
    </row>
    <row r="43">
      <c r="A43" s="20" t="inlineStr">
        <is>
          <t>REQ-CAL-05</t>
        </is>
      </c>
      <c r="B43" s="20" t="inlineStr">
        <is>
          <t>Calculation</t>
        </is>
      </c>
      <c r="C43" s="19" t="inlineStr">
        <is>
          <t>A partial first or last month is pro-rated by calendar days worked, not counted as a whole month.</t>
        </is>
      </c>
      <c r="D43" s="20" t="inlineStr">
        <is>
          <t>Must</t>
        </is>
      </c>
      <c r="E43" s="20" t="inlineStr">
        <is>
          <t>Q-02</t>
        </is>
      </c>
      <c r="F43" s="20" t="inlineStr">
        <is>
          <t>4</t>
        </is>
      </c>
    </row>
    <row r="44">
      <c r="A44" s="10" t="inlineStr">
        <is>
          <t>REQ-CAL-06</t>
        </is>
      </c>
      <c r="B44" s="10" t="inlineStr">
        <is>
          <t>Calculation</t>
        </is>
      </c>
      <c r="C44" s="11" t="inlineStr">
        <is>
          <t>All weights, factors and thresholds are data, held in the source workbook, never hardcoded in the program.</t>
        </is>
      </c>
      <c r="D44" s="10" t="inlineStr">
        <is>
          <t>Must</t>
        </is>
      </c>
      <c r="E44" s="10" t="inlineStr">
        <is>
          <t>Derived</t>
        </is>
      </c>
      <c r="F44" s="10" t="inlineStr">
        <is>
          <t>4</t>
        </is>
      </c>
    </row>
    <row r="45">
      <c r="A45" s="20" t="inlineStr">
        <is>
          <t>REQ-CAL-07</t>
        </is>
      </c>
      <c r="B45" s="20" t="inlineStr">
        <is>
          <t>Calculation</t>
        </is>
      </c>
      <c r="C45" s="19" t="inlineStr">
        <is>
          <t>A person whose monthly total stays below the under-allocation threshold (default 0.60 FTE) for three or more consecutive months is flagged as under-allocated, with the run's start and length reported. The threshold is absolute, not scaled by capacity.</t>
        </is>
      </c>
      <c r="D45" s="20" t="inlineStr">
        <is>
          <t>Must</t>
        </is>
      </c>
      <c r="E45" s="20" t="inlineStr">
        <is>
          <t>Q-08, S2-01, S2-05</t>
        </is>
      </c>
      <c r="F45" s="20" t="inlineStr">
        <is>
          <t>4</t>
        </is>
      </c>
    </row>
    <row r="46">
      <c r="A46" s="17" t="inlineStr">
        <is>
          <t>REQ-CAL-08</t>
        </is>
      </c>
      <c r="B46" s="17" t="inlineStr">
        <is>
          <t>Calculation</t>
        </is>
      </c>
      <c r="C46" s="18" t="inlineStr">
        <is>
          <t>Load is expressed in FTE, where 1.00 FTE = 160 hours per month (8 h/day x 5 days/week x 20 days/month). Hours are shown alongside FTE where useful.</t>
        </is>
      </c>
      <c r="D46" s="17" t="inlineStr">
        <is>
          <t>Must</t>
        </is>
      </c>
      <c r="E46" s="17" t="inlineStr">
        <is>
          <t>Q-08</t>
        </is>
      </c>
      <c r="F46" s="17" t="inlineStr">
        <is>
          <t>4</t>
        </is>
      </c>
    </row>
    <row r="47">
      <c r="A47" s="20" t="inlineStr">
        <is>
          <t>REQ-CAL-09</t>
        </is>
      </c>
      <c r="B47" s="20" t="inlineStr">
        <is>
          <t>Calculation</t>
        </is>
      </c>
      <c r="C47"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47" s="20" t="inlineStr">
        <is>
          <t>Must</t>
        </is>
      </c>
      <c r="E47" s="20" t="inlineStr">
        <is>
          <t>Q-16, Q-22, Q-23, Q-25</t>
        </is>
      </c>
      <c r="F47" s="20" t="inlineStr">
        <is>
          <t>2,4</t>
        </is>
      </c>
    </row>
    <row r="48">
      <c r="A48" s="17" t="inlineStr">
        <is>
          <t>REQ-CAL-10</t>
        </is>
      </c>
      <c r="B48" s="17" t="inlineStr">
        <is>
          <t>Calculation</t>
        </is>
      </c>
      <c r="C48" s="18" t="inlineStr">
        <is>
          <t>Every month of a project's timeline falls in exactly one period. A month left uncovered by the derivation is reported and carries weight 1.00 rather than being dropped from the simulation.</t>
        </is>
      </c>
      <c r="D48" s="17" t="inlineStr">
        <is>
          <t>Must</t>
        </is>
      </c>
      <c r="E48" s="17" t="inlineStr">
        <is>
          <t>Derived from Q-16</t>
        </is>
      </c>
      <c r="F48" s="17" t="inlineStr">
        <is>
          <t>2,4</t>
        </is>
      </c>
    </row>
    <row r="49">
      <c r="A49" s="20" t="inlineStr">
        <is>
          <t>REQ-CAL-11</t>
        </is>
      </c>
      <c r="B49" s="20" t="inlineStr">
        <is>
          <t>Calculation</t>
        </is>
      </c>
      <c r="C49"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49" s="20" t="inlineStr">
        <is>
          <t>Must</t>
        </is>
      </c>
      <c r="E49" s="20" t="inlineStr">
        <is>
          <t>Q-23, R-11</t>
        </is>
      </c>
      <c r="F49" s="20" t="inlineStr">
        <is>
          <t>2,4</t>
        </is>
      </c>
    </row>
    <row r="50">
      <c r="A50" s="17" t="inlineStr">
        <is>
          <t>REQ-CAL-13</t>
        </is>
      </c>
      <c r="B50" s="17" t="inlineStr">
        <is>
          <t>Calculation</t>
        </is>
      </c>
      <c r="C50" s="18" t="inlineStr">
        <is>
          <t>Where a period boundary has both a milestone and a month-offset definition, a recorded milestone date wins. The offset is the fallback for a project that does not carry that milestone.</t>
        </is>
      </c>
      <c r="D50" s="17" t="inlineStr">
        <is>
          <t>Must</t>
        </is>
      </c>
      <c r="E50" s="17" t="inlineStr">
        <is>
          <t>R-02</t>
        </is>
      </c>
      <c r="F50" s="17" t="inlineStr">
        <is>
          <t>2,4</t>
        </is>
      </c>
    </row>
    <row r="51">
      <c r="A51" s="17" t="inlineStr">
        <is>
          <t>REQ-CAL-12</t>
        </is>
      </c>
      <c r="B51" s="17" t="inlineStr">
        <is>
          <t>Calculation</t>
        </is>
      </c>
      <c r="C51" s="18" t="inlineStr">
        <is>
          <t>Where a timeline squeezes a derived period to zero or negative length, that period is omitted and the omission reported. Boundaries are applied in order so the periods always stay contiguous.</t>
        </is>
      </c>
      <c r="D51" s="17" t="inlineStr">
        <is>
          <t>Must</t>
        </is>
      </c>
      <c r="E51" s="17" t="inlineStr">
        <is>
          <t>Derived from Q-22, Q-23</t>
        </is>
      </c>
      <c r="F51" s="17" t="inlineStr">
        <is>
          <t>2,4</t>
        </is>
      </c>
    </row>
    <row r="52">
      <c r="A52" s="10" t="inlineStr">
        <is>
          <t>REQ-DSH-01</t>
        </is>
      </c>
      <c r="B52" s="10" t="inlineStr">
        <is>
          <t>Dashboard</t>
        </is>
      </c>
      <c r="C52" s="11" t="inlineStr">
        <is>
          <t>Tab 'Overall' shows monthly resource simulation per project and per person as tables.</t>
        </is>
      </c>
      <c r="D52" s="10" t="inlineStr">
        <is>
          <t>Must</t>
        </is>
      </c>
      <c r="E52" s="10" t="inlineStr">
        <is>
          <t>Requester</t>
        </is>
      </c>
      <c r="F52" s="10" t="inlineStr">
        <is>
          <t>3,4</t>
        </is>
      </c>
    </row>
    <row r="53">
      <c r="A53" s="8" t="inlineStr">
        <is>
          <t>REQ-DSH-02</t>
        </is>
      </c>
      <c r="B53" s="8" t="inlineStr">
        <is>
          <t>Dashboard</t>
        </is>
      </c>
      <c r="C53" s="9" t="inlineStr">
        <is>
          <t>Tab 'Overall' shows appropriate graphs of the same simulation.</t>
        </is>
      </c>
      <c r="D53" s="8" t="inlineStr">
        <is>
          <t>Must</t>
        </is>
      </c>
      <c r="E53" s="8" t="inlineStr">
        <is>
          <t>Requester</t>
        </is>
      </c>
      <c r="F53" s="8" t="inlineStr">
        <is>
          <t>3,4</t>
        </is>
      </c>
    </row>
    <row r="54">
      <c r="A54" s="10" t="inlineStr">
        <is>
          <t>REQ-DSH-03</t>
        </is>
      </c>
      <c r="B54" s="10" t="inlineStr">
        <is>
          <t>Dashboard</t>
        </is>
      </c>
      <c r="C54" s="11" t="inlineStr">
        <is>
          <t>Tab 'Source data (project)' shows project information as a table.</t>
        </is>
      </c>
      <c r="D54" s="10" t="inlineStr">
        <is>
          <t>Must</t>
        </is>
      </c>
      <c r="E54" s="10" t="inlineStr">
        <is>
          <t>Requester</t>
        </is>
      </c>
      <c r="F54" s="10" t="inlineStr">
        <is>
          <t>3,4</t>
        </is>
      </c>
    </row>
    <row r="55">
      <c r="A55" s="8" t="inlineStr">
        <is>
          <t>REQ-DSH-04</t>
        </is>
      </c>
      <c r="B55" s="8" t="inlineStr">
        <is>
          <t>Dashboard</t>
        </is>
      </c>
      <c r="C55" s="9" t="inlineStr">
        <is>
          <t>Tab 'Source data (person)' shows person information as a table.</t>
        </is>
      </c>
      <c r="D55" s="8" t="inlineStr">
        <is>
          <t>Must</t>
        </is>
      </c>
      <c r="E55" s="8" t="inlineStr">
        <is>
          <t>Requester</t>
        </is>
      </c>
      <c r="F55" s="8" t="inlineStr">
        <is>
          <t>3,4</t>
        </is>
      </c>
    </row>
    <row r="56">
      <c r="A56" s="20" t="inlineStr">
        <is>
          <t>REQ-DSH-05</t>
        </is>
      </c>
      <c r="B56" s="20" t="inlineStr">
        <is>
          <t>Dashboard</t>
        </is>
      </c>
      <c r="C56" s="19" t="inlineStr">
        <is>
          <t>One filter set drives every tab: date horizon, project type, clinical phase, project, person, role and department, with a single action to clear them all. The display unit is a setting, not a filter - it changes how figures are written, not which are shown.</t>
        </is>
      </c>
      <c r="D56" s="20" t="inlineStr">
        <is>
          <t>Should</t>
        </is>
      </c>
      <c r="E56" s="20" t="inlineStr">
        <is>
          <t>Derived / O-03</t>
        </is>
      </c>
      <c r="F56" s="20" t="inlineStr">
        <is>
          <t>3,4</t>
        </is>
      </c>
    </row>
    <row r="57">
      <c r="A57" s="8" t="inlineStr">
        <is>
          <t>REQ-DSH-06</t>
        </is>
      </c>
      <c r="B57" s="8" t="inlineStr">
        <is>
          <t>Dashboard</t>
        </is>
      </c>
      <c r="C57" s="9" t="inlineStr">
        <is>
          <t>Any table on screen can be exported to Excel.</t>
        </is>
      </c>
      <c r="D57" s="8" t="inlineStr">
        <is>
          <t>Should</t>
        </is>
      </c>
      <c r="E57" s="8" t="inlineStr">
        <is>
          <t>Derived</t>
        </is>
      </c>
      <c r="F57" s="8" t="inlineStr">
        <is>
          <t>4</t>
        </is>
      </c>
    </row>
    <row r="58">
      <c r="A58" s="17" t="inlineStr">
        <is>
          <t>REQ-DSH-07</t>
        </is>
      </c>
      <c r="B58" s="17" t="inlineStr">
        <is>
          <t>Dashboard</t>
        </is>
      </c>
      <c r="C58" s="18" t="inlineStr">
        <is>
          <t>The horizon control offers 24 months by default and a one-click expansion to cover the latest project end date across all projects.</t>
        </is>
      </c>
      <c r="D58" s="17" t="inlineStr">
        <is>
          <t>Must</t>
        </is>
      </c>
      <c r="E58" s="17" t="inlineStr">
        <is>
          <t>Q-11</t>
        </is>
      </c>
      <c r="F58" s="17" t="inlineStr">
        <is>
          <t>3,4</t>
        </is>
      </c>
    </row>
    <row r="59">
      <c r="A59" s="17" t="inlineStr">
        <is>
          <t>REQ-DSH-08</t>
        </is>
      </c>
      <c r="B59" s="17" t="inlineStr">
        <is>
          <t>Dashboard</t>
        </is>
      </c>
      <c r="C59" s="18" t="inlineStr">
        <is>
          <t>Over-allocated and under-allocated person-months are distinguishable at a glance, and both are counted in the summary tiles.</t>
        </is>
      </c>
      <c r="D59" s="17" t="inlineStr">
        <is>
          <t>Must</t>
        </is>
      </c>
      <c r="E59" s="17" t="inlineStr">
        <is>
          <t>Q-08</t>
        </is>
      </c>
      <c r="F59" s="17" t="inlineStr">
        <is>
          <t>3,4</t>
        </is>
      </c>
    </row>
    <row r="60">
      <c r="A60" s="17" t="inlineStr">
        <is>
          <t>REQ-DSH-09</t>
        </is>
      </c>
      <c r="B60" s="17" t="inlineStr">
        <is>
          <t>Dashboard</t>
        </is>
      </c>
      <c r="C60" s="18" t="inlineStr">
        <is>
          <t>At the target volume a table taller than the viewport renders only the visible rows, and the per-person chart shows an aggregate or a ranked subset rather than one bar per person. A thousand bars is not a chart.</t>
        </is>
      </c>
      <c r="D60" s="17" t="inlineStr">
        <is>
          <t>Must</t>
        </is>
      </c>
      <c r="E60" s="17" t="inlineStr">
        <is>
          <t>S2-06</t>
        </is>
      </c>
      <c r="F60" s="17" t="inlineStr">
        <is>
          <t>3,4</t>
        </is>
      </c>
    </row>
    <row r="61">
      <c r="A61" s="20" t="inlineStr">
        <is>
          <t>REQ-DSH-10</t>
        </is>
      </c>
      <c r="B61" s="20" t="inlineStr">
        <is>
          <t>Dashboard</t>
        </is>
      </c>
      <c r="C61"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61" s="20" t="inlineStr">
        <is>
          <t>Must</t>
        </is>
      </c>
      <c r="E61" s="20" t="inlineStr">
        <is>
          <t>S2-04, R-11</t>
        </is>
      </c>
      <c r="F61" s="20" t="inlineStr">
        <is>
          <t>3,4</t>
        </is>
      </c>
    </row>
    <row r="62">
      <c r="A62" s="17" t="inlineStr">
        <is>
          <t>REQ-DSH-12</t>
        </is>
      </c>
      <c r="B62" s="17" t="inlineStr">
        <is>
          <t>Dashboard</t>
        </is>
      </c>
      <c r="C62"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62" s="17" t="inlineStr">
        <is>
          <t>Should</t>
        </is>
      </c>
      <c r="E62" s="17" t="inlineStr">
        <is>
          <t>Reviewer v0.7</t>
        </is>
      </c>
      <c r="F62" s="17" t="inlineStr">
        <is>
          <t>3,4</t>
        </is>
      </c>
    </row>
    <row r="63">
      <c r="A63" s="17" t="inlineStr">
        <is>
          <t>REQ-DSH-11</t>
        </is>
      </c>
      <c r="B63" s="17" t="inlineStr">
        <is>
          <t>Dashboard</t>
        </is>
      </c>
      <c r="C63" s="18" t="inlineStr">
        <is>
          <t>The standing assumptions the simulation multiplies by - standard period weights, role factors, configuration and value lists - are presented on their own tab, so a reader can see what every figure was derived from without opening the workbook.</t>
        </is>
      </c>
      <c r="D63" s="17" t="inlineStr">
        <is>
          <t>Must</t>
        </is>
      </c>
      <c r="E63" s="17" t="inlineStr">
        <is>
          <t>G-07</t>
        </is>
      </c>
      <c r="F63" s="17" t="inlineStr">
        <is>
          <t>3,4</t>
        </is>
      </c>
    </row>
    <row r="64">
      <c r="A64" s="20" t="inlineStr">
        <is>
          <t>REQ-IMP-01</t>
        </is>
      </c>
      <c r="B64" s="20" t="inlineStr">
        <is>
          <t>Import/Export</t>
        </is>
      </c>
      <c r="C64" s="19" t="inlineStr">
        <is>
          <t>The user loads the source workbook through a file picker or drag-and-drop, chosen because a local HTML page cannot open a file from disk unaided.</t>
        </is>
      </c>
      <c r="D64" s="20" t="inlineStr">
        <is>
          <t>Must</t>
        </is>
      </c>
      <c r="E64" s="20" t="inlineStr">
        <is>
          <t>Decision D-01</t>
        </is>
      </c>
      <c r="F64" s="20" t="inlineStr">
        <is>
          <t>4</t>
        </is>
      </c>
    </row>
    <row r="65">
      <c r="A65" s="8" t="inlineStr">
        <is>
          <t>REQ-IMP-02</t>
        </is>
      </c>
      <c r="B65" s="8" t="inlineStr">
        <is>
          <t>Import/Export</t>
        </is>
      </c>
      <c r="C65" s="9" t="inlineStr">
        <is>
          <t>Loading validates the workbook and reports every problem found - missing sheet, missing column, bad date, unknown project reference - without stopping at the first one.</t>
        </is>
      </c>
      <c r="D65" s="8" t="inlineStr">
        <is>
          <t>Must</t>
        </is>
      </c>
      <c r="E65" s="8" t="inlineStr">
        <is>
          <t>Derived</t>
        </is>
      </c>
      <c r="F65" s="8" t="inlineStr">
        <is>
          <t>4</t>
        </is>
      </c>
    </row>
    <row r="66">
      <c r="A66" s="20" t="inlineStr">
        <is>
          <t>REQ-IMP-03</t>
        </is>
      </c>
      <c r="B66" s="20" t="inlineStr">
        <is>
          <t>Import/Export</t>
        </is>
      </c>
      <c r="C66" s="19" t="inlineStr">
        <is>
          <t>A blank source workbook template with correct sheet names, headers, value lists and one example row is delivered with the application.</t>
        </is>
      </c>
      <c r="D66" s="20" t="inlineStr">
        <is>
          <t>Must</t>
        </is>
      </c>
      <c r="E66" s="20" t="inlineStr">
        <is>
          <t>Derived</t>
        </is>
      </c>
      <c r="F66" s="20" t="inlineStr">
        <is>
          <t>4</t>
        </is>
      </c>
    </row>
    <row r="67">
      <c r="A67" s="8" t="inlineStr">
        <is>
          <t>REQ-IMP-04</t>
        </is>
      </c>
      <c r="B67" s="8" t="inlineStr">
        <is>
          <t>Import/Export</t>
        </is>
      </c>
      <c r="C67" s="9" t="inlineStr">
        <is>
          <t>The user can export current data back to .xlsx, preserving the template layout so the export can be re-imported.</t>
        </is>
      </c>
      <c r="D67" s="8" t="inlineStr">
        <is>
          <t>Must</t>
        </is>
      </c>
      <c r="E67" s="8" t="inlineStr">
        <is>
          <t>Derived</t>
        </is>
      </c>
      <c r="F67" s="8" t="inlineStr">
        <is>
          <t>4</t>
        </is>
      </c>
    </row>
    <row r="68">
      <c r="A68" s="20" t="inlineStr">
        <is>
          <t>REQ-IMP-05</t>
        </is>
      </c>
      <c r="B68" s="20" t="inlineStr">
        <is>
          <t>Import/Export</t>
        </is>
      </c>
      <c r="C68" s="19" t="inlineStr">
        <is>
          <t>The application records which file was loaded and when, and shows it on screen with its time zone - a bare timestamp is ambiguous to anyone reading it from another country.</t>
        </is>
      </c>
      <c r="D68" s="20" t="inlineStr">
        <is>
          <t>Should</t>
        </is>
      </c>
      <c r="E68" s="20" t="inlineStr">
        <is>
          <t>Derived / G-02</t>
        </is>
      </c>
      <c r="F68" s="20" t="inlineStr">
        <is>
          <t>4</t>
        </is>
      </c>
    </row>
    <row r="69">
      <c r="A69" s="8" t="inlineStr">
        <is>
          <t>REQ-IMP-06</t>
        </is>
      </c>
      <c r="B69" s="8" t="inlineStr">
        <is>
          <t>Import/Export</t>
        </is>
      </c>
      <c r="C69" s="9" t="inlineStr">
        <is>
          <t>Loaded data may be cached in the browser so re-opening the page does not force a re-import; the cache never replaces the workbook as the record.</t>
        </is>
      </c>
      <c r="D69" s="8" t="inlineStr">
        <is>
          <t>Could</t>
        </is>
      </c>
      <c r="E69" s="8" t="inlineStr">
        <is>
          <t>Derived</t>
        </is>
      </c>
      <c r="F69" s="8" t="inlineStr">
        <is>
          <t>4</t>
        </is>
      </c>
    </row>
    <row r="70">
      <c r="A70" s="17" t="inlineStr">
        <is>
          <t>REQ-IMP-07</t>
        </is>
      </c>
      <c r="B70" s="17" t="inlineStr">
        <is>
          <t>Import/Export</t>
        </is>
      </c>
      <c r="C70" s="18" t="inlineStr">
        <is>
          <t>After import, the application lets the user update the data on screen, and those updates are carried into the file produced on export.</t>
        </is>
      </c>
      <c r="D70" s="17" t="inlineStr">
        <is>
          <t>Must</t>
        </is>
      </c>
      <c r="E70" s="17" t="inlineStr">
        <is>
          <t>Reviewer v0.11</t>
        </is>
      </c>
      <c r="F70" s="17" t="inlineStr">
        <is>
          <t>4</t>
        </is>
      </c>
    </row>
    <row r="71">
      <c r="A71" s="17" t="inlineStr">
        <is>
          <t>REQ-IMP-08</t>
        </is>
      </c>
      <c r="B71" s="17" t="inlineStr">
        <is>
          <t>Import/Export</t>
        </is>
      </c>
      <c r="C71" s="18" t="inlineStr">
        <is>
          <t>Unsaved edits are visible as such, and the user is warned before any action that would discard them (closing the page, loading another file).</t>
        </is>
      </c>
      <c r="D71" s="17" t="inlineStr">
        <is>
          <t>Must</t>
        </is>
      </c>
      <c r="E71" s="17" t="inlineStr">
        <is>
          <t>Derived from REQ-IMP-07</t>
        </is>
      </c>
      <c r="F71" s="17" t="inlineStr">
        <is>
          <t>4</t>
        </is>
      </c>
    </row>
    <row r="72">
      <c r="A72" s="20" t="inlineStr">
        <is>
          <t>REQ-IMP-09</t>
        </is>
      </c>
      <c r="B72" s="20" t="inlineStr">
        <is>
          <t>Import/Export</t>
        </is>
      </c>
      <c r="C72" s="19" t="inlineStr">
        <is>
          <t>Every field is editable, including identifiers. An on-screen edit is re-validated against the same rules as an imported value, so editing cannot introduce data the import would have rejected.</t>
        </is>
      </c>
      <c r="D72" s="20" t="inlineStr">
        <is>
          <t>Must</t>
        </is>
      </c>
      <c r="E72" s="20" t="inlineStr">
        <is>
          <t>Q-20</t>
        </is>
      </c>
      <c r="F72" s="20" t="inlineStr">
        <is>
          <t>4</t>
        </is>
      </c>
    </row>
    <row r="73">
      <c r="A73" s="17" t="inlineStr">
        <is>
          <t>REQ-IMP-10</t>
        </is>
      </c>
      <c r="B73" s="17" t="inlineStr">
        <is>
          <t>Import/Export</t>
        </is>
      </c>
      <c r="C73" s="18" t="inlineStr">
        <is>
          <t>Editing an identifier that other sheets reference cascades to every referencing row, after showing how many rows will change. Deleting a referenced row is refused, naming what still points at it.</t>
        </is>
      </c>
      <c r="D73" s="17" t="inlineStr">
        <is>
          <t>Must</t>
        </is>
      </c>
      <c r="E73" s="17" t="inlineStr">
        <is>
          <t>Q-20</t>
        </is>
      </c>
      <c r="F73" s="17" t="inlineStr">
        <is>
          <t>4</t>
        </is>
      </c>
    </row>
    <row r="74">
      <c r="A74" s="17" t="inlineStr">
        <is>
          <t>REQ-IMP-14</t>
        </is>
      </c>
      <c r="B74" s="17" t="inlineStr">
        <is>
          <t>Import/Export</t>
        </is>
      </c>
      <c r="C74" s="18" t="inlineStr">
        <is>
          <t>An import that changes any Config setting says so. The settings in force are captured before the model is replaced and compared by name afterwards; every setting whose value differs, or that the incoming file adds or does not carry, is named on the load banner and listed on a screen of its own with what it was, what it is now, and what it affects - a calculation rule, an allocation threshold, or display only. The settings are APPLIED either way: importing a workbook means taking its settings, which is what makes a plan reproducible from the file alone. This is a check, not a gate. A first load has nothing to compare against and reports nothing.</t>
        </is>
      </c>
      <c r="D74" s="17" t="inlineStr">
        <is>
          <t>Must</t>
        </is>
      </c>
      <c r="E74" s="17" t="inlineStr">
        <is>
          <t>R-28</t>
        </is>
      </c>
      <c r="F74" s="17" t="inlineStr">
        <is>
          <t>4</t>
        </is>
      </c>
    </row>
    <row r="75">
      <c r="A75" s="17" t="inlineStr">
        <is>
          <t>REQ-OUT-06</t>
        </is>
      </c>
      <c r="B75" s="17" t="inlineStr">
        <is>
          <t>Output</t>
        </is>
      </c>
      <c r="C75" s="18" t="inlineStr">
        <is>
          <t>The application exports the CALCULATED MONTHLY FTE as well as the source plan, and the export control offers the choice with each option described. The results workbook is derived throughout and cannot be imported, which its first sheet states. It carries: the Overall tab's summary figures; one row per project per month and one per person per month; a DETAIL sheet of one row per assignment per month carrying every term of the multiplication that produced it, so any figure can be checked without the application; the allocation flags; and the settings in force, marked for whether each changed a figure or only its display. Every monthly figure is exactly the sum of its detail rows and every total is exactly the sum of those. The file covers the horizon and filters that were on screen, and names them.</t>
        </is>
      </c>
      <c r="D75" s="17" t="inlineStr">
        <is>
          <t>Must</t>
        </is>
      </c>
      <c r="E75" s="17" t="inlineStr">
        <is>
          <t>R-29</t>
        </is>
      </c>
      <c r="F75" s="17" t="inlineStr">
        <is>
          <t>4</t>
        </is>
      </c>
    </row>
    <row r="76">
      <c r="A76" s="17" t="inlineStr">
        <is>
          <t>REQ-IMP-12</t>
        </is>
      </c>
      <c r="B76" s="17" t="inlineStr">
        <is>
          <t>Import/Export</t>
        </is>
      </c>
      <c r="C76" s="18" t="inlineStr">
        <is>
          <t>A column that holds a DATE offers a calendar panel beside the cell being edited, and the cell stays fully typeable while it is open: the caret does not move, every key still reaches the cell, and what is typed steers the panel to that month. Picking a day commits it through the ordinary edit path, so it is validated exactly like a typed one. Deliberately not the browser's own date control, which would give one editing model for text cells and another for dates - a different keyboard contract, a browser-dependent display format, and no way to leave a date deliberately blank the way every other cell does.</t>
        </is>
      </c>
      <c r="D76" s="17" t="inlineStr">
        <is>
          <t>Should</t>
        </is>
      </c>
      <c r="E76" s="17" t="inlineStr">
        <is>
          <t>R-21</t>
        </is>
      </c>
      <c r="F76" s="17" t="inlineStr">
        <is>
          <t>4</t>
        </is>
      </c>
    </row>
    <row r="77">
      <c r="A77" s="17" t="inlineStr">
        <is>
          <t>REQ-IMP-13</t>
        </is>
      </c>
      <c r="B77" s="17" t="inlineStr">
        <is>
          <t>Import/Export</t>
        </is>
      </c>
      <c r="C77" s="18" t="inlineStr">
        <is>
          <t>Every validation rule carries a CLASS saying what the application may do about it, separately from its severity. MUST: something is wrong with the row itself and it is refused, on the cell edit and at Save. CONDITIONAL: the row is sound but something it depends on is missing, so the figures that need it are short an assumption - never refused, and at Save the application names every one that this batch of edits leaves unresolved and asks the user to confirm before keeping them. INCOMPLETE: the row is still being built and the finding will answer itself - reported, never questioned. The class is shown beside the severity wherever findings are listed.</t>
        </is>
      </c>
      <c r="D77" s="17" t="inlineStr">
        <is>
          <t>Must</t>
        </is>
      </c>
      <c r="E77" s="17" t="inlineStr">
        <is>
          <t>R-25</t>
        </is>
      </c>
      <c r="F77" s="17" t="inlineStr">
        <is>
          <t>4</t>
        </is>
      </c>
    </row>
    <row r="78">
      <c r="A78" s="17" t="inlineStr">
        <is>
          <t>REQ-IMP-11</t>
        </is>
      </c>
      <c r="B78" s="17" t="inlineStr">
        <is>
          <t>Import/Export</t>
        </is>
      </c>
      <c r="C78" s="18" t="inlineStr">
        <is>
          <t>A new row can be inserted into any editable table, positioned immediately below the row the user acts on rather than appended at the end, and validated on entry like any other edit.</t>
        </is>
      </c>
      <c r="D78" s="17" t="inlineStr">
        <is>
          <t>Must</t>
        </is>
      </c>
      <c r="E78" s="17" t="inlineStr">
        <is>
          <t>P-01, S-01</t>
        </is>
      </c>
      <c r="F78" s="17" t="inlineStr">
        <is>
          <t>4</t>
        </is>
      </c>
    </row>
    <row r="79">
      <c r="A79" s="8" t="inlineStr">
        <is>
          <t>REQ-VC-01</t>
        </is>
      </c>
      <c r="B79" s="8" t="inlineStr">
        <is>
          <t>Version control</t>
        </is>
      </c>
      <c r="C79" s="9" t="inlineStr">
        <is>
          <t>Development plan, programming specification and output files are version-controlled together and their versions are cross-referenced.</t>
        </is>
      </c>
      <c r="D79" s="8" t="inlineStr">
        <is>
          <t>Must</t>
        </is>
      </c>
      <c r="E79" s="8" t="inlineStr">
        <is>
          <t>Requester</t>
        </is>
      </c>
      <c r="F79" s="8" t="inlineStr">
        <is>
          <t>1-5</t>
        </is>
      </c>
    </row>
    <row r="80">
      <c r="A80" s="10" t="inlineStr">
        <is>
          <t>REQ-VC-02</t>
        </is>
      </c>
      <c r="B80" s="10" t="inlineStr">
        <is>
          <t>Version control</t>
        </is>
      </c>
      <c r="C80" s="11" t="inlineStr">
        <is>
          <t>The application displays its own version, and the version of the source data schema it expects.</t>
        </is>
      </c>
      <c r="D80" s="10" t="inlineStr">
        <is>
          <t>Must</t>
        </is>
      </c>
      <c r="E80" s="10" t="inlineStr">
        <is>
          <t>Requester</t>
        </is>
      </c>
      <c r="F80" s="10" t="inlineStr">
        <is>
          <t>4</t>
        </is>
      </c>
    </row>
    <row r="81">
      <c r="A81" s="8" t="inlineStr">
        <is>
          <t>REQ-VC-03</t>
        </is>
      </c>
      <c r="B81" s="8" t="inlineStr">
        <is>
          <t>Version control</t>
        </is>
      </c>
      <c r="C81" s="9" t="inlineStr">
        <is>
          <t>Loading a source file whose schema version is newer or older than the application expects produces a clear warning.</t>
        </is>
      </c>
      <c r="D81" s="8" t="inlineStr">
        <is>
          <t>Should</t>
        </is>
      </c>
      <c r="E81" s="8" t="inlineStr">
        <is>
          <t>Derived</t>
        </is>
      </c>
      <c r="F81" s="8" t="inlineStr">
        <is>
          <t>4</t>
        </is>
      </c>
    </row>
    <row r="82">
      <c r="A82" s="10" t="inlineStr">
        <is>
          <t>REQ-VC-04</t>
        </is>
      </c>
      <c r="B82" s="10" t="inlineStr">
        <is>
          <t>Version control</t>
        </is>
      </c>
      <c r="C82" s="11" t="inlineStr">
        <is>
          <t>Every document re-issue adds a version-history row stating what changed and why.</t>
        </is>
      </c>
      <c r="D82" s="10" t="inlineStr">
        <is>
          <t>Must</t>
        </is>
      </c>
      <c r="E82" s="10" t="inlineStr">
        <is>
          <t>Requester</t>
        </is>
      </c>
      <c r="F82" s="10" t="inlineStr">
        <is>
          <t>1-5</t>
        </is>
      </c>
    </row>
    <row r="83">
      <c r="A83" s="8" t="inlineStr">
        <is>
          <t>REQ-NFR-01</t>
        </is>
      </c>
      <c r="B83" s="8" t="inlineStr">
        <is>
          <t>Non-functional</t>
        </is>
      </c>
      <c r="C83" s="9" t="inlineStr">
        <is>
          <t>The application is built so later requirements can be added without restructuring: parsing, calculation and presentation are separated.</t>
        </is>
      </c>
      <c r="D83" s="8" t="inlineStr">
        <is>
          <t>Must</t>
        </is>
      </c>
      <c r="E83" s="8" t="inlineStr">
        <is>
          <t>Requester</t>
        </is>
      </c>
      <c r="F83" s="8" t="inlineStr">
        <is>
          <t>4</t>
        </is>
      </c>
    </row>
    <row r="84">
      <c r="A84" s="10" t="inlineStr">
        <is>
          <t>REQ-NFR-02</t>
        </is>
      </c>
      <c r="B84" s="10" t="inlineStr">
        <is>
          <t>Non-functional</t>
        </is>
      </c>
      <c r="C84" s="11" t="inlineStr">
        <is>
          <t>Works in Microsoft Edge and Google Chrome on Windows 10/11, offline.</t>
        </is>
      </c>
      <c r="D84" s="10" t="inlineStr">
        <is>
          <t>Must</t>
        </is>
      </c>
      <c r="E84" s="10" t="inlineStr">
        <is>
          <t>Q-05</t>
        </is>
      </c>
      <c r="F84" s="10" t="inlineStr">
        <is>
          <t>4</t>
        </is>
      </c>
    </row>
    <row r="85">
      <c r="A85" s="20" t="inlineStr">
        <is>
          <t>REQ-NFR-03</t>
        </is>
      </c>
      <c r="B85" s="20" t="inlineStr">
        <is>
          <t>Non-functional</t>
        </is>
      </c>
      <c r="C85" s="19" t="inlineStr">
        <is>
          <t>Handles 100 projects and 1,000 people, with the assignments that implies (order 8,000) over a 60-month horizon. Tables of that height are virtualised and the per-person chart aggregates rather than drawing a bar each - see REQ-DSH-09.</t>
        </is>
      </c>
      <c r="D85" s="20" t="inlineStr">
        <is>
          <t>Must</t>
        </is>
      </c>
      <c r="E85" s="20" t="inlineStr">
        <is>
          <t>S2-06</t>
        </is>
      </c>
      <c r="F85" s="20" t="inlineStr">
        <is>
          <t>4</t>
        </is>
      </c>
    </row>
    <row r="86">
      <c r="A86" s="10" t="inlineStr">
        <is>
          <t>REQ-NFR-04</t>
        </is>
      </c>
      <c r="B86" s="10" t="inlineStr">
        <is>
          <t>Non-functional</t>
        </is>
      </c>
      <c r="C86" s="11" t="inlineStr">
        <is>
          <t>No data leaves the PC: no network calls, no external CDN, no telemetry.</t>
        </is>
      </c>
      <c r="D86" s="10" t="inlineStr">
        <is>
          <t>Must</t>
        </is>
      </c>
      <c r="E86" s="10" t="inlineStr">
        <is>
          <t>Derived</t>
        </is>
      </c>
      <c r="F86" s="10" t="inlineStr">
        <is>
          <t>4</t>
        </is>
      </c>
    </row>
    <row r="87">
      <c r="A87" s="8" t="inlineStr">
        <is>
          <t>REQ-NFR-05</t>
        </is>
      </c>
      <c r="B87" s="8" t="inlineStr">
        <is>
          <t>Non-functional</t>
        </is>
      </c>
      <c r="C87" s="9" t="inlineStr">
        <is>
          <t>Dates are handled unambiguously (ISO yyyy-mm-dd internally) regardless of Windows regional settings.</t>
        </is>
      </c>
      <c r="D87" s="8" t="inlineStr">
        <is>
          <t>Must</t>
        </is>
      </c>
      <c r="E87" s="8" t="inlineStr">
        <is>
          <t>Derived</t>
        </is>
      </c>
      <c r="F87" s="8" t="inlineStr">
        <is>
          <t>4</t>
        </is>
      </c>
    </row>
    <row r="89">
      <c r="A89" s="5" t="inlineStr">
        <is>
          <t>Requirement count by priority</t>
        </is>
      </c>
    </row>
    <row r="90" ht="28" customHeight="1">
      <c r="A90" s="7" t="inlineStr">
        <is>
          <t>Priority</t>
        </is>
      </c>
      <c r="B90" s="7" t="inlineStr">
        <is>
          <t>Count</t>
        </is>
      </c>
    </row>
    <row r="91">
      <c r="A91" s="8" t="inlineStr">
        <is>
          <t>Must</t>
        </is>
      </c>
      <c r="B91" s="8">
        <f>COUNTIF(D5:D87,"Must")</f>
        <v/>
      </c>
    </row>
    <row r="92">
      <c r="A92" s="10" t="inlineStr">
        <is>
          <t>Should</t>
        </is>
      </c>
      <c r="B92" s="10">
        <f>COUNTIF(D5:D87,"Should")</f>
        <v/>
      </c>
    </row>
    <row r="93">
      <c r="A93" s="8" t="inlineStr">
        <is>
          <t>Could</t>
        </is>
      </c>
      <c r="B93" s="8">
        <f>COUNTIF(D5:D87,"Could")</f>
        <v/>
      </c>
    </row>
    <row r="94">
      <c r="A94" s="10" t="inlineStr">
        <is>
          <t>Total</t>
        </is>
      </c>
      <c r="B94" s="10">
        <f>COUNTA(A5:A87)</f>
        <v/>
      </c>
    </row>
    <row r="96">
      <c r="A96" s="16" t="inlineStr">
        <is>
          <t>47 requirements at v0.1, 58 at v0.2, 61 at v0.3, 63 at v0.4 and v1.0. v1.1 adds 2 and rewords 3, as a change against the approved baseline.</t>
        </is>
      </c>
    </row>
    <row r="97">
      <c r="A97" s="16" t="inlineStr">
        <is>
          <t>'Source' = Requester (in the original request), a Q-number (answered at v0.11 review), 'Reviewer v0.11' (added by the reviewer directly), Derived (engineering consequence), or a Decision ID from 07_Architecture.</t>
        </is>
      </c>
    </row>
    <row r="98">
      <c r="A98" s="3" t="inlineStr">
        <is>
          <t>Legend</t>
        </is>
      </c>
    </row>
    <row r="99">
      <c r="A99" s="12" t="inlineStr">
        <is>
          <t>Green = new in v0.2, added from your review answers.</t>
        </is>
      </c>
    </row>
    <row r="100">
      <c r="A100" s="13" t="inlineStr">
        <is>
          <t>Orange = changed in v0.2 as a consequence of your review.</t>
        </is>
      </c>
    </row>
    <row r="101">
      <c r="A101" s="14" t="inlineStr">
        <is>
          <t>Yellow = still needs your input.</t>
        </is>
      </c>
    </row>
  </sheetData>
  <dataValidations count="1">
    <dataValidation sqref="D5:D87"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5"/>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20" t="inlineStr">
        <is>
          <t>PeriodFTEStandard</t>
        </is>
      </c>
      <c r="B9" s="19" t="inlineStr">
        <is>
          <t>THE STANDARD MONTHLY FTE per project type, phase, work scope and period - where every figure gets its size (REQ-CAL-19).</t>
        </is>
      </c>
      <c r="C9" s="20"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MonthlyEstimate</t>
        </is>
      </c>
      <c r="B14" s="18" t="inlineStr">
        <is>
          <t>Monthly FTE stated by hand instead of calculated, for a project or for one assignment (REQ-CAL-18).</t>
        </is>
      </c>
      <c r="C14" s="17" t="inlineStr">
        <is>
          <t>Child of Project or Assignment</t>
        </is>
      </c>
    </row>
    <row r="15">
      <c r="A15" s="17" t="inlineStr">
        <is>
          <t>Lists</t>
        </is>
      </c>
      <c r="B15" s="18" t="inlineStr">
        <is>
          <t>Value lists for every data-driven dropdown, so lists change without code.</t>
        </is>
      </c>
      <c r="C15" s="17" t="inlineStr">
        <is>
          <t>Reference</t>
        </is>
      </c>
    </row>
    <row r="16">
      <c r="A16" s="8" t="inlineStr">
        <is>
          <t>Config</t>
        </is>
      </c>
      <c r="B16" s="9" t="inlineStr">
        <is>
          <t>Parameters: schema version, thresholds, horizon, FTE hours.</t>
        </is>
      </c>
      <c r="C16" s="8" t="inlineStr">
        <is>
          <t>Reference</t>
        </is>
      </c>
    </row>
    <row r="18">
      <c r="A18" s="5" t="inlineStr">
        <is>
          <t>Sheet: Project</t>
        </is>
      </c>
    </row>
    <row r="19" ht="28" customHeight="1">
      <c r="A19" s="7" t="inlineStr">
        <is>
          <t>Column</t>
        </is>
      </c>
      <c r="B19" s="7" t="inlineStr">
        <is>
          <t>Type</t>
        </is>
      </c>
      <c r="C19" s="7" t="inlineStr">
        <is>
          <t>Required</t>
        </is>
      </c>
      <c r="D19" s="7" t="inlineStr">
        <is>
          <t>Definition / rule</t>
        </is>
      </c>
      <c r="E19" s="7" t="inlineStr">
        <is>
          <t>REQ-ID</t>
        </is>
      </c>
    </row>
    <row r="20">
      <c r="A20" s="8" t="inlineStr">
        <is>
          <t>project_id</t>
        </is>
      </c>
      <c r="B20" s="8" t="inlineStr">
        <is>
          <t>Text</t>
        </is>
      </c>
      <c r="C20" s="8" t="inlineStr">
        <is>
          <t>Yes</t>
        </is>
      </c>
      <c r="D20" s="9" t="inlineStr">
        <is>
          <t>Unique key, e.g. PRJ-001. Referenced by every other sheet.</t>
        </is>
      </c>
      <c r="E20" s="8" t="inlineStr">
        <is>
          <t>REQ-PRJ-03</t>
        </is>
      </c>
    </row>
    <row r="21">
      <c r="A21" s="10" t="inlineStr">
        <is>
          <t>project_name</t>
        </is>
      </c>
      <c r="B21" s="10" t="inlineStr">
        <is>
          <t>Text</t>
        </is>
      </c>
      <c r="C21" s="10" t="inlineStr">
        <is>
          <t>Yes</t>
        </is>
      </c>
      <c r="D21" s="11" t="inlineStr">
        <is>
          <t>Unique display name.</t>
        </is>
      </c>
      <c r="E21" s="10" t="inlineStr">
        <is>
          <t>REQ-PRJ-03</t>
        </is>
      </c>
    </row>
    <row r="22">
      <c r="A22" s="20" t="inlineStr">
        <is>
          <t>project_type</t>
        </is>
      </c>
      <c r="B22" s="20" t="inlineStr">
        <is>
          <t>List</t>
        </is>
      </c>
      <c r="C22" s="20" t="inlineStr">
        <is>
          <t>Yes</t>
        </is>
      </c>
      <c r="D22" s="19" t="inlineStr">
        <is>
          <t>'NewDrug CT', 'Biosimilar CT (Healthy)', 'Biosimilar CT (Patient)' or 'Others'. Everything but 'Others' is a clinical trial. SCHEMA 6 split the single 'Biosimilar CT' in two: a healthy-volunteer study and a patient study are not the same workload, and one value could not say which. A project type is recognised as a trial by the START of its name, so a further subdivision is a change to the value list rather than to the code.</t>
        </is>
      </c>
      <c r="E22" s="20" t="inlineStr">
        <is>
          <t>REQ-PRJ-01, R-12</t>
        </is>
      </c>
    </row>
    <row r="23">
      <c r="A23" s="10" t="inlineStr">
        <is>
          <t>project_category</t>
        </is>
      </c>
      <c r="B23" s="10" t="inlineStr">
        <is>
          <t>Text</t>
        </is>
      </c>
      <c r="C23" s="10" t="inlineStr">
        <is>
          <t>Conditional</t>
        </is>
      </c>
      <c r="D23" s="11" t="inlineStr">
        <is>
          <t>Product name. Required for either clinical trial type.</t>
        </is>
      </c>
      <c r="E23" s="10" t="inlineStr">
        <is>
          <t>REQ-PRJ-02</t>
        </is>
      </c>
    </row>
    <row r="24">
      <c r="A24" s="17" t="inlineStr">
        <is>
          <t>clinical_phase</t>
        </is>
      </c>
      <c r="B24" s="17" t="inlineStr">
        <is>
          <t>List</t>
        </is>
      </c>
      <c r="C24" s="17" t="inlineStr">
        <is>
          <t>Conditional</t>
        </is>
      </c>
      <c r="D24" s="18" t="inlineStr">
        <is>
          <t>'Phase 1' / 'Phase 2' / 'Phase 3' / 'Phase 4'. Required for either clinical trial type.</t>
        </is>
      </c>
      <c r="E24" s="17" t="inlineStr">
        <is>
          <t>REQ-PRJ-09</t>
        </is>
      </c>
    </row>
    <row r="25">
      <c r="A25" s="20" t="inlineStr">
        <is>
          <t>work_scope_type</t>
        </is>
      </c>
      <c r="B25" s="20" t="inlineStr">
        <is>
          <t>List</t>
        </is>
      </c>
      <c r="C25" s="20" t="inlineStr">
        <is>
          <t>Yes</t>
        </is>
      </c>
      <c r="D25" s="19" t="inlineStr">
        <is>
          <t>How much of the work is done in-house: 'fully in-housed' / 'fully outsourced' / 'Partially outsourced (in-house for EDC)', extensible on the Lists sheet. SCHEMA 6. Part of the key into PeriodFTEStandard and RoleFactor - a trial run entirely in-house costs this team more than the same trial handed to a CRO, and the weights are where that belongs. Since schema 7 it is the ONLY scope field the calculation reads, and the one the dashboard's scope filter offers.</t>
        </is>
      </c>
      <c r="E25" s="20" t="inlineStr">
        <is>
          <t>R-12, R-16</t>
        </is>
      </c>
    </row>
    <row r="26">
      <c r="A26" s="20" t="inlineStr">
        <is>
          <t>outsourcing_scope_det</t>
        </is>
      </c>
      <c r="B26" s="20" t="inlineStr">
        <is>
          <t>Text</t>
        </is>
      </c>
      <c r="C26" s="20" t="inlineStr">
        <is>
          <t>No</t>
        </is>
      </c>
      <c r="D26" s="19" t="inlineStr">
        <is>
          <t>FREE TEXT: what is outsourced and to whom, in your own words - the detail a category cannot carry. Read by people, never by the calculation. SCHEMA 7 renamed it from outsourcing_type and changed it from a value list to free text: with work_scope_type driving the weights, a second controlled vocabulary on the same axis was a field to keep in step for no benefit, and V-25 existed only to police the two against each other. A workbook still carrying outsourcing_type is read - the values move across and the application says so once.</t>
        </is>
      </c>
      <c r="E26" s="20" t="inlineStr">
        <is>
          <t>REQ-PRJ-04, R-16</t>
        </is>
      </c>
    </row>
    <row r="27">
      <c r="A27" s="17" t="inlineStr">
        <is>
          <t>EDC_setup</t>
        </is>
      </c>
      <c r="B27" s="17" t="inlineStr">
        <is>
          <t>List</t>
        </is>
      </c>
      <c r="C27" s="17" t="inlineStr">
        <is>
          <t>Conditional</t>
        </is>
      </c>
      <c r="D27" s="18" t="inlineStr">
        <is>
          <t>Who sets up the EDC system. 'by CRO' / 'by SB'. Required for either clinical trial type.</t>
        </is>
      </c>
      <c r="E27" s="17" t="inlineStr">
        <is>
          <t>REQ-PRJ-10</t>
        </is>
      </c>
    </row>
    <row r="28">
      <c r="A28" s="17" t="inlineStr">
        <is>
          <t>DataReviewSystem_setup</t>
        </is>
      </c>
      <c r="B28" s="17" t="inlineStr">
        <is>
          <t>List</t>
        </is>
      </c>
      <c r="C28" s="17" t="inlineStr">
        <is>
          <t>Conditional</t>
        </is>
      </c>
      <c r="D28" s="18" t="inlineStr">
        <is>
          <t>Who sets up the data review system. 'by CRO' / 'by SB'.</t>
        </is>
      </c>
      <c r="E28" s="17" t="inlineStr">
        <is>
          <t>REQ-PRJ-10</t>
        </is>
      </c>
    </row>
    <row r="29">
      <c r="A29" s="17" t="inlineStr">
        <is>
          <t>RBQM_setup</t>
        </is>
      </c>
      <c r="B29" s="17" t="inlineStr">
        <is>
          <t>List</t>
        </is>
      </c>
      <c r="C29" s="17" t="inlineStr">
        <is>
          <t>Conditional</t>
        </is>
      </c>
      <c r="D29" s="18" t="inlineStr">
        <is>
          <t>Who sets up the RBQM system. 'by CRO' / 'by SB'.</t>
        </is>
      </c>
      <c r="E29" s="17" t="inlineStr">
        <is>
          <t>REQ-PRJ-10</t>
        </is>
      </c>
    </row>
    <row r="30">
      <c r="A30" s="17" t="inlineStr">
        <is>
          <t>DM_conduct</t>
        </is>
      </c>
      <c r="B30" s="17" t="inlineStr">
        <is>
          <t>List</t>
        </is>
      </c>
      <c r="C30" s="17" t="inlineStr">
        <is>
          <t>Conditional</t>
        </is>
      </c>
      <c r="D30" s="18" t="inlineStr">
        <is>
          <t>Who reviews the clinical trial data. 'by CRO' / 'by SB'.</t>
        </is>
      </c>
      <c r="E30" s="17" t="inlineStr">
        <is>
          <t>REQ-PRJ-10</t>
        </is>
      </c>
    </row>
    <row r="31">
      <c r="A31" s="17" t="inlineStr">
        <is>
          <t>EDC_system</t>
        </is>
      </c>
      <c r="B31" s="17" t="inlineStr">
        <is>
          <t>List</t>
        </is>
      </c>
      <c r="C31" s="17" t="inlineStr">
        <is>
          <t>Conditional</t>
        </is>
      </c>
      <c r="D31" s="18" t="inlineStr">
        <is>
          <t>EDC system name, e.g. 'Veeva EDC' / 'Rave' / 'eSOURCE'. Data-driven list.</t>
        </is>
      </c>
      <c r="E31" s="17" t="inlineStr">
        <is>
          <t>REQ-PRJ-11</t>
        </is>
      </c>
    </row>
    <row r="32">
      <c r="A32" s="17" t="inlineStr">
        <is>
          <t>DataReviewSystem</t>
        </is>
      </c>
      <c r="B32" s="17" t="inlineStr">
        <is>
          <t>List</t>
        </is>
      </c>
      <c r="C32" s="17" t="inlineStr">
        <is>
          <t>Conditional</t>
        </is>
      </c>
      <c r="D32" s="18" t="inlineStr">
        <is>
          <t>e.g. 'Veeva DQS' / 'Medidata CDS' / 'No system (manual)'. Data-driven list.</t>
        </is>
      </c>
      <c r="E32" s="17" t="inlineStr">
        <is>
          <t>REQ-PRJ-11</t>
        </is>
      </c>
    </row>
    <row r="33">
      <c r="A33" s="17" t="inlineStr">
        <is>
          <t>RBQM_system</t>
        </is>
      </c>
      <c r="B33" s="17" t="inlineStr">
        <is>
          <t>List</t>
        </is>
      </c>
      <c r="C33" s="17" t="inlineStr">
        <is>
          <t>Conditional</t>
        </is>
      </c>
      <c r="D33" s="18" t="inlineStr">
        <is>
          <t>e.g. 'CluePoints' / 'Medidata CDS' / 'No system (manual)'. Data-driven list.</t>
        </is>
      </c>
      <c r="E33" s="17" t="inlineStr">
        <is>
          <t>REQ-PRJ-11</t>
        </is>
      </c>
    </row>
    <row r="34">
      <c r="A34" s="8" t="inlineStr">
        <is>
          <t>planned_member_count</t>
        </is>
      </c>
      <c r="B34" s="8" t="inlineStr">
        <is>
          <t>Integer</t>
        </is>
      </c>
      <c r="C34" s="8" t="inlineStr">
        <is>
          <t>No</t>
        </is>
      </c>
      <c r="D34" s="9" t="inlineStr">
        <is>
          <t>Planned number of project members; compared against actual assignments.</t>
        </is>
      </c>
      <c r="E34" s="8" t="inlineStr">
        <is>
          <t>REQ-PRJ-04</t>
        </is>
      </c>
    </row>
    <row r="35">
      <c r="A35" s="10" t="inlineStr">
        <is>
          <t>start_date</t>
        </is>
      </c>
      <c r="B35" s="10" t="inlineStr">
        <is>
          <t>Date</t>
        </is>
      </c>
      <c r="C35" s="10" t="inlineStr">
        <is>
          <t>Yes</t>
        </is>
      </c>
      <c r="D35" s="11" t="inlineStr">
        <is>
          <t>Project start.</t>
        </is>
      </c>
      <c r="E35" s="10" t="inlineStr">
        <is>
          <t>REQ-PRJ-05</t>
        </is>
      </c>
    </row>
    <row r="36">
      <c r="A36" s="8" t="inlineStr">
        <is>
          <t>end_date</t>
        </is>
      </c>
      <c r="B36" s="8" t="inlineStr">
        <is>
          <t>Date</t>
        </is>
      </c>
      <c r="C36" s="8" t="inlineStr">
        <is>
          <t>Yes</t>
        </is>
      </c>
      <c r="D36" s="9" t="inlineStr">
        <is>
          <t>Planned project end.</t>
        </is>
      </c>
      <c r="E36" s="8" t="inlineStr">
        <is>
          <t>REQ-PRJ-05</t>
        </is>
      </c>
    </row>
    <row r="37">
      <c r="A37" s="10" t="inlineStr">
        <is>
          <t>total_period_months</t>
        </is>
      </c>
      <c r="B37" s="10" t="inlineStr">
        <is>
          <t>Derived</t>
        </is>
      </c>
      <c r="C37" s="10" t="inlineStr">
        <is>
          <t>-</t>
        </is>
      </c>
      <c r="D37" s="11" t="inlineStr">
        <is>
          <t>Calculated from start_date and end_date; not entered by hand.</t>
        </is>
      </c>
      <c r="E37" s="10" t="inlineStr">
        <is>
          <t>REQ-PRJ-08</t>
        </is>
      </c>
    </row>
    <row r="38">
      <c r="A38" s="8" t="inlineStr">
        <is>
          <t>status</t>
        </is>
      </c>
      <c r="B38" s="8" t="inlineStr">
        <is>
          <t>List</t>
        </is>
      </c>
      <c r="C38" s="8" t="inlineStr">
        <is>
          <t>No</t>
        </is>
      </c>
      <c r="D38" s="9" t="inlineStr">
        <is>
          <t>Planned / Active / On hold / Completed. Drives default dashboard filtering.</t>
        </is>
      </c>
      <c r="E38" s="8" t="inlineStr">
        <is>
          <t>REQ-PRJ-07</t>
        </is>
      </c>
    </row>
    <row r="39">
      <c r="A39" s="17" t="inlineStr">
        <is>
          <t>estimation_type</t>
        </is>
      </c>
      <c r="B39" s="17" t="inlineStr">
        <is>
          <t>List</t>
        </is>
      </c>
      <c r="C39" s="17" t="inlineStr">
        <is>
          <t>No</t>
        </is>
      </c>
      <c r="D39" s="18" t="inlineStr">
        <is>
          <t>SCHEMA 9. 'automatic' (the default, and what a blank means) or 'manual'. Manual means this project's monthly FTE is STATED on MonthlyEstimate rather than worked out from the assumptions, and the people assigned each month are scaled to add up to the stated figure (REQ-CAL-18).</t>
        </is>
      </c>
      <c r="E39" s="17" t="inlineStr">
        <is>
          <t>REQ-CAL-18</t>
        </is>
      </c>
    </row>
    <row r="40">
      <c r="A40" s="8" t="inlineStr">
        <is>
          <t>note_1 .. note_5</t>
        </is>
      </c>
      <c r="B40" s="8" t="inlineStr">
        <is>
          <t>Text</t>
        </is>
      </c>
      <c r="C40" s="8" t="inlineStr">
        <is>
          <t>No</t>
        </is>
      </c>
      <c r="D40" s="9" t="inlineStr">
        <is>
          <t>Free extension columns.</t>
        </is>
      </c>
      <c r="E40" s="8" t="inlineStr">
        <is>
          <t>REQ-PRJ-07</t>
        </is>
      </c>
    </row>
    <row r="42">
      <c r="A42" s="16" t="inlineStr">
        <is>
          <t>system_prepared_by is dropped at v0.3 (Q-19): the four *_setup columns replace it with more detail.</t>
        </is>
      </c>
    </row>
    <row r="43">
      <c r="A43" s="5" t="inlineStr">
        <is>
          <t>Sheet: Milestone</t>
        </is>
      </c>
    </row>
    <row r="44" ht="28" customHeight="1">
      <c r="A44" s="7" t="inlineStr">
        <is>
          <t>Column</t>
        </is>
      </c>
      <c r="B44" s="7" t="inlineStr">
        <is>
          <t>Type</t>
        </is>
      </c>
      <c r="C44" s="7" t="inlineStr">
        <is>
          <t>Required</t>
        </is>
      </c>
      <c r="D44" s="7" t="inlineStr">
        <is>
          <t>Definition / rule</t>
        </is>
      </c>
      <c r="E44" s="7" t="inlineStr">
        <is>
          <t>REQ-ID</t>
        </is>
      </c>
    </row>
    <row r="45">
      <c r="A45" s="8" t="inlineStr">
        <is>
          <t>project_id</t>
        </is>
      </c>
      <c r="B45" s="8" t="inlineStr">
        <is>
          <t>Text</t>
        </is>
      </c>
      <c r="C45" s="8" t="inlineStr">
        <is>
          <t>Yes</t>
        </is>
      </c>
      <c r="D45" s="9" t="inlineStr">
        <is>
          <t>Foreign key to Project.</t>
        </is>
      </c>
      <c r="E45" s="8" t="inlineStr">
        <is>
          <t>REQ-PRJ-05</t>
        </is>
      </c>
    </row>
    <row r="46">
      <c r="A46" s="10" t="inlineStr">
        <is>
          <t>project_name</t>
        </is>
      </c>
      <c r="B46" s="10" t="inlineStr">
        <is>
          <t>Derived</t>
        </is>
      </c>
      <c r="C46" s="10" t="inlineStr">
        <is>
          <t>No</t>
        </is>
      </c>
      <c r="D46" s="11" t="inlineStr">
        <is>
          <t>DERIVED - looked up from Project on import and refreshed from it, so a mismatch cannot corrupt the link. Locked in the template; a value typed here is discarded and the disagreement reported as V-13.</t>
        </is>
      </c>
      <c r="E46" s="10" t="inlineStr">
        <is>
          <t>REQ-PRJ-05</t>
        </is>
      </c>
    </row>
    <row r="47">
      <c r="A47" s="20" t="inlineStr">
        <is>
          <t>milestone_name</t>
        </is>
      </c>
      <c r="B47" s="20" t="inlineStr">
        <is>
          <t>List</t>
        </is>
      </c>
      <c r="C47" s="20" t="inlineStr">
        <is>
          <t>Yes</t>
        </is>
      </c>
      <c r="D47"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7" s="20" t="inlineStr">
        <is>
          <t>REQ-PRJ-05, REQ-PRJ-13</t>
        </is>
      </c>
    </row>
    <row r="48">
      <c r="A48" s="10" t="inlineStr">
        <is>
          <t>milestone_date</t>
        </is>
      </c>
      <c r="B48" s="10" t="inlineStr">
        <is>
          <t>Date</t>
        </is>
      </c>
      <c r="C48" s="10" t="inlineStr">
        <is>
          <t>Yes</t>
        </is>
      </c>
      <c r="D48" s="11" t="inlineStr">
        <is>
          <t>Planned date.</t>
        </is>
      </c>
      <c r="E48" s="10" t="inlineStr">
        <is>
          <t>REQ-PRJ-05</t>
        </is>
      </c>
    </row>
    <row r="49">
      <c r="A49" s="8" t="inlineStr">
        <is>
          <t>milestone_seq</t>
        </is>
      </c>
      <c r="B49" s="8" t="inlineStr">
        <is>
          <t>Integer</t>
        </is>
      </c>
      <c r="C49" s="8" t="inlineStr">
        <is>
          <t>No</t>
        </is>
      </c>
      <c r="D49" s="9" t="inlineStr">
        <is>
          <t>Display order on the timeline.</t>
        </is>
      </c>
      <c r="E49" s="8" t="inlineStr">
        <is>
          <t>REQ-PRJ-05</t>
        </is>
      </c>
    </row>
    <row r="50">
      <c r="A50" s="17" t="inlineStr">
        <is>
          <t>note_1</t>
        </is>
      </c>
      <c r="B50" s="17" t="inlineStr">
        <is>
          <t>Text</t>
        </is>
      </c>
      <c r="C50" s="17" t="inlineStr">
        <is>
          <t>No</t>
        </is>
      </c>
      <c r="D50" s="18" t="inlineStr">
        <is>
          <t>Free extension column.</t>
        </is>
      </c>
      <c r="E50" s="17" t="inlineStr">
        <is>
          <t>REQ-PRJ-07</t>
        </is>
      </c>
    </row>
    <row r="52">
      <c r="A52"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3">
      <c r="A53" s="5" t="inlineStr">
        <is>
          <t>Sheet: ProjectPeriod  [was ProjectPeriodWeight]</t>
        </is>
      </c>
    </row>
    <row r="54" ht="28" customHeight="1">
      <c r="A54" s="7" t="inlineStr">
        <is>
          <t>Column</t>
        </is>
      </c>
      <c r="B54" s="7" t="inlineStr">
        <is>
          <t>Type</t>
        </is>
      </c>
      <c r="C54" s="7" t="inlineStr">
        <is>
          <t>Required</t>
        </is>
      </c>
      <c r="D54" s="7" t="inlineStr">
        <is>
          <t>Definition / rule</t>
        </is>
      </c>
      <c r="E54" s="7" t="inlineStr">
        <is>
          <t>REQ-ID</t>
        </is>
      </c>
    </row>
    <row r="55">
      <c r="A55" s="8" t="inlineStr">
        <is>
          <t>project_id</t>
        </is>
      </c>
      <c r="B55" s="8" t="inlineStr">
        <is>
          <t>Text</t>
        </is>
      </c>
      <c r="C55" s="8" t="inlineStr">
        <is>
          <t>Yes</t>
        </is>
      </c>
      <c r="D55" s="9" t="inlineStr">
        <is>
          <t>Foreign key to Project.</t>
        </is>
      </c>
      <c r="E55" s="8" t="inlineStr">
        <is>
          <t>REQ-PRJ-06</t>
        </is>
      </c>
    </row>
    <row r="56">
      <c r="A56" s="20" t="inlineStr">
        <is>
          <t>period_name</t>
        </is>
      </c>
      <c r="B56" s="20" t="inlineStr">
        <is>
          <t>List</t>
        </is>
      </c>
      <c r="C56" s="20" t="inlineStr">
        <is>
          <t>Yes</t>
        </is>
      </c>
      <c r="D56" s="19" t="inlineStr">
        <is>
          <t>From the period set for the project's TYPE - see the two sets below. A period name from the wrong set is rejected. UNIQUE within a project since R-11, so (project_id, period_name) is the key.</t>
        </is>
      </c>
      <c r="E56" s="20" t="inlineStr">
        <is>
          <t>REQ-PRJ-12, REQ-CAL-11, R-11</t>
        </is>
      </c>
    </row>
    <row r="57">
      <c r="A57" s="20" t="inlineStr">
        <is>
          <t>period_seq</t>
        </is>
      </c>
      <c r="B57" s="20" t="inlineStr">
        <is>
          <t>Integer</t>
        </is>
      </c>
      <c r="C57" s="20" t="inlineStr">
        <is>
          <t>Yes</t>
        </is>
      </c>
      <c r="D57" s="19" t="inlineStr">
        <is>
          <t>Orders the periods along the timeline. Unique within a project. No longer part of the key - it carries order, not identity (R-11).</t>
        </is>
      </c>
      <c r="E57" s="20" t="inlineStr">
        <is>
          <t>REQ-CAL-11</t>
        </is>
      </c>
    </row>
    <row r="58">
      <c r="A58" s="20" t="inlineStr">
        <is>
          <t>period_start</t>
        </is>
      </c>
      <c r="B58" s="20" t="inlineStr">
        <is>
          <t>Date</t>
        </is>
      </c>
      <c r="C58" s="20" t="inlineStr">
        <is>
          <t>Yes</t>
        </is>
      </c>
      <c r="D58" s="19" t="inlineStr">
        <is>
          <t>Inclusive. For Clinical Trial, computed from milestones (sheet 05) and then editable. For Others, entered directly.</t>
        </is>
      </c>
      <c r="E58" s="20" t="inlineStr">
        <is>
          <t>REQ-CAL-09</t>
        </is>
      </c>
    </row>
    <row r="59">
      <c r="A59" s="20" t="inlineStr">
        <is>
          <t>period_end</t>
        </is>
      </c>
      <c r="B59" s="20" t="inlineStr">
        <is>
          <t>Date</t>
        </is>
      </c>
      <c r="C59" s="20" t="inlineStr">
        <is>
          <t>Yes</t>
        </is>
      </c>
      <c r="D59" s="19" t="inlineStr">
        <is>
          <t>Inclusive. Periods for one project must not overlap and must leave no gap (REQ-CAL-10).</t>
        </is>
      </c>
      <c r="E59" s="20" t="inlineStr">
        <is>
          <t>REQ-CAL-09</t>
        </is>
      </c>
    </row>
    <row r="60">
      <c r="A60" s="20" t="inlineStr">
        <is>
          <t>weight</t>
        </is>
      </c>
      <c r="B60" s="20" t="inlineStr">
        <is>
          <t>Decimal</t>
        </is>
      </c>
      <c r="C60" s="20" t="inlineStr">
        <is>
          <t>Yes</t>
        </is>
      </c>
      <c r="D60" s="19" t="inlineStr">
        <is>
          <t>THIS PROJECT'S OWN ADJUSTMENT to the standard for its type, phase and scope (REQ-CAL-19). 1.00 means an ordinary project of its kind; 1.20 means this one takes a fifth more. SCHEMA 10 changed what it means: until then it carried the magnitude itself and the standards sheet was read by nothing, so the delivered data held the same number in both columns. Values are data (Q-17), not fixed in this plan.</t>
        </is>
      </c>
      <c r="E60" s="20" t="inlineStr">
        <is>
          <t>REQ-PRJ-06, R-31</t>
        </is>
      </c>
    </row>
    <row r="61">
      <c r="A61" s="17" t="inlineStr">
        <is>
          <t>note_1</t>
        </is>
      </c>
      <c r="B61" s="17" t="inlineStr">
        <is>
          <t>Text</t>
        </is>
      </c>
      <c r="C61" s="17" t="inlineStr">
        <is>
          <t>No</t>
        </is>
      </c>
      <c r="D61" s="18" t="inlineStr">
        <is>
          <t>Free extension column, e.g. why a derived date was overridden.</t>
        </is>
      </c>
      <c r="E61" s="17" t="inlineStr">
        <is>
          <t>REQ-PRJ-07</t>
        </is>
      </c>
    </row>
    <row r="63">
      <c r="A63" s="16" t="inlineStr">
        <is>
          <t>Period sets are type-specific (Q-18). The derivation itself is on sheet 05.</t>
        </is>
      </c>
    </row>
    <row r="64" ht="28" customHeight="1">
      <c r="A64" s="7" t="inlineStr">
        <is>
          <t>project_type</t>
        </is>
      </c>
      <c r="B64" s="7" t="inlineStr">
        <is>
          <t>Period set</t>
        </is>
      </c>
      <c r="C64" s="7" t="inlineStr">
        <is>
          <t>How boundaries are set</t>
        </is>
      </c>
    </row>
    <row r="65">
      <c r="A65" s="20" t="inlineStr">
        <is>
          <t>NewDrug CT / Biosimilar CT</t>
        </is>
      </c>
      <c r="B65" s="19" t="inlineStr">
        <is>
          <t>Before-Start-up, Start-up, Conduct (interim), Close-out (interim), Conduct (final), Close-out (final), After Close-out (final)</t>
        </is>
      </c>
      <c r="C65" s="19" t="inlineStr">
        <is>
          <t>Seven names, in timeline order. Both trial types share one period set and one derivation; they differ in their WEIGHTS, not their shape. A trial with no interim DB lock simply omits 'Conduct (interim)' and 'Close-out (interim)'.</t>
        </is>
      </c>
    </row>
    <row r="66">
      <c r="A66" s="10" t="inlineStr">
        <is>
          <t>Others</t>
        </is>
      </c>
      <c r="B66" s="11" t="inlineStr">
        <is>
          <t>Planning, Develop, Close</t>
        </is>
      </c>
      <c r="C66" s="11" t="inlineStr">
        <is>
          <t>Entered directly - dates confirmed manual at Q-25, weights at Q-28. 'Others' projects are hand-entered throughout.</t>
        </is>
      </c>
    </row>
    <row r="68">
      <c r="A68" s="5" t="inlineStr">
        <is>
          <t>Sheet: PeriodFTEStandard</t>
        </is>
      </c>
    </row>
    <row r="69" ht="28" customHeight="1">
      <c r="A69" s="7" t="inlineStr">
        <is>
          <t>Column</t>
        </is>
      </c>
      <c r="B69" s="7" t="inlineStr">
        <is>
          <t>Type</t>
        </is>
      </c>
      <c r="C69" s="7" t="inlineStr">
        <is>
          <t>Required</t>
        </is>
      </c>
      <c r="D69" s="7" t="inlineStr">
        <is>
          <t>Definition / rule</t>
        </is>
      </c>
      <c r="E69" s="7" t="inlineStr">
        <is>
          <t>Basis</t>
        </is>
      </c>
    </row>
    <row r="70">
      <c r="A70" s="20" t="inlineStr">
        <is>
          <t>project_type</t>
        </is>
      </c>
      <c r="B70" s="20" t="inlineStr">
        <is>
          <t>List</t>
        </is>
      </c>
      <c r="C70" s="20" t="inlineStr">
        <is>
          <t>Yes</t>
        </is>
      </c>
      <c r="D70" s="19" t="inlineStr">
        <is>
          <t>A clinical trial type. Part of the key: a biosimilar trial at a given phase is not the same workload as a new-drug trial at that phase. 'Others' take manual weights (Q-28).</t>
        </is>
      </c>
      <c r="E70" s="20" t="inlineStr">
        <is>
          <t>R-05</t>
        </is>
      </c>
    </row>
    <row r="71">
      <c r="A71" s="20" t="inlineStr">
        <is>
          <t>clinical_phase</t>
        </is>
      </c>
      <c r="B71" s="20" t="inlineStr">
        <is>
          <t>List</t>
        </is>
      </c>
      <c r="C71" s="20" t="inlineStr">
        <is>
          <t>Yes</t>
        </is>
      </c>
      <c r="D71" s="19" t="inlineStr">
        <is>
          <t>The phase the standard applies to.</t>
        </is>
      </c>
      <c r="E71" s="20" t="inlineStr">
        <is>
          <t>Q-26</t>
        </is>
      </c>
    </row>
    <row r="72">
      <c r="A72" s="17" t="inlineStr">
        <is>
          <t>work_scope_type</t>
        </is>
      </c>
      <c r="B72" s="17" t="inlineStr">
        <is>
          <t>List</t>
        </is>
      </c>
      <c r="C72" s="17" t="inlineStr">
        <is>
          <t>No</t>
        </is>
      </c>
      <c r="D72" s="18" t="inlineStr">
        <is>
          <t>The work scope this standard applies to. SCHEMA 6. EMPTY means the row applies to EVERY scope - see the note below, which is the important part of this change.</t>
        </is>
      </c>
      <c r="E72" s="17" t="inlineStr">
        <is>
          <t>R-12</t>
        </is>
      </c>
    </row>
    <row r="73">
      <c r="A73" s="20" t="inlineStr">
        <is>
          <t>standard_fte</t>
        </is>
      </c>
      <c r="B73" s="20" t="inlineStr">
        <is>
          <t>Decimal</t>
        </is>
      </c>
      <c r="C73" s="20" t="inlineStr">
        <is>
          <t>Yes</t>
        </is>
      </c>
      <c r="D73" s="19" t="inlineStr">
        <is>
          <t>SCHEMA 10, renamed from `weight`. THE STANDARD MONTHLY FTE for this type, phase, scope and period - a MAGNITUDE, not a multiplier: 4.02 means the period takes about four full-time people a month. This is where every figure gets its size (REQ-CAL-19). It was called `weight` until schema 10 and was read by nothing except the period seeder, which is most of why: a weight reads like something to multiply by. A schema 9 file is read - the column is renamed on the way in.</t>
        </is>
      </c>
      <c r="E73" s="20" t="inlineStr">
        <is>
          <t>R-31</t>
        </is>
      </c>
    </row>
    <row r="74">
      <c r="A74" s="8" t="inlineStr">
        <is>
          <t>period_name</t>
        </is>
      </c>
      <c r="B74" s="8" t="inlineStr">
        <is>
          <t>List</t>
        </is>
      </c>
      <c r="C74" s="8" t="inlineStr">
        <is>
          <t>Yes</t>
        </is>
      </c>
      <c r="D74" s="9" t="inlineStr">
        <is>
          <t>A period from that type's set.</t>
        </is>
      </c>
      <c r="E74" s="8" t="inlineStr">
        <is>
          <t>Q-04, Q-18</t>
        </is>
      </c>
    </row>
    <row r="75">
      <c r="A75" s="17" t="inlineStr">
        <is>
          <t>note_1</t>
        </is>
      </c>
      <c r="B75" s="17" t="inlineStr">
        <is>
          <t>Text</t>
        </is>
      </c>
      <c r="C75" s="17" t="inlineStr">
        <is>
          <t>No</t>
        </is>
      </c>
      <c r="D75" s="18" t="inlineStr">
        <is>
          <t>Free extension column, e.g. the basis for the weight.</t>
        </is>
      </c>
      <c r="E75" s="17" t="inlineStr">
        <is>
          <t>Q-01</t>
        </is>
      </c>
    </row>
    <row r="77">
      <c r="A77" s="16" t="inlineStr">
        <is>
          <t>SCHEMA 6 - THE EMPTY SCOPE. The key is (project_type, clinical_phase, work_scope_type, period_name) and it is unique. A row whose work_scope_type is EMPTY applies to every scope; a project looks for its own scope first and falls back to that row. Without the fallback this sheet would need 3 types x 4 phases x 7 periods x 3 scopes = 252 rows, of which two thirds would repeat their neighbour, and every one of them hand-entered. With it, 84 rows carry the baseline and a scope-specific row is added only where the scope really changes the number. It also means a schema 5 file keeps working: its rows have no scope, so they are the every-scope rows.</t>
        </is>
      </c>
    </row>
    <row r="79">
      <c r="A79"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80">
      <c r="A80" s="5" t="inlineStr">
        <is>
          <t>Sheet: RoleFactor   [key extended at R-10]</t>
        </is>
      </c>
    </row>
    <row r="81" ht="28" customHeight="1">
      <c r="A81" s="7" t="inlineStr">
        <is>
          <t>Column</t>
        </is>
      </c>
      <c r="B81" s="7" t="inlineStr">
        <is>
          <t>Type</t>
        </is>
      </c>
      <c r="C81" s="7" t="inlineStr">
        <is>
          <t>Required</t>
        </is>
      </c>
      <c r="D81" s="7" t="inlineStr">
        <is>
          <t>Definition / rule</t>
        </is>
      </c>
      <c r="E81" s="7" t="inlineStr">
        <is>
          <t>Basis</t>
        </is>
      </c>
    </row>
    <row r="82">
      <c r="A82" s="20" t="inlineStr">
        <is>
          <t>project_type</t>
        </is>
      </c>
      <c r="B82" s="20" t="inlineStr">
        <is>
          <t>List</t>
        </is>
      </c>
      <c r="C82" s="20" t="inlineStr">
        <is>
          <t>Yes</t>
        </is>
      </c>
      <c r="D82" s="19" t="inlineStr">
        <is>
          <t>'NewDrug CT', 'Biosimilar CT (Healthy)', 'Biosimilar CT (Patient)' or 'Others'. Roles are keyed by type, so a factor can differ between the trial types.</t>
        </is>
      </c>
      <c r="E82" s="20" t="inlineStr">
        <is>
          <t>Q-03, R-05, R-12</t>
        </is>
      </c>
    </row>
    <row r="83">
      <c r="A83" s="17" t="inlineStr">
        <is>
          <t>clinical_phase</t>
        </is>
      </c>
      <c r="B83" s="17" t="inlineStr">
        <is>
          <t>List</t>
        </is>
      </c>
      <c r="C83" s="17" t="inlineStr">
        <is>
          <t>Trials only</t>
        </is>
      </c>
      <c r="D83" s="18" t="inlineStr">
        <is>
          <t>The phase this factor applies to. EMPTY on 'Others' rows, which carry no phase.</t>
        </is>
      </c>
      <c r="E83" s="17" t="inlineStr">
        <is>
          <t>R-10</t>
        </is>
      </c>
    </row>
    <row r="84">
      <c r="A84" s="17" t="inlineStr">
        <is>
          <t>work_scope_type</t>
        </is>
      </c>
      <c r="B84" s="17" t="inlineStr">
        <is>
          <t>List</t>
        </is>
      </c>
      <c r="C84" s="17" t="inlineStr">
        <is>
          <t>No</t>
        </is>
      </c>
      <c r="D84" s="18" t="inlineStr">
        <is>
          <t>The work scope this factor applies to. SCHEMA 6. EMPTY means EVERY scope, exactly as on PeriodFTEStandard - and it matters more here, because this is the larger sheet.</t>
        </is>
      </c>
      <c r="E84" s="17" t="inlineStr">
        <is>
          <t>R-12</t>
        </is>
      </c>
    </row>
    <row r="85">
      <c r="A85" s="17" t="inlineStr">
        <is>
          <t>absorbed_by</t>
        </is>
      </c>
      <c r="B85" s="17" t="inlineStr">
        <is>
          <t>Text</t>
        </is>
      </c>
      <c r="C85" s="17" t="inlineStr">
        <is>
          <t>No</t>
        </is>
      </c>
      <c r="D85" s="18" t="inlineStr">
        <is>
          <t>SCHEMA 8. If NOBODY holds this role on a project, which role picks the work up: this row's factor is added to that role's (REQ-CAL-16). Blank means the work is simply not counted, and V-29 says so. Delivered with 'Clinical Data Associator' covered by 'Lead data manager' and 'Other staff' by 'Project lead' - a starting point, and data rather than code because which role covers for which is a judgment about how a team works.</t>
        </is>
      </c>
      <c r="E85" s="17" t="inlineStr">
        <is>
          <t>R-17</t>
        </is>
      </c>
    </row>
    <row r="86">
      <c r="A86" s="20" t="inlineStr">
        <is>
          <t>period_name</t>
        </is>
      </c>
      <c r="B86" s="20" t="inlineStr">
        <is>
          <t>Text</t>
        </is>
      </c>
      <c r="C86" s="20" t="inlineStr">
        <is>
          <t>Yes</t>
        </is>
      </c>
      <c r="D86" s="19" t="inlineStr">
        <is>
          <t>The period this factor applies to. One of the seven clinical periods, or one of the three 'Others' periods, matching the project_type.</t>
        </is>
      </c>
      <c r="E86" s="20" t="inlineStr">
        <is>
          <t>R-10, R-11</t>
        </is>
      </c>
    </row>
    <row r="87">
      <c r="A87" s="10" t="inlineStr">
        <is>
          <t>role_name</t>
        </is>
      </c>
      <c r="B87" s="10" t="inlineStr">
        <is>
          <t>Text</t>
        </is>
      </c>
      <c r="C87" s="10" t="inlineStr">
        <is>
          <t>Yes</t>
        </is>
      </c>
      <c r="D87" s="11" t="inlineStr">
        <is>
          <t>Clinical Trial: 'Project oversight', 'Lead data manager', 'Clinical Data Associator', 'Clinical Database Programmer', 'Data Analyst'. Others: 'Project lead', 'Main staff', 'Other staff'.</t>
        </is>
      </c>
      <c r="E87" s="10" t="inlineStr">
        <is>
          <t>Q-03</t>
        </is>
      </c>
    </row>
    <row r="88">
      <c r="A88" s="20" t="inlineStr">
        <is>
          <t>role_factor</t>
        </is>
      </c>
      <c r="B88" s="20" t="inlineStr">
        <is>
          <t>Decimal</t>
        </is>
      </c>
      <c r="C88" s="20" t="inlineStr">
        <is>
          <t>Yes</t>
        </is>
      </c>
      <c r="D88"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8" s="20" t="inlineStr">
        <is>
          <t>Q-01, R-10</t>
        </is>
      </c>
    </row>
    <row r="89">
      <c r="A89" s="10" t="inlineStr">
        <is>
          <t>role_note</t>
        </is>
      </c>
      <c r="B89" s="10" t="inlineStr">
        <is>
          <t>Text</t>
        </is>
      </c>
      <c r="C89" s="10" t="inlineStr">
        <is>
          <t>No</t>
        </is>
      </c>
      <c r="D89" s="11" t="inlineStr">
        <is>
          <t>Basis for the factor.</t>
        </is>
      </c>
      <c r="E89" s="10" t="inlineStr">
        <is>
          <t>REQ-CAL-06</t>
        </is>
      </c>
    </row>
    <row r="91">
      <c r="A91" s="16" t="inlineStr">
        <is>
          <t>The key is (project_type, clinical_phase, work_scope_type, period_name, role_name) since schema 6, which makes this comfortably the largest sheet in the workbook: 3 types x 4 phases x 7 periods x 5 roles = 420 baseline rows, plus 9 for 'Others'. Filling all three scopes as well would make it 1,269. THAT is why the empty scope exists: fill the baseline once, and add a scope-specific row only where the scope really changes the number. The cost of the change still falls on whoever maintains the file, and the fallback is what keeps it payable.</t>
        </is>
      </c>
    </row>
    <row r="93">
      <c r="A93" s="16" t="inlineStr">
        <is>
          <t>NOTE A CONSEQUENCE. PeriodFTEStandard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PeriodFTEStandard, once; doing it in RoleFactor means five edits and double-counts the next time the period weight moves.</t>
        </is>
      </c>
    </row>
    <row r="94">
      <c r="A94" s="5" t="inlineStr">
        <is>
          <t>Sheet: Person</t>
        </is>
      </c>
    </row>
    <row r="95" ht="28" customHeight="1">
      <c r="A95" s="7" t="inlineStr">
        <is>
          <t>Column</t>
        </is>
      </c>
      <c r="B95" s="7" t="inlineStr">
        <is>
          <t>Type</t>
        </is>
      </c>
      <c r="C95" s="7" t="inlineStr">
        <is>
          <t>Required</t>
        </is>
      </c>
      <c r="D95" s="7" t="inlineStr">
        <is>
          <t>Definition / rule</t>
        </is>
      </c>
      <c r="E95" s="7" t="inlineStr">
        <is>
          <t>REQ-ID</t>
        </is>
      </c>
    </row>
    <row r="96">
      <c r="A96" s="8" t="inlineStr">
        <is>
          <t>person_id</t>
        </is>
      </c>
      <c r="B96" s="8" t="inlineStr">
        <is>
          <t>Text</t>
        </is>
      </c>
      <c r="C96" s="8" t="inlineStr">
        <is>
          <t>Yes</t>
        </is>
      </c>
      <c r="D96" s="9" t="inlineStr">
        <is>
          <t>Unique key, e.g. PSN-001.</t>
        </is>
      </c>
      <c r="E96" s="8" t="inlineStr">
        <is>
          <t>REQ-PSN-01</t>
        </is>
      </c>
    </row>
    <row r="97">
      <c r="A97" s="10" t="inlineStr">
        <is>
          <t>person_name</t>
        </is>
      </c>
      <c r="B97" s="10" t="inlineStr">
        <is>
          <t>Text</t>
        </is>
      </c>
      <c r="C97" s="10" t="inlineStr">
        <is>
          <t>Yes</t>
        </is>
      </c>
      <c r="D97" s="11" t="inlineStr">
        <is>
          <t>Display name.</t>
        </is>
      </c>
      <c r="E97" s="10" t="inlineStr">
        <is>
          <t>REQ-PSN-01</t>
        </is>
      </c>
    </row>
    <row r="98">
      <c r="A98" s="8" t="inlineStr">
        <is>
          <t>department</t>
        </is>
      </c>
      <c r="B98" s="8" t="inlineStr">
        <is>
          <t>Text</t>
        </is>
      </c>
      <c r="C98" s="8" t="inlineStr">
        <is>
          <t>No</t>
        </is>
      </c>
      <c r="D98" s="9" t="inlineStr">
        <is>
          <t>Grouping for the dashboard.</t>
        </is>
      </c>
      <c r="E98" s="8" t="inlineStr">
        <is>
          <t>REQ-PSN-06</t>
        </is>
      </c>
    </row>
    <row r="99">
      <c r="A99" s="10" t="inlineStr">
        <is>
          <t>primary_role</t>
        </is>
      </c>
      <c r="B99" s="10" t="inlineStr">
        <is>
          <t>Text</t>
        </is>
      </c>
      <c r="C99" s="10" t="inlineStr">
        <is>
          <t>No</t>
        </is>
      </c>
      <c r="D99" s="11" t="inlineStr">
        <is>
          <t>Usual role; an assignment can override it.</t>
        </is>
      </c>
      <c r="E99" s="10" t="inlineStr">
        <is>
          <t>REQ-PSN-03</t>
        </is>
      </c>
    </row>
    <row r="100">
      <c r="A100" s="20" t="inlineStr">
        <is>
          <t>capacity_fte</t>
        </is>
      </c>
      <c r="B100" s="20" t="inlineStr">
        <is>
          <t>Decimal</t>
        </is>
      </c>
      <c r="C100" s="20" t="inlineStr">
        <is>
          <t>No</t>
        </is>
      </c>
      <c r="D100" s="19" t="inlineStr">
        <is>
          <t>Available capacity in FTE, default 1.00 (= 160 h/month). Lower it for a part-timer.</t>
        </is>
      </c>
      <c r="E100" s="20" t="inlineStr">
        <is>
          <t>REQ-CAL-08</t>
        </is>
      </c>
    </row>
    <row r="101">
      <c r="A101" s="10" t="inlineStr">
        <is>
          <t>employment_start / employment_end</t>
        </is>
      </c>
      <c r="B101" s="10" t="inlineStr">
        <is>
          <t>Date</t>
        </is>
      </c>
      <c r="C101" s="10" t="inlineStr">
        <is>
          <t>No</t>
        </is>
      </c>
      <c r="D101" s="11" t="inlineStr">
        <is>
          <t>Bounds availability; blank end = open.</t>
        </is>
      </c>
      <c r="E101" s="10" t="inlineStr">
        <is>
          <t>REQ-PSN-04</t>
        </is>
      </c>
    </row>
    <row r="102">
      <c r="A102" s="8" t="inlineStr">
        <is>
          <t>note_1 .. note_5</t>
        </is>
      </c>
      <c r="B102" s="8" t="inlineStr">
        <is>
          <t>Text</t>
        </is>
      </c>
      <c r="C102" s="8" t="inlineStr">
        <is>
          <t>No</t>
        </is>
      </c>
      <c r="D102" s="9" t="inlineStr">
        <is>
          <t>Free extension columns.</t>
        </is>
      </c>
      <c r="E102" s="8" t="inlineStr">
        <is>
          <t>REQ-PSN-06</t>
        </is>
      </c>
    </row>
    <row r="104">
      <c r="A104" s="5" t="inlineStr">
        <is>
          <t>Sheet: Assignment</t>
        </is>
      </c>
    </row>
    <row r="105" ht="28" customHeight="1">
      <c r="A105" s="7" t="inlineStr">
        <is>
          <t>Column</t>
        </is>
      </c>
      <c r="B105" s="7" t="inlineStr">
        <is>
          <t>Type</t>
        </is>
      </c>
      <c r="C105" s="7" t="inlineStr">
        <is>
          <t>Required</t>
        </is>
      </c>
      <c r="D105" s="7" t="inlineStr">
        <is>
          <t>Definition / rule</t>
        </is>
      </c>
      <c r="E105" s="7" t="inlineStr">
        <is>
          <t>REQ-ID</t>
        </is>
      </c>
    </row>
    <row r="106">
      <c r="A106" s="8" t="inlineStr">
        <is>
          <t>assignment_id</t>
        </is>
      </c>
      <c r="B106" s="8" t="inlineStr">
        <is>
          <t>Text</t>
        </is>
      </c>
      <c r="C106" s="8" t="inlineStr">
        <is>
          <t>Yes</t>
        </is>
      </c>
      <c r="D106" s="9" t="inlineStr">
        <is>
          <t>Unique key. One row per person + project + role.</t>
        </is>
      </c>
      <c r="E106" s="8" t="inlineStr">
        <is>
          <t>REQ-PSN-07</t>
        </is>
      </c>
    </row>
    <row r="107">
      <c r="A107" s="10" t="inlineStr">
        <is>
          <t>person_id</t>
        </is>
      </c>
      <c r="B107" s="10" t="inlineStr">
        <is>
          <t>Text</t>
        </is>
      </c>
      <c r="C107" s="10" t="inlineStr">
        <is>
          <t>Yes</t>
        </is>
      </c>
      <c r="D107" s="11" t="inlineStr">
        <is>
          <t>Foreign key to Person.</t>
        </is>
      </c>
      <c r="E107" s="10" t="inlineStr">
        <is>
          <t>REQ-PSN-01</t>
        </is>
      </c>
    </row>
    <row r="108">
      <c r="A108" s="8" t="inlineStr">
        <is>
          <t>person_name</t>
        </is>
      </c>
      <c r="B108" s="8" t="inlineStr">
        <is>
          <t>Derived</t>
        </is>
      </c>
      <c r="C108" s="8" t="inlineStr">
        <is>
          <t>No</t>
        </is>
      </c>
      <c r="D108" s="9" t="inlineStr">
        <is>
          <t>DERIVED - looked up from Person on import and refreshed from it. Locked in the template; a value typed here is discarded and the disagreement reported as V-13.</t>
        </is>
      </c>
      <c r="E108" s="8" t="inlineStr">
        <is>
          <t>REQ-PSN-01</t>
        </is>
      </c>
    </row>
    <row r="109">
      <c r="A109" s="10" t="inlineStr">
        <is>
          <t>project_id</t>
        </is>
      </c>
      <c r="B109" s="10" t="inlineStr">
        <is>
          <t>Text</t>
        </is>
      </c>
      <c r="C109" s="10" t="inlineStr">
        <is>
          <t>Yes</t>
        </is>
      </c>
      <c r="D109" s="11" t="inlineStr">
        <is>
          <t>Foreign key to Project.</t>
        </is>
      </c>
      <c r="E109" s="10" t="inlineStr">
        <is>
          <t>REQ-PSN-02</t>
        </is>
      </c>
    </row>
    <row r="110">
      <c r="A110" s="20" t="inlineStr">
        <is>
          <t>role_name</t>
        </is>
      </c>
      <c r="B110" s="20" t="inlineStr">
        <is>
          <t>Text</t>
        </is>
      </c>
      <c r="C110" s="20" t="inlineStr">
        <is>
          <t>Yes</t>
        </is>
      </c>
      <c r="D110" s="19" t="inlineStr">
        <is>
          <t>Foreign key to RoleFactor, matched on (project's type, role_name); the phase and period are supplied by the project and the month being calculated. Several rows = several roles on one project.</t>
        </is>
      </c>
      <c r="E110" s="20" t="inlineStr">
        <is>
          <t>REQ-PSN-03</t>
        </is>
      </c>
    </row>
    <row r="111">
      <c r="A111" s="20" t="inlineStr">
        <is>
          <t>assign_start_date</t>
        </is>
      </c>
      <c r="B111" s="20" t="inlineStr">
        <is>
          <t>Date</t>
        </is>
      </c>
      <c r="C111" s="20" t="inlineStr">
        <is>
          <t>No</t>
        </is>
      </c>
      <c r="D111" s="19" t="inlineStr">
        <is>
          <t>Date the person joins the study. BLANK = the project's own start date (REQ-CAL-15). Optional since v2.29: leave both dates blank for somebody on the project throughout, and fill them in only for a partial involvement.</t>
        </is>
      </c>
      <c r="E111" s="20" t="inlineStr">
        <is>
          <t>REQ-PSN-04, REQ-CAL-15</t>
        </is>
      </c>
    </row>
    <row r="112">
      <c r="A112" s="20" t="inlineStr">
        <is>
          <t>assign_end_date</t>
        </is>
      </c>
      <c r="B112" s="20" t="inlineStr">
        <is>
          <t>Date</t>
        </is>
      </c>
      <c r="C112" s="20" t="inlineStr">
        <is>
          <t>No</t>
        </is>
      </c>
      <c r="D112" s="19" t="inlineStr">
        <is>
          <t>Date the person leaves the study. BLANK = the project's own end date. This one has always behaved that way; v2.29 makes the start match it.</t>
        </is>
      </c>
      <c r="E112" s="20" t="inlineStr">
        <is>
          <t>REQ-PSN-04, REQ-CAL-15</t>
        </is>
      </c>
    </row>
    <row r="113">
      <c r="A113" s="20" t="inlineStr">
        <is>
          <t>person_weight</t>
        </is>
      </c>
      <c r="B113" s="20" t="inlineStr">
        <is>
          <t>Decimal</t>
        </is>
      </c>
      <c r="C113" s="20" t="inlineStr">
        <is>
          <t>Yes</t>
        </is>
      </c>
      <c r="D113" s="19" t="inlineStr">
        <is>
          <t>RENAMED from base_allocation. How much this person works on this project, e.g. 0.40. Q-01 folded the two former fields into this one.</t>
        </is>
      </c>
      <c r="E113" s="20" t="inlineStr">
        <is>
          <t>REQ-CAL-02</t>
        </is>
      </c>
    </row>
    <row r="114">
      <c r="A114" s="17" t="inlineStr">
        <is>
          <t>estimation_type</t>
        </is>
      </c>
      <c r="B114" s="17" t="inlineStr">
        <is>
          <t>List</t>
        </is>
      </c>
      <c r="C114" s="17" t="inlineStr">
        <is>
          <t>No</t>
        </is>
      </c>
      <c r="D114" s="18" t="inlineStr">
        <is>
          <t>SCHEMA 9. 'automatic' (the default) or 'manual'. Manual means THIS PERSON'S contribution to this project is stated on MonthlyEstimate rather than taken as a share of the project's month - the level below the project's own, and applied first (REQ-CAL-18).</t>
        </is>
      </c>
      <c r="E114" s="17" t="inlineStr">
        <is>
          <t>REQ-CAL-18</t>
        </is>
      </c>
    </row>
    <row r="115">
      <c r="A115" s="17" t="inlineStr">
        <is>
          <t>estimation_type</t>
        </is>
      </c>
      <c r="B115" s="17" t="inlineStr">
        <is>
          <t>List</t>
        </is>
      </c>
      <c r="C115" s="17" t="inlineStr">
        <is>
          <t>No</t>
        </is>
      </c>
      <c r="D115" s="18" t="inlineStr">
        <is>
          <t>SCHEMA 9. 'automatic' (the default) or 'manual'. Manual means THIS PERSON'S contribution to this project is stated on MonthlyEstimate rather than taken as a share of the project's month - the level below the project's own, and applied first (REQ-CAL-18).</t>
        </is>
      </c>
      <c r="E115" s="17" t="inlineStr">
        <is>
          <t>REQ-CAL-18</t>
        </is>
      </c>
    </row>
    <row r="116">
      <c r="A116" s="8" t="inlineStr">
        <is>
          <t>note_1 .. note_3</t>
        </is>
      </c>
      <c r="B116" s="8" t="inlineStr">
        <is>
          <t>Text</t>
        </is>
      </c>
      <c r="C116" s="8" t="inlineStr">
        <is>
          <t>No</t>
        </is>
      </c>
      <c r="D116" s="9" t="inlineStr">
        <is>
          <t>Free extension columns.</t>
        </is>
      </c>
      <c r="E116" s="8" t="inlineStr">
        <is>
          <t>REQ-PSN-06</t>
        </is>
      </c>
    </row>
    <row r="118">
      <c r="A118" s="5" t="inlineStr">
        <is>
          <t>Sheet: PersonPeriodWeight</t>
        </is>
      </c>
    </row>
    <row r="119" ht="28" customHeight="1">
      <c r="A119" s="7" t="inlineStr">
        <is>
          <t>Column</t>
        </is>
      </c>
      <c r="B119" s="7" t="inlineStr">
        <is>
          <t>Type</t>
        </is>
      </c>
      <c r="C119" s="7" t="inlineStr">
        <is>
          <t>Required</t>
        </is>
      </c>
      <c r="D119" s="7" t="inlineStr">
        <is>
          <t>Definition / rule</t>
        </is>
      </c>
      <c r="E119" s="7" t="inlineStr">
        <is>
          <t>REQ-ID</t>
        </is>
      </c>
    </row>
    <row r="120">
      <c r="A120" s="8" t="inlineStr">
        <is>
          <t>assignment_id</t>
        </is>
      </c>
      <c r="B120" s="8" t="inlineStr">
        <is>
          <t>Text</t>
        </is>
      </c>
      <c r="C120" s="8" t="inlineStr">
        <is>
          <t>Yes</t>
        </is>
      </c>
      <c r="D120" s="9" t="inlineStr">
        <is>
          <t>Foreign key to Assignment.</t>
        </is>
      </c>
      <c r="E120" s="8" t="inlineStr">
        <is>
          <t>REQ-PSN-05</t>
        </is>
      </c>
    </row>
    <row r="121">
      <c r="A121" s="10" t="inlineStr">
        <is>
          <t>period_start</t>
        </is>
      </c>
      <c r="B121" s="10" t="inlineStr">
        <is>
          <t>Date</t>
        </is>
      </c>
      <c r="C121" s="10" t="inlineStr">
        <is>
          <t>Yes</t>
        </is>
      </c>
      <c r="D121" s="11" t="inlineStr">
        <is>
          <t>Inclusive. Part of the key: one assignment may carry SEVERAL non-overlapping windows, so assignment_id alone does not identify a row.</t>
        </is>
      </c>
      <c r="E121" s="10" t="inlineStr">
        <is>
          <t>REQ-PSN-05</t>
        </is>
      </c>
    </row>
    <row r="122">
      <c r="A122" s="8" t="inlineStr">
        <is>
          <t>period_end</t>
        </is>
      </c>
      <c r="B122" s="8" t="inlineStr">
        <is>
          <t>Date</t>
        </is>
      </c>
      <c r="C122" s="8" t="inlineStr">
        <is>
          <t>Yes</t>
        </is>
      </c>
      <c r="D122" s="9" t="inlineStr">
        <is>
          <t>Inclusive. Periods within one assignment must not overlap.</t>
        </is>
      </c>
      <c r="E122" s="8" t="inlineStr">
        <is>
          <t>REQ-PSN-05</t>
        </is>
      </c>
    </row>
    <row r="123">
      <c r="A123" s="20" t="inlineStr">
        <is>
          <t>weight_override</t>
        </is>
      </c>
      <c r="B123" s="20" t="inlineStr">
        <is>
          <t>Decimal</t>
        </is>
      </c>
      <c r="C123" s="20" t="inlineStr">
        <is>
          <t>Yes</t>
        </is>
      </c>
      <c r="D123" s="19" t="inlineStr">
        <is>
          <t>REPLACES person_weight for months inside this window - it no longer multiplies it. Where no row covers a month, person_weight applies unchanged.</t>
        </is>
      </c>
      <c r="E123" s="20" t="inlineStr">
        <is>
          <t>REQ-PSN-05</t>
        </is>
      </c>
    </row>
    <row r="124">
      <c r="A124" s="8" t="inlineStr">
        <is>
          <t>reason</t>
        </is>
      </c>
      <c r="B124" s="8" t="inlineStr">
        <is>
          <t>Text</t>
        </is>
      </c>
      <c r="C124" s="8" t="inlineStr">
        <is>
          <t>No</t>
        </is>
      </c>
      <c r="D124" s="9" t="inlineStr">
        <is>
          <t>Why the weight differs, e.g. 'part-time', 'covering start-up peak'.</t>
        </is>
      </c>
      <c r="E124" s="8" t="inlineStr">
        <is>
          <t>REQ-PSN-05</t>
        </is>
      </c>
    </row>
    <row r="126">
      <c r="A12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27">
      <c r="A127" s="5" t="inlineStr">
        <is>
          <t>Sheet: MonthlyEstimate   [new]</t>
        </is>
      </c>
    </row>
    <row r="128" ht="28" customHeight="1">
      <c r="A128" s="7" t="inlineStr">
        <is>
          <t>Column</t>
        </is>
      </c>
      <c r="B128" s="7" t="inlineStr">
        <is>
          <t>Type</t>
        </is>
      </c>
      <c r="C128" s="7" t="inlineStr">
        <is>
          <t>Required</t>
        </is>
      </c>
      <c r="D128" s="7" t="inlineStr">
        <is>
          <t>Definition / rule</t>
        </is>
      </c>
      <c r="E128" s="7" t="inlineStr">
        <is>
          <t>REQ-ID</t>
        </is>
      </c>
    </row>
    <row r="129">
      <c r="A129" s="17" t="inlineStr">
        <is>
          <t>scope</t>
        </is>
      </c>
      <c r="B129" s="17" t="inlineStr">
        <is>
          <t>List</t>
        </is>
      </c>
      <c r="C129" s="17" t="inlineStr">
        <is>
          <t>Yes</t>
        </is>
      </c>
      <c r="D129" s="18" t="inlineStr">
        <is>
          <t>'project' or 'assignment' - which of the two this figure is for. The only sheet whose parent depends on a value IN the row, which is why the key carries it.</t>
        </is>
      </c>
      <c r="E129" s="17" t="inlineStr">
        <is>
          <t>REQ-CAL-18</t>
        </is>
      </c>
    </row>
    <row r="130">
      <c r="A130" s="17" t="inlineStr">
        <is>
          <t>ref_id</t>
        </is>
      </c>
      <c r="B130" s="17" t="inlineStr">
        <is>
          <t>Text</t>
        </is>
      </c>
      <c r="C130" s="17" t="inlineStr">
        <is>
          <t>Yes</t>
        </is>
      </c>
      <c r="D130" s="18" t="inlineStr">
        <is>
          <t>The project_id or the assignment_id this figure belongs to, according to scope.</t>
        </is>
      </c>
      <c r="E130" s="17" t="inlineStr">
        <is>
          <t>REQ-CAL-18</t>
        </is>
      </c>
    </row>
    <row r="131">
      <c r="A131" s="17" t="inlineStr">
        <is>
          <t>month</t>
        </is>
      </c>
      <c r="B131" s="17" t="inlineStr">
        <is>
          <t>Text</t>
        </is>
      </c>
      <c r="C131" s="17" t="inlineStr">
        <is>
          <t>Yes</t>
        </is>
      </c>
      <c r="D131" s="18" t="inlineStr">
        <is>
          <t>The month, as YYYY-MM. One figure per month per thing (V-08).</t>
        </is>
      </c>
      <c r="E131" s="17" t="inlineStr">
        <is>
          <t>REQ-CAL-18</t>
        </is>
      </c>
    </row>
    <row r="132">
      <c r="A132" s="17" t="inlineStr">
        <is>
          <t>fte</t>
        </is>
      </c>
      <c r="B132" s="17" t="inlineStr">
        <is>
          <t>Decimal</t>
        </is>
      </c>
      <c r="C132" s="17" t="inlineStr">
        <is>
          <t>Yes</t>
        </is>
      </c>
      <c r="D132" s="18" t="inlineStr">
        <is>
          <t>The monthly FTE, STATED rather than calculated. An assignment figure is that person's own contribution to that project; a project figure is the whole month, and the people on it are scaled to add up to it.</t>
        </is>
      </c>
      <c r="E132" s="17" t="inlineStr">
        <is>
          <t>REQ-CAL-18</t>
        </is>
      </c>
    </row>
    <row r="133">
      <c r="A133" s="17" t="inlineStr">
        <is>
          <t>edited_at</t>
        </is>
      </c>
      <c r="B133" s="17" t="inlineStr">
        <is>
          <t>Date</t>
        </is>
      </c>
      <c r="C133" s="17" t="inlineStr">
        <is>
          <t>No</t>
        </is>
      </c>
      <c r="D133" s="18" t="inlineStr">
        <is>
          <t>When the figure was last set. Written by the application, so a figure somebody typed can be told from one copied across on switching.</t>
        </is>
      </c>
      <c r="E133" s="17" t="inlineStr">
        <is>
          <t>REQ-CAL-18</t>
        </is>
      </c>
    </row>
    <row r="134">
      <c r="A134" s="17" t="inlineStr">
        <is>
          <t>note_1</t>
        </is>
      </c>
      <c r="B134" s="17" t="inlineStr">
        <is>
          <t>Text</t>
        </is>
      </c>
      <c r="C134" s="17" t="inlineStr">
        <is>
          <t>No</t>
        </is>
      </c>
      <c r="D134" s="18" t="inlineStr">
        <is>
          <t>Why this figure was stated. The argument for a departure from the assumptions belongs beside it.</t>
        </is>
      </c>
      <c r="E134" s="17" t="inlineStr">
        <is>
          <t>REQ-CAL-18</t>
        </is>
      </c>
    </row>
    <row r="136">
      <c r="A136" s="16" t="inlineStr">
        <is>
          <t>Read only where the owning Project or Assignment carries estimation_type = 'manual'; rows left behind by a switch back to automatic are ignored rather than obeyed. MANUAL IS ALL OR NOTHING for the thing it is set on: the application copies EVERY month across when switching, so no month carries a flag of its own and there is no such thing as a half-manual run. A month with no row after that is a figure somebody removed, and V-31 says so rather than the application quietly filling it back in.</t>
        </is>
      </c>
    </row>
    <row r="137">
      <c r="A137" s="5" t="inlineStr">
        <is>
          <t>Sheet: Config</t>
        </is>
      </c>
    </row>
    <row r="138" ht="28" customHeight="1">
      <c r="A138" s="7" t="inlineStr">
        <is>
          <t>parameter</t>
        </is>
      </c>
      <c r="B138" s="7" t="inlineStr">
        <is>
          <t>Meaning</t>
        </is>
      </c>
      <c r="C138" s="7" t="inlineStr">
        <is>
          <t>Default value</t>
        </is>
      </c>
      <c r="D138" s="7" t="inlineStr">
        <is>
          <t>REQ-ID</t>
        </is>
      </c>
    </row>
    <row r="139">
      <c r="A139" s="20" t="inlineStr">
        <is>
          <t>schema_version</t>
        </is>
      </c>
      <c r="B139" s="19" t="inlineStr">
        <is>
          <t>Version of this workbook structure; checked on import. Steps to 3 at v1.4, 4 at v1.7, 5 at v1.8, 6 at v2.27 (R-12), 7 at v2.30 (R-16), 8 at v2.31 (R-17), 9 at v2.38 (R-30), 10 at v2.39 (R-31), 11 at v2.41 (R-33, the standards sheet renamed).</t>
        </is>
      </c>
      <c r="C139" s="20" t="inlineStr">
        <is>
          <t>11</t>
        </is>
      </c>
      <c r="D139" s="20" t="inlineStr">
        <is>
          <t>REQ-VC-02</t>
        </is>
      </c>
    </row>
    <row r="140">
      <c r="A140" s="17" t="inlineStr">
        <is>
          <t>absorb_unstaffed_role_factor</t>
        </is>
      </c>
      <c r="B140" s="18" t="inlineStr">
        <is>
          <t>1 = where nobody holds a role on a project, its factor is added to the role named in RoleFactor.absorbed_by (REQ-CAL-16). 0 = an unstaffed role simply costs nothing, which is how every version before v2.31 behaved. A setting for the same reason the last one is: it moves every figure on a project that is not fully staffed.</t>
        </is>
      </c>
      <c r="C140" s="17" t="inlineStr">
        <is>
          <t>1</t>
        </is>
      </c>
      <c r="D140" s="17" t="inlineStr">
        <is>
          <t>REQ-CAL-16</t>
        </is>
      </c>
    </row>
    <row r="141">
      <c r="A141" s="17" t="inlineStr">
        <is>
          <t>split_shared_role_fte</t>
        </is>
      </c>
      <c r="B141" s="18" t="inlineStr">
        <is>
          <t>1 = where several people hold the same role on one project in a month, the role factor is divided between them (REQ-CAL-14). 0 = each carries the whole factor, which is how every version before v2.28 behaved. A setting rather than a constant because it changes every figure a shared role ever produced, and somebody comparing this month's report with last year's has to be able to see where the difference came from.</t>
        </is>
      </c>
      <c r="C141" s="17" t="inlineStr">
        <is>
          <t>1</t>
        </is>
      </c>
      <c r="D141" s="17" t="inlineStr">
        <is>
          <t>REQ-CAL-14</t>
        </is>
      </c>
    </row>
    <row r="142">
      <c r="A142" s="17" t="inlineStr">
        <is>
          <t>fte_hours_per_month</t>
        </is>
      </c>
      <c r="B142" s="18" t="inlineStr">
        <is>
          <t>Hours equal to 1.00 FTE.</t>
        </is>
      </c>
      <c r="C142" s="17" t="inlineStr">
        <is>
          <t>160</t>
        </is>
      </c>
      <c r="D142" s="17" t="inlineStr">
        <is>
          <t>REQ-CAL-08</t>
        </is>
      </c>
    </row>
    <row r="143">
      <c r="A143" s="17" t="inlineStr">
        <is>
          <t>over_allocation_fte</t>
        </is>
      </c>
      <c r="B143" s="18" t="inlineStr">
        <is>
          <t>Person-month total above this is over-allocated.</t>
        </is>
      </c>
      <c r="C143" s="17" t="inlineStr">
        <is>
          <t>1.50</t>
        </is>
      </c>
      <c r="D143" s="17" t="inlineStr">
        <is>
          <t>REQ-CAL-04</t>
        </is>
      </c>
    </row>
    <row r="144">
      <c r="A144" s="20" t="inlineStr">
        <is>
          <t>under_allocation_fte</t>
        </is>
      </c>
      <c r="B144" s="19" t="inlineStr">
        <is>
          <t>Person-month total below this counts toward an under-allocated run. Absolute, not scaled by capacity.</t>
        </is>
      </c>
      <c r="C144" s="20" t="inlineStr">
        <is>
          <t>0.60</t>
        </is>
      </c>
      <c r="D144" s="20" t="inlineStr">
        <is>
          <t>REQ-CAL-07</t>
        </is>
      </c>
    </row>
    <row r="145">
      <c r="A145" s="17" t="inlineStr">
        <is>
          <t>under_allocation_min_months</t>
        </is>
      </c>
      <c r="B145" s="18" t="inlineStr">
        <is>
          <t>Consecutive months below the threshold before flagging.</t>
        </is>
      </c>
      <c r="C145" s="17" t="inlineStr">
        <is>
          <t>3</t>
        </is>
      </c>
      <c r="D145" s="17" t="inlineStr">
        <is>
          <t>REQ-CAL-07</t>
        </is>
      </c>
    </row>
    <row r="146">
      <c r="A146" s="20" t="inlineStr">
        <is>
          <t>default_horizon_months</t>
        </is>
      </c>
      <c r="B146" s="19" t="inlineStr">
        <is>
          <t>Months shown on opening.</t>
        </is>
      </c>
      <c r="C146" s="20" t="inlineStr">
        <is>
          <t>24</t>
        </is>
      </c>
      <c r="D146" s="20" t="inlineStr">
        <is>
          <t>REQ-CAL-01</t>
        </is>
      </c>
    </row>
    <row r="147">
      <c r="A147" s="20" t="inlineStr">
        <is>
          <t>capacity_unit</t>
        </is>
      </c>
      <c r="B147" s="19" t="inlineStr">
        <is>
          <t>Display unit for the figures on screen. 'FTE' shows a WEIGHT: 1.00 is one person working a full month on the project and 0.50 is half of one, so ordinary values run about 0.1 to 1.0. 'hours' shows that same weight multiplied by fte_hours_per_month. Display only - it changes nothing that is stored, and no figure the calculation produces. The value 'percent' was named here until v2.35 and was never implemented: anything other than 'hours' displays as FTE.</t>
        </is>
      </c>
      <c r="C147" s="20" t="inlineStr">
        <is>
          <t>FTE</t>
        </is>
      </c>
      <c r="D147" s="20" t="inlineStr">
        <is>
          <t>REQ-CAL-08</t>
        </is>
      </c>
    </row>
    <row r="149">
      <c r="A149" s="5" t="inlineStr">
        <is>
          <t>Sheet: Lists   [new]</t>
        </is>
      </c>
    </row>
    <row r="150">
      <c r="A150" s="6" t="inlineStr">
        <is>
          <t>Two columns - list_name, value - holding every data-driven dropdown: outsourcing_type, clinical_phase,</t>
        </is>
      </c>
    </row>
    <row r="151">
      <c r="A151" s="6" t="inlineStr">
        <is>
          <t>milestone_name, period_name, EDC_system, DataReviewSystem, RBQM_system, setup_party, project_status.</t>
        </is>
      </c>
    </row>
    <row r="152">
      <c r="A152" s="6" t="inlineStr">
        <is>
          <t>Adding a permitted value is a data edit, never a code change (REQ-CAL-06). A third column, note_1,</t>
        </is>
      </c>
    </row>
    <row r="153">
      <c r="A153" s="6" t="inlineStr">
        <is>
          <t>carries free text about a value - when it was added, or what it means.</t>
        </is>
      </c>
    </row>
    <row r="155">
      <c r="A155" s="5" t="inlineStr">
        <is>
          <t>Referential rules checked on import</t>
        </is>
      </c>
    </row>
    <row r="156" ht="28" customHeight="1">
      <c r="A156" s="7" t="inlineStr">
        <is>
          <t>ID</t>
        </is>
      </c>
      <c r="B156" s="7" t="inlineStr">
        <is>
          <t>Rule</t>
        </is>
      </c>
      <c r="C156" s="7" t="inlineStr">
        <is>
          <t>On failure</t>
        </is>
      </c>
    </row>
    <row r="157">
      <c r="A157" s="8" t="inlineStr">
        <is>
          <t>V-01</t>
        </is>
      </c>
      <c r="B157" s="9" t="inlineStr">
        <is>
          <t>Every Assignment.project_id exists in Project.</t>
        </is>
      </c>
      <c r="C157" s="9" t="inlineStr">
        <is>
          <t>Error - row rejected, reported with its row number.</t>
        </is>
      </c>
    </row>
    <row r="158">
      <c r="A158" s="10" t="inlineStr">
        <is>
          <t>V-02</t>
        </is>
      </c>
      <c r="B158" s="11" t="inlineStr">
        <is>
          <t>Every Assignment.person_id exists in Person.</t>
        </is>
      </c>
      <c r="C158" s="11" t="inlineStr">
        <is>
          <t>Error - row rejected.</t>
        </is>
      </c>
    </row>
    <row r="159">
      <c r="A159" s="20" t="inlineStr">
        <is>
          <t>V-03</t>
        </is>
      </c>
      <c r="B159" s="19" t="inlineStr">
        <is>
          <t>Every Assignment.role_name appears in RoleFactor for that project's type - the coarse half of the question V-23 asks precisely.</t>
        </is>
      </c>
      <c r="C159" s="19" t="inlineStr">
        <is>
          <t>Error, CLASS CONDITIONAL (R-25): reported at full severity, never refusing the row, and named at Save so the user can keep it knowingly. Was a warning in v0.1; roles are now type-specific, so a mismatch is a real error and the figures for that role are wrong. It is still not a reason to refuse the row: RoleFactor is a standing document maintained separately from any one plan, and the person really is on the project whether or not somebody has entered a factor for their role yet. Kept alongside V-23 because it catches a mistyped role name at once, where V-23 only speaks once the assignment reaches a period and draws FTE.</t>
        </is>
      </c>
    </row>
    <row r="160">
      <c r="A160" s="17" t="inlineStr">
        <is>
          <t>V-24</t>
        </is>
      </c>
      <c r="B160" s="18" t="inlineStr">
        <is>
          <t>Every PersonPeriodWeight.assignment_id exists in Assignment, and (assignment_id, period_start) is unique.</t>
        </is>
      </c>
      <c r="C160" s="18" t="inlineStr">
        <is>
          <t>Error - an override on an assignment that does not exist is silently ignored, so the weight the user typed never applies and nothing says so.</t>
        </is>
      </c>
    </row>
    <row r="161">
      <c r="A161" s="17" t="inlineStr">
        <is>
          <t>V-27</t>
        </is>
      </c>
      <c r="B161" s="18" t="inlineStr">
        <is>
          <t>Every clinical trial's (project_type, clinical_phase, work_scope_type) has at least one row in PeriodFTEStandard - checked on the PROJECT, not on its periods.</t>
        </is>
      </c>
      <c r="C161" s="18" t="inlineStr">
        <is>
          <t>Error - V-19 is precise but only looks at periods a project actually has, so a project whose milestones are missing is never checked at all, and a combination that was never entered is reported once per period rather than once as the one thing that is wrong. This asks the blunter question first: is there any standard for this project at all. Without one, every period would be weighted 1.00.</t>
        </is>
      </c>
    </row>
    <row r="162">
      <c r="A162" s="20" t="inlineStr">
        <is>
          <t>V-28</t>
        </is>
      </c>
      <c r="B162" s="19" t="inlineStr">
        <is>
          <t>RETIRED at v2.32 (R-18), one version after it was added. It reported an assignment whose role had no RoleFactor row for that project's (project_type, clinical_phase, work_scope_type) at all.</t>
        </is>
      </c>
      <c r="C162" s="19" t="inlineStr">
        <is>
          <t>Retired - and deliberately not reinstated at a lower severity. What the rule SAID was true; what it did not account for was WHEN it said it. An error refuses the edit that raised it (REQ-IMP-09), and unlike V-23 this one did not need the project to have any periods - so it fired on a project still being built, which is exactly when assignments are being typed in. A user could not record who was on a project until the standing assumptions carried a factor for their role, which is backwards: the plan is the document being written, the assumptions are maintained separately. The gap is not denied - V-03 still refuses a role invalid for the project type, and V-23 still reports a role with no factor for a period the project spans, which is the same finding at the point where it can be acted on. The id is not reused.</t>
        </is>
      </c>
    </row>
    <row r="163">
      <c r="A163" s="17" t="inlineStr">
        <is>
          <t>V-29</t>
        </is>
      </c>
      <c r="B163" s="18" t="inlineStr">
        <is>
          <t>A role that carries a factor, that nobody holds on the project, and that nothing covers for.</t>
        </is>
      </c>
      <c r="C163" s="18" t="inlineStr">
        <is>
          <t>Information - the direct consequence of REQ-CAL-16 and the reason it exists. Where an unstaffed role names somebody to cover, the figure is corrected; where it names nobody, the same under-estimate is still there and nothing else would say so. Information rather than a warning, because a project legitimately without a role is ordinary: this is a note about what the figures do NOT include, not a fault to correct.</t>
        </is>
      </c>
    </row>
    <row r="164">
      <c r="A164" s="17" t="inlineStr">
        <is>
          <t>V-31</t>
        </is>
      </c>
      <c r="B164" s="18" t="inlineStr">
        <is>
          <t>A project or assignment set to MANUAL has months it covers that carry no MonthlyEstimate figure. Named, with the months listed.</t>
        </is>
      </c>
      <c r="C164" s="18" t="inlineStr">
        <is>
          <t>Error - those months are counted as 0.00, and a figure silently dropping to zero is the one outcome this feature must never produce quietly. Not a refusal: it is raised from the CALCULATION, like V-23, because it is something that happened to a number rather than a fact about a sheet, and a finding that exists only after the arithmetic cannot refuse the edit that led to it. Switching to manual copies every month across, so a month with no figure is one that has since been removed or a month the thing has grown into - the application offers to fill them from the calculation.</t>
        </is>
      </c>
    </row>
    <row r="165">
      <c r="A165" s="17" t="inlineStr">
        <is>
          <t>V-33</t>
        </is>
      </c>
      <c r="B165" s="18" t="inlineStr">
        <is>
          <t>A manual ASSIGNMENT figure that the project's own manual figure overrode. REQ-CAL-18 makes the project figure the mother figure - it is the whole month, and the people on it are scaled so they still add up to it - so somebody can type 2.00 against their own name and be given 1.73, because their figure and a colleague's together had to come to the project's month. That is the specified behaviour and it is what keeps the two utilisation charts agreeing; what was missing is that the application did it SILENTLY, so the sheet said one thing and the chart another with nothing connecting them. Now: a SOFT STOP at the moment the figure is edited, naming both numbers and offering to keep it or put it back; the cell marked; the Monthly estimation panel carrying a table of stated against given; and this finding, which reaches the findings report and the archived change log. WARNING, not error, and it never refuses: both numbers were typed deliberately and which of them is wrong is not the application's judgement.</t>
        </is>
      </c>
      <c r="C165" s="18" t="inlineStr">
        <is>
          <t>Warning</t>
        </is>
      </c>
      <c r="D165" s="17" t="inlineStr">
        <is>
          <t>R-39</t>
        </is>
      </c>
      <c r="E165" s="17" t="inlineStr">
        <is>
          <t>4</t>
        </is>
      </c>
    </row>
    <row r="166">
      <c r="A166" s="17" t="inlineStr">
        <is>
          <t>V-32</t>
        </is>
      </c>
      <c r="B166" s="18" t="inlineStr">
        <is>
          <t>A project set to MANUAL has a figure for a month in which nobody is assigned to it.</t>
        </is>
      </c>
      <c r="C166" s="18" t="inlineStr">
        <is>
          <t>Error - the figure is NOT applied. A project month is shared out among the people on it, so there is nobody to give this to; applying it anyway would give the project a total that none of its people account for, which is exactly the disagreement REQ-CAL-18 scales the people to avoid. Assign somebody to those months, or remove the figure.</t>
        </is>
      </c>
    </row>
    <row r="167">
      <c r="A167" s="17" t="inlineStr">
        <is>
          <t>V-30</t>
        </is>
      </c>
      <c r="B167" s="18" t="inlineStr">
        <is>
          <t>Config has no row for a setting the application reads, so its built-in default is in force. Reported for every such setting, naming the value being used.</t>
        </is>
      </c>
      <c r="C167" s="18" t="inlineStr">
        <is>
          <t>Information - the file is not malformed and the application is doing the only sensible thing with it, so this is a note rather than a fault. It exists because the absence is otherwise INVISIBLE: every setting is read through a fallback, and the delivered values equal the defaults, so on a stock file nothing moves. A plan whose under-allocation floor had been set to 0.80, or whose shared-role division had been turned off to compare with last year, would revert the moment its row went missing - every dependent figure changing, and nothing on screen saying why. Since v2.35 the row cannot be DELETED in the application (the Config table offers neither '+ row' nor 'Delete', because each setting is read by name), so this now reports a hand-edited workbook or one from a version that predates the setting.</t>
        </is>
      </c>
    </row>
    <row r="168">
      <c r="A168" s="20" t="inlineStr">
        <is>
          <t>V-25</t>
        </is>
      </c>
      <c r="B168" s="19" t="inlineStr">
        <is>
          <t>RETIRED at schema 7 (R-16). It reported a project whose work_scope_type contradicted its outsourcing_type.</t>
        </is>
      </c>
      <c r="C168" s="19" t="inlineStr">
        <is>
          <t>Retired - the rule existed only because two columns sat on the same axis and one of them drove the weights. outsourcing_scope_det is free text now, so there is nothing left to contradict. A rule that can no longer fire is removed rather than left standing and unexplained; the id is not reused.</t>
        </is>
      </c>
    </row>
    <row r="169">
      <c r="A169" s="17" t="inlineStr">
        <is>
          <t>V-26</t>
        </is>
      </c>
      <c r="B169" s="18" t="inlineStr">
        <is>
          <t>No project carries a project_type that schema 6 retired - at present 'Biosimilar CT', which became 'Biosimilar CT (Healthy)' and 'Biosimilar CT (Patient)'.</t>
        </is>
      </c>
      <c r="C169" s="18" t="inlineStr">
        <is>
          <t>Error - reported as itself rather than as a generic unknown value, because the remedy is a choice the file cannot make on the user's behalf. Only they know whether the trial ran in healthy volunteers or in patients, and guessing would put a wrong weight on real work.</t>
        </is>
      </c>
    </row>
    <row r="170">
      <c r="A170" s="20" t="inlineStr">
        <is>
          <t>V-23</t>
        </is>
      </c>
      <c r="B170" s="19" t="inlineStr">
        <is>
          <t>Every (project_type, clinical_phase, work_scope_type, period_name, role_name) that a PERSON-MONTH ACTUALLY LOOKED UP has a RoleFactor row. Raised BY the calculation (R-19), grouped on that whole composition, and counted in person-months affected.</t>
        </is>
      </c>
      <c r="C170" s="19" t="inlineStr">
        <is>
          <t>Error, CLASS CONDITIONAL (R-25) - a factor missing for one period silently drops that stretch to 1.00, which is a wrong number rather than an obvious gap. Two things changed at R-19. It is keyed on the composition the lookup uses, and reported only where a figure was actually produced - asked off the sheets it walked every period of every project an assignment belonged to, so it demanded rows for periods nobody was ever booked into. And because it exists only after the arithmetic, it CANNOT REFUSE AN EDIT: it says the figures are short of an assumption, not that the row is wrong.</t>
        </is>
      </c>
    </row>
    <row r="171">
      <c r="A171" s="8" t="inlineStr">
        <is>
          <t>V-04</t>
        </is>
      </c>
      <c r="B171" s="9" t="inlineStr">
        <is>
          <t>project_category is present for either clinical trial type.</t>
        </is>
      </c>
      <c r="C171" s="9" t="inlineStr">
        <is>
          <t>Warning - shown as blank in the dashboard.</t>
        </is>
      </c>
    </row>
    <row r="172">
      <c r="A172" s="10" t="inlineStr">
        <is>
          <t>V-05</t>
        </is>
      </c>
      <c r="B172" s="11" t="inlineStr">
        <is>
          <t>end_date is on or after start_date, for projects, assignments and all weight periods.</t>
        </is>
      </c>
      <c r="C172" s="11" t="inlineStr">
        <is>
          <t>Error - row rejected.</t>
        </is>
      </c>
    </row>
    <row r="173">
      <c r="A173" s="20" t="inlineStr">
        <is>
          <t>V-06</t>
        </is>
      </c>
      <c r="B173" s="19" t="inlineStr">
        <is>
          <t>Periods within one project, and override windows within one assignment, do not overlap.</t>
        </is>
      </c>
      <c r="C173" s="19" t="inlineStr">
        <is>
          <t>Error - overlapping pair reported. The assignment half was specified from v1.0 but not implemented until R-12; an overlap there makes the applied weight depend on row order.</t>
        </is>
      </c>
    </row>
    <row r="174">
      <c r="A174" s="10" t="inlineStr">
        <is>
          <t>V-07</t>
        </is>
      </c>
      <c r="B174" s="11" t="inlineStr">
        <is>
          <t>Assignment dates fall inside the project's own start and end dates.</t>
        </is>
      </c>
      <c r="C174" s="11" t="inlineStr">
        <is>
          <t>Warning - kept, but listed for review.</t>
        </is>
      </c>
    </row>
    <row r="175">
      <c r="A175" s="8" t="inlineStr">
        <is>
          <t>V-08</t>
        </is>
      </c>
      <c r="B175" s="9" t="inlineStr">
        <is>
          <t>project_id, person_id and assignment_id are unique in their sheet.</t>
        </is>
      </c>
      <c r="C175" s="9" t="inlineStr">
        <is>
          <t>Error - duplicate rejected.</t>
        </is>
      </c>
    </row>
    <row r="176">
      <c r="A176" s="10" t="inlineStr">
        <is>
          <t>V-09</t>
        </is>
      </c>
      <c r="B176" s="11" t="inlineStr">
        <is>
          <t>schema_version in Config matches the version the application expects.</t>
        </is>
      </c>
      <c r="C176" s="11" t="inlineStr">
        <is>
          <t>Warning - proceeds, banner shown.</t>
        </is>
      </c>
    </row>
    <row r="177">
      <c r="A177" s="17" t="inlineStr">
        <is>
          <t>V-10</t>
        </is>
      </c>
      <c r="B177" s="18" t="inlineStr">
        <is>
          <t>Clinical-trial projects carry clinical_phase and the four *_setup values.</t>
        </is>
      </c>
      <c r="C177" s="18" t="inlineStr">
        <is>
          <t>Warning - the project still simulates; the gap is listed.</t>
        </is>
      </c>
    </row>
    <row r="178">
      <c r="A178" s="17" t="inlineStr">
        <is>
          <t>V-11</t>
        </is>
      </c>
      <c r="B178" s="18" t="inlineStr">
        <is>
          <t>Every list-typed value appears in the Lists sheet for its list.</t>
        </is>
      </c>
      <c r="C178" s="18" t="inlineStr">
        <is>
          <t>Warning - value kept, reported as unrecognised.</t>
        </is>
      </c>
    </row>
    <row r="179">
      <c r="A179" s="20" t="inlineStr">
        <is>
          <t>V-12</t>
        </is>
      </c>
      <c r="B179" s="19" t="inlineStr">
        <is>
          <t>A project's periods leave no gap and no overlap across its timeline. The full set need not be present - a period may be legitimately omitted (REQ-CAL-12).</t>
        </is>
      </c>
      <c r="C179" s="19" t="inlineStr">
        <is>
          <t>Warning - months with no period use weight 1.00 and are listed (REQ-CAL-10).</t>
        </is>
      </c>
    </row>
    <row r="180">
      <c r="A180" s="17" t="inlineStr">
        <is>
          <t>V-13</t>
        </is>
      </c>
      <c r="B180" s="18" t="inlineStr">
        <is>
          <t>Denormalised project_name / person_name match their master row.</t>
        </is>
      </c>
      <c r="C180" s="18" t="inlineStr">
        <is>
          <t>Warning - the master value wins and the copy is refreshed.</t>
        </is>
      </c>
    </row>
    <row r="181">
      <c r="A181" s="20" t="inlineStr">
        <is>
          <t>V-14</t>
        </is>
      </c>
      <c r="B181" s="19" t="inlineStr">
        <is>
          <t>A milestone date falls inside its project's start..end window, and the boundary milestones appear in chronological order. Repeated 'Inspection' rows are exempt from the uniqueness part of this check.</t>
        </is>
      </c>
      <c r="C181" s="19" t="inlineStr">
        <is>
          <t>Error for period-defining milestones - the derivation cannot run. Warning for markers.</t>
        </is>
      </c>
    </row>
    <row r="182">
      <c r="A182" s="17" t="inlineStr">
        <is>
          <t>V-15</t>
        </is>
      </c>
      <c r="B182" s="18" t="inlineStr">
        <is>
          <t>A period_name belongs to the period set of its project's type.</t>
        </is>
      </c>
      <c r="C182" s="18" t="inlineStr">
        <is>
          <t>Error - a 'Planning' period on a clinical trial is a category mistake, not a typo.</t>
        </is>
      </c>
    </row>
    <row r="183">
      <c r="A183" s="17" t="inlineStr">
        <is>
          <t>V-16</t>
        </is>
      </c>
      <c r="B183" s="18" t="inlineStr">
        <is>
          <t>A clinical trial carries the milestones the derivation needs: CTA submission, and at least one DB lock.</t>
        </is>
      </c>
      <c r="C183" s="18" t="inlineStr">
        <is>
          <t>Error - without them no period boundary can be computed.</t>
        </is>
      </c>
    </row>
    <row r="184">
      <c r="A184" s="20" t="inlineStr">
        <is>
          <t>V-18</t>
        </is>
      </c>
      <c r="B184" s="19" t="inlineStr">
        <is>
          <t>Within a project, period_name is unique, and period_seq is unique.</t>
        </is>
      </c>
      <c r="C184" s="19" t="inlineStr">
        <is>
          <t>Error - since R-11 the key is (project_id, period_name), so a repeated name is a duplicate key rather than a legitimate second stretch. period_seq stays unique because it carries the order.</t>
        </is>
      </c>
    </row>
    <row r="185">
      <c r="A185" s="20" t="inlineStr">
        <is>
          <t>V-19</t>
        </is>
      </c>
      <c r="B185" s="19" t="inlineStr">
        <is>
          <t>A clinical trial carries a clinical_phase, and PeriodFTEStandard has rows for that phase. Not applied to 'Others' projects, whose weights are entered directly.</t>
        </is>
      </c>
      <c r="C185" s="19" t="inlineStr">
        <is>
          <t>Error - since Q-26 the phase selects the weights, so a missing phase leaves the project unweighted.</t>
        </is>
      </c>
    </row>
    <row r="186">
      <c r="A186" s="17" t="inlineStr">
        <is>
          <t>V-20</t>
        </is>
      </c>
      <c r="B186" s="18" t="inlineStr">
        <is>
          <t>A milestone other than 'Inspection' appears at most once per project.</t>
        </is>
      </c>
      <c r="C186" s="18" t="inlineStr">
        <is>
          <t>Warning - repeats are allowed but usually a data-entry slip outside Inspection.</t>
        </is>
      </c>
    </row>
    <row r="187">
      <c r="A187" s="17" t="inlineStr">
        <is>
          <t>V-21</t>
        </is>
      </c>
      <c r="B187" s="18" t="inlineStr">
        <is>
          <t>'Inspection' dates on or before the final DB lock are treated as markers, not as the start of period 7.</t>
        </is>
      </c>
      <c r="C187" s="18" t="inlineStr">
        <is>
          <t>Information - listed so the reader can see why an early inspection did not open a period.</t>
        </is>
      </c>
    </row>
    <row r="188">
      <c r="A188" s="17" t="inlineStr">
        <is>
          <t>V-22</t>
        </is>
      </c>
      <c r="B188" s="18" t="inlineStr">
        <is>
          <t>No person carries a capacity_fte below the under-allocation floor.</t>
        </is>
      </c>
      <c r="C188" s="18" t="inlineStr">
        <is>
          <t>Warning - such a person can never clear the floor however fully they are booked, so the flag would be permanent and meaningless.</t>
        </is>
      </c>
    </row>
    <row r="189">
      <c r="A189" s="17" t="inlineStr">
        <is>
          <t>V-17</t>
        </is>
      </c>
      <c r="B189" s="18" t="inlineStr">
        <is>
          <t>On editing an identifier, every referencing row is updated; on deleting a row, nothing may still reference it.</t>
        </is>
      </c>
      <c r="C189" s="18" t="inlineStr">
        <is>
          <t>Cascade after confirmation / deletion refused (REQ-IMP-10).</t>
        </is>
      </c>
    </row>
    <row r="191">
      <c r="A191" s="16" t="inlineStr">
        <is>
          <t>Import never stops at the first problem: it collects every finding and presents one report (REQ-IMP-02). Under REQ-IMP-09 the same rules run again on any value edited on screen.</t>
        </is>
      </c>
    </row>
    <row r="192">
      <c r="A192" s="3" t="inlineStr">
        <is>
          <t>Legend</t>
        </is>
      </c>
    </row>
    <row r="193">
      <c r="A193" s="12" t="inlineStr">
        <is>
          <t>Green = new in v0.2, added from your review answers.</t>
        </is>
      </c>
    </row>
    <row r="194">
      <c r="A194" s="13" t="inlineStr">
        <is>
          <t>Orange = changed in v0.2 as a consequence of your review.</t>
        </is>
      </c>
    </row>
    <row r="195">
      <c r="A195"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1-25 applied (app v1.24);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t>
        </is>
      </c>
    </row>
    <row r="60">
      <c r="A60" s="8" t="inlineStr">
        <is>
          <t>v2.23</t>
        </is>
      </c>
      <c r="B60" s="8" t="inlineStr">
        <is>
          <t>v1.0</t>
        </is>
      </c>
      <c r="C60" s="8" t="inlineStr">
        <is>
          <t>application v1.21</t>
        </is>
      </c>
      <c r="D60" s="8" t="inlineStr">
        <is>
          <t>5</t>
        </is>
      </c>
      <c r="E60" s="8" t="inlineStr">
        <is>
          <t>2026-07-31</t>
        </is>
      </c>
      <c r="F60" s="9" t="inlineStr">
        <is>
          <t>Gate 4 round 22: allocated ids, neutral weights, and scroll regions that say there is more.</t>
        </is>
      </c>
    </row>
    <row r="61">
      <c r="A61" s="10" t="inlineStr">
        <is>
          <t>v2.24</t>
        </is>
      </c>
      <c r="B61" s="10" t="inlineStr">
        <is>
          <t>v1.0</t>
        </is>
      </c>
      <c r="C61" s="10" t="inlineStr">
        <is>
          <t>application v1.22</t>
        </is>
      </c>
      <c r="D61" s="10" t="inlineStr">
        <is>
          <t>5</t>
        </is>
      </c>
      <c r="E61" s="10" t="inlineStr">
        <is>
          <t>2026-07-31</t>
        </is>
      </c>
      <c r="F61" s="11" t="inlineStr">
        <is>
          <t>Gate 4 round 23: the project window and team size derived from the rows beneath.</t>
        </is>
      </c>
    </row>
    <row r="62">
      <c r="A62" s="8" t="inlineStr">
        <is>
          <t>v2.25</t>
        </is>
      </c>
      <c r="B62" s="8" t="inlineStr">
        <is>
          <t>v1.0</t>
        </is>
      </c>
      <c r="C62" s="8" t="inlineStr">
        <is>
          <t>application v1.23</t>
        </is>
      </c>
      <c r="D62" s="8" t="inlineStr">
        <is>
          <t>5</t>
        </is>
      </c>
      <c r="E62" s="8" t="inlineStr">
        <is>
          <t>2026-07-31</t>
        </is>
      </c>
      <c r="F62" s="9" t="inlineStr">
        <is>
          <t>Gate 4 round 24: outsourcing filter, a horizon that follows the filters, and a change log.</t>
        </is>
      </c>
    </row>
    <row r="63">
      <c r="A63" s="10" t="inlineStr">
        <is>
          <t>v2.26</t>
        </is>
      </c>
      <c r="B63" s="10" t="inlineStr">
        <is>
          <t>v1.0</t>
        </is>
      </c>
      <c r="C63" s="10" t="inlineStr">
        <is>
          <t>application v1.24</t>
        </is>
      </c>
      <c r="D63" s="10" t="inlineStr">
        <is>
          <t>5</t>
        </is>
      </c>
      <c r="E63" s="10" t="inlineStr">
        <is>
          <t>2026-07-31</t>
        </is>
      </c>
      <c r="F63" s="11" t="inlineStr">
        <is>
          <t>Gate 4 round 25: multi-value filters, and the two generators on the project tab. 4.9 continues.</t>
        </is>
      </c>
    </row>
    <row r="64">
      <c r="A64" s="8" t="inlineStr"/>
      <c r="B64" s="8" t="inlineStr"/>
      <c r="C64" s="8" t="inlineStr"/>
      <c r="D64" s="8" t="inlineStr"/>
      <c r="E64" s="8" t="inlineStr"/>
      <c r="F64" s="9" t="inlineStr"/>
    </row>
    <row r="66">
      <c r="A66" s="16" t="inlineStr">
        <is>
          <t>One row per release. Answers 'which specification produced this .html, and which source template does it expect?'.</t>
        </is>
      </c>
    </row>
    <row r="67">
      <c r="A67" s="5" t="inlineStr">
        <is>
          <t>Repository rules</t>
        </is>
      </c>
    </row>
    <row r="68" ht="28" customHeight="1">
      <c r="A68" s="7" t="inlineStr">
        <is>
          <t>Rule</t>
        </is>
      </c>
    </row>
    <row r="69">
      <c r="A69" s="9" t="inlineStr">
        <is>
          <t>All work is committed to branch claude/project-resource-assignment-app-1vjdzh.</t>
        </is>
      </c>
    </row>
    <row r="70">
      <c r="A70" s="11" t="inlineStr">
        <is>
          <t>Documents are generated from scripts in tools/ so their content is reviewable as a text diff, not only as a binary.</t>
        </is>
      </c>
    </row>
    <row r="71">
      <c r="A71" s="9" t="inlineStr">
        <is>
          <t>One commit per meaningful change, with a message naming the step and the affected REQ-IDs.</t>
        </is>
      </c>
    </row>
    <row r="72">
      <c r="A72" s="11" t="inlineStr">
        <is>
          <t>A released version is tagged, so any release can be reproduced exactly.</t>
        </is>
      </c>
    </row>
    <row r="73">
      <c r="A73"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2026-09-06T02:54:08Z</dcterms:created>
  <dcterms:modified xmlns:dcterms="http://purl.org/dc/terms/" xmlns:xsi="http://www.w3.org/2001/XMLSchema-instance" xsi:type="dcterms:W3CDTF">2026-09-06T02:54:08Z</dcterms:modified>
</cp:coreProperties>
</file>