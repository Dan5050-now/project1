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v2.67</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2.67</t>
        </is>
      </c>
      <c r="B22" s="17" t="inlineStr">
        <is>
          <t>2026-10-07</t>
        </is>
      </c>
      <c r="C22" s="17" t="inlineStr">
        <is>
          <t>Claude Code</t>
        </is>
      </c>
      <c r="D22" s="17" t="inlineStr">
        <is>
          <t>Pending</t>
        </is>
      </c>
      <c r="E22"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2" s="17" t="inlineStr">
        <is>
          <t>Issued for review</t>
        </is>
      </c>
    </row>
    <row r="23">
      <c r="A23" s="17" t="inlineStr">
        <is>
          <t>2.66</t>
        </is>
      </c>
      <c r="B23" s="17" t="inlineStr">
        <is>
          <t>2026-10-04</t>
        </is>
      </c>
      <c r="C23" s="17" t="inlineStr">
        <is>
          <t>Claude Code</t>
        </is>
      </c>
      <c r="D23" s="17" t="inlineStr">
        <is>
          <t>Pending</t>
        </is>
      </c>
      <c r="E23"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3" s="17" t="inlineStr">
        <is>
          <t>Issued for review</t>
        </is>
      </c>
    </row>
    <row r="24">
      <c r="A24" s="17" t="inlineStr">
        <is>
          <t>2.65</t>
        </is>
      </c>
      <c r="B24" s="17" t="inlineStr">
        <is>
          <t>2026-10-01</t>
        </is>
      </c>
      <c r="C24" s="17" t="inlineStr">
        <is>
          <t>Claude Code</t>
        </is>
      </c>
      <c r="D24" s="17" t="inlineStr">
        <is>
          <t>Pending</t>
        </is>
      </c>
      <c r="E24"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24" s="17" t="inlineStr">
        <is>
          <t>Issued for review</t>
        </is>
      </c>
    </row>
    <row r="25">
      <c r="A25" s="17" t="inlineStr">
        <is>
          <t>2.64</t>
        </is>
      </c>
      <c r="B25" s="17" t="inlineStr">
        <is>
          <t>2026-10-01</t>
        </is>
      </c>
      <c r="C25" s="17" t="inlineStr">
        <is>
          <t>Claude Code</t>
        </is>
      </c>
      <c r="D25" s="17" t="inlineStr">
        <is>
          <t>Pending</t>
        </is>
      </c>
      <c r="E25"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5" s="17" t="inlineStr">
        <is>
          <t>Issued for review</t>
        </is>
      </c>
    </row>
    <row r="26">
      <c r="A26" s="17" t="inlineStr">
        <is>
          <t>2.63</t>
        </is>
      </c>
      <c r="B26" s="17" t="inlineStr">
        <is>
          <t>2026-10-01</t>
        </is>
      </c>
      <c r="C26" s="17" t="inlineStr">
        <is>
          <t>Claude Code</t>
        </is>
      </c>
      <c r="D26" s="17" t="inlineStr">
        <is>
          <t>Pending</t>
        </is>
      </c>
      <c r="E26"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6" s="17" t="inlineStr">
        <is>
          <t>Issued for review</t>
        </is>
      </c>
    </row>
    <row r="27">
      <c r="A27" s="17" t="inlineStr">
        <is>
          <t>2.62</t>
        </is>
      </c>
      <c r="B27" s="17" t="inlineStr">
        <is>
          <t>2026-10-01</t>
        </is>
      </c>
      <c r="C27" s="17" t="inlineStr">
        <is>
          <t>Claude Code</t>
        </is>
      </c>
      <c r="D27" s="17" t="inlineStr">
        <is>
          <t>Pending</t>
        </is>
      </c>
      <c r="E27"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7" s="17" t="inlineStr">
        <is>
          <t>Issued for review</t>
        </is>
      </c>
    </row>
    <row r="28">
      <c r="A28" s="17" t="inlineStr">
        <is>
          <t>2.61</t>
        </is>
      </c>
      <c r="B28" s="17" t="inlineStr">
        <is>
          <t>2026-09-23</t>
        </is>
      </c>
      <c r="C28" s="17" t="inlineStr">
        <is>
          <t>Claude Code</t>
        </is>
      </c>
      <c r="D28" s="17" t="inlineStr">
        <is>
          <t>Pending</t>
        </is>
      </c>
      <c r="E28"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8" s="17" t="inlineStr">
        <is>
          <t>Issued for review</t>
        </is>
      </c>
    </row>
    <row r="29">
      <c r="A29" s="17" t="inlineStr">
        <is>
          <t>2.60</t>
        </is>
      </c>
      <c r="B29" s="17" t="inlineStr">
        <is>
          <t>2026-09-13</t>
        </is>
      </c>
      <c r="C29" s="17" t="inlineStr">
        <is>
          <t>Claude Code</t>
        </is>
      </c>
      <c r="D29" s="17" t="inlineStr">
        <is>
          <t>Pending</t>
        </is>
      </c>
      <c r="E29"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9" s="17" t="inlineStr">
        <is>
          <t>Issued for review</t>
        </is>
      </c>
    </row>
    <row r="30">
      <c r="A30" s="19" t="inlineStr">
        <is>
          <t>2.59</t>
        </is>
      </c>
      <c r="B30" s="19" t="inlineStr">
        <is>
          <t>2026-09-13</t>
        </is>
      </c>
      <c r="C30" s="19" t="inlineStr">
        <is>
          <t>Claude Code</t>
        </is>
      </c>
      <c r="D30" s="19" t="inlineStr">
        <is>
          <t>Pending</t>
        </is>
      </c>
      <c r="E30"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0" s="19" t="inlineStr">
        <is>
          <t>Issued for review</t>
        </is>
      </c>
    </row>
    <row r="31">
      <c r="A31" s="19" t="inlineStr">
        <is>
          <t>2.58</t>
        </is>
      </c>
      <c r="B31" s="19" t="inlineStr">
        <is>
          <t>2026-09-13</t>
        </is>
      </c>
      <c r="C31" s="19" t="inlineStr">
        <is>
          <t>Claude Code</t>
        </is>
      </c>
      <c r="D31" s="19" t="inlineStr">
        <is>
          <t>Pending</t>
        </is>
      </c>
      <c r="E31"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1" s="19" t="inlineStr">
        <is>
          <t>Issued for review</t>
        </is>
      </c>
    </row>
    <row r="32">
      <c r="A32" s="19" t="inlineStr">
        <is>
          <t>2.57</t>
        </is>
      </c>
      <c r="B32" s="19" t="inlineStr">
        <is>
          <t>2026-09-13</t>
        </is>
      </c>
      <c r="C32" s="19" t="inlineStr">
        <is>
          <t>Claude Code</t>
        </is>
      </c>
      <c r="D32" s="19" t="inlineStr">
        <is>
          <t>Pending</t>
        </is>
      </c>
      <c r="E32"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2" s="19" t="inlineStr">
        <is>
          <t>Issued for review</t>
        </is>
      </c>
    </row>
    <row r="33">
      <c r="A33" s="17" t="inlineStr">
        <is>
          <t>2.56</t>
        </is>
      </c>
      <c r="B33" s="17" t="inlineStr">
        <is>
          <t>2026-09-13</t>
        </is>
      </c>
      <c r="C33" s="17" t="inlineStr">
        <is>
          <t>Claude Code</t>
        </is>
      </c>
      <c r="D33" s="17" t="inlineStr">
        <is>
          <t>Pending</t>
        </is>
      </c>
      <c r="E33"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3" s="17" t="inlineStr">
        <is>
          <t>Issued for review</t>
        </is>
      </c>
    </row>
    <row r="34">
      <c r="A34" s="17" t="inlineStr">
        <is>
          <t>2.55</t>
        </is>
      </c>
      <c r="B34" s="17" t="inlineStr">
        <is>
          <t>2026-09-13</t>
        </is>
      </c>
      <c r="C34" s="17" t="inlineStr">
        <is>
          <t>Claude Code</t>
        </is>
      </c>
      <c r="D34" s="17" t="inlineStr">
        <is>
          <t>Pending</t>
        </is>
      </c>
      <c r="E34"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4" s="17" t="inlineStr">
        <is>
          <t>Issued for review</t>
        </is>
      </c>
    </row>
    <row r="35">
      <c r="A35" s="17" t="inlineStr">
        <is>
          <t>2.54</t>
        </is>
      </c>
      <c r="B35" s="17" t="inlineStr">
        <is>
          <t>2026-09-12</t>
        </is>
      </c>
      <c r="C35" s="17" t="inlineStr">
        <is>
          <t>Claude Code</t>
        </is>
      </c>
      <c r="D35" s="17" t="inlineStr">
        <is>
          <t>Pending</t>
        </is>
      </c>
      <c r="E35"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5" s="17" t="inlineStr">
        <is>
          <t>Issued for review</t>
        </is>
      </c>
    </row>
    <row r="36">
      <c r="A36" s="17" t="inlineStr">
        <is>
          <t>2.53</t>
        </is>
      </c>
      <c r="B36" s="17" t="inlineStr">
        <is>
          <t>2026-09-12</t>
        </is>
      </c>
      <c r="C36" s="17" t="inlineStr">
        <is>
          <t>Claude Code</t>
        </is>
      </c>
      <c r="D36" s="17" t="inlineStr">
        <is>
          <t>Pending</t>
        </is>
      </c>
      <c r="E36"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6" s="17" t="inlineStr">
        <is>
          <t>Issued for review</t>
        </is>
      </c>
    </row>
    <row r="37">
      <c r="A37" s="8" t="inlineStr">
        <is>
          <t>2.52</t>
        </is>
      </c>
      <c r="B37" s="8" t="inlineStr">
        <is>
          <t>2026-09-12</t>
        </is>
      </c>
      <c r="C37" s="8" t="inlineStr">
        <is>
          <t>Claude Code</t>
        </is>
      </c>
      <c r="D37" s="8" t="inlineStr">
        <is>
          <t>Pending</t>
        </is>
      </c>
      <c r="E37"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7" s="8" t="inlineStr">
        <is>
          <t>Issued for review</t>
        </is>
      </c>
    </row>
    <row r="38">
      <c r="A38" s="10" t="inlineStr">
        <is>
          <t>2.51</t>
        </is>
      </c>
      <c r="B38" s="10" t="inlineStr">
        <is>
          <t>2026-09-11</t>
        </is>
      </c>
      <c r="C38" s="10" t="inlineStr">
        <is>
          <t>Claude Code</t>
        </is>
      </c>
      <c r="D38" s="10" t="inlineStr">
        <is>
          <t>Pending</t>
        </is>
      </c>
      <c r="E38"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8" s="10" t="inlineStr">
        <is>
          <t>Superseded by v2.52</t>
        </is>
      </c>
    </row>
    <row r="39">
      <c r="A39" s="8" t="inlineStr">
        <is>
          <t>2.50</t>
        </is>
      </c>
      <c r="B39" s="8" t="inlineStr">
        <is>
          <t>2026-09-11</t>
        </is>
      </c>
      <c r="C39" s="8" t="inlineStr">
        <is>
          <t>Claude Code</t>
        </is>
      </c>
      <c r="D39" s="8" t="inlineStr">
        <is>
          <t>Pending</t>
        </is>
      </c>
      <c r="E39"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9" s="8" t="inlineStr">
        <is>
          <t>Superseded by v2.51</t>
        </is>
      </c>
    </row>
    <row r="40">
      <c r="A40" s="10" t="inlineStr">
        <is>
          <t>2.49</t>
        </is>
      </c>
      <c r="B40" s="10" t="inlineStr">
        <is>
          <t>2026-09-06</t>
        </is>
      </c>
      <c r="C40" s="10" t="inlineStr">
        <is>
          <t>Claude Code</t>
        </is>
      </c>
      <c r="D40" s="10" t="inlineStr">
        <is>
          <t>Pending</t>
        </is>
      </c>
      <c r="E40"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0" s="10" t="inlineStr">
        <is>
          <t>Superseded by v2.50</t>
        </is>
      </c>
    </row>
    <row r="41">
      <c r="A41" s="8" t="inlineStr">
        <is>
          <t>2.48</t>
        </is>
      </c>
      <c r="B41" s="8" t="inlineStr">
        <is>
          <t>2026-09-06</t>
        </is>
      </c>
      <c r="C41" s="8" t="inlineStr">
        <is>
          <t>Claude Code</t>
        </is>
      </c>
      <c r="D41" s="8" t="inlineStr">
        <is>
          <t>Pending</t>
        </is>
      </c>
      <c r="E41"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1" s="8" t="inlineStr">
        <is>
          <t>Superseded by v2.49</t>
        </is>
      </c>
    </row>
    <row r="42">
      <c r="A42" s="10" t="inlineStr">
        <is>
          <t>2.47</t>
        </is>
      </c>
      <c r="B42" s="10" t="inlineStr">
        <is>
          <t>2026-09-05</t>
        </is>
      </c>
      <c r="C42" s="10" t="inlineStr">
        <is>
          <t>Claude Code</t>
        </is>
      </c>
      <c r="D42" s="10" t="inlineStr">
        <is>
          <t>Pending</t>
        </is>
      </c>
      <c r="E42"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2" s="10" t="inlineStr">
        <is>
          <t>Superseded by v2.48</t>
        </is>
      </c>
    </row>
    <row r="43">
      <c r="A43" s="8" t="inlineStr">
        <is>
          <t>2.46</t>
        </is>
      </c>
      <c r="B43" s="8" t="inlineStr">
        <is>
          <t>2026-09-05</t>
        </is>
      </c>
      <c r="C43" s="8" t="inlineStr">
        <is>
          <t>Claude Code</t>
        </is>
      </c>
      <c r="D43" s="8" t="inlineStr">
        <is>
          <t>Pending</t>
        </is>
      </c>
      <c r="E43"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3" s="8" t="inlineStr">
        <is>
          <t>Superseded by v2.47</t>
        </is>
      </c>
    </row>
    <row r="44">
      <c r="A44" s="10" t="inlineStr">
        <is>
          <t>2.45</t>
        </is>
      </c>
      <c r="B44" s="10" t="inlineStr">
        <is>
          <t>2026-09-05</t>
        </is>
      </c>
      <c r="C44" s="10" t="inlineStr">
        <is>
          <t>Claude Code</t>
        </is>
      </c>
      <c r="D44" s="10" t="inlineStr">
        <is>
          <t>Pending</t>
        </is>
      </c>
      <c r="E44"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4" s="10" t="inlineStr">
        <is>
          <t>Superseded by v2.46</t>
        </is>
      </c>
    </row>
    <row r="45">
      <c r="A45" s="8" t="inlineStr">
        <is>
          <t>2.44</t>
        </is>
      </c>
      <c r="B45" s="8" t="inlineStr">
        <is>
          <t>2026-09-04</t>
        </is>
      </c>
      <c r="C45" s="8" t="inlineStr">
        <is>
          <t>Claude Code</t>
        </is>
      </c>
      <c r="D45" s="8" t="inlineStr">
        <is>
          <t>Pending</t>
        </is>
      </c>
      <c r="E45"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5" s="8" t="inlineStr">
        <is>
          <t>Superseded by v2.45</t>
        </is>
      </c>
    </row>
    <row r="46">
      <c r="A46" s="10" t="inlineStr">
        <is>
          <t>2.43</t>
        </is>
      </c>
      <c r="B46" s="10" t="inlineStr">
        <is>
          <t>2026-09-04</t>
        </is>
      </c>
      <c r="C46" s="10" t="inlineStr">
        <is>
          <t>Claude Code</t>
        </is>
      </c>
      <c r="D46" s="10" t="inlineStr">
        <is>
          <t>Pending</t>
        </is>
      </c>
      <c r="E46"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6" s="10" t="inlineStr">
        <is>
          <t>Superseded by v2.44</t>
        </is>
      </c>
    </row>
    <row r="47">
      <c r="A47" s="8" t="inlineStr">
        <is>
          <t>2.42</t>
        </is>
      </c>
      <c r="B47" s="8" t="inlineStr">
        <is>
          <t>2026-09-04</t>
        </is>
      </c>
      <c r="C47" s="8" t="inlineStr">
        <is>
          <t>Claude Code</t>
        </is>
      </c>
      <c r="D47" s="8" t="inlineStr">
        <is>
          <t>Pending</t>
        </is>
      </c>
      <c r="E47"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7" s="8" t="inlineStr">
        <is>
          <t>Superseded by v2.43</t>
        </is>
      </c>
    </row>
    <row r="48">
      <c r="A48" s="10" t="inlineStr">
        <is>
          <t>2.41</t>
        </is>
      </c>
      <c r="B48" s="10" t="inlineStr">
        <is>
          <t>2026-09-04</t>
        </is>
      </c>
      <c r="C48" s="10" t="inlineStr">
        <is>
          <t>Claude Code</t>
        </is>
      </c>
      <c r="D48" s="10" t="inlineStr">
        <is>
          <t>Pending</t>
        </is>
      </c>
      <c r="E48"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8" s="10" t="inlineStr">
        <is>
          <t>Issued for review</t>
        </is>
      </c>
    </row>
    <row r="49">
      <c r="A49" s="8" t="inlineStr">
        <is>
          <t>2.39</t>
        </is>
      </c>
      <c r="B49" s="8" t="inlineStr">
        <is>
          <t>2026-09-02</t>
        </is>
      </c>
      <c r="C49" s="8" t="inlineStr">
        <is>
          <t>Claude Code</t>
        </is>
      </c>
      <c r="D49" s="8" t="inlineStr">
        <is>
          <t>Pending</t>
        </is>
      </c>
      <c r="E49"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9" s="8" t="inlineStr">
        <is>
          <t>Issued for review</t>
        </is>
      </c>
    </row>
    <row r="50">
      <c r="A50" s="10" t="inlineStr">
        <is>
          <t>2.38</t>
        </is>
      </c>
      <c r="B50" s="10" t="inlineStr">
        <is>
          <t>2026-08-30</t>
        </is>
      </c>
      <c r="C50" s="10" t="inlineStr">
        <is>
          <t>Claude Code</t>
        </is>
      </c>
      <c r="D50" s="10" t="inlineStr">
        <is>
          <t>Pending</t>
        </is>
      </c>
      <c r="E50"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0" s="10" t="inlineStr">
        <is>
          <t>Issued for review</t>
        </is>
      </c>
    </row>
    <row r="51">
      <c r="A51" s="8" t="inlineStr">
        <is>
          <t>2.37</t>
        </is>
      </c>
      <c r="B51" s="8" t="inlineStr">
        <is>
          <t>2026-08-28</t>
        </is>
      </c>
      <c r="C51" s="8" t="inlineStr">
        <is>
          <t>Claude Code</t>
        </is>
      </c>
      <c r="D51" s="8" t="inlineStr">
        <is>
          <t>Pending</t>
        </is>
      </c>
      <c r="E51"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1" s="8" t="inlineStr">
        <is>
          <t>Issued for review</t>
        </is>
      </c>
    </row>
    <row r="52">
      <c r="A52" s="10" t="inlineStr">
        <is>
          <t>2.36</t>
        </is>
      </c>
      <c r="B52" s="10" t="inlineStr">
        <is>
          <t>2026-08-28</t>
        </is>
      </c>
      <c r="C52" s="10" t="inlineStr">
        <is>
          <t>Claude Code</t>
        </is>
      </c>
      <c r="D52" s="10" t="inlineStr">
        <is>
          <t>Pending</t>
        </is>
      </c>
      <c r="E52"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2" s="10" t="inlineStr">
        <is>
          <t>Issued for review</t>
        </is>
      </c>
    </row>
    <row r="53">
      <c r="A53" s="8" t="inlineStr">
        <is>
          <t>2.35</t>
        </is>
      </c>
      <c r="B53" s="8" t="inlineStr">
        <is>
          <t>2026-08-27</t>
        </is>
      </c>
      <c r="C53" s="8" t="inlineStr">
        <is>
          <t>Claude Code</t>
        </is>
      </c>
      <c r="D53" s="8" t="inlineStr">
        <is>
          <t>Pending</t>
        </is>
      </c>
      <c r="E53"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3" s="8" t="inlineStr">
        <is>
          <t>Issued for review</t>
        </is>
      </c>
    </row>
    <row r="54">
      <c r="A54" s="10" t="inlineStr">
        <is>
          <t>2.34</t>
        </is>
      </c>
      <c r="B54" s="10" t="inlineStr">
        <is>
          <t>2026-08-27</t>
        </is>
      </c>
      <c r="C54" s="10" t="inlineStr">
        <is>
          <t>Claude Code</t>
        </is>
      </c>
      <c r="D54" s="10" t="inlineStr">
        <is>
          <t>Pending</t>
        </is>
      </c>
      <c r="E54"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4" s="10" t="inlineStr">
        <is>
          <t>Issued for review</t>
        </is>
      </c>
    </row>
    <row r="55">
      <c r="A55" s="8" t="inlineStr">
        <is>
          <t>2.33</t>
        </is>
      </c>
      <c r="B55" s="8" t="inlineStr">
        <is>
          <t>2026-08-27</t>
        </is>
      </c>
      <c r="C55" s="8" t="inlineStr">
        <is>
          <t>Claude Code</t>
        </is>
      </c>
      <c r="D55" s="8" t="inlineStr">
        <is>
          <t>Pending</t>
        </is>
      </c>
      <c r="E55"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5" s="8" t="inlineStr">
        <is>
          <t>Issued for review</t>
        </is>
      </c>
    </row>
    <row r="56">
      <c r="A56" s="10" t="inlineStr">
        <is>
          <t>2.32</t>
        </is>
      </c>
      <c r="B56" s="10" t="inlineStr">
        <is>
          <t>2026-08-26</t>
        </is>
      </c>
      <c r="C56" s="10" t="inlineStr">
        <is>
          <t>Claude Code</t>
        </is>
      </c>
      <c r="D56" s="10" t="inlineStr">
        <is>
          <t>Pending</t>
        </is>
      </c>
      <c r="E56"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6" s="10" t="inlineStr">
        <is>
          <t>Issued for review</t>
        </is>
      </c>
    </row>
    <row r="57">
      <c r="A57" s="8" t="inlineStr">
        <is>
          <t>2.31</t>
        </is>
      </c>
      <c r="B57" s="8" t="inlineStr">
        <is>
          <t>2026-08-26</t>
        </is>
      </c>
      <c r="C57" s="8" t="inlineStr">
        <is>
          <t>Claude Code</t>
        </is>
      </c>
      <c r="D57" s="8" t="inlineStr">
        <is>
          <t>Pending</t>
        </is>
      </c>
      <c r="E57"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7" s="8" t="inlineStr">
        <is>
          <t>Issued for review</t>
        </is>
      </c>
    </row>
    <row r="58">
      <c r="A58" s="10" t="inlineStr">
        <is>
          <t>2.30</t>
        </is>
      </c>
      <c r="B58" s="10" t="inlineStr">
        <is>
          <t>2026-08-25</t>
        </is>
      </c>
      <c r="C58" s="10" t="inlineStr">
        <is>
          <t>Claude Code</t>
        </is>
      </c>
      <c r="D58" s="10" t="inlineStr">
        <is>
          <t>Pending</t>
        </is>
      </c>
      <c r="E58"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8" s="10" t="inlineStr">
        <is>
          <t>Issued for review</t>
        </is>
      </c>
    </row>
    <row r="59">
      <c r="A59" s="8" t="inlineStr">
        <is>
          <t>2.29</t>
        </is>
      </c>
      <c r="B59" s="8" t="inlineStr">
        <is>
          <t>2026-08-25</t>
        </is>
      </c>
      <c r="C59" s="8" t="inlineStr">
        <is>
          <t>Claude Code</t>
        </is>
      </c>
      <c r="D59" s="8" t="inlineStr">
        <is>
          <t>Pending</t>
        </is>
      </c>
      <c r="E59"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9" s="8" t="inlineStr">
        <is>
          <t>Issued for review</t>
        </is>
      </c>
    </row>
    <row r="60">
      <c r="A60" s="10" t="inlineStr">
        <is>
          <t>2.28</t>
        </is>
      </c>
      <c r="B60" s="10" t="inlineStr">
        <is>
          <t>2026-08-22</t>
        </is>
      </c>
      <c r="C60" s="10" t="inlineStr">
        <is>
          <t>Claude Code</t>
        </is>
      </c>
      <c r="D60" s="10" t="inlineStr">
        <is>
          <t>Pending</t>
        </is>
      </c>
      <c r="E60"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0" s="10" t="inlineStr">
        <is>
          <t>Issued for review</t>
        </is>
      </c>
    </row>
    <row r="61">
      <c r="A61" s="8" t="inlineStr">
        <is>
          <t>2.27</t>
        </is>
      </c>
      <c r="B61" s="8" t="inlineStr">
        <is>
          <t>2026-08-20</t>
        </is>
      </c>
      <c r="C61" s="8" t="inlineStr">
        <is>
          <t>Claude Code</t>
        </is>
      </c>
      <c r="D61" s="8" t="inlineStr">
        <is>
          <t>Pending</t>
        </is>
      </c>
      <c r="E61"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1" s="8" t="inlineStr">
        <is>
          <t>Issued for review</t>
        </is>
      </c>
    </row>
    <row r="62">
      <c r="A62" s="10" t="inlineStr">
        <is>
          <t>2.26</t>
        </is>
      </c>
      <c r="B62" s="10" t="inlineStr">
        <is>
          <t>2026-07-31</t>
        </is>
      </c>
      <c r="C62" s="10" t="inlineStr">
        <is>
          <t>Claude Code</t>
        </is>
      </c>
      <c r="D62" s="10" t="inlineStr">
        <is>
          <t>Pending</t>
        </is>
      </c>
      <c r="E62"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2" s="10" t="inlineStr">
        <is>
          <t>Issued for review</t>
        </is>
      </c>
    </row>
    <row r="63">
      <c r="A63" s="8" t="inlineStr">
        <is>
          <t>2.25</t>
        </is>
      </c>
      <c r="B63" s="8" t="inlineStr">
        <is>
          <t>2026-07-31</t>
        </is>
      </c>
      <c r="C63" s="8" t="inlineStr">
        <is>
          <t>Claude Code</t>
        </is>
      </c>
      <c r="D63" s="8" t="inlineStr">
        <is>
          <t>Pending</t>
        </is>
      </c>
      <c r="E63"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3" s="8" t="inlineStr">
        <is>
          <t>Superseded by v2.26</t>
        </is>
      </c>
    </row>
    <row r="64">
      <c r="A64" s="10" t="inlineStr">
        <is>
          <t>2.24</t>
        </is>
      </c>
      <c r="B64" s="10" t="inlineStr">
        <is>
          <t>2026-07-31</t>
        </is>
      </c>
      <c r="C64" s="10" t="inlineStr">
        <is>
          <t>Claude Code</t>
        </is>
      </c>
      <c r="D64" s="10" t="inlineStr">
        <is>
          <t>Pending</t>
        </is>
      </c>
      <c r="E64"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4" s="10" t="inlineStr">
        <is>
          <t>Superseded by v2.25</t>
        </is>
      </c>
    </row>
    <row r="65">
      <c r="A65" s="8" t="inlineStr">
        <is>
          <t>2.23</t>
        </is>
      </c>
      <c r="B65" s="8" t="inlineStr">
        <is>
          <t>2026-07-31</t>
        </is>
      </c>
      <c r="C65" s="8" t="inlineStr">
        <is>
          <t>Claude Code</t>
        </is>
      </c>
      <c r="D65" s="8" t="inlineStr">
        <is>
          <t>Pending</t>
        </is>
      </c>
      <c r="E65"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5" s="8" t="inlineStr">
        <is>
          <t>Superseded by v2.24</t>
        </is>
      </c>
    </row>
    <row r="66">
      <c r="A66" s="10" t="inlineStr">
        <is>
          <t>2.22</t>
        </is>
      </c>
      <c r="B66" s="10" t="inlineStr">
        <is>
          <t>2026-07-31</t>
        </is>
      </c>
      <c r="C66" s="10" t="inlineStr">
        <is>
          <t>Claude Code</t>
        </is>
      </c>
      <c r="D66" s="10" t="inlineStr">
        <is>
          <t>Pending</t>
        </is>
      </c>
      <c r="E66"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6" s="10" t="inlineStr">
        <is>
          <t>Superseded by v2.23</t>
        </is>
      </c>
    </row>
    <row r="67">
      <c r="A67" s="8" t="inlineStr">
        <is>
          <t>2.21</t>
        </is>
      </c>
      <c r="B67" s="8" t="inlineStr">
        <is>
          <t>2026-07-31</t>
        </is>
      </c>
      <c r="C67" s="8" t="inlineStr">
        <is>
          <t>Claude Code</t>
        </is>
      </c>
      <c r="D67" s="8" t="inlineStr">
        <is>
          <t>Pending</t>
        </is>
      </c>
      <c r="E67"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7" s="8" t="inlineStr">
        <is>
          <t>Superseded by v2.22</t>
        </is>
      </c>
    </row>
    <row r="68">
      <c r="A68" s="10" t="inlineStr">
        <is>
          <t>2.20</t>
        </is>
      </c>
      <c r="B68" s="10" t="inlineStr">
        <is>
          <t>2026-07-31</t>
        </is>
      </c>
      <c r="C68" s="10" t="inlineStr">
        <is>
          <t>Claude Code</t>
        </is>
      </c>
      <c r="D68" s="10" t="inlineStr">
        <is>
          <t>Pending</t>
        </is>
      </c>
      <c r="E68"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8" s="10" t="inlineStr">
        <is>
          <t>Superseded by v2.21</t>
        </is>
      </c>
    </row>
    <row r="69">
      <c r="A69" s="8" t="inlineStr">
        <is>
          <t>2.19</t>
        </is>
      </c>
      <c r="B69" s="8" t="inlineStr">
        <is>
          <t>2026-07-31</t>
        </is>
      </c>
      <c r="C69" s="8" t="inlineStr">
        <is>
          <t>Claude Code</t>
        </is>
      </c>
      <c r="D69" s="8" t="inlineStr">
        <is>
          <t>Pending</t>
        </is>
      </c>
      <c r="E69"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9" s="8" t="inlineStr">
        <is>
          <t>Superseded by v2.20</t>
        </is>
      </c>
    </row>
    <row r="70">
      <c r="A70" s="10" t="inlineStr">
        <is>
          <t>2.18</t>
        </is>
      </c>
      <c r="B70" s="10" t="inlineStr">
        <is>
          <t>2026-07-31</t>
        </is>
      </c>
      <c r="C70" s="10" t="inlineStr">
        <is>
          <t>Claude Code</t>
        </is>
      </c>
      <c r="D70" s="10" t="inlineStr">
        <is>
          <t>Pending</t>
        </is>
      </c>
      <c r="E70"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0" s="10" t="inlineStr">
        <is>
          <t>Superseded by v2.19</t>
        </is>
      </c>
    </row>
    <row r="71">
      <c r="A71" s="8" t="inlineStr">
        <is>
          <t>2.17</t>
        </is>
      </c>
      <c r="B71" s="8" t="inlineStr">
        <is>
          <t>2026-07-31</t>
        </is>
      </c>
      <c r="C71" s="8" t="inlineStr">
        <is>
          <t>Claude Code</t>
        </is>
      </c>
      <c r="D71" s="8" t="inlineStr">
        <is>
          <t>Pending</t>
        </is>
      </c>
      <c r="E71"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1" s="8" t="inlineStr">
        <is>
          <t>Superseded by v2.18</t>
        </is>
      </c>
    </row>
    <row r="72">
      <c r="A72" s="10" t="inlineStr">
        <is>
          <t>2.16</t>
        </is>
      </c>
      <c r="B72" s="10" t="inlineStr">
        <is>
          <t>2026-07-31</t>
        </is>
      </c>
      <c r="C72" s="10" t="inlineStr">
        <is>
          <t>Claude Code</t>
        </is>
      </c>
      <c r="D72" s="10" t="inlineStr">
        <is>
          <t>Pending</t>
        </is>
      </c>
      <c r="E72"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2" s="10" t="inlineStr">
        <is>
          <t>Superseded by v2.17</t>
        </is>
      </c>
    </row>
    <row r="73">
      <c r="A73" s="8" t="inlineStr">
        <is>
          <t>2.15</t>
        </is>
      </c>
      <c r="B73" s="8" t="inlineStr">
        <is>
          <t>2026-07-31</t>
        </is>
      </c>
      <c r="C73" s="8" t="inlineStr">
        <is>
          <t>Claude Code</t>
        </is>
      </c>
      <c r="D73" s="8" t="inlineStr">
        <is>
          <t>Pending</t>
        </is>
      </c>
      <c r="E73"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3" s="8" t="inlineStr">
        <is>
          <t>Superseded by v2.16</t>
        </is>
      </c>
    </row>
    <row r="74">
      <c r="A74" s="10" t="inlineStr">
        <is>
          <t>2.14</t>
        </is>
      </c>
      <c r="B74" s="10" t="inlineStr">
        <is>
          <t>2026-07-31</t>
        </is>
      </c>
      <c r="C74" s="10" t="inlineStr">
        <is>
          <t>Claude Code</t>
        </is>
      </c>
      <c r="D74" s="10" t="inlineStr">
        <is>
          <t>Pending</t>
        </is>
      </c>
      <c r="E74"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4" s="10" t="inlineStr">
        <is>
          <t>Issued for review</t>
        </is>
      </c>
    </row>
    <row r="75">
      <c r="A75" s="8" t="inlineStr">
        <is>
          <t>2.13</t>
        </is>
      </c>
      <c r="B75" s="8" t="inlineStr">
        <is>
          <t>2026-07-31</t>
        </is>
      </c>
      <c r="C75" s="8" t="inlineStr">
        <is>
          <t>Claude Code</t>
        </is>
      </c>
      <c r="D75" s="8" t="inlineStr">
        <is>
          <t>Pending</t>
        </is>
      </c>
      <c r="E75"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5" s="8" t="inlineStr">
        <is>
          <t>Superseded by v2.14</t>
        </is>
      </c>
    </row>
    <row r="76">
      <c r="A76" s="10" t="inlineStr">
        <is>
          <t>2.12</t>
        </is>
      </c>
      <c r="B76" s="10" t="inlineStr">
        <is>
          <t>2026-07-31</t>
        </is>
      </c>
      <c r="C76" s="10" t="inlineStr">
        <is>
          <t>Claude Code</t>
        </is>
      </c>
      <c r="D76" s="10" t="inlineStr">
        <is>
          <t>Pending</t>
        </is>
      </c>
      <c r="E76"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6" s="10" t="inlineStr">
        <is>
          <t>Superseded by v2.13</t>
        </is>
      </c>
    </row>
    <row r="77">
      <c r="A77" s="8" t="inlineStr">
        <is>
          <t>2.11</t>
        </is>
      </c>
      <c r="B77" s="8" t="inlineStr">
        <is>
          <t>2026-07-31</t>
        </is>
      </c>
      <c r="C77" s="8" t="inlineStr">
        <is>
          <t>Claude Code</t>
        </is>
      </c>
      <c r="D77" s="8" t="inlineStr">
        <is>
          <t>Pending</t>
        </is>
      </c>
      <c r="E77"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7" s="8" t="inlineStr">
        <is>
          <t>Issued for review</t>
        </is>
      </c>
    </row>
    <row r="78">
      <c r="A78" s="10" t="inlineStr">
        <is>
          <t>2.10</t>
        </is>
      </c>
      <c r="B78" s="10" t="inlineStr">
        <is>
          <t>2026-07-31</t>
        </is>
      </c>
      <c r="C78" s="10" t="inlineStr">
        <is>
          <t>Claude Code</t>
        </is>
      </c>
      <c r="D78" s="10" t="inlineStr">
        <is>
          <t>Pending</t>
        </is>
      </c>
      <c r="E78"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8" s="10" t="inlineStr">
        <is>
          <t>Superseded by v2.11</t>
        </is>
      </c>
    </row>
    <row r="79">
      <c r="A79" s="8" t="inlineStr">
        <is>
          <t>2.9</t>
        </is>
      </c>
      <c r="B79" s="8" t="inlineStr">
        <is>
          <t>2026-07-31</t>
        </is>
      </c>
      <c r="C79" s="8" t="inlineStr">
        <is>
          <t>Claude Code</t>
        </is>
      </c>
      <c r="D79" s="8" t="inlineStr">
        <is>
          <t>Pending</t>
        </is>
      </c>
      <c r="E79"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9" s="8" t="inlineStr">
        <is>
          <t>Superseded by v2.10</t>
        </is>
      </c>
    </row>
    <row r="80">
      <c r="A80" s="10" t="inlineStr">
        <is>
          <t>2.8</t>
        </is>
      </c>
      <c r="B80" s="10" t="inlineStr">
        <is>
          <t>2026-07-31</t>
        </is>
      </c>
      <c r="C80" s="10" t="inlineStr">
        <is>
          <t>Claude Code</t>
        </is>
      </c>
      <c r="D80" s="10" t="inlineStr">
        <is>
          <t>Pending</t>
        </is>
      </c>
      <c r="E80"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0" s="10" t="inlineStr">
        <is>
          <t>Superseded by v2.9</t>
        </is>
      </c>
    </row>
    <row r="81">
      <c r="A81" s="8" t="inlineStr">
        <is>
          <t>2.7</t>
        </is>
      </c>
      <c r="B81" s="8" t="inlineStr">
        <is>
          <t>2026-07-31</t>
        </is>
      </c>
      <c r="C81" s="8" t="inlineStr">
        <is>
          <t>Claude Code</t>
        </is>
      </c>
      <c r="D81" s="8" t="inlineStr">
        <is>
          <t>Pending</t>
        </is>
      </c>
      <c r="E81"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1" s="8" t="inlineStr">
        <is>
          <t>Superseded by v2.8</t>
        </is>
      </c>
    </row>
    <row r="82">
      <c r="A82" s="10" t="inlineStr">
        <is>
          <t>2.6</t>
        </is>
      </c>
      <c r="B82" s="10" t="inlineStr">
        <is>
          <t>2026-07-31</t>
        </is>
      </c>
      <c r="C82" s="10" t="inlineStr">
        <is>
          <t>Claude Code</t>
        </is>
      </c>
      <c r="D82" s="10" t="inlineStr">
        <is>
          <t>Pending</t>
        </is>
      </c>
      <c r="E82"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2" s="10" t="inlineStr">
        <is>
          <t>Superseded by v2.7</t>
        </is>
      </c>
    </row>
    <row r="83">
      <c r="A83" s="8" t="inlineStr">
        <is>
          <t>2.5</t>
        </is>
      </c>
      <c r="B83" s="8" t="inlineStr">
        <is>
          <t>2026-07-31</t>
        </is>
      </c>
      <c r="C83" s="8" t="inlineStr">
        <is>
          <t>Claude Code</t>
        </is>
      </c>
      <c r="D83" s="8" t="inlineStr">
        <is>
          <t>Pending</t>
        </is>
      </c>
      <c r="E83"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3" s="8" t="inlineStr">
        <is>
          <t>Issued for review</t>
        </is>
      </c>
    </row>
    <row r="84">
      <c r="A84" s="10" t="inlineStr">
        <is>
          <t>2.4</t>
        </is>
      </c>
      <c r="B84" s="10" t="inlineStr">
        <is>
          <t>2026-07-31</t>
        </is>
      </c>
      <c r="C84" s="10" t="inlineStr">
        <is>
          <t>Claude Code</t>
        </is>
      </c>
      <c r="D84" s="10" t="inlineStr">
        <is>
          <t>Pending</t>
        </is>
      </c>
      <c r="E84"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4" s="10" t="inlineStr">
        <is>
          <t>Issued for review</t>
        </is>
      </c>
    </row>
    <row r="85">
      <c r="A85" s="8" t="inlineStr">
        <is>
          <t>2.3</t>
        </is>
      </c>
      <c r="B85" s="8" t="inlineStr">
        <is>
          <t>2026-07-31</t>
        </is>
      </c>
      <c r="C85" s="8" t="inlineStr">
        <is>
          <t>Claude Code</t>
        </is>
      </c>
      <c r="D85" s="8" t="inlineStr">
        <is>
          <t>Pending</t>
        </is>
      </c>
      <c r="E85"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5" s="8" t="inlineStr">
        <is>
          <t>Issued for review</t>
        </is>
      </c>
    </row>
    <row r="86">
      <c r="A86" s="10" t="inlineStr">
        <is>
          <t>2.2</t>
        </is>
      </c>
      <c r="B86" s="10" t="inlineStr">
        <is>
          <t>2026-07-31</t>
        </is>
      </c>
      <c r="C86" s="10" t="inlineStr">
        <is>
          <t>Claude Code</t>
        </is>
      </c>
      <c r="D86" s="10" t="inlineStr">
        <is>
          <t>Pending</t>
        </is>
      </c>
      <c r="E86"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6" s="10" t="inlineStr">
        <is>
          <t>Issued for review</t>
        </is>
      </c>
    </row>
    <row r="87">
      <c r="A87" s="8" t="inlineStr">
        <is>
          <t>2.1</t>
        </is>
      </c>
      <c r="B87" s="8" t="inlineStr">
        <is>
          <t>2026-07-31</t>
        </is>
      </c>
      <c r="C87" s="8" t="inlineStr">
        <is>
          <t>Claude Code</t>
        </is>
      </c>
      <c r="D87" s="8" t="inlineStr">
        <is>
          <t>Pending</t>
        </is>
      </c>
      <c r="E87"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7" s="8" t="inlineStr">
        <is>
          <t>Issued for review</t>
        </is>
      </c>
    </row>
    <row r="88">
      <c r="A88" s="10" t="inlineStr">
        <is>
          <t>2.0</t>
        </is>
      </c>
      <c r="B88" s="10" t="inlineStr">
        <is>
          <t>2026-08-02</t>
        </is>
      </c>
      <c r="C88" s="10" t="inlineStr">
        <is>
          <t>Claude Code</t>
        </is>
      </c>
      <c r="D88" s="10" t="inlineStr">
        <is>
          <t>Dan</t>
        </is>
      </c>
      <c r="E88"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8" s="10" t="inlineStr">
        <is>
          <t>APPROVED 2026-08-02 by Dan - BASELINE</t>
        </is>
      </c>
    </row>
    <row r="89">
      <c r="A89" s="8" t="inlineStr">
        <is>
          <t>1.10</t>
        </is>
      </c>
      <c r="B89" s="8" t="inlineStr">
        <is>
          <t>2026-07-31</t>
        </is>
      </c>
      <c r="C89" s="8" t="inlineStr">
        <is>
          <t>Claude Code</t>
        </is>
      </c>
      <c r="D89" s="8" t="inlineStr">
        <is>
          <t>Pending</t>
        </is>
      </c>
      <c r="E89"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9" s="8" t="inlineStr">
        <is>
          <t>Issued for approval</t>
        </is>
      </c>
    </row>
    <row r="90">
      <c r="A90" s="10" t="inlineStr">
        <is>
          <t>1.9</t>
        </is>
      </c>
      <c r="B90" s="10" t="inlineStr">
        <is>
          <t>2026-07-31</t>
        </is>
      </c>
      <c r="C90" s="10" t="inlineStr">
        <is>
          <t>Claude Code</t>
        </is>
      </c>
      <c r="D90" s="10" t="inlineStr">
        <is>
          <t>Pending</t>
        </is>
      </c>
      <c r="E90"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0" s="10" t="inlineStr">
        <is>
          <t>Issued for approval</t>
        </is>
      </c>
    </row>
    <row r="91">
      <c r="A91" s="8" t="inlineStr">
        <is>
          <t>1.8</t>
        </is>
      </c>
      <c r="B91" s="8" t="inlineStr">
        <is>
          <t>2026-07-31</t>
        </is>
      </c>
      <c r="C91" s="8" t="inlineStr">
        <is>
          <t>Claude Code</t>
        </is>
      </c>
      <c r="D91" s="8" t="inlineStr">
        <is>
          <t>Pending</t>
        </is>
      </c>
      <c r="E91"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1" s="8" t="inlineStr">
        <is>
          <t>Superseded by v1.9</t>
        </is>
      </c>
    </row>
    <row r="92">
      <c r="A92" s="10" t="inlineStr">
        <is>
          <t>1.7</t>
        </is>
      </c>
      <c r="B92" s="10" t="inlineStr">
        <is>
          <t>2026-07-31</t>
        </is>
      </c>
      <c r="C92" s="10" t="inlineStr">
        <is>
          <t>Claude Code</t>
        </is>
      </c>
      <c r="D92" s="10" t="inlineStr">
        <is>
          <t>Pending</t>
        </is>
      </c>
      <c r="E9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2" s="10" t="inlineStr">
        <is>
          <t>Superseded by v1.8</t>
        </is>
      </c>
    </row>
    <row r="93">
      <c r="A93" s="8" t="inlineStr">
        <is>
          <t>1.6</t>
        </is>
      </c>
      <c r="B93" s="8" t="inlineStr">
        <is>
          <t>2026-07-31</t>
        </is>
      </c>
      <c r="C93" s="8" t="inlineStr">
        <is>
          <t>Claude Code</t>
        </is>
      </c>
      <c r="D93" s="8" t="inlineStr">
        <is>
          <t>Pending</t>
        </is>
      </c>
      <c r="E9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3" s="8" t="inlineStr">
        <is>
          <t>Issued for approval</t>
        </is>
      </c>
    </row>
    <row r="95">
      <c r="A9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REQ-DSH-19</t>
        </is>
      </c>
      <c r="B33" s="17" t="inlineStr">
        <is>
          <t>Dashboard</t>
        </is>
      </c>
      <c r="C33"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3" s="17" t="inlineStr">
        <is>
          <t>Should</t>
        </is>
      </c>
      <c r="E33" s="17" t="inlineStr">
        <is>
          <t>R-53</t>
        </is>
      </c>
      <c r="F33" s="17" t="inlineStr">
        <is>
          <t>4</t>
        </is>
      </c>
    </row>
    <row r="34">
      <c r="A34" s="17" t="inlineStr">
        <is>
          <t>REQ-DSH-18</t>
        </is>
      </c>
      <c r="B34" s="17" t="inlineStr">
        <is>
          <t>Dashboard</t>
        </is>
      </c>
      <c r="C34"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4" s="17" t="inlineStr">
        <is>
          <t>Should</t>
        </is>
      </c>
      <c r="E34" s="17" t="inlineStr">
        <is>
          <t>R-51</t>
        </is>
      </c>
      <c r="F34" s="17" t="inlineStr">
        <is>
          <t>4</t>
        </is>
      </c>
    </row>
    <row r="35">
      <c r="A35" s="17" t="inlineStr">
        <is>
          <t>REQ-DSH-17</t>
        </is>
      </c>
      <c r="B35" s="17" t="inlineStr">
        <is>
          <t>Dashboard</t>
        </is>
      </c>
      <c r="C35"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5" s="17" t="inlineStr">
        <is>
          <t>Should</t>
        </is>
      </c>
      <c r="E35" s="17" t="inlineStr">
        <is>
          <t>R-49</t>
        </is>
      </c>
      <c r="F35" s="17" t="inlineStr">
        <is>
          <t>4</t>
        </is>
      </c>
    </row>
    <row r="36">
      <c r="A36" s="17" t="inlineStr">
        <is>
          <t>REQ-DSH-16</t>
        </is>
      </c>
      <c r="B36" s="17" t="inlineStr">
        <is>
          <t>Dashboard</t>
        </is>
      </c>
      <c r="C36"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6" s="17" t="inlineStr">
        <is>
          <t>Should</t>
        </is>
      </c>
      <c r="E36" s="17" t="inlineStr">
        <is>
          <t>R-45</t>
        </is>
      </c>
      <c r="F36" s="17" t="inlineStr">
        <is>
          <t>4</t>
        </is>
      </c>
    </row>
    <row r="37">
      <c r="A37" s="17" t="inlineStr">
        <is>
          <t>REQ-DSH-15</t>
        </is>
      </c>
      <c r="B37" s="17" t="inlineStr">
        <is>
          <t>Dashboard</t>
        </is>
      </c>
      <c r="C37"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7" s="17" t="inlineStr">
        <is>
          <t>Should</t>
        </is>
      </c>
      <c r="E37" s="17" t="inlineStr">
        <is>
          <t>R-42</t>
        </is>
      </c>
      <c r="F37" s="17" t="inlineStr">
        <is>
          <t>4</t>
        </is>
      </c>
    </row>
    <row r="38">
      <c r="A38" s="17" t="inlineStr">
        <is>
          <t>REQ-DSH-14</t>
        </is>
      </c>
      <c r="B38" s="17" t="inlineStr">
        <is>
          <t>Dashboard</t>
        </is>
      </c>
      <c r="C38"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8" s="17" t="inlineStr">
        <is>
          <t>Should</t>
        </is>
      </c>
      <c r="E38" s="17" t="inlineStr">
        <is>
          <t>R-40</t>
        </is>
      </c>
      <c r="F38" s="17" t="inlineStr">
        <is>
          <t>4</t>
        </is>
      </c>
    </row>
    <row r="39">
      <c r="A39" s="17" t="inlineStr">
        <is>
          <t>REQ-DSH-13</t>
        </is>
      </c>
      <c r="B39" s="17" t="inlineStr">
        <is>
          <t>Dashboard</t>
        </is>
      </c>
      <c r="C39"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9" s="17" t="inlineStr">
        <is>
          <t>Must</t>
        </is>
      </c>
      <c r="E39" s="17" t="inlineStr">
        <is>
          <t>R-23</t>
        </is>
      </c>
      <c r="F39" s="17" t="inlineStr">
        <is>
          <t>4</t>
        </is>
      </c>
    </row>
    <row r="40">
      <c r="A40" s="17" t="inlineStr">
        <is>
          <t>REQ-CAL-20</t>
        </is>
      </c>
      <c r="B40" s="17" t="inlineStr">
        <is>
          <t>Calculation</t>
        </is>
      </c>
      <c r="C40"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0" s="17" t="inlineStr">
        <is>
          <t>Must</t>
        </is>
      </c>
      <c r="E40" s="17" t="inlineStr">
        <is>
          <t>R-38</t>
        </is>
      </c>
      <c r="F40" s="17" t="inlineStr">
        <is>
          <t>4</t>
        </is>
      </c>
    </row>
    <row r="41">
      <c r="A41" s="17" t="inlineStr">
        <is>
          <t>REQ-CAL-19</t>
        </is>
      </c>
      <c r="B41" s="17" t="inlineStr">
        <is>
          <t>Calculation</t>
        </is>
      </c>
      <c r="C41"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1" s="17" t="inlineStr">
        <is>
          <t>Must</t>
        </is>
      </c>
      <c r="E41" s="17" t="inlineStr">
        <is>
          <t>R-31, R-32</t>
        </is>
      </c>
      <c r="F41" s="17" t="inlineStr">
        <is>
          <t>4</t>
        </is>
      </c>
    </row>
    <row r="42">
      <c r="A42" s="17" t="inlineStr">
        <is>
          <t>REQ-CAL-18</t>
        </is>
      </c>
      <c r="B42" s="17" t="inlineStr">
        <is>
          <t>Calculation</t>
        </is>
      </c>
      <c r="C42"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2" s="17" t="inlineStr">
        <is>
          <t>Must</t>
        </is>
      </c>
      <c r="E42" s="17" t="inlineStr">
        <is>
          <t>R-30</t>
        </is>
      </c>
      <c r="F42" s="17" t="inlineStr">
        <is>
          <t>4</t>
        </is>
      </c>
    </row>
    <row r="43">
      <c r="A43" s="17" t="inlineStr">
        <is>
          <t>REQ-CAL-17</t>
        </is>
      </c>
      <c r="B43" s="17" t="inlineStr">
        <is>
          <t>Calculation</t>
        </is>
      </c>
      <c r="C4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3" s="17" t="inlineStr">
        <is>
          <t>Must</t>
        </is>
      </c>
      <c r="E43" s="17" t="inlineStr">
        <is>
          <t>R-20</t>
        </is>
      </c>
      <c r="F43" s="17" t="inlineStr">
        <is>
          <t>4</t>
        </is>
      </c>
    </row>
    <row r="44">
      <c r="A44" s="17" t="inlineStr">
        <is>
          <t>REQ-CAL-16</t>
        </is>
      </c>
      <c r="B44" s="17" t="inlineStr">
        <is>
          <t>Calculation</t>
        </is>
      </c>
      <c r="C4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4" s="17" t="inlineStr">
        <is>
          <t>Must</t>
        </is>
      </c>
      <c r="E44" s="17" t="inlineStr">
        <is>
          <t>R-17</t>
        </is>
      </c>
      <c r="F44" s="17" t="inlineStr">
        <is>
          <t>4</t>
        </is>
      </c>
    </row>
    <row r="45">
      <c r="A45" s="17" t="inlineStr">
        <is>
          <t>REQ-CAL-15</t>
        </is>
      </c>
      <c r="B45" s="17" t="inlineStr">
        <is>
          <t>Calculation</t>
        </is>
      </c>
      <c r="C4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5" s="17" t="inlineStr">
        <is>
          <t>Must</t>
        </is>
      </c>
      <c r="E45" s="17" t="inlineStr">
        <is>
          <t>R-15</t>
        </is>
      </c>
      <c r="F45" s="17" t="inlineStr">
        <is>
          <t>4</t>
        </is>
      </c>
    </row>
    <row r="46">
      <c r="A46" s="17" t="inlineStr">
        <is>
          <t>REQ-CAL-14</t>
        </is>
      </c>
      <c r="B46" s="17" t="inlineStr">
        <is>
          <t>Calculation</t>
        </is>
      </c>
      <c r="C4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6" s="17" t="inlineStr">
        <is>
          <t>Must</t>
        </is>
      </c>
      <c r="E46" s="17" t="inlineStr">
        <is>
          <t>R-13</t>
        </is>
      </c>
      <c r="F46" s="17" t="inlineStr">
        <is>
          <t>4</t>
        </is>
      </c>
    </row>
    <row r="47">
      <c r="A47" s="8" t="inlineStr">
        <is>
          <t>REQ-CAL-03</t>
        </is>
      </c>
      <c r="B47" s="8" t="inlineStr">
        <is>
          <t>Calculation</t>
        </is>
      </c>
      <c r="C47" s="9" t="inlineStr">
        <is>
          <t>Project monthly load is the sum of its assignments; person monthly load is the sum across all their projects.</t>
        </is>
      </c>
      <c r="D47" s="8" t="inlineStr">
        <is>
          <t>Must</t>
        </is>
      </c>
      <c r="E47" s="8" t="inlineStr">
        <is>
          <t>Requester</t>
        </is>
      </c>
      <c r="F47" s="8" t="inlineStr">
        <is>
          <t>4</t>
        </is>
      </c>
    </row>
    <row r="48">
      <c r="A48" s="19" t="inlineStr">
        <is>
          <t>REQ-CAL-04</t>
        </is>
      </c>
      <c r="B48" s="19" t="inlineStr">
        <is>
          <t>Calculation</t>
        </is>
      </c>
      <c r="C48" s="20" t="inlineStr">
        <is>
          <t>A person-month whose total exceeds the over-allocation threshold (default 1.50 FTE) is flagged as over-allocated. The threshold is absolute, not scaled by capacity (S2-01).</t>
        </is>
      </c>
      <c r="D48" s="19" t="inlineStr">
        <is>
          <t>Must</t>
        </is>
      </c>
      <c r="E48" s="19" t="inlineStr">
        <is>
          <t>Q-08, S2-01</t>
        </is>
      </c>
      <c r="F48" s="19" t="inlineStr">
        <is>
          <t>4</t>
        </is>
      </c>
    </row>
    <row r="49">
      <c r="A49" s="19" t="inlineStr">
        <is>
          <t>REQ-CAL-05</t>
        </is>
      </c>
      <c r="B49" s="19" t="inlineStr">
        <is>
          <t>Calculation</t>
        </is>
      </c>
      <c r="C49" s="20" t="inlineStr">
        <is>
          <t>A partial first or last month is pro-rated by calendar days worked, not counted as a whole month.</t>
        </is>
      </c>
      <c r="D49" s="19" t="inlineStr">
        <is>
          <t>Must</t>
        </is>
      </c>
      <c r="E49" s="19" t="inlineStr">
        <is>
          <t>Q-02</t>
        </is>
      </c>
      <c r="F49" s="19" t="inlineStr">
        <is>
          <t>4</t>
        </is>
      </c>
    </row>
    <row r="50">
      <c r="A50" s="10" t="inlineStr">
        <is>
          <t>REQ-CAL-06</t>
        </is>
      </c>
      <c r="B50" s="10" t="inlineStr">
        <is>
          <t>Calculation</t>
        </is>
      </c>
      <c r="C50" s="11" t="inlineStr">
        <is>
          <t>All weights, factors and thresholds are data, held in the source workbook, never hardcoded in the program.</t>
        </is>
      </c>
      <c r="D50" s="10" t="inlineStr">
        <is>
          <t>Must</t>
        </is>
      </c>
      <c r="E50" s="10" t="inlineStr">
        <is>
          <t>Derived</t>
        </is>
      </c>
      <c r="F50" s="10" t="inlineStr">
        <is>
          <t>4</t>
        </is>
      </c>
    </row>
    <row r="51">
      <c r="A51" s="19" t="inlineStr">
        <is>
          <t>REQ-CAL-07</t>
        </is>
      </c>
      <c r="B51" s="19" t="inlineStr">
        <is>
          <t>Calculation</t>
        </is>
      </c>
      <c r="C51" s="20" t="inlineStr">
        <is>
          <t>A person whose monthly total stays below the under-allocation threshold (default 0.60 FTE) for three or more consecutive months is flagged as under-allocated, with the run's start and length reported. The threshold is absolute, not scaled by capacity.</t>
        </is>
      </c>
      <c r="D51" s="19" t="inlineStr">
        <is>
          <t>Must</t>
        </is>
      </c>
      <c r="E51" s="19" t="inlineStr">
        <is>
          <t>Q-08, S2-01, S2-05</t>
        </is>
      </c>
      <c r="F51" s="19" t="inlineStr">
        <is>
          <t>4</t>
        </is>
      </c>
    </row>
    <row r="52">
      <c r="A52" s="17" t="inlineStr">
        <is>
          <t>REQ-CAL-08</t>
        </is>
      </c>
      <c r="B52" s="17" t="inlineStr">
        <is>
          <t>Calculation</t>
        </is>
      </c>
      <c r="C52" s="18" t="inlineStr">
        <is>
          <t>Load is expressed in FTE, where 1.00 FTE = 160 hours per month (8 h/day x 5 days/week x 20 days/month). Hours are shown alongside FTE where useful.</t>
        </is>
      </c>
      <c r="D52" s="17" t="inlineStr">
        <is>
          <t>Must</t>
        </is>
      </c>
      <c r="E52" s="17" t="inlineStr">
        <is>
          <t>Q-08</t>
        </is>
      </c>
      <c r="F52" s="17" t="inlineStr">
        <is>
          <t>4</t>
        </is>
      </c>
    </row>
    <row r="53">
      <c r="A53" s="19" t="inlineStr">
        <is>
          <t>REQ-CAL-09</t>
        </is>
      </c>
      <c r="B53" s="19" t="inlineStr">
        <is>
          <t>Calculation</t>
        </is>
      </c>
      <c r="C53"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3" s="19" t="inlineStr">
        <is>
          <t>Must</t>
        </is>
      </c>
      <c r="E53" s="19" t="inlineStr">
        <is>
          <t>Q-16, Q-22, Q-23, Q-25</t>
        </is>
      </c>
      <c r="F53" s="19" t="inlineStr">
        <is>
          <t>2,4</t>
        </is>
      </c>
    </row>
    <row r="54">
      <c r="A54" s="17" t="inlineStr">
        <is>
          <t>REQ-CAL-10</t>
        </is>
      </c>
      <c r="B54" s="17" t="inlineStr">
        <is>
          <t>Calculation</t>
        </is>
      </c>
      <c r="C54" s="18" t="inlineStr">
        <is>
          <t>Every month of a project's timeline falls in exactly one period. A month left uncovered by the derivation is reported and carries weight 1.00 rather than being dropped from the simulation.</t>
        </is>
      </c>
      <c r="D54" s="17" t="inlineStr">
        <is>
          <t>Must</t>
        </is>
      </c>
      <c r="E54" s="17" t="inlineStr">
        <is>
          <t>Derived from Q-16</t>
        </is>
      </c>
      <c r="F54" s="17" t="inlineStr">
        <is>
          <t>2,4</t>
        </is>
      </c>
    </row>
    <row r="55">
      <c r="A55" s="19" t="inlineStr">
        <is>
          <t>REQ-CAL-11</t>
        </is>
      </c>
      <c r="B55" s="19" t="inlineStr">
        <is>
          <t>Calculation</t>
        </is>
      </c>
      <c r="C55"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5" s="19" t="inlineStr">
        <is>
          <t>Must</t>
        </is>
      </c>
      <c r="E55" s="19" t="inlineStr">
        <is>
          <t>Q-23, R-11</t>
        </is>
      </c>
      <c r="F55" s="19" t="inlineStr">
        <is>
          <t>2,4</t>
        </is>
      </c>
    </row>
    <row r="56">
      <c r="A56" s="17" t="inlineStr">
        <is>
          <t>REQ-CAL-13</t>
        </is>
      </c>
      <c r="B56" s="17" t="inlineStr">
        <is>
          <t>Calculation</t>
        </is>
      </c>
      <c r="C56" s="18" t="inlineStr">
        <is>
          <t>Where a period boundary has both a milestone and a month-offset definition, a recorded milestone date wins. The offset is the fallback for a project that does not carry that milestone.</t>
        </is>
      </c>
      <c r="D56" s="17" t="inlineStr">
        <is>
          <t>Must</t>
        </is>
      </c>
      <c r="E56" s="17" t="inlineStr">
        <is>
          <t>R-02</t>
        </is>
      </c>
      <c r="F56" s="17" t="inlineStr">
        <is>
          <t>2,4</t>
        </is>
      </c>
    </row>
    <row r="57">
      <c r="A57" s="17" t="inlineStr">
        <is>
          <t>REQ-CAL-12</t>
        </is>
      </c>
      <c r="B57" s="17" t="inlineStr">
        <is>
          <t>Calculation</t>
        </is>
      </c>
      <c r="C57" s="18" t="inlineStr">
        <is>
          <t>Where a timeline squeezes a derived period to zero or negative length, that period is omitted and the omission reported. Boundaries are applied in order so the periods always stay contiguous.</t>
        </is>
      </c>
      <c r="D57" s="17" t="inlineStr">
        <is>
          <t>Must</t>
        </is>
      </c>
      <c r="E57" s="17" t="inlineStr">
        <is>
          <t>Derived from Q-22, Q-23</t>
        </is>
      </c>
      <c r="F57" s="17" t="inlineStr">
        <is>
          <t>2,4</t>
        </is>
      </c>
    </row>
    <row r="58">
      <c r="A58" s="10" t="inlineStr">
        <is>
          <t>REQ-DSH-01</t>
        </is>
      </c>
      <c r="B58" s="10" t="inlineStr">
        <is>
          <t>Dashboard</t>
        </is>
      </c>
      <c r="C58" s="11" t="inlineStr">
        <is>
          <t>Tab 'Overall' shows monthly resource simulation per project and per person as tables.</t>
        </is>
      </c>
      <c r="D58" s="10" t="inlineStr">
        <is>
          <t>Must</t>
        </is>
      </c>
      <c r="E58" s="10" t="inlineStr">
        <is>
          <t>Requester</t>
        </is>
      </c>
      <c r="F58" s="10" t="inlineStr">
        <is>
          <t>3,4</t>
        </is>
      </c>
    </row>
    <row r="59">
      <c r="A59" s="8" t="inlineStr">
        <is>
          <t>REQ-DSH-02</t>
        </is>
      </c>
      <c r="B59" s="8" t="inlineStr">
        <is>
          <t>Dashboard</t>
        </is>
      </c>
      <c r="C59" s="9" t="inlineStr">
        <is>
          <t>Tab 'Overall' shows appropriate graphs of the same simulation.</t>
        </is>
      </c>
      <c r="D59" s="8" t="inlineStr">
        <is>
          <t>Must</t>
        </is>
      </c>
      <c r="E59" s="8" t="inlineStr">
        <is>
          <t>Requester</t>
        </is>
      </c>
      <c r="F59" s="8" t="inlineStr">
        <is>
          <t>3,4</t>
        </is>
      </c>
    </row>
    <row r="60">
      <c r="A60" s="10" t="inlineStr">
        <is>
          <t>REQ-DSH-03</t>
        </is>
      </c>
      <c r="B60" s="10" t="inlineStr">
        <is>
          <t>Dashboard</t>
        </is>
      </c>
      <c r="C60" s="11" t="inlineStr">
        <is>
          <t>Tab 'Source data (project)' shows project information as a table.</t>
        </is>
      </c>
      <c r="D60" s="10" t="inlineStr">
        <is>
          <t>Must</t>
        </is>
      </c>
      <c r="E60" s="10" t="inlineStr">
        <is>
          <t>Requester</t>
        </is>
      </c>
      <c r="F60" s="10" t="inlineStr">
        <is>
          <t>3,4</t>
        </is>
      </c>
    </row>
    <row r="61">
      <c r="A61" s="8" t="inlineStr">
        <is>
          <t>REQ-DSH-04</t>
        </is>
      </c>
      <c r="B61" s="8" t="inlineStr">
        <is>
          <t>Dashboard</t>
        </is>
      </c>
      <c r="C61" s="9" t="inlineStr">
        <is>
          <t>Tab 'Source data (person)' shows person information as a table.</t>
        </is>
      </c>
      <c r="D61" s="8" t="inlineStr">
        <is>
          <t>Must</t>
        </is>
      </c>
      <c r="E61" s="8" t="inlineStr">
        <is>
          <t>Requester</t>
        </is>
      </c>
      <c r="F61" s="8" t="inlineStr">
        <is>
          <t>3,4</t>
        </is>
      </c>
    </row>
    <row r="62">
      <c r="A62" s="19" t="inlineStr">
        <is>
          <t>REQ-DSH-05</t>
        </is>
      </c>
      <c r="B62" s="19" t="inlineStr">
        <is>
          <t>Dashboard</t>
        </is>
      </c>
      <c r="C62" s="20" t="inlineStr">
        <is>
          <t>One filter set drives every tab: date horizon, project type, clinical phase, project, person, role and department, with a single action to clear them all. The display unit is a setting, not a filter - it changes how figures are written, not which are shown.</t>
        </is>
      </c>
      <c r="D62" s="19" t="inlineStr">
        <is>
          <t>Should</t>
        </is>
      </c>
      <c r="E62" s="19" t="inlineStr">
        <is>
          <t>Derived / O-03</t>
        </is>
      </c>
      <c r="F62" s="19" t="inlineStr">
        <is>
          <t>3,4</t>
        </is>
      </c>
    </row>
    <row r="63">
      <c r="A63" s="8" t="inlineStr">
        <is>
          <t>REQ-DSH-06</t>
        </is>
      </c>
      <c r="B63" s="8" t="inlineStr">
        <is>
          <t>Dashboard</t>
        </is>
      </c>
      <c r="C63" s="9" t="inlineStr">
        <is>
          <t>Any table on screen can be exported to Excel.</t>
        </is>
      </c>
      <c r="D63" s="8" t="inlineStr">
        <is>
          <t>Should</t>
        </is>
      </c>
      <c r="E63" s="8" t="inlineStr">
        <is>
          <t>Derived</t>
        </is>
      </c>
      <c r="F63" s="8" t="inlineStr">
        <is>
          <t>4</t>
        </is>
      </c>
    </row>
    <row r="64">
      <c r="A64" s="17" t="inlineStr">
        <is>
          <t>REQ-DSH-07</t>
        </is>
      </c>
      <c r="B64" s="17" t="inlineStr">
        <is>
          <t>Dashboard</t>
        </is>
      </c>
      <c r="C64" s="18" t="inlineStr">
        <is>
          <t>The horizon control offers 24 months by default and a one-click expansion to cover the latest project end date across all projects.</t>
        </is>
      </c>
      <c r="D64" s="17" t="inlineStr">
        <is>
          <t>Must</t>
        </is>
      </c>
      <c r="E64" s="17" t="inlineStr">
        <is>
          <t>Q-11</t>
        </is>
      </c>
      <c r="F64" s="17" t="inlineStr">
        <is>
          <t>3,4</t>
        </is>
      </c>
    </row>
    <row r="65">
      <c r="A65" s="17" t="inlineStr">
        <is>
          <t>REQ-DSH-08</t>
        </is>
      </c>
      <c r="B65" s="17" t="inlineStr">
        <is>
          <t>Dashboard</t>
        </is>
      </c>
      <c r="C65" s="18" t="inlineStr">
        <is>
          <t>Over-allocated and under-allocated person-months are distinguishable at a glance, and both are counted in the summary tiles.</t>
        </is>
      </c>
      <c r="D65" s="17" t="inlineStr">
        <is>
          <t>Must</t>
        </is>
      </c>
      <c r="E65" s="17" t="inlineStr">
        <is>
          <t>Q-08</t>
        </is>
      </c>
      <c r="F65" s="17" t="inlineStr">
        <is>
          <t>3,4</t>
        </is>
      </c>
    </row>
    <row r="66">
      <c r="A66" s="19" t="inlineStr">
        <is>
          <t>REQ-DSH-09</t>
        </is>
      </c>
      <c r="B66" s="19" t="inlineStr">
        <is>
          <t>Dashboard</t>
        </is>
      </c>
      <c r="C66"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6" s="19" t="inlineStr">
        <is>
          <t>Must</t>
        </is>
      </c>
      <c r="E66" s="19" t="inlineStr">
        <is>
          <t>S2-06, R-47</t>
        </is>
      </c>
      <c r="F66" s="19" t="inlineStr">
        <is>
          <t>3,4</t>
        </is>
      </c>
    </row>
    <row r="67">
      <c r="A67" s="19" t="inlineStr">
        <is>
          <t>REQ-DSH-10</t>
        </is>
      </c>
      <c r="B67" s="19" t="inlineStr">
        <is>
          <t>Dashboard</t>
        </is>
      </c>
      <c r="C67"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7" s="19" t="inlineStr">
        <is>
          <t>Must</t>
        </is>
      </c>
      <c r="E67" s="19" t="inlineStr">
        <is>
          <t>S2-04, R-11</t>
        </is>
      </c>
      <c r="F67" s="19" t="inlineStr">
        <is>
          <t>3,4</t>
        </is>
      </c>
    </row>
    <row r="68">
      <c r="A68" s="17" t="inlineStr">
        <is>
          <t>REQ-DSH-12</t>
        </is>
      </c>
      <c r="B68" s="17" t="inlineStr">
        <is>
          <t>Dashboard</t>
        </is>
      </c>
      <c r="C6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8" s="17" t="inlineStr">
        <is>
          <t>Should</t>
        </is>
      </c>
      <c r="E68" s="17" t="inlineStr">
        <is>
          <t>Reviewer v0.7</t>
        </is>
      </c>
      <c r="F68" s="17" t="inlineStr">
        <is>
          <t>3,4</t>
        </is>
      </c>
    </row>
    <row r="69">
      <c r="A69" s="17" t="inlineStr">
        <is>
          <t>REQ-DSH-11</t>
        </is>
      </c>
      <c r="B69" s="17" t="inlineStr">
        <is>
          <t>Dashboard</t>
        </is>
      </c>
      <c r="C69" s="18" t="inlineStr">
        <is>
          <t>The standing assumptions the simulation multiplies by - standard period weights, role factors, configuration and value lists - are presented on their own tab, so a reader can see what every figure was derived from without opening the workbook.</t>
        </is>
      </c>
      <c r="D69" s="17" t="inlineStr">
        <is>
          <t>Must</t>
        </is>
      </c>
      <c r="E69" s="17" t="inlineStr">
        <is>
          <t>G-07</t>
        </is>
      </c>
      <c r="F69" s="17" t="inlineStr">
        <is>
          <t>3,4</t>
        </is>
      </c>
    </row>
    <row r="70">
      <c r="A70" s="19" t="inlineStr">
        <is>
          <t>REQ-IMP-01</t>
        </is>
      </c>
      <c r="B70" s="19" t="inlineStr">
        <is>
          <t>Import/Export</t>
        </is>
      </c>
      <c r="C70" s="20" t="inlineStr">
        <is>
          <t>The user loads the source workbook through a file picker or drag-and-drop, chosen because a local HTML page cannot open a file from disk unaided.</t>
        </is>
      </c>
      <c r="D70" s="19" t="inlineStr">
        <is>
          <t>Must</t>
        </is>
      </c>
      <c r="E70" s="19" t="inlineStr">
        <is>
          <t>Decision D-01</t>
        </is>
      </c>
      <c r="F70" s="19" t="inlineStr">
        <is>
          <t>4</t>
        </is>
      </c>
    </row>
    <row r="71">
      <c r="A71" s="8" t="inlineStr">
        <is>
          <t>REQ-IMP-02</t>
        </is>
      </c>
      <c r="B71" s="8" t="inlineStr">
        <is>
          <t>Import/Export</t>
        </is>
      </c>
      <c r="C71" s="9" t="inlineStr">
        <is>
          <t>Loading validates the workbook and reports every problem found - missing sheet, missing column, bad date, unknown project reference - without stopping at the first one.</t>
        </is>
      </c>
      <c r="D71" s="8" t="inlineStr">
        <is>
          <t>Must</t>
        </is>
      </c>
      <c r="E71" s="8" t="inlineStr">
        <is>
          <t>Derived</t>
        </is>
      </c>
      <c r="F71" s="8" t="inlineStr">
        <is>
          <t>4</t>
        </is>
      </c>
    </row>
    <row r="72">
      <c r="A72" s="19" t="inlineStr">
        <is>
          <t>REQ-IMP-03</t>
        </is>
      </c>
      <c r="B72" s="19" t="inlineStr">
        <is>
          <t>Import/Export</t>
        </is>
      </c>
      <c r="C72" s="20" t="inlineStr">
        <is>
          <t>A blank source workbook template with correct sheet names, headers, value lists and one example row is delivered with the application.</t>
        </is>
      </c>
      <c r="D72" s="19" t="inlineStr">
        <is>
          <t>Must</t>
        </is>
      </c>
      <c r="E72" s="19" t="inlineStr">
        <is>
          <t>Derived</t>
        </is>
      </c>
      <c r="F72" s="19" t="inlineStr">
        <is>
          <t>4</t>
        </is>
      </c>
    </row>
    <row r="73">
      <c r="A73" s="8" t="inlineStr">
        <is>
          <t>REQ-IMP-04</t>
        </is>
      </c>
      <c r="B73" s="8" t="inlineStr">
        <is>
          <t>Import/Export</t>
        </is>
      </c>
      <c r="C73" s="9" t="inlineStr">
        <is>
          <t>The user can export current data back to .xlsx, preserving the template layout so the export can be re-imported.</t>
        </is>
      </c>
      <c r="D73" s="8" t="inlineStr">
        <is>
          <t>Must</t>
        </is>
      </c>
      <c r="E73" s="8" t="inlineStr">
        <is>
          <t>Derived</t>
        </is>
      </c>
      <c r="F73" s="8" t="inlineStr">
        <is>
          <t>4</t>
        </is>
      </c>
    </row>
    <row r="74">
      <c r="A74" s="19" t="inlineStr">
        <is>
          <t>REQ-IMP-05</t>
        </is>
      </c>
      <c r="B74" s="19" t="inlineStr">
        <is>
          <t>Import/Export</t>
        </is>
      </c>
      <c r="C74" s="20" t="inlineStr">
        <is>
          <t>The application records which file was loaded and when, and shows it on screen with its time zone - a bare timestamp is ambiguous to anyone reading it from another country.</t>
        </is>
      </c>
      <c r="D74" s="19" t="inlineStr">
        <is>
          <t>Should</t>
        </is>
      </c>
      <c r="E74" s="19" t="inlineStr">
        <is>
          <t>Derived / G-02</t>
        </is>
      </c>
      <c r="F74" s="19" t="inlineStr">
        <is>
          <t>4</t>
        </is>
      </c>
    </row>
    <row r="75">
      <c r="A75" s="8" t="inlineStr">
        <is>
          <t>REQ-IMP-06</t>
        </is>
      </c>
      <c r="B75" s="8" t="inlineStr">
        <is>
          <t>Import/Export</t>
        </is>
      </c>
      <c r="C75" s="9" t="inlineStr">
        <is>
          <t>Loaded data may be cached in the browser so re-opening the page does not force a re-import; the cache never replaces the workbook as the record.</t>
        </is>
      </c>
      <c r="D75" s="8" t="inlineStr">
        <is>
          <t>Could</t>
        </is>
      </c>
      <c r="E75" s="8" t="inlineStr">
        <is>
          <t>Derived</t>
        </is>
      </c>
      <c r="F75" s="8" t="inlineStr">
        <is>
          <t>4</t>
        </is>
      </c>
    </row>
    <row r="76">
      <c r="A76" s="17" t="inlineStr">
        <is>
          <t>REQ-IMP-07</t>
        </is>
      </c>
      <c r="B76" s="17" t="inlineStr">
        <is>
          <t>Import/Export</t>
        </is>
      </c>
      <c r="C76" s="18" t="inlineStr">
        <is>
          <t>After import, the application lets the user update the data on screen, and those updates are carried into the file produced on export.</t>
        </is>
      </c>
      <c r="D76" s="17" t="inlineStr">
        <is>
          <t>Must</t>
        </is>
      </c>
      <c r="E76" s="17" t="inlineStr">
        <is>
          <t>Reviewer v0.11</t>
        </is>
      </c>
      <c r="F76" s="17" t="inlineStr">
        <is>
          <t>4</t>
        </is>
      </c>
    </row>
    <row r="77">
      <c r="A77" s="17" t="inlineStr">
        <is>
          <t>REQ-IMP-08</t>
        </is>
      </c>
      <c r="B77" s="17" t="inlineStr">
        <is>
          <t>Import/Export</t>
        </is>
      </c>
      <c r="C77" s="18" t="inlineStr">
        <is>
          <t>Unsaved edits are visible as such, and the user is warned before any action that would discard them (closing the page, loading another file).</t>
        </is>
      </c>
      <c r="D77" s="17" t="inlineStr">
        <is>
          <t>Must</t>
        </is>
      </c>
      <c r="E77" s="17" t="inlineStr">
        <is>
          <t>Derived from REQ-IMP-07</t>
        </is>
      </c>
      <c r="F77" s="17" t="inlineStr">
        <is>
          <t>4</t>
        </is>
      </c>
    </row>
    <row r="78">
      <c r="A78" s="19" t="inlineStr">
        <is>
          <t>REQ-IMP-09</t>
        </is>
      </c>
      <c r="B78" s="19" t="inlineStr">
        <is>
          <t>Import/Export</t>
        </is>
      </c>
      <c r="C78" s="20" t="inlineStr">
        <is>
          <t>Every field is editable, including identifiers. An on-screen edit is re-validated against the same rules as an imported value, so editing cannot introduce data the import would have rejected.</t>
        </is>
      </c>
      <c r="D78" s="19" t="inlineStr">
        <is>
          <t>Must</t>
        </is>
      </c>
      <c r="E78" s="19" t="inlineStr">
        <is>
          <t>Q-20</t>
        </is>
      </c>
      <c r="F78" s="19" t="inlineStr">
        <is>
          <t>4</t>
        </is>
      </c>
    </row>
    <row r="79">
      <c r="A79" s="17" t="inlineStr">
        <is>
          <t>REQ-IMP-10</t>
        </is>
      </c>
      <c r="B79" s="17" t="inlineStr">
        <is>
          <t>Import/Export</t>
        </is>
      </c>
      <c r="C79" s="18" t="inlineStr">
        <is>
          <t>Editing an identifier that other sheets reference cascades to every referencing row, after showing how many rows will change. Deleting a referenced row is refused, naming what still points at it.</t>
        </is>
      </c>
      <c r="D79" s="17" t="inlineStr">
        <is>
          <t>Must</t>
        </is>
      </c>
      <c r="E79" s="17" t="inlineStr">
        <is>
          <t>Q-20</t>
        </is>
      </c>
      <c r="F79" s="17" t="inlineStr">
        <is>
          <t>4</t>
        </is>
      </c>
    </row>
    <row r="80">
      <c r="A80" s="17" t="inlineStr">
        <is>
          <t>REQ-IMP-14</t>
        </is>
      </c>
      <c r="B80" s="17" t="inlineStr">
        <is>
          <t>Import/Export</t>
        </is>
      </c>
      <c r="C8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0" s="17" t="inlineStr">
        <is>
          <t>Must</t>
        </is>
      </c>
      <c r="E80" s="17" t="inlineStr">
        <is>
          <t>R-28</t>
        </is>
      </c>
      <c r="F80" s="17" t="inlineStr">
        <is>
          <t>4</t>
        </is>
      </c>
    </row>
    <row r="81">
      <c r="A81" s="17" t="inlineStr">
        <is>
          <t>REQ-OUT-06</t>
        </is>
      </c>
      <c r="B81" s="17" t="inlineStr">
        <is>
          <t>Output</t>
        </is>
      </c>
      <c r="C81"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1" s="17" t="inlineStr">
        <is>
          <t>Must</t>
        </is>
      </c>
      <c r="E81" s="17" t="inlineStr">
        <is>
          <t>R-29</t>
        </is>
      </c>
      <c r="F81" s="17" t="inlineStr">
        <is>
          <t>4</t>
        </is>
      </c>
    </row>
    <row r="82">
      <c r="A82" s="17" t="inlineStr">
        <is>
          <t>REQ-IMP-12</t>
        </is>
      </c>
      <c r="B82" s="17" t="inlineStr">
        <is>
          <t>Import/Export</t>
        </is>
      </c>
      <c r="C82"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2" s="17" t="inlineStr">
        <is>
          <t>Should</t>
        </is>
      </c>
      <c r="E82" s="17" t="inlineStr">
        <is>
          <t>R-21</t>
        </is>
      </c>
      <c r="F82" s="17" t="inlineStr">
        <is>
          <t>4</t>
        </is>
      </c>
    </row>
    <row r="83">
      <c r="A83" s="17" t="inlineStr">
        <is>
          <t>REQ-IMP-13</t>
        </is>
      </c>
      <c r="B83" s="17" t="inlineStr">
        <is>
          <t>Import/Export</t>
        </is>
      </c>
      <c r="C83"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3" s="17" t="inlineStr">
        <is>
          <t>Must</t>
        </is>
      </c>
      <c r="E83" s="17" t="inlineStr">
        <is>
          <t>R-25</t>
        </is>
      </c>
      <c r="F83" s="17" t="inlineStr">
        <is>
          <t>4</t>
        </is>
      </c>
    </row>
    <row r="84">
      <c r="A84" s="17" t="inlineStr">
        <is>
          <t>REQ-IMP-11</t>
        </is>
      </c>
      <c r="B84" s="17" t="inlineStr">
        <is>
          <t>Import/Export</t>
        </is>
      </c>
      <c r="C84" s="18" t="inlineStr">
        <is>
          <t>A new row can be inserted into any editable table, positioned immediately below the row the user acts on rather than appended at the end, and validated on entry like any other edit.</t>
        </is>
      </c>
      <c r="D84" s="17" t="inlineStr">
        <is>
          <t>Must</t>
        </is>
      </c>
      <c r="E84" s="17" t="inlineStr">
        <is>
          <t>P-01, S-01</t>
        </is>
      </c>
      <c r="F84" s="17" t="inlineStr">
        <is>
          <t>4</t>
        </is>
      </c>
    </row>
    <row r="85">
      <c r="A85" s="8" t="inlineStr">
        <is>
          <t>REQ-VC-01</t>
        </is>
      </c>
      <c r="B85" s="8" t="inlineStr">
        <is>
          <t>Version control</t>
        </is>
      </c>
      <c r="C85" s="9" t="inlineStr">
        <is>
          <t>Development plan, programming specification and output files are version-controlled together and their versions are cross-referenced.</t>
        </is>
      </c>
      <c r="D85" s="8" t="inlineStr">
        <is>
          <t>Must</t>
        </is>
      </c>
      <c r="E85" s="8" t="inlineStr">
        <is>
          <t>Requester</t>
        </is>
      </c>
      <c r="F85" s="8" t="inlineStr">
        <is>
          <t>1-5</t>
        </is>
      </c>
    </row>
    <row r="86">
      <c r="A86" s="10" t="inlineStr">
        <is>
          <t>REQ-VC-02</t>
        </is>
      </c>
      <c r="B86" s="10" t="inlineStr">
        <is>
          <t>Version control</t>
        </is>
      </c>
      <c r="C86" s="11" t="inlineStr">
        <is>
          <t>The application displays its own version, and the version of the source data schema it expects.</t>
        </is>
      </c>
      <c r="D86" s="10" t="inlineStr">
        <is>
          <t>Must</t>
        </is>
      </c>
      <c r="E86" s="10" t="inlineStr">
        <is>
          <t>Requester</t>
        </is>
      </c>
      <c r="F86" s="10" t="inlineStr">
        <is>
          <t>4</t>
        </is>
      </c>
    </row>
    <row r="87">
      <c r="A87" s="8" t="inlineStr">
        <is>
          <t>REQ-VC-03</t>
        </is>
      </c>
      <c r="B87" s="8" t="inlineStr">
        <is>
          <t>Version control</t>
        </is>
      </c>
      <c r="C87" s="9" t="inlineStr">
        <is>
          <t>Loading a source file whose schema version is newer or older than the application expects produces a clear warning.</t>
        </is>
      </c>
      <c r="D87" s="8" t="inlineStr">
        <is>
          <t>Should</t>
        </is>
      </c>
      <c r="E87" s="8" t="inlineStr">
        <is>
          <t>Derived</t>
        </is>
      </c>
      <c r="F87" s="8" t="inlineStr">
        <is>
          <t>4</t>
        </is>
      </c>
    </row>
    <row r="88">
      <c r="A88" s="10" t="inlineStr">
        <is>
          <t>REQ-VC-04</t>
        </is>
      </c>
      <c r="B88" s="10" t="inlineStr">
        <is>
          <t>Version control</t>
        </is>
      </c>
      <c r="C88" s="11" t="inlineStr">
        <is>
          <t>Every document re-issue adds a version-history row stating what changed and why.</t>
        </is>
      </c>
      <c r="D88" s="10" t="inlineStr">
        <is>
          <t>Must</t>
        </is>
      </c>
      <c r="E88" s="10" t="inlineStr">
        <is>
          <t>Requester</t>
        </is>
      </c>
      <c r="F88" s="10" t="inlineStr">
        <is>
          <t>1-5</t>
        </is>
      </c>
    </row>
    <row r="89">
      <c r="A89" s="8" t="inlineStr">
        <is>
          <t>REQ-NFR-01</t>
        </is>
      </c>
      <c r="B89" s="8" t="inlineStr">
        <is>
          <t>Non-functional</t>
        </is>
      </c>
      <c r="C89" s="9" t="inlineStr">
        <is>
          <t>The application is built so later requirements can be added without restructuring: parsing, calculation and presentation are separated.</t>
        </is>
      </c>
      <c r="D89" s="8" t="inlineStr">
        <is>
          <t>Must</t>
        </is>
      </c>
      <c r="E89" s="8" t="inlineStr">
        <is>
          <t>Requester</t>
        </is>
      </c>
      <c r="F89" s="8" t="inlineStr">
        <is>
          <t>4</t>
        </is>
      </c>
    </row>
    <row r="90">
      <c r="A90" s="10" t="inlineStr">
        <is>
          <t>REQ-NFR-02</t>
        </is>
      </c>
      <c r="B90" s="10" t="inlineStr">
        <is>
          <t>Non-functional</t>
        </is>
      </c>
      <c r="C90" s="11" t="inlineStr">
        <is>
          <t>Works in Microsoft Edge and Google Chrome on Windows 10/11, offline.</t>
        </is>
      </c>
      <c r="D90" s="10" t="inlineStr">
        <is>
          <t>Must</t>
        </is>
      </c>
      <c r="E90" s="10" t="inlineStr">
        <is>
          <t>Q-05</t>
        </is>
      </c>
      <c r="F90" s="10" t="inlineStr">
        <is>
          <t>4</t>
        </is>
      </c>
    </row>
    <row r="91">
      <c r="A91" s="19" t="inlineStr">
        <is>
          <t>REQ-NFR-03</t>
        </is>
      </c>
      <c r="B91" s="19" t="inlineStr">
        <is>
          <t>Non-functional</t>
        </is>
      </c>
      <c r="C91"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1" s="19" t="inlineStr">
        <is>
          <t>Must</t>
        </is>
      </c>
      <c r="E91" s="19" t="inlineStr">
        <is>
          <t>S2-06, R-47</t>
        </is>
      </c>
      <c r="F91" s="19" t="inlineStr">
        <is>
          <t>4</t>
        </is>
      </c>
    </row>
    <row r="92">
      <c r="A92" s="10" t="inlineStr">
        <is>
          <t>REQ-NFR-04</t>
        </is>
      </c>
      <c r="B92" s="10" t="inlineStr">
        <is>
          <t>Non-functional</t>
        </is>
      </c>
      <c r="C92" s="11" t="inlineStr">
        <is>
          <t>No data leaves the PC: no network calls, no external CDN, no telemetry.</t>
        </is>
      </c>
      <c r="D92" s="10" t="inlineStr">
        <is>
          <t>Must</t>
        </is>
      </c>
      <c r="E92" s="10" t="inlineStr">
        <is>
          <t>Derived</t>
        </is>
      </c>
      <c r="F92" s="10" t="inlineStr">
        <is>
          <t>4</t>
        </is>
      </c>
    </row>
    <row r="93">
      <c r="A93" s="8" t="inlineStr">
        <is>
          <t>REQ-NFR-05</t>
        </is>
      </c>
      <c r="B93" s="8" t="inlineStr">
        <is>
          <t>Non-functional</t>
        </is>
      </c>
      <c r="C93" s="9" t="inlineStr">
        <is>
          <t>Dates are handled unambiguously (ISO yyyy-mm-dd internally) regardless of Windows regional settings.</t>
        </is>
      </c>
      <c r="D93" s="8" t="inlineStr">
        <is>
          <t>Must</t>
        </is>
      </c>
      <c r="E93" s="8" t="inlineStr">
        <is>
          <t>Derived</t>
        </is>
      </c>
      <c r="F93" s="8" t="inlineStr">
        <is>
          <t>4</t>
        </is>
      </c>
    </row>
    <row r="95">
      <c r="A95" s="5" t="inlineStr">
        <is>
          <t>Requirement count by priority</t>
        </is>
      </c>
    </row>
    <row r="96" ht="28" customHeight="1">
      <c r="A96" s="7" t="inlineStr">
        <is>
          <t>Priority</t>
        </is>
      </c>
      <c r="B96" s="7" t="inlineStr">
        <is>
          <t>Count</t>
        </is>
      </c>
    </row>
    <row r="97">
      <c r="A97" s="8" t="inlineStr">
        <is>
          <t>Must</t>
        </is>
      </c>
      <c r="B97" s="8">
        <f>COUNTIF(D5:D93,"Must")</f>
        <v/>
      </c>
    </row>
    <row r="98">
      <c r="A98" s="10" t="inlineStr">
        <is>
          <t>Should</t>
        </is>
      </c>
      <c r="B98" s="10">
        <f>COUNTIF(D5:D93,"Should")</f>
        <v/>
      </c>
    </row>
    <row r="99">
      <c r="A99" s="8" t="inlineStr">
        <is>
          <t>Could</t>
        </is>
      </c>
      <c r="B99" s="8">
        <f>COUNTIF(D5:D93,"Could")</f>
        <v/>
      </c>
    </row>
    <row r="100">
      <c r="A100" s="10" t="inlineStr">
        <is>
          <t>Total</t>
        </is>
      </c>
      <c r="B100" s="10">
        <f>COUNTA(A5:A93)</f>
        <v/>
      </c>
    </row>
    <row r="102">
      <c r="A102" s="16" t="inlineStr">
        <is>
          <t>47 requirements at v0.1, 58 at v0.2, 61 at v0.3, 63 at v0.4 and v1.0. v1.1 adds 2 and rewords 3, as a change against the approved baseline.</t>
        </is>
      </c>
    </row>
    <row r="103">
      <c r="A103" s="16" t="inlineStr">
        <is>
          <t>'Source' = Requester (in the original request), a Q-number (answered at v0.11 review), 'Reviewer v0.11' (added by the reviewer directly), Derived (engineering consequence), or a Decision ID from 07_Architecture.</t>
        </is>
      </c>
    </row>
    <row r="104">
      <c r="A104" s="3" t="inlineStr">
        <is>
          <t>Legend</t>
        </is>
      </c>
    </row>
    <row r="105">
      <c r="A105" s="12" t="inlineStr">
        <is>
          <t>Green = new in v0.2, added from your review answers.</t>
        </is>
      </c>
    </row>
    <row r="106">
      <c r="A106" s="13" t="inlineStr">
        <is>
          <t>Orange = changed in v0.2 as a consequence of your review.</t>
        </is>
      </c>
    </row>
    <row r="107">
      <c r="A107" s="14" t="inlineStr">
        <is>
          <t>Yellow = still needs your input.</t>
        </is>
      </c>
    </row>
  </sheetData>
  <dataValidations count="1">
    <dataValidation sqref="D5:D9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0"/>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R-56</t>
        </is>
      </c>
      <c r="B47" s="8" t="inlineStr">
        <is>
          <t>UI</t>
        </is>
      </c>
      <c r="C47" s="9" t="inlineStr">
        <is>
          <t>Filters by name; a new project or person stays selected after Save; Resource by project to show auto vs manual, to filter to problem projects, and to count not-staffed months; file dates when importing and exporting.</t>
        </is>
      </c>
      <c r="D47" s="9"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47" s="17" t="inlineStr">
        <is>
          <t>Applied</t>
        </is>
      </c>
    </row>
    <row r="48">
      <c r="A48" s="10" t="inlineStr">
        <is>
          <t>R-55</t>
        </is>
      </c>
      <c r="B48" s="10" t="inlineStr">
        <is>
          <t>Output</t>
        </is>
      </c>
      <c r="C48" s="11" t="inlineStr">
        <is>
          <t>Make the calculated-FTE export usable for analysis outside the application, including by an AI: which projects are short or over, and by how much.</t>
        </is>
      </c>
      <c r="D48" s="11"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48" s="17" t="inlineStr">
        <is>
          <t>Applied</t>
        </is>
      </c>
    </row>
    <row r="49">
      <c r="A49" s="8" t="inlineStr">
        <is>
          <t>R-54</t>
        </is>
      </c>
      <c r="B49" s="8" t="inlineStr">
        <is>
          <t>UI</t>
        </is>
      </c>
      <c r="C49" s="9" t="inlineStr">
        <is>
          <t>Two raised from the screen: three cell marks were printing their own CSS escape, and the Order column on Milestones is not wanted.</t>
        </is>
      </c>
      <c r="D49" s="9"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49" s="17" t="inlineStr">
        <is>
          <t>Applied</t>
        </is>
      </c>
    </row>
    <row r="50">
      <c r="A50" s="10" t="inlineStr">
        <is>
          <t>R-53</t>
        </is>
      </c>
      <c r="B50" s="10" t="inlineStr">
        <is>
          <t>UI</t>
        </is>
      </c>
      <c r="C50" s="11" t="inlineStr">
        <is>
          <t>Let the Standard vs staffed list be narrowed, and keep a project's identity on screen while its table scrolls sideways.</t>
        </is>
      </c>
      <c r="D50" s="11"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0" s="17" t="inlineStr">
        <is>
          <t>Applied</t>
        </is>
      </c>
    </row>
    <row r="51">
      <c r="A51" s="8" t="inlineStr">
        <is>
          <t>R-52</t>
        </is>
      </c>
      <c r="B51" s="8" t="inlineStr">
        <is>
          <t>UI</t>
        </is>
      </c>
      <c r="C51" s="9" t="inlineStr">
        <is>
          <t>Move Standard vs staffed onto Resource by project and open it from a control there.</t>
        </is>
      </c>
      <c r="D51" s="9"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1" s="17" t="inlineStr">
        <is>
          <t>Applied</t>
        </is>
      </c>
    </row>
    <row r="52">
      <c r="A52" s="10" t="inlineStr">
        <is>
          <t>R-51</t>
        </is>
      </c>
      <c r="B52" s="10" t="inlineStr">
        <is>
          <t>UI</t>
        </is>
      </c>
      <c r="C52" s="11" t="inlineStr">
        <is>
          <t>Give every section a control that opens it full screen, so wide tables can be read and typed into at the size they actually are.</t>
        </is>
      </c>
      <c r="D52" s="11"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52" s="17" t="inlineStr">
        <is>
          <t>Applied</t>
        </is>
      </c>
    </row>
    <row r="53">
      <c r="A53" s="8" t="inlineStr">
        <is>
          <t>R-50</t>
        </is>
      </c>
      <c r="B53" s="8" t="inlineStr">
        <is>
          <t>Data model</t>
        </is>
      </c>
      <c r="C53" s="9" t="inlineStr">
        <is>
          <t>Mark a milestone in a colour, and carry the mark to the Project timeline on both tabs.</t>
        </is>
      </c>
      <c r="D53"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3" s="17" t="inlineStr">
        <is>
          <t>Applied</t>
        </is>
      </c>
    </row>
    <row r="54">
      <c r="A54" s="10" t="inlineStr">
        <is>
          <t>R-01</t>
        </is>
      </c>
      <c r="B54" s="10" t="inlineStr">
        <is>
          <t>Data model</t>
        </is>
      </c>
      <c r="C54" s="11" t="inlineStr">
        <is>
          <t>Add 'Inspection' as a standard milestone.</t>
        </is>
      </c>
      <c r="D54" s="11" t="inlineStr">
        <is>
          <t>Applied. Milestone list grows to ten. Unlike the others, 'Inspection' MAY REPEAT within one project, so REQ-PRJ-13 and V-20 were added and V-14's uniqueness check now exempts it.</t>
        </is>
      </c>
      <c r="E54" s="17" t="inlineStr">
        <is>
          <t>Applied</t>
        </is>
      </c>
    </row>
    <row r="55">
      <c r="A55" s="8" t="inlineStr">
        <is>
          <t>R-02</t>
        </is>
      </c>
      <c r="B55" s="8" t="inlineStr">
        <is>
          <t>Calculation</t>
        </is>
      </c>
      <c r="C55" s="9" t="inlineStr">
        <is>
          <t>Sheet 05 derivation edits: Before-Start-up ends at 'Protocol (v1)'; Start-up begins the day after it and ends at 'First SIV' (or 'FPI'); a seventh period 'After Close-out (final)' spans the Inspection dates.</t>
        </is>
      </c>
      <c r="D55" s="9" t="inlineStr">
        <is>
          <t>Applied. Clinical period set grows to six names; REQ-PRJ-12 and REQ-CAL-09 reworded; REQ-CAL-13 added for the milestone-beats-offset rule; 'FPI' restored to the milestone list as the First SIV fallback.</t>
        </is>
      </c>
      <c r="E55" s="17" t="inlineStr">
        <is>
          <t>Applied</t>
        </is>
      </c>
    </row>
    <row r="56">
      <c r="A56" s="10" t="inlineStr">
        <is>
          <t>R-03</t>
        </is>
      </c>
      <c r="B56" s="10" t="inlineStr">
        <is>
          <t>Calculation</t>
        </is>
      </c>
      <c r="C56" s="11" t="inlineStr">
        <is>
          <t>Not requested - found while applying R-02.</t>
        </is>
      </c>
      <c r="D56"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6" s="17" t="inlineStr">
        <is>
          <t>CONFIRMED</t>
        </is>
      </c>
    </row>
    <row r="57">
      <c r="A57" s="8" t="inlineStr">
        <is>
          <t>R-13</t>
        </is>
      </c>
      <c r="B57" s="8" t="inlineStr">
        <is>
          <t>UI</t>
        </is>
      </c>
      <c r="C57" s="9" t="inlineStr">
        <is>
          <t>Two requests at the component-list v0.7 review: highlight the interim and final DB lock milestones in red, and add a project utilisation graph to the 'Source data (project)' tab.</t>
        </is>
      </c>
      <c r="D57"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7" s="17" t="inlineStr">
        <is>
          <t>Applied</t>
        </is>
      </c>
    </row>
    <row r="58">
      <c r="A58" s="10" t="inlineStr">
        <is>
          <t>R-12</t>
        </is>
      </c>
      <c r="B58" s="10" t="inlineStr">
        <is>
          <t>Validation</t>
        </is>
      </c>
      <c r="C58" s="11" t="inlineStr">
        <is>
          <t>Raised as a question about the PersonPeriodWeight key - why is period_start needed when assignment_id looks unique?</t>
        </is>
      </c>
      <c r="D58"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8" s="17" t="inlineStr">
        <is>
          <t>Applied</t>
        </is>
      </c>
    </row>
    <row r="59">
      <c r="A59" s="8" t="inlineStr">
        <is>
          <t>R-11</t>
        </is>
      </c>
      <c r="B59" s="8" t="inlineStr">
        <is>
          <t>Data model</t>
        </is>
      </c>
      <c r="C59" s="9" t="inlineStr">
        <is>
          <t>Name the two conduct stretches apart - 'Conduct (interim)' before an interim DB lock, 'Conduct (final)' after it or where there is no interim lock - and key ProjectPeriod on (project_id, period_name).</t>
        </is>
      </c>
      <c r="D59"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9" s="17" t="inlineStr">
        <is>
          <t>Applied</t>
        </is>
      </c>
    </row>
    <row r="60">
      <c r="A60" s="10" t="inlineStr">
        <is>
          <t>R-10</t>
        </is>
      </c>
      <c r="B60" s="10" t="inlineStr">
        <is>
          <t>Data model</t>
        </is>
      </c>
      <c r="C60" s="11" t="inlineStr">
        <is>
          <t>The role factor must be given by role AND project type AND clinical phase AND period, not by role and type alone.</t>
        </is>
      </c>
      <c r="D60"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0" s="17" t="inlineStr">
        <is>
          <t>Applied</t>
        </is>
      </c>
    </row>
    <row r="61">
      <c r="A61" s="8" t="inlineStr">
        <is>
          <t>R-09</t>
        </is>
      </c>
      <c r="B61" s="8" t="inlineStr">
        <is>
          <t>UI</t>
        </is>
      </c>
      <c r="C61"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1"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1" s="17" t="inlineStr">
        <is>
          <t>Applied</t>
        </is>
      </c>
    </row>
    <row r="62">
      <c r="A62" s="10" t="inlineStr">
        <is>
          <t>R-08</t>
        </is>
      </c>
      <c r="B62" s="10" t="inlineStr">
        <is>
          <t>UI</t>
        </is>
      </c>
      <c r="C62" s="11" t="inlineStr">
        <is>
          <t>The two 'Conduct' stretches of a project must be distinguishable on screen (S2-04).</t>
        </is>
      </c>
      <c r="D62" s="11" t="inlineStr">
        <is>
          <t>Applied as REQ-DSH-10. A display rule, not a data change: period_name stays 'Conduct' in the workbook and the screen shows it with its sequence, 'Conduct (1)' and 'Conduct (2)'. Changing the stored name would have broken the weight lookup and V-15.</t>
        </is>
      </c>
      <c r="E62" s="17" t="inlineStr">
        <is>
          <t>Applied</t>
        </is>
      </c>
    </row>
    <row r="63">
      <c r="A63" s="8" t="inlineStr">
        <is>
          <t>R-07</t>
        </is>
      </c>
      <c r="B63" s="8" t="inlineStr">
        <is>
          <t>Calculation</t>
        </is>
      </c>
      <c r="C63" s="9" t="inlineStr">
        <is>
          <t>Thresholds stay ABSOLUTE, not relative to capacity_fte (S2-01), and the under-allocation floor moves to 0.60 FTE (S2-05).</t>
        </is>
      </c>
      <c r="D63"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3" s="17" t="inlineStr">
        <is>
          <t>Applied</t>
        </is>
      </c>
    </row>
    <row r="64">
      <c r="A64" s="10" t="inlineStr">
        <is>
          <t>R-06</t>
        </is>
      </c>
      <c r="B64" s="10" t="inlineStr">
        <is>
          <t>Non-functional</t>
        </is>
      </c>
      <c r="C64" s="11" t="inlineStr">
        <is>
          <t>Re-baseline REQ-NFR-03 to 100 projects and 1,000 people (S2-06).</t>
        </is>
      </c>
      <c r="D64"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4" s="17" t="inlineStr">
        <is>
          <t>Applied; volume superseded at R-47</t>
        </is>
      </c>
    </row>
    <row r="65">
      <c r="A65" s="8" t="inlineStr">
        <is>
          <t>R-05</t>
        </is>
      </c>
      <c r="B65" s="8" t="inlineStr">
        <is>
          <t>Data model</t>
        </is>
      </c>
      <c r="C65" s="9" t="inlineStr">
        <is>
          <t>Split project_type: 'Clinical Trial' becomes 'NewDrug CT' and 'Biosimilar CT'; every clinical trial is one or the other.</t>
        </is>
      </c>
      <c r="D65"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5" s="17" t="inlineStr">
        <is>
          <t>Applied</t>
        </is>
      </c>
    </row>
    <row r="66">
      <c r="A66" s="10" t="inlineStr">
        <is>
          <t>R-04</t>
        </is>
      </c>
      <c r="B66" s="10" t="inlineStr">
        <is>
          <t>Data model</t>
        </is>
      </c>
      <c r="C66" s="11" t="inlineStr">
        <is>
          <t>Add at least one free-text note column to every sheet of the source workbook.</t>
        </is>
      </c>
      <c r="D66"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6" s="17" t="inlineStr">
        <is>
          <t>Applied</t>
        </is>
      </c>
    </row>
    <row r="68">
      <c r="A68" s="16" t="inlineStr">
        <is>
          <t>All four are settled. Nothing on this sheet is open, and the plan is final.</t>
        </is>
      </c>
    </row>
    <row r="70">
      <c r="A70"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2026-10-07T12:46:15Z</dcterms:created>
  <dcterms:modified xsi:type="dcterms:W3CDTF">2026-10-07T12:46:15Z</dcterms:modified>
</cp:coreProperties>
</file>