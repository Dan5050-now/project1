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v1.10</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 and needs its own 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the conduct phase split into 'Conduct (interim)' and 'Conduct (final)' where an</t>
        </is>
      </c>
    </row>
    <row r="74">
      <c r="A74" s="6" t="inlineStr">
        <is>
          <t xml:space="preserve">                interim DB lock divides it. Weights come</t>
        </is>
      </c>
    </row>
    <row r="75">
      <c r="A75" s="6" t="inlineStr">
        <is>
          <t xml:space="preserve">                from the trial's clinical phase.</t>
        </is>
      </c>
    </row>
    <row r="76">
      <c r="A76" s="6" t="inlineStr">
        <is>
          <t xml:space="preserve">                Others: three periods, dates and weights both entered by hand.</t>
        </is>
      </c>
    </row>
    <row r="77">
      <c r="A77" s="6" t="inlineStr"/>
    </row>
    <row r="78">
      <c r="A78" s="6" t="inlineStr">
        <is>
          <t xml:space="preserve">  Dashboard     Overall (monthly simulation per project and per person, tables and graphs),</t>
        </is>
      </c>
    </row>
    <row r="79">
      <c r="A79" s="6" t="inlineStr">
        <is>
          <t xml:space="preserve">                Source data (project), Source data (person). Every field editable, with identifier</t>
        </is>
      </c>
    </row>
    <row r="80">
      <c r="A80" s="6" t="inlineStr">
        <is>
          <t xml:space="preserve">                edits cascading to referencing rows.</t>
        </is>
      </c>
    </row>
    <row r="81">
      <c r="A81" s="6" t="inlineStr"/>
    </row>
    <row r="82">
      <c r="A82" s="6" t="inlineStr">
        <is>
          <t xml:space="preserve">  Build         Five steps, each ending at a review gate. This document closes Step 1.</t>
        </is>
      </c>
    </row>
    <row r="84">
      <c r="A84" s="5" t="inlineStr">
        <is>
          <t>What approving this document means</t>
        </is>
      </c>
    </row>
    <row r="85">
      <c r="A85" s="6" t="inlineStr">
        <is>
          <t>Gate 1 approval on sheet 12 baselines the 63 requirements on sheet 03 as the contract for Steps 2-5,</t>
        </is>
      </c>
    </row>
    <row r="86">
      <c r="A86" s="6" t="inlineStr">
        <is>
          <t>and confirms the six engineering decisions C-06 to C-11 on sheet 05 that were proposed but never</t>
        </is>
      </c>
    </row>
    <row r="87">
      <c r="A87" s="6" t="inlineStr">
        <is>
          <t>explicitly answered across the review rounds. Those six are listed there with their rationale; if any</t>
        </is>
      </c>
    </row>
    <row r="88">
      <c r="A88" s="6" t="inlineStr">
        <is>
          <t>is wrong, say so at approval rather than after.</t>
        </is>
      </c>
    </row>
    <row r="90">
      <c r="A90" s="5" t="inlineStr">
        <is>
          <t>How to read this workbook</t>
        </is>
      </c>
    </row>
    <row r="91" ht="28" customHeight="1">
      <c r="A91" s="7" t="inlineStr">
        <is>
          <t>Sheet</t>
        </is>
      </c>
      <c r="B91" s="7" t="inlineStr">
        <is>
          <t>Contents</t>
        </is>
      </c>
    </row>
    <row r="92">
      <c r="A92" s="8" t="inlineStr">
        <is>
          <t>00_Cover</t>
        </is>
      </c>
      <c r="B92" s="9" t="inlineStr">
        <is>
          <t>Document control, what changed, reading guide.</t>
        </is>
      </c>
    </row>
    <row r="93">
      <c r="A93" s="10" t="inlineStr">
        <is>
          <t>01_Version_History</t>
        </is>
      </c>
      <c r="B93" s="11" t="inlineStr">
        <is>
          <t>Change log for this plan.</t>
        </is>
      </c>
    </row>
    <row r="94">
      <c r="A94" s="8" t="inlineStr">
        <is>
          <t>02_Scope</t>
        </is>
      </c>
      <c r="B94" s="9" t="inlineStr">
        <is>
          <t>Background, objectives, in scope / out of scope.</t>
        </is>
      </c>
    </row>
    <row r="95">
      <c r="A95" s="10" t="inlineStr">
        <is>
          <t>03_Requirements</t>
        </is>
      </c>
      <c r="B95" s="11" t="inlineStr">
        <is>
          <t>Numbered requirement register - the contract for Steps 2-5.</t>
        </is>
      </c>
    </row>
    <row r="96">
      <c r="A96" s="8" t="inlineStr">
        <is>
          <t>04_Data_Model</t>
        </is>
      </c>
      <c r="B96" s="9" t="inlineStr">
        <is>
          <t>Every sheet and column of the single source workbook, with rules.</t>
        </is>
      </c>
    </row>
    <row r="97">
      <c r="A97" s="10" t="inlineStr">
        <is>
          <t>05_Resource_Logic</t>
        </is>
      </c>
      <c r="B97" s="11" t="inlineStr">
        <is>
          <t>The calculation that turns assignments and weights into monthly FTE.</t>
        </is>
      </c>
    </row>
    <row r="98">
      <c r="A98" s="8" t="inlineStr">
        <is>
          <t>06_Dashboard_Design</t>
        </is>
      </c>
      <c r="B98" s="9" t="inlineStr">
        <is>
          <t>The three dashboard tabs: tables, graphs, filters, editing.</t>
        </is>
      </c>
    </row>
    <row r="99">
      <c r="A99" s="10" t="inlineStr">
        <is>
          <t>07_Architecture</t>
        </is>
      </c>
      <c r="B99" s="11" t="inlineStr">
        <is>
          <t>Single-file HTML + Excel-on-disk design and the file-access decision.</t>
        </is>
      </c>
    </row>
    <row r="100">
      <c r="A100" s="8" t="inlineStr">
        <is>
          <t>08_WBS_Schedule</t>
        </is>
      </c>
      <c r="B100" s="9" t="inlineStr">
        <is>
          <t>The five steps broken into tasks, deliverables and review gates.</t>
        </is>
      </c>
    </row>
    <row r="101">
      <c r="A101" s="10" t="inlineStr">
        <is>
          <t>09_Version_Control</t>
        </is>
      </c>
      <c r="B101" s="11" t="inlineStr">
        <is>
          <t>How plan, specification and output files are versioned together.</t>
        </is>
      </c>
    </row>
    <row r="102">
      <c r="A102" s="8" t="inlineStr">
        <is>
          <t>10_Risks</t>
        </is>
      </c>
      <c r="B102" s="9" t="inlineStr">
        <is>
          <t>Risks and assumptions with mitigations.</t>
        </is>
      </c>
    </row>
    <row r="103">
      <c r="A103" s="10" t="inlineStr">
        <is>
          <t>11_Open_Questions</t>
        </is>
      </c>
      <c r="B103" s="11" t="inlineStr">
        <is>
          <t>All 28 questions and their answers. Nothing open.</t>
        </is>
      </c>
    </row>
    <row r="104">
      <c r="A104" s="8" t="inlineStr">
        <is>
          <t>12_Review_Log</t>
        </is>
      </c>
      <c r="B104" s="9" t="inlineStr">
        <is>
          <t>Every change made across the four review rounds, and why. Gate 1 approval block.</t>
        </is>
      </c>
    </row>
    <row r="106">
      <c r="A106" s="3" t="inlineStr">
        <is>
          <t>Legend</t>
        </is>
      </c>
    </row>
    <row r="107">
      <c r="A107" s="12" t="inlineStr">
        <is>
          <t>Green = new in v0.2, added from your review answers.</t>
        </is>
      </c>
    </row>
    <row r="108">
      <c r="A108" s="13" t="inlineStr">
        <is>
          <t>Orange = changed in v0.2 as a consequence of your review.</t>
        </is>
      </c>
    </row>
    <row r="109">
      <c r="A10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1.10</t>
        </is>
      </c>
      <c r="B21" s="17" t="inlineStr">
        <is>
          <t>2026-07-31</t>
        </is>
      </c>
      <c r="C21" s="17" t="inlineStr">
        <is>
          <t>Claude Code</t>
        </is>
      </c>
      <c r="D21" s="17" t="inlineStr">
        <is>
          <t>Pending</t>
        </is>
      </c>
      <c r="E21" s="18"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1" s="17" t="inlineStr">
        <is>
          <t>Issued for approval</t>
        </is>
      </c>
    </row>
    <row r="22">
      <c r="A22" s="10" t="inlineStr">
        <is>
          <t>1.9</t>
        </is>
      </c>
      <c r="B22" s="10" t="inlineStr">
        <is>
          <t>2026-07-31</t>
        </is>
      </c>
      <c r="C22" s="10" t="inlineStr">
        <is>
          <t>Claude Code</t>
        </is>
      </c>
      <c r="D22" s="10" t="inlineStr">
        <is>
          <t>Pending</t>
        </is>
      </c>
      <c r="E2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2" s="10" t="inlineStr">
        <is>
          <t>Issued for approval</t>
        </is>
      </c>
    </row>
    <row r="23">
      <c r="A23" s="8" t="inlineStr">
        <is>
          <t>1.8</t>
        </is>
      </c>
      <c r="B23" s="8" t="inlineStr">
        <is>
          <t>2026-07-31</t>
        </is>
      </c>
      <c r="C23" s="8" t="inlineStr">
        <is>
          <t>Claude Code</t>
        </is>
      </c>
      <c r="D23" s="8" t="inlineStr">
        <is>
          <t>Pending</t>
        </is>
      </c>
      <c r="E2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3" s="8" t="inlineStr">
        <is>
          <t>Superseded by v1.9</t>
        </is>
      </c>
    </row>
    <row r="24">
      <c r="A24" s="10" t="inlineStr">
        <is>
          <t>1.7</t>
        </is>
      </c>
      <c r="B24" s="10" t="inlineStr">
        <is>
          <t>2026-07-31</t>
        </is>
      </c>
      <c r="C24" s="10" t="inlineStr">
        <is>
          <t>Claude Code</t>
        </is>
      </c>
      <c r="D24" s="10" t="inlineStr">
        <is>
          <t>Pending</t>
        </is>
      </c>
      <c r="E2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4" s="10" t="inlineStr">
        <is>
          <t>Superseded by v1.8</t>
        </is>
      </c>
    </row>
    <row r="25">
      <c r="A25" s="8" t="inlineStr">
        <is>
          <t>1.6</t>
        </is>
      </c>
      <c r="B25" s="8" t="inlineStr">
        <is>
          <t>2026-07-31</t>
        </is>
      </c>
      <c r="C25" s="8" t="inlineStr">
        <is>
          <t>Claude Code</t>
        </is>
      </c>
      <c r="D25" s="8" t="inlineStr">
        <is>
          <t>Pending</t>
        </is>
      </c>
      <c r="E2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5" s="8" t="inlineStr">
        <is>
          <t>Issued for approval</t>
        </is>
      </c>
    </row>
    <row r="27">
      <c r="A2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plan v1.10.</t>
        </is>
      </c>
      <c r="D29" s="9" t="inlineStr">
        <is>
          <t>Approval on 12_Review_Log</t>
        </is>
      </c>
      <c r="E29" s="8" t="inlineStr">
        <is>
          <t>Pending you</t>
        </is>
      </c>
    </row>
    <row r="30">
      <c r="A30" s="10" t="inlineStr">
        <is>
          <t>1</t>
        </is>
      </c>
      <c r="B30" s="10" t="inlineStr">
        <is>
          <t>G1</t>
        </is>
      </c>
      <c r="C30" s="11" t="inlineStr">
        <is>
          <t>GATE 1 - development plan approved by Dan, 2026-08-01. Decisions C-06..C-11 confirmed.</t>
        </is>
      </c>
      <c r="D30" s="11" t="inlineStr">
        <is>
          <t>Approval recorded on 12_Review_Log</t>
        </is>
      </c>
      <c r="E30" s="10" t="inlineStr">
        <is>
          <t>Complete</t>
        </is>
      </c>
    </row>
    <row r="31">
      <c r="A31" s="8" t="inlineStr">
        <is>
          <t>2</t>
        </is>
      </c>
      <c r="B31" s="8" t="inlineStr">
        <is>
          <t>2.0</t>
        </is>
      </c>
      <c r="C31" s="9" t="inlineStr">
        <is>
          <t>Generate the source workbook template and a dummy data file for review.</t>
        </is>
      </c>
      <c r="D31" s="9" t="inlineStr">
        <is>
          <t>PRAP_SourceData_Template + _Dummy v1.1</t>
        </is>
      </c>
      <c r="E31" s="8" t="inlineStr">
        <is>
          <t>Complete - issued for review</t>
        </is>
      </c>
    </row>
    <row r="32">
      <c r="A32" s="10" t="inlineStr">
        <is>
          <t>2</t>
        </is>
      </c>
      <c r="B32" s="10" t="inlineStr">
        <is>
          <t>2.1</t>
        </is>
      </c>
      <c r="C32" s="11" t="inlineStr">
        <is>
          <t>Fix the source workbook schema: exact sheet names, column headers, types, value lists.</t>
        </is>
      </c>
      <c r="D32" s="11" t="inlineStr">
        <is>
          <t>Specification sheet 'Data schema'</t>
        </is>
      </c>
      <c r="E32" s="10" t="inlineStr">
        <is>
          <t>In progress</t>
        </is>
      </c>
    </row>
    <row r="33">
      <c r="A33" s="8" t="inlineStr">
        <is>
          <t>2</t>
        </is>
      </c>
      <c r="B33" s="8" t="inlineStr">
        <is>
          <t>2.2</t>
        </is>
      </c>
      <c r="C33" s="9" t="inlineStr">
        <is>
          <t>Specify the calculation engine as pseudocode plus the worked example as an acceptance test.</t>
        </is>
      </c>
      <c r="D33" s="9" t="inlineStr">
        <is>
          <t>Specification sheet 'Calculation'</t>
        </is>
      </c>
      <c r="E33" s="8" t="inlineStr">
        <is>
          <t>Not started</t>
        </is>
      </c>
    </row>
    <row r="34">
      <c r="A34" s="10" t="inlineStr">
        <is>
          <t>2</t>
        </is>
      </c>
      <c r="B34" s="10" t="inlineStr">
        <is>
          <t>2.3</t>
        </is>
      </c>
      <c r="C34" s="11" t="inlineStr">
        <is>
          <t>Specify period derivation per project type, and the over/under-allocation detection.</t>
        </is>
      </c>
      <c r="D34" s="11" t="inlineStr">
        <is>
          <t>Specification sheet 'Calculation'</t>
        </is>
      </c>
      <c r="E34" s="10" t="inlineStr">
        <is>
          <t>Not started</t>
        </is>
      </c>
    </row>
    <row r="35">
      <c r="A35" s="8" t="inlineStr">
        <is>
          <t>2</t>
        </is>
      </c>
      <c r="B35" s="8" t="inlineStr">
        <is>
          <t>2.4</t>
        </is>
      </c>
      <c r="C35" s="9" t="inlineStr">
        <is>
          <t>Specify import validation rules V-01..V-21 and the findings report.</t>
        </is>
      </c>
      <c r="D35" s="9" t="inlineStr">
        <is>
          <t>Specification sheet 'Validation'</t>
        </is>
      </c>
      <c r="E35" s="8" t="inlineStr">
        <is>
          <t>Not started</t>
        </is>
      </c>
    </row>
    <row r="36">
      <c r="A36" s="10" t="inlineStr">
        <is>
          <t>2</t>
        </is>
      </c>
      <c r="B36" s="10" t="inlineStr">
        <is>
          <t>2.5</t>
        </is>
      </c>
      <c r="C36" s="11" t="inlineStr">
        <is>
          <t>Specify each dashboard tab: every table, column, graph, filter and interaction.</t>
        </is>
      </c>
      <c r="D36" s="11" t="inlineStr">
        <is>
          <t>Specification sheet 'UI spec'</t>
        </is>
      </c>
      <c r="E36" s="10" t="inlineStr">
        <is>
          <t>Not started</t>
        </is>
      </c>
    </row>
    <row r="37">
      <c r="A37" s="8" t="inlineStr">
        <is>
          <t>2</t>
        </is>
      </c>
      <c r="B37" s="8" t="inlineStr">
        <is>
          <t>2.6</t>
        </is>
      </c>
      <c r="C37" s="9" t="inlineStr">
        <is>
          <t>Specify on-screen editing, the dirty-state model and export round-tripping.</t>
        </is>
      </c>
      <c r="D37" s="9" t="inlineStr">
        <is>
          <t>Specification sheet 'Editing &amp; IO'</t>
        </is>
      </c>
      <c r="E37" s="8" t="inlineStr">
        <is>
          <t>Not started</t>
        </is>
      </c>
    </row>
    <row r="38">
      <c r="A38" s="10" t="inlineStr">
        <is>
          <t>2</t>
        </is>
      </c>
      <c r="B38" s="10" t="inlineStr">
        <is>
          <t>2.7</t>
        </is>
      </c>
      <c r="C38" s="11" t="inlineStr">
        <is>
          <t>Specify the version/compatibility check.</t>
        </is>
      </c>
      <c r="D38" s="11" t="inlineStr">
        <is>
          <t>Specification sheet 'IO &amp; versioning'</t>
        </is>
      </c>
      <c r="E38" s="10" t="inlineStr">
        <is>
          <t>Not started</t>
        </is>
      </c>
    </row>
    <row r="39">
      <c r="A39" s="8" t="inlineStr">
        <is>
          <t>2</t>
        </is>
      </c>
      <c r="B39" s="8" t="inlineStr">
        <is>
          <t>2.8</t>
        </is>
      </c>
      <c r="C39" s="9" t="inlineStr">
        <is>
          <t>Build the requirement-to-specification traceability matrix.</t>
        </is>
      </c>
      <c r="D39" s="9" t="inlineStr">
        <is>
          <t>Specification sheet 'Traceability'</t>
        </is>
      </c>
      <c r="E39" s="8" t="inlineStr">
        <is>
          <t>Not started</t>
        </is>
      </c>
    </row>
    <row r="40">
      <c r="A40" s="10" t="inlineStr">
        <is>
          <t>2</t>
        </is>
      </c>
      <c r="B40" s="10" t="inlineStr">
        <is>
          <t>G2</t>
        </is>
      </c>
      <c r="C40" s="11" t="inlineStr">
        <is>
          <t>GATE 2 - programming specification approved.</t>
        </is>
      </c>
      <c r="D40" s="11" t="inlineStr">
        <is>
          <t>PRAP_Programming_Specification_v1.0.xlsx</t>
        </is>
      </c>
      <c r="E40" s="10" t="inlineStr">
        <is>
          <t>Not started</t>
        </is>
      </c>
    </row>
    <row r="41">
      <c r="A41" s="8" t="inlineStr">
        <is>
          <t>3</t>
        </is>
      </c>
      <c r="B41" s="8" t="inlineStr">
        <is>
          <t>3.1</t>
        </is>
      </c>
      <c r="C41" s="9" t="inlineStr">
        <is>
          <t>High-level UI design: tab structure, page regions, navigation. No code behind it.</t>
        </is>
      </c>
      <c r="D41" s="9" t="inlineStr">
        <is>
          <t>Prototype HTML (UI only)</t>
        </is>
      </c>
      <c r="E41" s="8" t="inlineStr">
        <is>
          <t>Not started</t>
        </is>
      </c>
    </row>
    <row r="42">
      <c r="A42" s="10" t="inlineStr">
        <is>
          <t>3</t>
        </is>
      </c>
      <c r="B42" s="10" t="inlineStr">
        <is>
          <t>3.2</t>
        </is>
      </c>
      <c r="C42" s="11" t="inlineStr">
        <is>
          <t>Requester reviews the high-level component design.</t>
        </is>
      </c>
      <c r="D42" s="11" t="inlineStr">
        <is>
          <t>Review comments</t>
        </is>
      </c>
      <c r="E42" s="10" t="inlineStr">
        <is>
          <t>Not started</t>
        </is>
      </c>
    </row>
    <row r="43">
      <c r="A43" s="8" t="inlineStr">
        <is>
          <t>3</t>
        </is>
      </c>
      <c r="B43" s="8" t="inlineStr">
        <is>
          <t>3.3</t>
        </is>
      </c>
      <c r="C43" s="9" t="inlineStr">
        <is>
          <t>Final UI design with clear per-component requirements.</t>
        </is>
      </c>
      <c r="D43" s="9" t="inlineStr">
        <is>
          <t>Prototype HTML v1.0 + component list</t>
        </is>
      </c>
      <c r="E43" s="8" t="inlineStr">
        <is>
          <t>Not started</t>
        </is>
      </c>
    </row>
    <row r="44">
      <c r="A44" s="10" t="inlineStr">
        <is>
          <t>3</t>
        </is>
      </c>
      <c r="B44" s="10" t="inlineStr">
        <is>
          <t>G3</t>
        </is>
      </c>
      <c r="C44" s="11" t="inlineStr">
        <is>
          <t>GATE 3 - final design and component list approved. Code generation starts only for approved components.</t>
        </is>
      </c>
      <c r="D44" s="11" t="inlineStr">
        <is>
          <t>Approved component list</t>
        </is>
      </c>
      <c r="E44" s="10" t="inlineStr">
        <is>
          <t>Not started</t>
        </is>
      </c>
    </row>
    <row r="45">
      <c r="A45" s="8" t="inlineStr">
        <is>
          <t>4</t>
        </is>
      </c>
      <c r="B45" s="8" t="inlineStr">
        <is>
          <t>4.1</t>
        </is>
      </c>
      <c r="C45" s="9" t="inlineStr">
        <is>
          <t>IO layer: workbook load, sheet/column mapping, export.</t>
        </is>
      </c>
      <c r="D45" s="9" t="inlineStr">
        <is>
          <t>Application code</t>
        </is>
      </c>
      <c r="E45" s="8" t="inlineStr">
        <is>
          <t>Not started</t>
        </is>
      </c>
    </row>
    <row r="46">
      <c r="A46" s="10" t="inlineStr">
        <is>
          <t>4</t>
        </is>
      </c>
      <c r="B46" s="10" t="inlineStr">
        <is>
          <t>4.2</t>
        </is>
      </c>
      <c r="C46" s="11" t="inlineStr">
        <is>
          <t>Validation layer: rules V-01..V-21 and the findings report.</t>
        </is>
      </c>
      <c r="D46" s="11" t="inlineStr">
        <is>
          <t>Application code</t>
        </is>
      </c>
      <c r="E46" s="10" t="inlineStr">
        <is>
          <t>Not started</t>
        </is>
      </c>
    </row>
    <row r="47">
      <c r="A47" s="8" t="inlineStr">
        <is>
          <t>4</t>
        </is>
      </c>
      <c r="B47" s="8" t="inlineStr">
        <is>
          <t>4.3</t>
        </is>
      </c>
      <c r="C47" s="9" t="inlineStr">
        <is>
          <t>Model layer, Lists and Config handling.</t>
        </is>
      </c>
      <c r="D47" s="9" t="inlineStr">
        <is>
          <t>Application code</t>
        </is>
      </c>
      <c r="E47" s="8" t="inlineStr">
        <is>
          <t>Not started</t>
        </is>
      </c>
    </row>
    <row r="48">
      <c r="A48" s="10" t="inlineStr">
        <is>
          <t>4</t>
        </is>
      </c>
      <c r="B48" s="10" t="inlineStr">
        <is>
          <t>4.4</t>
        </is>
      </c>
      <c r="C48" s="11" t="inlineStr">
        <is>
          <t>Edit buffer: on-screen editing, dirty state, per-edit validation.</t>
        </is>
      </c>
      <c r="D48" s="11" t="inlineStr">
        <is>
          <t>Application code</t>
        </is>
      </c>
      <c r="E48" s="10" t="inlineStr">
        <is>
          <t>Not started</t>
        </is>
      </c>
    </row>
    <row r="49">
      <c r="A49" s="8" t="inlineStr">
        <is>
          <t>4</t>
        </is>
      </c>
      <c r="B49" s="8" t="inlineStr">
        <is>
          <t>4.5</t>
        </is>
      </c>
      <c r="C49" s="9" t="inlineStr">
        <is>
          <t>Calculation engine, verified against the worked example.</t>
        </is>
      </c>
      <c r="D49" s="9" t="inlineStr">
        <is>
          <t>Application code + test evidence</t>
        </is>
      </c>
      <c r="E49" s="8" t="inlineStr">
        <is>
          <t>Not started</t>
        </is>
      </c>
    </row>
    <row r="50">
      <c r="A50" s="10" t="inlineStr">
        <is>
          <t>4</t>
        </is>
      </c>
      <c r="B50" s="10" t="inlineStr">
        <is>
          <t>4.6</t>
        </is>
      </c>
      <c r="C50" s="11" t="inlineStr">
        <is>
          <t>Overall tab: tables, graphs, filters, over/under-allocation flagging.</t>
        </is>
      </c>
      <c r="D50" s="11" t="inlineStr">
        <is>
          <t>Application code</t>
        </is>
      </c>
      <c r="E50" s="10" t="inlineStr">
        <is>
          <t>Not started</t>
        </is>
      </c>
    </row>
    <row r="51">
      <c r="A51" s="8" t="inlineStr">
        <is>
          <t>4</t>
        </is>
      </c>
      <c r="B51" s="8" t="inlineStr">
        <is>
          <t>4.7</t>
        </is>
      </c>
      <c r="C51" s="9" t="inlineStr">
        <is>
          <t>Source data (project) and Source data (person) tabs.</t>
        </is>
      </c>
      <c r="D51" s="9" t="inlineStr">
        <is>
          <t>Application code</t>
        </is>
      </c>
      <c r="E51" s="8" t="inlineStr">
        <is>
          <t>Not started</t>
        </is>
      </c>
    </row>
    <row r="52">
      <c r="A52" s="10" t="inlineStr">
        <is>
          <t>4</t>
        </is>
      </c>
      <c r="B52" s="10" t="inlineStr">
        <is>
          <t>4.8</t>
        </is>
      </c>
      <c r="C52" s="11" t="inlineStr">
        <is>
          <t>Blank source workbook template with value lists and example rows.</t>
        </is>
      </c>
      <c r="D52" s="11" t="inlineStr">
        <is>
          <t>PRAP_SourceData template</t>
        </is>
      </c>
      <c r="E52" s="10" t="inlineStr">
        <is>
          <t>Not started</t>
        </is>
      </c>
    </row>
    <row r="53">
      <c r="A53" s="8" t="inlineStr">
        <is>
          <t>4</t>
        </is>
      </c>
      <c r="B53" s="8" t="inlineStr">
        <is>
          <t>4.9</t>
        </is>
      </c>
      <c r="C53" s="9" t="inlineStr">
        <is>
          <t>Requester reviews output against real data; refinements folded in.</t>
        </is>
      </c>
      <c r="D53" s="9" t="inlineStr">
        <is>
          <t>Updated code</t>
        </is>
      </c>
      <c r="E53" s="8" t="inlineStr">
        <is>
          <t>Not started</t>
        </is>
      </c>
    </row>
    <row r="54">
      <c r="A54" s="10" t="inlineStr">
        <is>
          <t>4</t>
        </is>
      </c>
      <c r="B54" s="10" t="inlineStr">
        <is>
          <t>G4</t>
        </is>
      </c>
      <c r="C54" s="11" t="inlineStr">
        <is>
          <t>GATE 4 - application functionally complete.</t>
        </is>
      </c>
      <c r="D54" s="11" t="inlineStr">
        <is>
          <t>PRAP_Application_v0.9.html</t>
        </is>
      </c>
      <c r="E54" s="10" t="inlineStr">
        <is>
          <t>Not started</t>
        </is>
      </c>
    </row>
    <row r="55">
      <c r="A55" s="8" t="inlineStr">
        <is>
          <t>5</t>
        </is>
      </c>
      <c r="B55" s="8" t="inlineStr">
        <is>
          <t>5.1</t>
        </is>
      </c>
      <c r="C55" s="9" t="inlineStr">
        <is>
          <t>Full pass over the traceability matrix: every Must requirement demonstrated.</t>
        </is>
      </c>
      <c r="D55" s="9" t="inlineStr">
        <is>
          <t>Completed traceability matrix</t>
        </is>
      </c>
      <c r="E55" s="8" t="inlineStr">
        <is>
          <t>Not started</t>
        </is>
      </c>
    </row>
    <row r="56">
      <c r="A56" s="10" t="inlineStr">
        <is>
          <t>5</t>
        </is>
      </c>
      <c r="B56" s="10" t="inlineStr">
        <is>
          <t>5.2</t>
        </is>
      </c>
      <c r="C56" s="11" t="inlineStr">
        <is>
          <t>Test on a clean Windows PC in Edge and Chrome, offline.</t>
        </is>
      </c>
      <c r="D56" s="11" t="inlineStr">
        <is>
          <t>Test evidence</t>
        </is>
      </c>
      <c r="E56" s="10" t="inlineStr">
        <is>
          <t>Not started</t>
        </is>
      </c>
    </row>
    <row r="57">
      <c r="A57" s="8" t="inlineStr">
        <is>
          <t>5</t>
        </is>
      </c>
      <c r="B57" s="8" t="inlineStr">
        <is>
          <t>5.3</t>
        </is>
      </c>
      <c r="C57" s="9" t="inlineStr">
        <is>
          <t>Write the user guide: folder layout, how to load, how to maintain source data.</t>
        </is>
      </c>
      <c r="D57" s="9" t="inlineStr">
        <is>
          <t>User guide</t>
        </is>
      </c>
      <c r="E57" s="8" t="inlineStr">
        <is>
          <t>Not started</t>
        </is>
      </c>
    </row>
    <row r="58">
      <c r="A58" s="10" t="inlineStr">
        <is>
          <t>5</t>
        </is>
      </c>
      <c r="B58" s="10" t="inlineStr">
        <is>
          <t>5.4</t>
        </is>
      </c>
      <c r="C58" s="11" t="inlineStr">
        <is>
          <t>Final version alignment across plan, specification and application.</t>
        </is>
      </c>
      <c r="D58" s="11" t="inlineStr">
        <is>
          <t>Version alignment table (sheet 09)</t>
        </is>
      </c>
      <c r="E58" s="10" t="inlineStr">
        <is>
          <t>Not started</t>
        </is>
      </c>
    </row>
    <row r="59">
      <c r="A59" s="8" t="inlineStr">
        <is>
          <t>5</t>
        </is>
      </c>
      <c r="B59" s="8" t="inlineStr">
        <is>
          <t>G5</t>
        </is>
      </c>
      <c r="C59" s="9" t="inlineStr">
        <is>
          <t>GATE 5 - release.</t>
        </is>
      </c>
      <c r="D59" s="9" t="inlineStr">
        <is>
          <t>PRAP_Application_v1.0.html</t>
        </is>
      </c>
      <c r="E59" s="8" t="inlineStr">
        <is>
          <t>Not started</t>
        </is>
      </c>
    </row>
    <row r="61">
      <c r="A61" s="5" t="inlineStr">
        <is>
          <t>Progress</t>
        </is>
      </c>
    </row>
    <row r="62" ht="28" customHeight="1">
      <c r="A62" s="7" t="inlineStr">
        <is>
          <t>Measure</t>
        </is>
      </c>
      <c r="B62" s="7" t="inlineStr">
        <is>
          <t>Count</t>
        </is>
      </c>
    </row>
    <row r="63">
      <c r="A63" s="8" t="inlineStr">
        <is>
          <t>Tasks total</t>
        </is>
      </c>
      <c r="B63" s="8">
        <f>COUNTA(B5:B59)</f>
        <v/>
      </c>
    </row>
    <row r="64">
      <c r="A64" s="10" t="inlineStr">
        <is>
          <t>Complete</t>
        </is>
      </c>
      <c r="B64" s="10">
        <f>COUNTIF(E5:E59,"Complete")+COUNTIF(E5:E59,"Complete - issued for review")</f>
        <v/>
      </c>
    </row>
    <row r="65">
      <c r="A65" s="8" t="inlineStr">
        <is>
          <t>Awaiting the requester</t>
        </is>
      </c>
      <c r="B65" s="8">
        <f>COUNTIF(E5:E59,"Pending you")</f>
        <v/>
      </c>
    </row>
    <row r="66">
      <c r="A66" s="10" t="inlineStr">
        <is>
          <t>Not started</t>
        </is>
      </c>
      <c r="B66" s="10">
        <f>COUNTIF(E5:E59,"Not started")</f>
        <v/>
      </c>
    </row>
    <row r="68">
      <c r="A68" s="16" t="inlineStr">
        <is>
          <t>No duration estimates: the pace is set by review turnaround at each gate, not by build effort.</t>
        </is>
      </c>
    </row>
  </sheetData>
  <dataValidations count="1">
    <dataValidation sqref="E5:E59"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2026-07-31</t>
        </is>
      </c>
      <c r="F36" s="9" t="inlineStr">
        <is>
          <t>R-05..R-13. Awaiting approval.</t>
        </is>
      </c>
    </row>
    <row r="37">
      <c r="A37" s="10" t="inlineStr"/>
      <c r="B37" s="10" t="inlineStr"/>
      <c r="C37" s="10" t="inlineStr"/>
      <c r="D37" s="10" t="inlineStr"/>
      <c r="E37" s="10" t="inlineStr"/>
      <c r="F37" s="11" t="inlineStr"/>
    </row>
    <row r="39">
      <c r="A39" s="16" t="inlineStr">
        <is>
          <t>One row per release. Answers 'which specification produced this .html, and which source template does it expect?'.</t>
        </is>
      </c>
    </row>
    <row r="40">
      <c r="A40" s="5" t="inlineStr">
        <is>
          <t>Repository rules</t>
        </is>
      </c>
    </row>
    <row r="41" ht="28" customHeight="1">
      <c r="A41" s="7" t="inlineStr">
        <is>
          <t>Rule</t>
        </is>
      </c>
    </row>
    <row r="42">
      <c r="A42" s="9" t="inlineStr">
        <is>
          <t>All work is committed to branch claude/project-resource-assignment-app-1vjdzh.</t>
        </is>
      </c>
    </row>
    <row r="43">
      <c r="A43" s="11" t="inlineStr">
        <is>
          <t>Documents are generated from scripts in tools/ so their content is reviewable as a text diff, not only as a binary.</t>
        </is>
      </c>
    </row>
    <row r="44">
      <c r="A44" s="9" t="inlineStr">
        <is>
          <t>One commit per meaningful change, with a message naming the step and the affected REQ-IDs.</t>
        </is>
      </c>
    </row>
    <row r="45">
      <c r="A45" s="11" t="inlineStr">
        <is>
          <t>A released version is tagged, so any release can be reproduced exactly.</t>
        </is>
      </c>
    </row>
    <row r="46">
      <c r="A46"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v1.10</t>
        </is>
      </c>
      <c r="B63" s="22" t="inlineStr"/>
      <c r="C63" s="22" t="inlineStr"/>
      <c r="D63" s="11" t="inlineStr">
        <is>
          <t>Pending your signature.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2026-08-02T08:34:01Z</dcterms:created>
  <dcterms:modified xsi:type="dcterms:W3CDTF">2026-08-02T08:34:01Z</dcterms:modified>
</cp:coreProperties>
</file>