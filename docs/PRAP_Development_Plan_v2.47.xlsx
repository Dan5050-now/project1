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v2.47</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2.47</t>
        </is>
      </c>
      <c r="B22" s="17" t="inlineStr">
        <is>
          <t>2026-09-05</t>
        </is>
      </c>
      <c r="C22" s="17" t="inlineStr">
        <is>
          <t>Claude Code</t>
        </is>
      </c>
      <c r="D22" s="17" t="inlineStr">
        <is>
          <t>Pending</t>
        </is>
      </c>
      <c r="E22" s="18"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22" s="17" t="inlineStr">
        <is>
          <t>Issued for review</t>
        </is>
      </c>
    </row>
    <row r="23">
      <c r="A23" s="8" t="inlineStr">
        <is>
          <t>2.46</t>
        </is>
      </c>
      <c r="B23" s="8" t="inlineStr">
        <is>
          <t>2026-09-05</t>
        </is>
      </c>
      <c r="C23" s="8" t="inlineStr">
        <is>
          <t>Claude Code</t>
        </is>
      </c>
      <c r="D23" s="8" t="inlineStr">
        <is>
          <t>Pending</t>
        </is>
      </c>
      <c r="E23"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23" s="8" t="inlineStr">
        <is>
          <t>Superseded by v2.47</t>
        </is>
      </c>
    </row>
    <row r="24">
      <c r="A24" s="10" t="inlineStr">
        <is>
          <t>2.45</t>
        </is>
      </c>
      <c r="B24" s="10" t="inlineStr">
        <is>
          <t>2026-09-05</t>
        </is>
      </c>
      <c r="C24" s="10" t="inlineStr">
        <is>
          <t>Claude Code</t>
        </is>
      </c>
      <c r="D24" s="10" t="inlineStr">
        <is>
          <t>Pending</t>
        </is>
      </c>
      <c r="E24"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24" s="10" t="inlineStr">
        <is>
          <t>Superseded by v2.46</t>
        </is>
      </c>
    </row>
    <row r="25">
      <c r="A25" s="8" t="inlineStr">
        <is>
          <t>2.44</t>
        </is>
      </c>
      <c r="B25" s="8" t="inlineStr">
        <is>
          <t>2026-09-04</t>
        </is>
      </c>
      <c r="C25" s="8" t="inlineStr">
        <is>
          <t>Claude Code</t>
        </is>
      </c>
      <c r="D25" s="8" t="inlineStr">
        <is>
          <t>Pending</t>
        </is>
      </c>
      <c r="E25"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25" s="8" t="inlineStr">
        <is>
          <t>Superseded by v2.45</t>
        </is>
      </c>
    </row>
    <row r="26">
      <c r="A26" s="10" t="inlineStr">
        <is>
          <t>2.43</t>
        </is>
      </c>
      <c r="B26" s="10" t="inlineStr">
        <is>
          <t>2026-09-04</t>
        </is>
      </c>
      <c r="C26" s="10" t="inlineStr">
        <is>
          <t>Claude Code</t>
        </is>
      </c>
      <c r="D26" s="10" t="inlineStr">
        <is>
          <t>Pending</t>
        </is>
      </c>
      <c r="E26"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26" s="10" t="inlineStr">
        <is>
          <t>Superseded by v2.44</t>
        </is>
      </c>
    </row>
    <row r="27">
      <c r="A27" s="8" t="inlineStr">
        <is>
          <t>2.42</t>
        </is>
      </c>
      <c r="B27" s="8" t="inlineStr">
        <is>
          <t>2026-09-04</t>
        </is>
      </c>
      <c r="C27" s="8" t="inlineStr">
        <is>
          <t>Claude Code</t>
        </is>
      </c>
      <c r="D27" s="8" t="inlineStr">
        <is>
          <t>Pending</t>
        </is>
      </c>
      <c r="E27"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27" s="8" t="inlineStr">
        <is>
          <t>Superseded by v2.43</t>
        </is>
      </c>
    </row>
    <row r="28">
      <c r="A28" s="10" t="inlineStr">
        <is>
          <t>2.41</t>
        </is>
      </c>
      <c r="B28" s="10" t="inlineStr">
        <is>
          <t>2026-09-04</t>
        </is>
      </c>
      <c r="C28" s="10" t="inlineStr">
        <is>
          <t>Claude Code</t>
        </is>
      </c>
      <c r="D28" s="10" t="inlineStr">
        <is>
          <t>Pending</t>
        </is>
      </c>
      <c r="E28"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28" s="10" t="inlineStr">
        <is>
          <t>Issued for review</t>
        </is>
      </c>
    </row>
    <row r="29">
      <c r="A29" s="8" t="inlineStr">
        <is>
          <t>2.39</t>
        </is>
      </c>
      <c r="B29" s="8" t="inlineStr">
        <is>
          <t>2026-09-02</t>
        </is>
      </c>
      <c r="C29" s="8" t="inlineStr">
        <is>
          <t>Claude Code</t>
        </is>
      </c>
      <c r="D29" s="8" t="inlineStr">
        <is>
          <t>Pending</t>
        </is>
      </c>
      <c r="E29"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29" s="8" t="inlineStr">
        <is>
          <t>Issued for review</t>
        </is>
      </c>
    </row>
    <row r="30">
      <c r="A30" s="10" t="inlineStr">
        <is>
          <t>2.38</t>
        </is>
      </c>
      <c r="B30" s="10" t="inlineStr">
        <is>
          <t>2026-08-30</t>
        </is>
      </c>
      <c r="C30" s="10" t="inlineStr">
        <is>
          <t>Claude Code</t>
        </is>
      </c>
      <c r="D30" s="10" t="inlineStr">
        <is>
          <t>Pending</t>
        </is>
      </c>
      <c r="E30"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30" s="10" t="inlineStr">
        <is>
          <t>Issued for review</t>
        </is>
      </c>
    </row>
    <row r="31">
      <c r="A31" s="8" t="inlineStr">
        <is>
          <t>2.37</t>
        </is>
      </c>
      <c r="B31" s="8" t="inlineStr">
        <is>
          <t>2026-08-28</t>
        </is>
      </c>
      <c r="C31" s="8" t="inlineStr">
        <is>
          <t>Claude Code</t>
        </is>
      </c>
      <c r="D31" s="8" t="inlineStr">
        <is>
          <t>Pending</t>
        </is>
      </c>
      <c r="E31"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31" s="8" t="inlineStr">
        <is>
          <t>Issued for review</t>
        </is>
      </c>
    </row>
    <row r="32">
      <c r="A32" s="10" t="inlineStr">
        <is>
          <t>2.36</t>
        </is>
      </c>
      <c r="B32" s="10" t="inlineStr">
        <is>
          <t>2026-08-28</t>
        </is>
      </c>
      <c r="C32" s="10" t="inlineStr">
        <is>
          <t>Claude Code</t>
        </is>
      </c>
      <c r="D32" s="10" t="inlineStr">
        <is>
          <t>Pending</t>
        </is>
      </c>
      <c r="E32"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32" s="10" t="inlineStr">
        <is>
          <t>Issued for review</t>
        </is>
      </c>
    </row>
    <row r="33">
      <c r="A33" s="8" t="inlineStr">
        <is>
          <t>2.35</t>
        </is>
      </c>
      <c r="B33" s="8" t="inlineStr">
        <is>
          <t>2026-08-27</t>
        </is>
      </c>
      <c r="C33" s="8" t="inlineStr">
        <is>
          <t>Claude Code</t>
        </is>
      </c>
      <c r="D33" s="8" t="inlineStr">
        <is>
          <t>Pending</t>
        </is>
      </c>
      <c r="E33"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33" s="8" t="inlineStr">
        <is>
          <t>Issued for review</t>
        </is>
      </c>
    </row>
    <row r="34">
      <c r="A34" s="10" t="inlineStr">
        <is>
          <t>2.34</t>
        </is>
      </c>
      <c r="B34" s="10" t="inlineStr">
        <is>
          <t>2026-08-27</t>
        </is>
      </c>
      <c r="C34" s="10" t="inlineStr">
        <is>
          <t>Claude Code</t>
        </is>
      </c>
      <c r="D34" s="10" t="inlineStr">
        <is>
          <t>Pending</t>
        </is>
      </c>
      <c r="E34"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34" s="10" t="inlineStr">
        <is>
          <t>Issued for review</t>
        </is>
      </c>
    </row>
    <row r="35">
      <c r="A35" s="8" t="inlineStr">
        <is>
          <t>2.33</t>
        </is>
      </c>
      <c r="B35" s="8" t="inlineStr">
        <is>
          <t>2026-08-27</t>
        </is>
      </c>
      <c r="C35" s="8" t="inlineStr">
        <is>
          <t>Claude Code</t>
        </is>
      </c>
      <c r="D35" s="8" t="inlineStr">
        <is>
          <t>Pending</t>
        </is>
      </c>
      <c r="E35"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35" s="8" t="inlineStr">
        <is>
          <t>Issued for review</t>
        </is>
      </c>
    </row>
    <row r="36">
      <c r="A36" s="10" t="inlineStr">
        <is>
          <t>2.32</t>
        </is>
      </c>
      <c r="B36" s="10" t="inlineStr">
        <is>
          <t>2026-08-26</t>
        </is>
      </c>
      <c r="C36" s="10" t="inlineStr">
        <is>
          <t>Claude Code</t>
        </is>
      </c>
      <c r="D36" s="10" t="inlineStr">
        <is>
          <t>Pending</t>
        </is>
      </c>
      <c r="E36"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36" s="10" t="inlineStr">
        <is>
          <t>Issued for review</t>
        </is>
      </c>
    </row>
    <row r="37">
      <c r="A37" s="8" t="inlineStr">
        <is>
          <t>2.31</t>
        </is>
      </c>
      <c r="B37" s="8" t="inlineStr">
        <is>
          <t>2026-08-26</t>
        </is>
      </c>
      <c r="C37" s="8" t="inlineStr">
        <is>
          <t>Claude Code</t>
        </is>
      </c>
      <c r="D37" s="8" t="inlineStr">
        <is>
          <t>Pending</t>
        </is>
      </c>
      <c r="E37"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37" s="8" t="inlineStr">
        <is>
          <t>Issued for review</t>
        </is>
      </c>
    </row>
    <row r="38">
      <c r="A38" s="10" t="inlineStr">
        <is>
          <t>2.30</t>
        </is>
      </c>
      <c r="B38" s="10" t="inlineStr">
        <is>
          <t>2026-08-25</t>
        </is>
      </c>
      <c r="C38" s="10" t="inlineStr">
        <is>
          <t>Claude Code</t>
        </is>
      </c>
      <c r="D38" s="10" t="inlineStr">
        <is>
          <t>Pending</t>
        </is>
      </c>
      <c r="E38"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38" s="10" t="inlineStr">
        <is>
          <t>Issued for review</t>
        </is>
      </c>
    </row>
    <row r="39">
      <c r="A39" s="8" t="inlineStr">
        <is>
          <t>2.29</t>
        </is>
      </c>
      <c r="B39" s="8" t="inlineStr">
        <is>
          <t>2026-08-25</t>
        </is>
      </c>
      <c r="C39" s="8" t="inlineStr">
        <is>
          <t>Claude Code</t>
        </is>
      </c>
      <c r="D39" s="8" t="inlineStr">
        <is>
          <t>Pending</t>
        </is>
      </c>
      <c r="E39"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39" s="8" t="inlineStr">
        <is>
          <t>Issued for review</t>
        </is>
      </c>
    </row>
    <row r="40">
      <c r="A40" s="10" t="inlineStr">
        <is>
          <t>2.28</t>
        </is>
      </c>
      <c r="B40" s="10" t="inlineStr">
        <is>
          <t>2026-08-22</t>
        </is>
      </c>
      <c r="C40" s="10" t="inlineStr">
        <is>
          <t>Claude Code</t>
        </is>
      </c>
      <c r="D40" s="10" t="inlineStr">
        <is>
          <t>Pending</t>
        </is>
      </c>
      <c r="E40"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40" s="10" t="inlineStr">
        <is>
          <t>Issued for review</t>
        </is>
      </c>
    </row>
    <row r="41">
      <c r="A41" s="8" t="inlineStr">
        <is>
          <t>2.27</t>
        </is>
      </c>
      <c r="B41" s="8" t="inlineStr">
        <is>
          <t>2026-08-20</t>
        </is>
      </c>
      <c r="C41" s="8" t="inlineStr">
        <is>
          <t>Claude Code</t>
        </is>
      </c>
      <c r="D41" s="8" t="inlineStr">
        <is>
          <t>Pending</t>
        </is>
      </c>
      <c r="E41"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41" s="8" t="inlineStr">
        <is>
          <t>Issued for review</t>
        </is>
      </c>
    </row>
    <row r="42">
      <c r="A42" s="10" t="inlineStr">
        <is>
          <t>2.26</t>
        </is>
      </c>
      <c r="B42" s="10" t="inlineStr">
        <is>
          <t>2026-07-31</t>
        </is>
      </c>
      <c r="C42" s="10" t="inlineStr">
        <is>
          <t>Claude Code</t>
        </is>
      </c>
      <c r="D42" s="10" t="inlineStr">
        <is>
          <t>Pending</t>
        </is>
      </c>
      <c r="E42"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42" s="10" t="inlineStr">
        <is>
          <t>Issued for review</t>
        </is>
      </c>
    </row>
    <row r="43">
      <c r="A43" s="8" t="inlineStr">
        <is>
          <t>2.25</t>
        </is>
      </c>
      <c r="B43" s="8" t="inlineStr">
        <is>
          <t>2026-07-31</t>
        </is>
      </c>
      <c r="C43" s="8" t="inlineStr">
        <is>
          <t>Claude Code</t>
        </is>
      </c>
      <c r="D43" s="8" t="inlineStr">
        <is>
          <t>Pending</t>
        </is>
      </c>
      <c r="E43"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43" s="8" t="inlineStr">
        <is>
          <t>Superseded by v2.26</t>
        </is>
      </c>
    </row>
    <row r="44">
      <c r="A44" s="10" t="inlineStr">
        <is>
          <t>2.24</t>
        </is>
      </c>
      <c r="B44" s="10" t="inlineStr">
        <is>
          <t>2026-07-31</t>
        </is>
      </c>
      <c r="C44" s="10" t="inlineStr">
        <is>
          <t>Claude Code</t>
        </is>
      </c>
      <c r="D44" s="10" t="inlineStr">
        <is>
          <t>Pending</t>
        </is>
      </c>
      <c r="E44"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44" s="10" t="inlineStr">
        <is>
          <t>Superseded by v2.25</t>
        </is>
      </c>
    </row>
    <row r="45">
      <c r="A45" s="8" t="inlineStr">
        <is>
          <t>2.23</t>
        </is>
      </c>
      <c r="B45" s="8" t="inlineStr">
        <is>
          <t>2026-07-31</t>
        </is>
      </c>
      <c r="C45" s="8" t="inlineStr">
        <is>
          <t>Claude Code</t>
        </is>
      </c>
      <c r="D45" s="8" t="inlineStr">
        <is>
          <t>Pending</t>
        </is>
      </c>
      <c r="E45"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45" s="8" t="inlineStr">
        <is>
          <t>Superseded by v2.24</t>
        </is>
      </c>
    </row>
    <row r="46">
      <c r="A46" s="10" t="inlineStr">
        <is>
          <t>2.22</t>
        </is>
      </c>
      <c r="B46" s="10" t="inlineStr">
        <is>
          <t>2026-07-31</t>
        </is>
      </c>
      <c r="C46" s="10" t="inlineStr">
        <is>
          <t>Claude Code</t>
        </is>
      </c>
      <c r="D46" s="10" t="inlineStr">
        <is>
          <t>Pending</t>
        </is>
      </c>
      <c r="E46"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46" s="10" t="inlineStr">
        <is>
          <t>Superseded by v2.23</t>
        </is>
      </c>
    </row>
    <row r="47">
      <c r="A47" s="8" t="inlineStr">
        <is>
          <t>2.21</t>
        </is>
      </c>
      <c r="B47" s="8" t="inlineStr">
        <is>
          <t>2026-07-31</t>
        </is>
      </c>
      <c r="C47" s="8" t="inlineStr">
        <is>
          <t>Claude Code</t>
        </is>
      </c>
      <c r="D47" s="8" t="inlineStr">
        <is>
          <t>Pending</t>
        </is>
      </c>
      <c r="E47"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47" s="8" t="inlineStr">
        <is>
          <t>Superseded by v2.22</t>
        </is>
      </c>
    </row>
    <row r="48">
      <c r="A48" s="10" t="inlineStr">
        <is>
          <t>2.20</t>
        </is>
      </c>
      <c r="B48" s="10" t="inlineStr">
        <is>
          <t>2026-07-31</t>
        </is>
      </c>
      <c r="C48" s="10" t="inlineStr">
        <is>
          <t>Claude Code</t>
        </is>
      </c>
      <c r="D48" s="10" t="inlineStr">
        <is>
          <t>Pending</t>
        </is>
      </c>
      <c r="E48"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48" s="10" t="inlineStr">
        <is>
          <t>Superseded by v2.21</t>
        </is>
      </c>
    </row>
    <row r="49">
      <c r="A49" s="8" t="inlineStr">
        <is>
          <t>2.19</t>
        </is>
      </c>
      <c r="B49" s="8" t="inlineStr">
        <is>
          <t>2026-07-31</t>
        </is>
      </c>
      <c r="C49" s="8" t="inlineStr">
        <is>
          <t>Claude Code</t>
        </is>
      </c>
      <c r="D49" s="8" t="inlineStr">
        <is>
          <t>Pending</t>
        </is>
      </c>
      <c r="E49"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49" s="8" t="inlineStr">
        <is>
          <t>Superseded by v2.20</t>
        </is>
      </c>
    </row>
    <row r="50">
      <c r="A50" s="10" t="inlineStr">
        <is>
          <t>2.18</t>
        </is>
      </c>
      <c r="B50" s="10" t="inlineStr">
        <is>
          <t>2026-07-31</t>
        </is>
      </c>
      <c r="C50" s="10" t="inlineStr">
        <is>
          <t>Claude Code</t>
        </is>
      </c>
      <c r="D50" s="10" t="inlineStr">
        <is>
          <t>Pending</t>
        </is>
      </c>
      <c r="E50"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50" s="10" t="inlineStr">
        <is>
          <t>Superseded by v2.19</t>
        </is>
      </c>
    </row>
    <row r="51">
      <c r="A51" s="8" t="inlineStr">
        <is>
          <t>2.17</t>
        </is>
      </c>
      <c r="B51" s="8" t="inlineStr">
        <is>
          <t>2026-07-31</t>
        </is>
      </c>
      <c r="C51" s="8" t="inlineStr">
        <is>
          <t>Claude Code</t>
        </is>
      </c>
      <c r="D51" s="8" t="inlineStr">
        <is>
          <t>Pending</t>
        </is>
      </c>
      <c r="E51"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51" s="8" t="inlineStr">
        <is>
          <t>Superseded by v2.18</t>
        </is>
      </c>
    </row>
    <row r="52">
      <c r="A52" s="10" t="inlineStr">
        <is>
          <t>2.16</t>
        </is>
      </c>
      <c r="B52" s="10" t="inlineStr">
        <is>
          <t>2026-07-31</t>
        </is>
      </c>
      <c r="C52" s="10" t="inlineStr">
        <is>
          <t>Claude Code</t>
        </is>
      </c>
      <c r="D52" s="10" t="inlineStr">
        <is>
          <t>Pending</t>
        </is>
      </c>
      <c r="E52"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52" s="10" t="inlineStr">
        <is>
          <t>Superseded by v2.17</t>
        </is>
      </c>
    </row>
    <row r="53">
      <c r="A53" s="8" t="inlineStr">
        <is>
          <t>2.15</t>
        </is>
      </c>
      <c r="B53" s="8" t="inlineStr">
        <is>
          <t>2026-07-31</t>
        </is>
      </c>
      <c r="C53" s="8" t="inlineStr">
        <is>
          <t>Claude Code</t>
        </is>
      </c>
      <c r="D53" s="8" t="inlineStr">
        <is>
          <t>Pending</t>
        </is>
      </c>
      <c r="E53"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53" s="8" t="inlineStr">
        <is>
          <t>Superseded by v2.16</t>
        </is>
      </c>
    </row>
    <row r="54">
      <c r="A54" s="10" t="inlineStr">
        <is>
          <t>2.14</t>
        </is>
      </c>
      <c r="B54" s="10" t="inlineStr">
        <is>
          <t>2026-07-31</t>
        </is>
      </c>
      <c r="C54" s="10" t="inlineStr">
        <is>
          <t>Claude Code</t>
        </is>
      </c>
      <c r="D54" s="10" t="inlineStr">
        <is>
          <t>Pending</t>
        </is>
      </c>
      <c r="E54"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54" s="10" t="inlineStr">
        <is>
          <t>Issued for review</t>
        </is>
      </c>
    </row>
    <row r="55">
      <c r="A55" s="8" t="inlineStr">
        <is>
          <t>2.13</t>
        </is>
      </c>
      <c r="B55" s="8" t="inlineStr">
        <is>
          <t>2026-07-31</t>
        </is>
      </c>
      <c r="C55" s="8" t="inlineStr">
        <is>
          <t>Claude Code</t>
        </is>
      </c>
      <c r="D55" s="8" t="inlineStr">
        <is>
          <t>Pending</t>
        </is>
      </c>
      <c r="E55"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55" s="8" t="inlineStr">
        <is>
          <t>Superseded by v2.14</t>
        </is>
      </c>
    </row>
    <row r="56">
      <c r="A56" s="10" t="inlineStr">
        <is>
          <t>2.12</t>
        </is>
      </c>
      <c r="B56" s="10" t="inlineStr">
        <is>
          <t>2026-07-31</t>
        </is>
      </c>
      <c r="C56" s="10" t="inlineStr">
        <is>
          <t>Claude Code</t>
        </is>
      </c>
      <c r="D56" s="10" t="inlineStr">
        <is>
          <t>Pending</t>
        </is>
      </c>
      <c r="E56"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56" s="10" t="inlineStr">
        <is>
          <t>Superseded by v2.13</t>
        </is>
      </c>
    </row>
    <row r="57">
      <c r="A57" s="8" t="inlineStr">
        <is>
          <t>2.11</t>
        </is>
      </c>
      <c r="B57" s="8" t="inlineStr">
        <is>
          <t>2026-07-31</t>
        </is>
      </c>
      <c r="C57" s="8" t="inlineStr">
        <is>
          <t>Claude Code</t>
        </is>
      </c>
      <c r="D57" s="8" t="inlineStr">
        <is>
          <t>Pending</t>
        </is>
      </c>
      <c r="E57"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57" s="8" t="inlineStr">
        <is>
          <t>Issued for review</t>
        </is>
      </c>
    </row>
    <row r="58">
      <c r="A58" s="10" t="inlineStr">
        <is>
          <t>2.10</t>
        </is>
      </c>
      <c r="B58" s="10" t="inlineStr">
        <is>
          <t>2026-07-31</t>
        </is>
      </c>
      <c r="C58" s="10" t="inlineStr">
        <is>
          <t>Claude Code</t>
        </is>
      </c>
      <c r="D58" s="10" t="inlineStr">
        <is>
          <t>Pending</t>
        </is>
      </c>
      <c r="E58"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58" s="10" t="inlineStr">
        <is>
          <t>Superseded by v2.11</t>
        </is>
      </c>
    </row>
    <row r="59">
      <c r="A59" s="8" t="inlineStr">
        <is>
          <t>2.9</t>
        </is>
      </c>
      <c r="B59" s="8" t="inlineStr">
        <is>
          <t>2026-07-31</t>
        </is>
      </c>
      <c r="C59" s="8" t="inlineStr">
        <is>
          <t>Claude Code</t>
        </is>
      </c>
      <c r="D59" s="8" t="inlineStr">
        <is>
          <t>Pending</t>
        </is>
      </c>
      <c r="E59"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59" s="8" t="inlineStr">
        <is>
          <t>Superseded by v2.10</t>
        </is>
      </c>
    </row>
    <row r="60">
      <c r="A60" s="10" t="inlineStr">
        <is>
          <t>2.8</t>
        </is>
      </c>
      <c r="B60" s="10" t="inlineStr">
        <is>
          <t>2026-07-31</t>
        </is>
      </c>
      <c r="C60" s="10" t="inlineStr">
        <is>
          <t>Claude Code</t>
        </is>
      </c>
      <c r="D60" s="10" t="inlineStr">
        <is>
          <t>Pending</t>
        </is>
      </c>
      <c r="E60"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60" s="10" t="inlineStr">
        <is>
          <t>Superseded by v2.9</t>
        </is>
      </c>
    </row>
    <row r="61">
      <c r="A61" s="8" t="inlineStr">
        <is>
          <t>2.7</t>
        </is>
      </c>
      <c r="B61" s="8" t="inlineStr">
        <is>
          <t>2026-07-31</t>
        </is>
      </c>
      <c r="C61" s="8" t="inlineStr">
        <is>
          <t>Claude Code</t>
        </is>
      </c>
      <c r="D61" s="8" t="inlineStr">
        <is>
          <t>Pending</t>
        </is>
      </c>
      <c r="E61"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61" s="8" t="inlineStr">
        <is>
          <t>Superseded by v2.8</t>
        </is>
      </c>
    </row>
    <row r="62">
      <c r="A62" s="10" t="inlineStr">
        <is>
          <t>2.6</t>
        </is>
      </c>
      <c r="B62" s="10" t="inlineStr">
        <is>
          <t>2026-07-31</t>
        </is>
      </c>
      <c r="C62" s="10" t="inlineStr">
        <is>
          <t>Claude Code</t>
        </is>
      </c>
      <c r="D62" s="10" t="inlineStr">
        <is>
          <t>Pending</t>
        </is>
      </c>
      <c r="E62"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62" s="10" t="inlineStr">
        <is>
          <t>Superseded by v2.7</t>
        </is>
      </c>
    </row>
    <row r="63">
      <c r="A63" s="8" t="inlineStr">
        <is>
          <t>2.5</t>
        </is>
      </c>
      <c r="B63" s="8" t="inlineStr">
        <is>
          <t>2026-07-31</t>
        </is>
      </c>
      <c r="C63" s="8" t="inlineStr">
        <is>
          <t>Claude Code</t>
        </is>
      </c>
      <c r="D63" s="8" t="inlineStr">
        <is>
          <t>Pending</t>
        </is>
      </c>
      <c r="E63"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63" s="8" t="inlineStr">
        <is>
          <t>Issued for review</t>
        </is>
      </c>
    </row>
    <row r="64">
      <c r="A64" s="10" t="inlineStr">
        <is>
          <t>2.4</t>
        </is>
      </c>
      <c r="B64" s="10" t="inlineStr">
        <is>
          <t>2026-07-31</t>
        </is>
      </c>
      <c r="C64" s="10" t="inlineStr">
        <is>
          <t>Claude Code</t>
        </is>
      </c>
      <c r="D64" s="10" t="inlineStr">
        <is>
          <t>Pending</t>
        </is>
      </c>
      <c r="E64"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64" s="10" t="inlineStr">
        <is>
          <t>Issued for review</t>
        </is>
      </c>
    </row>
    <row r="65">
      <c r="A65" s="8" t="inlineStr">
        <is>
          <t>2.3</t>
        </is>
      </c>
      <c r="B65" s="8" t="inlineStr">
        <is>
          <t>2026-07-31</t>
        </is>
      </c>
      <c r="C65" s="8" t="inlineStr">
        <is>
          <t>Claude Code</t>
        </is>
      </c>
      <c r="D65" s="8" t="inlineStr">
        <is>
          <t>Pending</t>
        </is>
      </c>
      <c r="E65"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65" s="8" t="inlineStr">
        <is>
          <t>Issued for review</t>
        </is>
      </c>
    </row>
    <row r="66">
      <c r="A66" s="10" t="inlineStr">
        <is>
          <t>2.2</t>
        </is>
      </c>
      <c r="B66" s="10" t="inlineStr">
        <is>
          <t>2026-07-31</t>
        </is>
      </c>
      <c r="C66" s="10" t="inlineStr">
        <is>
          <t>Claude Code</t>
        </is>
      </c>
      <c r="D66" s="10" t="inlineStr">
        <is>
          <t>Pending</t>
        </is>
      </c>
      <c r="E66"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66" s="10" t="inlineStr">
        <is>
          <t>Issued for review</t>
        </is>
      </c>
    </row>
    <row r="67">
      <c r="A67" s="8" t="inlineStr">
        <is>
          <t>2.1</t>
        </is>
      </c>
      <c r="B67" s="8" t="inlineStr">
        <is>
          <t>2026-07-31</t>
        </is>
      </c>
      <c r="C67" s="8" t="inlineStr">
        <is>
          <t>Claude Code</t>
        </is>
      </c>
      <c r="D67" s="8" t="inlineStr">
        <is>
          <t>Pending</t>
        </is>
      </c>
      <c r="E67"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67" s="8" t="inlineStr">
        <is>
          <t>Issued for review</t>
        </is>
      </c>
    </row>
    <row r="68">
      <c r="A68" s="10" t="inlineStr">
        <is>
          <t>2.0</t>
        </is>
      </c>
      <c r="B68" s="10" t="inlineStr">
        <is>
          <t>2026-08-02</t>
        </is>
      </c>
      <c r="C68" s="10" t="inlineStr">
        <is>
          <t>Claude Code</t>
        </is>
      </c>
      <c r="D68" s="10" t="inlineStr">
        <is>
          <t>Dan</t>
        </is>
      </c>
      <c r="E68"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68" s="10" t="inlineStr">
        <is>
          <t>APPROVED 2026-08-02 by Dan - BASELINE</t>
        </is>
      </c>
    </row>
    <row r="69">
      <c r="A69" s="8" t="inlineStr">
        <is>
          <t>1.10</t>
        </is>
      </c>
      <c r="B69" s="8" t="inlineStr">
        <is>
          <t>2026-07-31</t>
        </is>
      </c>
      <c r="C69" s="8" t="inlineStr">
        <is>
          <t>Claude Code</t>
        </is>
      </c>
      <c r="D69" s="8" t="inlineStr">
        <is>
          <t>Pending</t>
        </is>
      </c>
      <c r="E69"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69" s="8" t="inlineStr">
        <is>
          <t>Issued for approval</t>
        </is>
      </c>
    </row>
    <row r="70">
      <c r="A70" s="10" t="inlineStr">
        <is>
          <t>1.9</t>
        </is>
      </c>
      <c r="B70" s="10" t="inlineStr">
        <is>
          <t>2026-07-31</t>
        </is>
      </c>
      <c r="C70" s="10" t="inlineStr">
        <is>
          <t>Claude Code</t>
        </is>
      </c>
      <c r="D70" s="10" t="inlineStr">
        <is>
          <t>Pending</t>
        </is>
      </c>
      <c r="E70"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70" s="10" t="inlineStr">
        <is>
          <t>Issued for approval</t>
        </is>
      </c>
    </row>
    <row r="71">
      <c r="A71" s="8" t="inlineStr">
        <is>
          <t>1.8</t>
        </is>
      </c>
      <c r="B71" s="8" t="inlineStr">
        <is>
          <t>2026-07-31</t>
        </is>
      </c>
      <c r="C71" s="8" t="inlineStr">
        <is>
          <t>Claude Code</t>
        </is>
      </c>
      <c r="D71" s="8" t="inlineStr">
        <is>
          <t>Pending</t>
        </is>
      </c>
      <c r="E71"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71" s="8" t="inlineStr">
        <is>
          <t>Superseded by v1.9</t>
        </is>
      </c>
    </row>
    <row r="72">
      <c r="A72" s="10" t="inlineStr">
        <is>
          <t>1.7</t>
        </is>
      </c>
      <c r="B72" s="10" t="inlineStr">
        <is>
          <t>2026-07-31</t>
        </is>
      </c>
      <c r="C72" s="10" t="inlineStr">
        <is>
          <t>Claude Code</t>
        </is>
      </c>
      <c r="D72" s="10" t="inlineStr">
        <is>
          <t>Pending</t>
        </is>
      </c>
      <c r="E72"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72" s="10" t="inlineStr">
        <is>
          <t>Superseded by v1.8</t>
        </is>
      </c>
    </row>
    <row r="73">
      <c r="A73" s="8" t="inlineStr">
        <is>
          <t>1.6</t>
        </is>
      </c>
      <c r="B73" s="8" t="inlineStr">
        <is>
          <t>2026-07-31</t>
        </is>
      </c>
      <c r="C73" s="8" t="inlineStr">
        <is>
          <t>Claude Code</t>
        </is>
      </c>
      <c r="D73" s="8" t="inlineStr">
        <is>
          <t>Pending</t>
        </is>
      </c>
      <c r="E73"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73" s="8" t="inlineStr">
        <is>
          <t>Issued for approval</t>
        </is>
      </c>
    </row>
    <row r="75">
      <c r="A75"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REQ-CAL-20</t>
        </is>
      </c>
      <c r="B33" s="17" t="inlineStr">
        <is>
          <t>Calculation</t>
        </is>
      </c>
      <c r="C33"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3" s="17" t="inlineStr">
        <is>
          <t>Must</t>
        </is>
      </c>
      <c r="E33" s="17" t="inlineStr">
        <is>
          <t>R-38</t>
        </is>
      </c>
      <c r="F33" s="17" t="inlineStr">
        <is>
          <t>4</t>
        </is>
      </c>
    </row>
    <row r="34">
      <c r="A34" s="17" t="inlineStr">
        <is>
          <t>REQ-CAL-19</t>
        </is>
      </c>
      <c r="B34" s="17" t="inlineStr">
        <is>
          <t>Calculation</t>
        </is>
      </c>
      <c r="C34"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4" s="17" t="inlineStr">
        <is>
          <t>Must</t>
        </is>
      </c>
      <c r="E34" s="17" t="inlineStr">
        <is>
          <t>R-31, R-32</t>
        </is>
      </c>
      <c r="F34" s="17" t="inlineStr">
        <is>
          <t>4</t>
        </is>
      </c>
    </row>
    <row r="35">
      <c r="A35" s="17" t="inlineStr">
        <is>
          <t>REQ-CAL-18</t>
        </is>
      </c>
      <c r="B35" s="17" t="inlineStr">
        <is>
          <t>Calculation</t>
        </is>
      </c>
      <c r="C35"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5" s="17" t="inlineStr">
        <is>
          <t>Must</t>
        </is>
      </c>
      <c r="E35" s="17" t="inlineStr">
        <is>
          <t>R-30</t>
        </is>
      </c>
      <c r="F35" s="17" t="inlineStr">
        <is>
          <t>4</t>
        </is>
      </c>
    </row>
    <row r="36">
      <c r="A36" s="17" t="inlineStr">
        <is>
          <t>REQ-CAL-17</t>
        </is>
      </c>
      <c r="B36" s="17" t="inlineStr">
        <is>
          <t>Calculation</t>
        </is>
      </c>
      <c r="C36"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6" s="17" t="inlineStr">
        <is>
          <t>Must</t>
        </is>
      </c>
      <c r="E36" s="17" t="inlineStr">
        <is>
          <t>R-20</t>
        </is>
      </c>
      <c r="F36" s="17" t="inlineStr">
        <is>
          <t>4</t>
        </is>
      </c>
    </row>
    <row r="37">
      <c r="A37" s="17" t="inlineStr">
        <is>
          <t>REQ-CAL-16</t>
        </is>
      </c>
      <c r="B37" s="17" t="inlineStr">
        <is>
          <t>Calculation</t>
        </is>
      </c>
      <c r="C37"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7" s="17" t="inlineStr">
        <is>
          <t>Must</t>
        </is>
      </c>
      <c r="E37" s="17" t="inlineStr">
        <is>
          <t>R-17</t>
        </is>
      </c>
      <c r="F37" s="17" t="inlineStr">
        <is>
          <t>4</t>
        </is>
      </c>
    </row>
    <row r="38">
      <c r="A38" s="17" t="inlineStr">
        <is>
          <t>REQ-CAL-15</t>
        </is>
      </c>
      <c r="B38" s="17" t="inlineStr">
        <is>
          <t>Calculation</t>
        </is>
      </c>
      <c r="C38"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8" s="17" t="inlineStr">
        <is>
          <t>Must</t>
        </is>
      </c>
      <c r="E38" s="17" t="inlineStr">
        <is>
          <t>R-15</t>
        </is>
      </c>
      <c r="F38" s="17" t="inlineStr">
        <is>
          <t>4</t>
        </is>
      </c>
    </row>
    <row r="39">
      <c r="A39" s="17" t="inlineStr">
        <is>
          <t>REQ-CAL-14</t>
        </is>
      </c>
      <c r="B39" s="17" t="inlineStr">
        <is>
          <t>Calculation</t>
        </is>
      </c>
      <c r="C39"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9" s="17" t="inlineStr">
        <is>
          <t>Must</t>
        </is>
      </c>
      <c r="E39" s="17" t="inlineStr">
        <is>
          <t>R-13</t>
        </is>
      </c>
      <c r="F39" s="17" t="inlineStr">
        <is>
          <t>4</t>
        </is>
      </c>
    </row>
    <row r="40">
      <c r="A40" s="10" t="inlineStr">
        <is>
          <t>REQ-CAL-03</t>
        </is>
      </c>
      <c r="B40" s="10" t="inlineStr">
        <is>
          <t>Calculation</t>
        </is>
      </c>
      <c r="C40" s="11" t="inlineStr">
        <is>
          <t>Project monthly load is the sum of its assignments; person monthly load is the sum across all their projects.</t>
        </is>
      </c>
      <c r="D40" s="10" t="inlineStr">
        <is>
          <t>Must</t>
        </is>
      </c>
      <c r="E40" s="10" t="inlineStr">
        <is>
          <t>Requester</t>
        </is>
      </c>
      <c r="F40" s="10" t="inlineStr">
        <is>
          <t>4</t>
        </is>
      </c>
    </row>
    <row r="41">
      <c r="A41" s="20" t="inlineStr">
        <is>
          <t>REQ-CAL-04</t>
        </is>
      </c>
      <c r="B41" s="20" t="inlineStr">
        <is>
          <t>Calculation</t>
        </is>
      </c>
      <c r="C41" s="19" t="inlineStr">
        <is>
          <t>A person-month whose total exceeds the over-allocation threshold (default 1.50 FTE) is flagged as over-allocated. The threshold is absolute, not scaled by capacity (S2-01).</t>
        </is>
      </c>
      <c r="D41" s="20" t="inlineStr">
        <is>
          <t>Must</t>
        </is>
      </c>
      <c r="E41" s="20" t="inlineStr">
        <is>
          <t>Q-08, S2-01</t>
        </is>
      </c>
      <c r="F41" s="20" t="inlineStr">
        <is>
          <t>4</t>
        </is>
      </c>
    </row>
    <row r="42">
      <c r="A42" s="20" t="inlineStr">
        <is>
          <t>REQ-CAL-05</t>
        </is>
      </c>
      <c r="B42" s="20" t="inlineStr">
        <is>
          <t>Calculation</t>
        </is>
      </c>
      <c r="C42" s="19" t="inlineStr">
        <is>
          <t>A partial first or last month is pro-rated by calendar days worked, not counted as a whole month.</t>
        </is>
      </c>
      <c r="D42" s="20" t="inlineStr">
        <is>
          <t>Must</t>
        </is>
      </c>
      <c r="E42" s="20" t="inlineStr">
        <is>
          <t>Q-02</t>
        </is>
      </c>
      <c r="F42" s="20" t="inlineStr">
        <is>
          <t>4</t>
        </is>
      </c>
    </row>
    <row r="43">
      <c r="A43" s="8" t="inlineStr">
        <is>
          <t>REQ-CAL-06</t>
        </is>
      </c>
      <c r="B43" s="8" t="inlineStr">
        <is>
          <t>Calculation</t>
        </is>
      </c>
      <c r="C43" s="9" t="inlineStr">
        <is>
          <t>All weights, factors and thresholds are data, held in the source workbook, never hardcoded in the program.</t>
        </is>
      </c>
      <c r="D43" s="8" t="inlineStr">
        <is>
          <t>Must</t>
        </is>
      </c>
      <c r="E43" s="8" t="inlineStr">
        <is>
          <t>Derived</t>
        </is>
      </c>
      <c r="F43" s="8" t="inlineStr">
        <is>
          <t>4</t>
        </is>
      </c>
    </row>
    <row r="44">
      <c r="A44" s="20" t="inlineStr">
        <is>
          <t>REQ-CAL-07</t>
        </is>
      </c>
      <c r="B44" s="20" t="inlineStr">
        <is>
          <t>Calculation</t>
        </is>
      </c>
      <c r="C44" s="19" t="inlineStr">
        <is>
          <t>A person whose monthly total stays below the under-allocation threshold (default 0.60 FTE) for three or more consecutive months is flagged as under-allocated, with the run's start and length reported. The threshold is absolute, not scaled by capacity.</t>
        </is>
      </c>
      <c r="D44" s="20" t="inlineStr">
        <is>
          <t>Must</t>
        </is>
      </c>
      <c r="E44" s="20" t="inlineStr">
        <is>
          <t>Q-08, S2-01, S2-05</t>
        </is>
      </c>
      <c r="F44" s="20" t="inlineStr">
        <is>
          <t>4</t>
        </is>
      </c>
    </row>
    <row r="45">
      <c r="A45" s="17" t="inlineStr">
        <is>
          <t>REQ-CAL-08</t>
        </is>
      </c>
      <c r="B45" s="17" t="inlineStr">
        <is>
          <t>Calculation</t>
        </is>
      </c>
      <c r="C45" s="18" t="inlineStr">
        <is>
          <t>Load is expressed in FTE, where 1.00 FTE = 160 hours per month (8 h/day x 5 days/week x 20 days/month). Hours are shown alongside FTE where useful.</t>
        </is>
      </c>
      <c r="D45" s="17" t="inlineStr">
        <is>
          <t>Must</t>
        </is>
      </c>
      <c r="E45" s="17" t="inlineStr">
        <is>
          <t>Q-08</t>
        </is>
      </c>
      <c r="F45" s="17" t="inlineStr">
        <is>
          <t>4</t>
        </is>
      </c>
    </row>
    <row r="46">
      <c r="A46" s="20" t="inlineStr">
        <is>
          <t>REQ-CAL-09</t>
        </is>
      </c>
      <c r="B46" s="20" t="inlineStr">
        <is>
          <t>Calculation</t>
        </is>
      </c>
      <c r="C46"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6" s="20" t="inlineStr">
        <is>
          <t>Must</t>
        </is>
      </c>
      <c r="E46" s="20" t="inlineStr">
        <is>
          <t>Q-16, Q-22, Q-23, Q-25</t>
        </is>
      </c>
      <c r="F46" s="20" t="inlineStr">
        <is>
          <t>2,4</t>
        </is>
      </c>
    </row>
    <row r="47">
      <c r="A47" s="17" t="inlineStr">
        <is>
          <t>REQ-CAL-10</t>
        </is>
      </c>
      <c r="B47" s="17" t="inlineStr">
        <is>
          <t>Calculation</t>
        </is>
      </c>
      <c r="C47" s="18" t="inlineStr">
        <is>
          <t>Every month of a project's timeline falls in exactly one period. A month left uncovered by the derivation is reported and carries weight 1.00 rather than being dropped from the simulation.</t>
        </is>
      </c>
      <c r="D47" s="17" t="inlineStr">
        <is>
          <t>Must</t>
        </is>
      </c>
      <c r="E47" s="17" t="inlineStr">
        <is>
          <t>Derived from Q-16</t>
        </is>
      </c>
      <c r="F47" s="17" t="inlineStr">
        <is>
          <t>2,4</t>
        </is>
      </c>
    </row>
    <row r="48">
      <c r="A48" s="20" t="inlineStr">
        <is>
          <t>REQ-CAL-11</t>
        </is>
      </c>
      <c r="B48" s="20" t="inlineStr">
        <is>
          <t>Calculation</t>
        </is>
      </c>
      <c r="C48"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8" s="20" t="inlineStr">
        <is>
          <t>Must</t>
        </is>
      </c>
      <c r="E48" s="20" t="inlineStr">
        <is>
          <t>Q-23, R-11</t>
        </is>
      </c>
      <c r="F48" s="20" t="inlineStr">
        <is>
          <t>2,4</t>
        </is>
      </c>
    </row>
    <row r="49">
      <c r="A49" s="17" t="inlineStr">
        <is>
          <t>REQ-CAL-13</t>
        </is>
      </c>
      <c r="B49" s="17" t="inlineStr">
        <is>
          <t>Calculation</t>
        </is>
      </c>
      <c r="C49" s="18" t="inlineStr">
        <is>
          <t>Where a period boundary has both a milestone and a month-offset definition, a recorded milestone date wins. The offset is the fallback for a project that does not carry that milestone.</t>
        </is>
      </c>
      <c r="D49" s="17" t="inlineStr">
        <is>
          <t>Must</t>
        </is>
      </c>
      <c r="E49" s="17" t="inlineStr">
        <is>
          <t>R-02</t>
        </is>
      </c>
      <c r="F49" s="17" t="inlineStr">
        <is>
          <t>2,4</t>
        </is>
      </c>
    </row>
    <row r="50">
      <c r="A50" s="17" t="inlineStr">
        <is>
          <t>REQ-CAL-12</t>
        </is>
      </c>
      <c r="B50" s="17" t="inlineStr">
        <is>
          <t>Calculation</t>
        </is>
      </c>
      <c r="C50" s="18" t="inlineStr">
        <is>
          <t>Where a timeline squeezes a derived period to zero or negative length, that period is omitted and the omission reported. Boundaries are applied in order so the periods always stay contiguous.</t>
        </is>
      </c>
      <c r="D50" s="17" t="inlineStr">
        <is>
          <t>Must</t>
        </is>
      </c>
      <c r="E50" s="17" t="inlineStr">
        <is>
          <t>Derived from Q-22, Q-23</t>
        </is>
      </c>
      <c r="F50" s="17" t="inlineStr">
        <is>
          <t>2,4</t>
        </is>
      </c>
    </row>
    <row r="51">
      <c r="A51" s="8" t="inlineStr">
        <is>
          <t>REQ-DSH-01</t>
        </is>
      </c>
      <c r="B51" s="8" t="inlineStr">
        <is>
          <t>Dashboard</t>
        </is>
      </c>
      <c r="C51" s="9" t="inlineStr">
        <is>
          <t>Tab 'Overall' shows monthly resource simulation per project and per person as tables.</t>
        </is>
      </c>
      <c r="D51" s="8" t="inlineStr">
        <is>
          <t>Must</t>
        </is>
      </c>
      <c r="E51" s="8" t="inlineStr">
        <is>
          <t>Requester</t>
        </is>
      </c>
      <c r="F51" s="8" t="inlineStr">
        <is>
          <t>3,4</t>
        </is>
      </c>
    </row>
    <row r="52">
      <c r="A52" s="10" t="inlineStr">
        <is>
          <t>REQ-DSH-02</t>
        </is>
      </c>
      <c r="B52" s="10" t="inlineStr">
        <is>
          <t>Dashboard</t>
        </is>
      </c>
      <c r="C52" s="11" t="inlineStr">
        <is>
          <t>Tab 'Overall' shows appropriate graphs of the same simulation.</t>
        </is>
      </c>
      <c r="D52" s="10" t="inlineStr">
        <is>
          <t>Must</t>
        </is>
      </c>
      <c r="E52" s="10" t="inlineStr">
        <is>
          <t>Requester</t>
        </is>
      </c>
      <c r="F52" s="10" t="inlineStr">
        <is>
          <t>3,4</t>
        </is>
      </c>
    </row>
    <row r="53">
      <c r="A53" s="8" t="inlineStr">
        <is>
          <t>REQ-DSH-03</t>
        </is>
      </c>
      <c r="B53" s="8" t="inlineStr">
        <is>
          <t>Dashboard</t>
        </is>
      </c>
      <c r="C53" s="9" t="inlineStr">
        <is>
          <t>Tab 'Source data (project)' shows project information as a table.</t>
        </is>
      </c>
      <c r="D53" s="8" t="inlineStr">
        <is>
          <t>Must</t>
        </is>
      </c>
      <c r="E53" s="8" t="inlineStr">
        <is>
          <t>Requester</t>
        </is>
      </c>
      <c r="F53" s="8" t="inlineStr">
        <is>
          <t>3,4</t>
        </is>
      </c>
    </row>
    <row r="54">
      <c r="A54" s="10" t="inlineStr">
        <is>
          <t>REQ-DSH-04</t>
        </is>
      </c>
      <c r="B54" s="10" t="inlineStr">
        <is>
          <t>Dashboard</t>
        </is>
      </c>
      <c r="C54" s="11" t="inlineStr">
        <is>
          <t>Tab 'Source data (person)' shows person information as a table.</t>
        </is>
      </c>
      <c r="D54" s="10" t="inlineStr">
        <is>
          <t>Must</t>
        </is>
      </c>
      <c r="E54" s="10" t="inlineStr">
        <is>
          <t>Requester</t>
        </is>
      </c>
      <c r="F54" s="10" t="inlineStr">
        <is>
          <t>3,4</t>
        </is>
      </c>
    </row>
    <row r="55">
      <c r="A55" s="20" t="inlineStr">
        <is>
          <t>REQ-DSH-05</t>
        </is>
      </c>
      <c r="B55" s="20" t="inlineStr">
        <is>
          <t>Dashboard</t>
        </is>
      </c>
      <c r="C55" s="19" t="inlineStr">
        <is>
          <t>One filter set drives every tab: date horizon, project type, clinical phase, project, person, role and department, with a single action to clear them all. The display unit is a setting, not a filter - it changes how figures are written, not which are shown.</t>
        </is>
      </c>
      <c r="D55" s="20" t="inlineStr">
        <is>
          <t>Should</t>
        </is>
      </c>
      <c r="E55" s="20" t="inlineStr">
        <is>
          <t>Derived / O-03</t>
        </is>
      </c>
      <c r="F55" s="20" t="inlineStr">
        <is>
          <t>3,4</t>
        </is>
      </c>
    </row>
    <row r="56">
      <c r="A56" s="10" t="inlineStr">
        <is>
          <t>REQ-DSH-06</t>
        </is>
      </c>
      <c r="B56" s="10" t="inlineStr">
        <is>
          <t>Dashboard</t>
        </is>
      </c>
      <c r="C56" s="11" t="inlineStr">
        <is>
          <t>Any table on screen can be exported to Excel.</t>
        </is>
      </c>
      <c r="D56" s="10" t="inlineStr">
        <is>
          <t>Should</t>
        </is>
      </c>
      <c r="E56" s="10" t="inlineStr">
        <is>
          <t>Derived</t>
        </is>
      </c>
      <c r="F56" s="10" t="inlineStr">
        <is>
          <t>4</t>
        </is>
      </c>
    </row>
    <row r="57">
      <c r="A57" s="17" t="inlineStr">
        <is>
          <t>REQ-DSH-07</t>
        </is>
      </c>
      <c r="B57" s="17" t="inlineStr">
        <is>
          <t>Dashboard</t>
        </is>
      </c>
      <c r="C57" s="18" t="inlineStr">
        <is>
          <t>The horizon control offers 24 months by default and a one-click expansion to cover the latest project end date across all projects.</t>
        </is>
      </c>
      <c r="D57" s="17" t="inlineStr">
        <is>
          <t>Must</t>
        </is>
      </c>
      <c r="E57" s="17" t="inlineStr">
        <is>
          <t>Q-11</t>
        </is>
      </c>
      <c r="F57" s="17" t="inlineStr">
        <is>
          <t>3,4</t>
        </is>
      </c>
    </row>
    <row r="58">
      <c r="A58" s="17" t="inlineStr">
        <is>
          <t>REQ-DSH-08</t>
        </is>
      </c>
      <c r="B58" s="17" t="inlineStr">
        <is>
          <t>Dashboard</t>
        </is>
      </c>
      <c r="C58" s="18" t="inlineStr">
        <is>
          <t>Over-allocated and under-allocated person-months are distinguishable at a glance, and both are counted in the summary tiles.</t>
        </is>
      </c>
      <c r="D58" s="17" t="inlineStr">
        <is>
          <t>Must</t>
        </is>
      </c>
      <c r="E58" s="17" t="inlineStr">
        <is>
          <t>Q-08</t>
        </is>
      </c>
      <c r="F58" s="17" t="inlineStr">
        <is>
          <t>3,4</t>
        </is>
      </c>
    </row>
    <row r="59">
      <c r="A59" s="17" t="inlineStr">
        <is>
          <t>REQ-DSH-09</t>
        </is>
      </c>
      <c r="B59" s="17" t="inlineStr">
        <is>
          <t>Dashboard</t>
        </is>
      </c>
      <c r="C59" s="18" t="inlineStr">
        <is>
          <t>At the target volume a table taller than the viewport renders only the visible rows, and the per-person chart shows an aggregate or a ranked subset rather than one bar per person. A thousand bars is not a chart.</t>
        </is>
      </c>
      <c r="D59" s="17" t="inlineStr">
        <is>
          <t>Must</t>
        </is>
      </c>
      <c r="E59" s="17" t="inlineStr">
        <is>
          <t>S2-06</t>
        </is>
      </c>
      <c r="F59" s="17" t="inlineStr">
        <is>
          <t>3,4</t>
        </is>
      </c>
    </row>
    <row r="60">
      <c r="A60" s="20" t="inlineStr">
        <is>
          <t>REQ-DSH-10</t>
        </is>
      </c>
      <c r="B60" s="20" t="inlineStr">
        <is>
          <t>Dashboard</t>
        </is>
      </c>
      <c r="C60"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0" s="20" t="inlineStr">
        <is>
          <t>Must</t>
        </is>
      </c>
      <c r="E60" s="20" t="inlineStr">
        <is>
          <t>S2-04, R-11</t>
        </is>
      </c>
      <c r="F60" s="20" t="inlineStr">
        <is>
          <t>3,4</t>
        </is>
      </c>
    </row>
    <row r="61">
      <c r="A61" s="17" t="inlineStr">
        <is>
          <t>REQ-DSH-12</t>
        </is>
      </c>
      <c r="B61" s="17" t="inlineStr">
        <is>
          <t>Dashboard</t>
        </is>
      </c>
      <c r="C61"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1" s="17" t="inlineStr">
        <is>
          <t>Should</t>
        </is>
      </c>
      <c r="E61" s="17" t="inlineStr">
        <is>
          <t>Reviewer v0.7</t>
        </is>
      </c>
      <c r="F61" s="17" t="inlineStr">
        <is>
          <t>3,4</t>
        </is>
      </c>
    </row>
    <row r="62">
      <c r="A62" s="17" t="inlineStr">
        <is>
          <t>REQ-DSH-11</t>
        </is>
      </c>
      <c r="B62" s="17" t="inlineStr">
        <is>
          <t>Dashboard</t>
        </is>
      </c>
      <c r="C62" s="18" t="inlineStr">
        <is>
          <t>The standing assumptions the simulation multiplies by - standard period weights, role factors, configuration and value lists - are presented on their own tab, so a reader can see what every figure was derived from without opening the workbook.</t>
        </is>
      </c>
      <c r="D62" s="17" t="inlineStr">
        <is>
          <t>Must</t>
        </is>
      </c>
      <c r="E62" s="17" t="inlineStr">
        <is>
          <t>G-07</t>
        </is>
      </c>
      <c r="F62" s="17" t="inlineStr">
        <is>
          <t>3,4</t>
        </is>
      </c>
    </row>
    <row r="63">
      <c r="A63" s="20" t="inlineStr">
        <is>
          <t>REQ-IMP-01</t>
        </is>
      </c>
      <c r="B63" s="20" t="inlineStr">
        <is>
          <t>Import/Export</t>
        </is>
      </c>
      <c r="C63" s="19" t="inlineStr">
        <is>
          <t>The user loads the source workbook through a file picker or drag-and-drop, chosen because a local HTML page cannot open a file from disk unaided.</t>
        </is>
      </c>
      <c r="D63" s="20" t="inlineStr">
        <is>
          <t>Must</t>
        </is>
      </c>
      <c r="E63" s="20" t="inlineStr">
        <is>
          <t>Decision D-01</t>
        </is>
      </c>
      <c r="F63" s="20" t="inlineStr">
        <is>
          <t>4</t>
        </is>
      </c>
    </row>
    <row r="64">
      <c r="A64" s="10" t="inlineStr">
        <is>
          <t>REQ-IMP-02</t>
        </is>
      </c>
      <c r="B64" s="10" t="inlineStr">
        <is>
          <t>Import/Export</t>
        </is>
      </c>
      <c r="C64" s="11" t="inlineStr">
        <is>
          <t>Loading validates the workbook and reports every problem found - missing sheet, missing column, bad date, unknown project reference - without stopping at the first one.</t>
        </is>
      </c>
      <c r="D64" s="10" t="inlineStr">
        <is>
          <t>Must</t>
        </is>
      </c>
      <c r="E64" s="10" t="inlineStr">
        <is>
          <t>Derived</t>
        </is>
      </c>
      <c r="F64" s="10" t="inlineStr">
        <is>
          <t>4</t>
        </is>
      </c>
    </row>
    <row r="65">
      <c r="A65" s="20" t="inlineStr">
        <is>
          <t>REQ-IMP-03</t>
        </is>
      </c>
      <c r="B65" s="20" t="inlineStr">
        <is>
          <t>Import/Export</t>
        </is>
      </c>
      <c r="C65" s="19" t="inlineStr">
        <is>
          <t>A blank source workbook template with correct sheet names, headers, value lists and one example row is delivered with the application.</t>
        </is>
      </c>
      <c r="D65" s="20" t="inlineStr">
        <is>
          <t>Must</t>
        </is>
      </c>
      <c r="E65" s="20" t="inlineStr">
        <is>
          <t>Derived</t>
        </is>
      </c>
      <c r="F65" s="20" t="inlineStr">
        <is>
          <t>4</t>
        </is>
      </c>
    </row>
    <row r="66">
      <c r="A66" s="10" t="inlineStr">
        <is>
          <t>REQ-IMP-04</t>
        </is>
      </c>
      <c r="B66" s="10" t="inlineStr">
        <is>
          <t>Import/Export</t>
        </is>
      </c>
      <c r="C66" s="11" t="inlineStr">
        <is>
          <t>The user can export current data back to .xlsx, preserving the template layout so the export can be re-imported.</t>
        </is>
      </c>
      <c r="D66" s="10" t="inlineStr">
        <is>
          <t>Must</t>
        </is>
      </c>
      <c r="E66" s="10" t="inlineStr">
        <is>
          <t>Derived</t>
        </is>
      </c>
      <c r="F66" s="10" t="inlineStr">
        <is>
          <t>4</t>
        </is>
      </c>
    </row>
    <row r="67">
      <c r="A67" s="20" t="inlineStr">
        <is>
          <t>REQ-IMP-05</t>
        </is>
      </c>
      <c r="B67" s="20" t="inlineStr">
        <is>
          <t>Import/Export</t>
        </is>
      </c>
      <c r="C67" s="19" t="inlineStr">
        <is>
          <t>The application records which file was loaded and when, and shows it on screen with its time zone - a bare timestamp is ambiguous to anyone reading it from another country.</t>
        </is>
      </c>
      <c r="D67" s="20" t="inlineStr">
        <is>
          <t>Should</t>
        </is>
      </c>
      <c r="E67" s="20" t="inlineStr">
        <is>
          <t>Derived / G-02</t>
        </is>
      </c>
      <c r="F67" s="20" t="inlineStr">
        <is>
          <t>4</t>
        </is>
      </c>
    </row>
    <row r="68">
      <c r="A68" s="10" t="inlineStr">
        <is>
          <t>REQ-IMP-06</t>
        </is>
      </c>
      <c r="B68" s="10" t="inlineStr">
        <is>
          <t>Import/Export</t>
        </is>
      </c>
      <c r="C68" s="11" t="inlineStr">
        <is>
          <t>Loaded data may be cached in the browser so re-opening the page does not force a re-import; the cache never replaces the workbook as the record.</t>
        </is>
      </c>
      <c r="D68" s="10" t="inlineStr">
        <is>
          <t>Could</t>
        </is>
      </c>
      <c r="E68" s="10" t="inlineStr">
        <is>
          <t>Derived</t>
        </is>
      </c>
      <c r="F68" s="10" t="inlineStr">
        <is>
          <t>4</t>
        </is>
      </c>
    </row>
    <row r="69">
      <c r="A69" s="17" t="inlineStr">
        <is>
          <t>REQ-IMP-07</t>
        </is>
      </c>
      <c r="B69" s="17" t="inlineStr">
        <is>
          <t>Import/Export</t>
        </is>
      </c>
      <c r="C69" s="18" t="inlineStr">
        <is>
          <t>After import, the application lets the user update the data on screen, and those updates are carried into the file produced on export.</t>
        </is>
      </c>
      <c r="D69" s="17" t="inlineStr">
        <is>
          <t>Must</t>
        </is>
      </c>
      <c r="E69" s="17" t="inlineStr">
        <is>
          <t>Reviewer v0.11</t>
        </is>
      </c>
      <c r="F69" s="17" t="inlineStr">
        <is>
          <t>4</t>
        </is>
      </c>
    </row>
    <row r="70">
      <c r="A70" s="17" t="inlineStr">
        <is>
          <t>REQ-IMP-08</t>
        </is>
      </c>
      <c r="B70" s="17" t="inlineStr">
        <is>
          <t>Import/Export</t>
        </is>
      </c>
      <c r="C70" s="18" t="inlineStr">
        <is>
          <t>Unsaved edits are visible as such, and the user is warned before any action that would discard them (closing the page, loading another file).</t>
        </is>
      </c>
      <c r="D70" s="17" t="inlineStr">
        <is>
          <t>Must</t>
        </is>
      </c>
      <c r="E70" s="17" t="inlineStr">
        <is>
          <t>Derived from REQ-IMP-07</t>
        </is>
      </c>
      <c r="F70" s="17" t="inlineStr">
        <is>
          <t>4</t>
        </is>
      </c>
    </row>
    <row r="71">
      <c r="A71" s="20" t="inlineStr">
        <is>
          <t>REQ-IMP-09</t>
        </is>
      </c>
      <c r="B71" s="20" t="inlineStr">
        <is>
          <t>Import/Export</t>
        </is>
      </c>
      <c r="C71" s="19" t="inlineStr">
        <is>
          <t>Every field is editable, including identifiers. An on-screen edit is re-validated against the same rules as an imported value, so editing cannot introduce data the import would have rejected.</t>
        </is>
      </c>
      <c r="D71" s="20" t="inlineStr">
        <is>
          <t>Must</t>
        </is>
      </c>
      <c r="E71" s="20" t="inlineStr">
        <is>
          <t>Q-20</t>
        </is>
      </c>
      <c r="F71" s="20" t="inlineStr">
        <is>
          <t>4</t>
        </is>
      </c>
    </row>
    <row r="72">
      <c r="A72" s="17" t="inlineStr">
        <is>
          <t>REQ-IMP-10</t>
        </is>
      </c>
      <c r="B72" s="17" t="inlineStr">
        <is>
          <t>Import/Export</t>
        </is>
      </c>
      <c r="C72" s="18" t="inlineStr">
        <is>
          <t>Editing an identifier that other sheets reference cascades to every referencing row, after showing how many rows will change. Deleting a referenced row is refused, naming what still points at it.</t>
        </is>
      </c>
      <c r="D72" s="17" t="inlineStr">
        <is>
          <t>Must</t>
        </is>
      </c>
      <c r="E72" s="17" t="inlineStr">
        <is>
          <t>Q-20</t>
        </is>
      </c>
      <c r="F72" s="17" t="inlineStr">
        <is>
          <t>4</t>
        </is>
      </c>
    </row>
    <row r="73">
      <c r="A73" s="17" t="inlineStr">
        <is>
          <t>REQ-IMP-14</t>
        </is>
      </c>
      <c r="B73" s="17" t="inlineStr">
        <is>
          <t>Import/Export</t>
        </is>
      </c>
      <c r="C73"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3" s="17" t="inlineStr">
        <is>
          <t>Must</t>
        </is>
      </c>
      <c r="E73" s="17" t="inlineStr">
        <is>
          <t>R-28</t>
        </is>
      </c>
      <c r="F73" s="17" t="inlineStr">
        <is>
          <t>4</t>
        </is>
      </c>
    </row>
    <row r="74">
      <c r="A74" s="17" t="inlineStr">
        <is>
          <t>REQ-OUT-06</t>
        </is>
      </c>
      <c r="B74" s="17" t="inlineStr">
        <is>
          <t>Output</t>
        </is>
      </c>
      <c r="C74"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4" s="17" t="inlineStr">
        <is>
          <t>Must</t>
        </is>
      </c>
      <c r="E74" s="17" t="inlineStr">
        <is>
          <t>R-29</t>
        </is>
      </c>
      <c r="F74" s="17" t="inlineStr">
        <is>
          <t>4</t>
        </is>
      </c>
    </row>
    <row r="75">
      <c r="A75" s="17" t="inlineStr">
        <is>
          <t>REQ-IMP-12</t>
        </is>
      </c>
      <c r="B75" s="17" t="inlineStr">
        <is>
          <t>Import/Export</t>
        </is>
      </c>
      <c r="C75"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5" s="17" t="inlineStr">
        <is>
          <t>Should</t>
        </is>
      </c>
      <c r="E75" s="17" t="inlineStr">
        <is>
          <t>R-21</t>
        </is>
      </c>
      <c r="F75" s="17" t="inlineStr">
        <is>
          <t>4</t>
        </is>
      </c>
    </row>
    <row r="76">
      <c r="A76" s="17" t="inlineStr">
        <is>
          <t>REQ-IMP-13</t>
        </is>
      </c>
      <c r="B76" s="17" t="inlineStr">
        <is>
          <t>Import/Export</t>
        </is>
      </c>
      <c r="C76"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6" s="17" t="inlineStr">
        <is>
          <t>Must</t>
        </is>
      </c>
      <c r="E76" s="17" t="inlineStr">
        <is>
          <t>R-25</t>
        </is>
      </c>
      <c r="F76" s="17" t="inlineStr">
        <is>
          <t>4</t>
        </is>
      </c>
    </row>
    <row r="77">
      <c r="A77" s="17" t="inlineStr">
        <is>
          <t>REQ-IMP-11</t>
        </is>
      </c>
      <c r="B77" s="17" t="inlineStr">
        <is>
          <t>Import/Export</t>
        </is>
      </c>
      <c r="C77" s="18" t="inlineStr">
        <is>
          <t>A new row can be inserted into any editable table, positioned immediately below the row the user acts on rather than appended at the end, and validated on entry like any other edit.</t>
        </is>
      </c>
      <c r="D77" s="17" t="inlineStr">
        <is>
          <t>Must</t>
        </is>
      </c>
      <c r="E77" s="17" t="inlineStr">
        <is>
          <t>P-01, S-01</t>
        </is>
      </c>
      <c r="F77" s="17" t="inlineStr">
        <is>
          <t>4</t>
        </is>
      </c>
    </row>
    <row r="78">
      <c r="A78" s="10" t="inlineStr">
        <is>
          <t>REQ-VC-01</t>
        </is>
      </c>
      <c r="B78" s="10" t="inlineStr">
        <is>
          <t>Version control</t>
        </is>
      </c>
      <c r="C78" s="11" t="inlineStr">
        <is>
          <t>Development plan, programming specification and output files are version-controlled together and their versions are cross-referenced.</t>
        </is>
      </c>
      <c r="D78" s="10" t="inlineStr">
        <is>
          <t>Must</t>
        </is>
      </c>
      <c r="E78" s="10" t="inlineStr">
        <is>
          <t>Requester</t>
        </is>
      </c>
      <c r="F78" s="10" t="inlineStr">
        <is>
          <t>1-5</t>
        </is>
      </c>
    </row>
    <row r="79">
      <c r="A79" s="8" t="inlineStr">
        <is>
          <t>REQ-VC-02</t>
        </is>
      </c>
      <c r="B79" s="8" t="inlineStr">
        <is>
          <t>Version control</t>
        </is>
      </c>
      <c r="C79" s="9" t="inlineStr">
        <is>
          <t>The application displays its own version, and the version of the source data schema it expects.</t>
        </is>
      </c>
      <c r="D79" s="8" t="inlineStr">
        <is>
          <t>Must</t>
        </is>
      </c>
      <c r="E79" s="8" t="inlineStr">
        <is>
          <t>Requester</t>
        </is>
      </c>
      <c r="F79" s="8" t="inlineStr">
        <is>
          <t>4</t>
        </is>
      </c>
    </row>
    <row r="80">
      <c r="A80" s="10" t="inlineStr">
        <is>
          <t>REQ-VC-03</t>
        </is>
      </c>
      <c r="B80" s="10" t="inlineStr">
        <is>
          <t>Version control</t>
        </is>
      </c>
      <c r="C80" s="11" t="inlineStr">
        <is>
          <t>Loading a source file whose schema version is newer or older than the application expects produces a clear warning.</t>
        </is>
      </c>
      <c r="D80" s="10" t="inlineStr">
        <is>
          <t>Should</t>
        </is>
      </c>
      <c r="E80" s="10" t="inlineStr">
        <is>
          <t>Derived</t>
        </is>
      </c>
      <c r="F80" s="10" t="inlineStr">
        <is>
          <t>4</t>
        </is>
      </c>
    </row>
    <row r="81">
      <c r="A81" s="8" t="inlineStr">
        <is>
          <t>REQ-VC-04</t>
        </is>
      </c>
      <c r="B81" s="8" t="inlineStr">
        <is>
          <t>Version control</t>
        </is>
      </c>
      <c r="C81" s="9" t="inlineStr">
        <is>
          <t>Every document re-issue adds a version-history row stating what changed and why.</t>
        </is>
      </c>
      <c r="D81" s="8" t="inlineStr">
        <is>
          <t>Must</t>
        </is>
      </c>
      <c r="E81" s="8" t="inlineStr">
        <is>
          <t>Requester</t>
        </is>
      </c>
      <c r="F81" s="8" t="inlineStr">
        <is>
          <t>1-5</t>
        </is>
      </c>
    </row>
    <row r="82">
      <c r="A82" s="10" t="inlineStr">
        <is>
          <t>REQ-NFR-01</t>
        </is>
      </c>
      <c r="B82" s="10" t="inlineStr">
        <is>
          <t>Non-functional</t>
        </is>
      </c>
      <c r="C82" s="11" t="inlineStr">
        <is>
          <t>The application is built so later requirements can be added without restructuring: parsing, calculation and presentation are separated.</t>
        </is>
      </c>
      <c r="D82" s="10" t="inlineStr">
        <is>
          <t>Must</t>
        </is>
      </c>
      <c r="E82" s="10" t="inlineStr">
        <is>
          <t>Requester</t>
        </is>
      </c>
      <c r="F82" s="10" t="inlineStr">
        <is>
          <t>4</t>
        </is>
      </c>
    </row>
    <row r="83">
      <c r="A83" s="8" t="inlineStr">
        <is>
          <t>REQ-NFR-02</t>
        </is>
      </c>
      <c r="B83" s="8" t="inlineStr">
        <is>
          <t>Non-functional</t>
        </is>
      </c>
      <c r="C83" s="9" t="inlineStr">
        <is>
          <t>Works in Microsoft Edge and Google Chrome on Windows 10/11, offline.</t>
        </is>
      </c>
      <c r="D83" s="8" t="inlineStr">
        <is>
          <t>Must</t>
        </is>
      </c>
      <c r="E83" s="8" t="inlineStr">
        <is>
          <t>Q-05</t>
        </is>
      </c>
      <c r="F83" s="8" t="inlineStr">
        <is>
          <t>4</t>
        </is>
      </c>
    </row>
    <row r="84">
      <c r="A84" s="20" t="inlineStr">
        <is>
          <t>REQ-NFR-03</t>
        </is>
      </c>
      <c r="B84" s="20" t="inlineStr">
        <is>
          <t>Non-functional</t>
        </is>
      </c>
      <c r="C84" s="19" t="inlineStr">
        <is>
          <t>Handles 100 projects and 1,000 people, with the assignments that implies (order 8,000) over a 60-month horizon. Tables of that height are virtualised and the per-person chart aggregates rather than drawing a bar each - see REQ-DSH-09.</t>
        </is>
      </c>
      <c r="D84" s="20" t="inlineStr">
        <is>
          <t>Must</t>
        </is>
      </c>
      <c r="E84" s="20" t="inlineStr">
        <is>
          <t>S2-06</t>
        </is>
      </c>
      <c r="F84" s="20" t="inlineStr">
        <is>
          <t>4</t>
        </is>
      </c>
    </row>
    <row r="85">
      <c r="A85" s="8" t="inlineStr">
        <is>
          <t>REQ-NFR-04</t>
        </is>
      </c>
      <c r="B85" s="8" t="inlineStr">
        <is>
          <t>Non-functional</t>
        </is>
      </c>
      <c r="C85" s="9" t="inlineStr">
        <is>
          <t>No data leaves the PC: no network calls, no external CDN, no telemetry.</t>
        </is>
      </c>
      <c r="D85" s="8" t="inlineStr">
        <is>
          <t>Must</t>
        </is>
      </c>
      <c r="E85" s="8" t="inlineStr">
        <is>
          <t>Derived</t>
        </is>
      </c>
      <c r="F85" s="8" t="inlineStr">
        <is>
          <t>4</t>
        </is>
      </c>
    </row>
    <row r="86">
      <c r="A86" s="10" t="inlineStr">
        <is>
          <t>REQ-NFR-05</t>
        </is>
      </c>
      <c r="B86" s="10" t="inlineStr">
        <is>
          <t>Non-functional</t>
        </is>
      </c>
      <c r="C86" s="11" t="inlineStr">
        <is>
          <t>Dates are handled unambiguously (ISO yyyy-mm-dd internally) regardless of Windows regional settings.</t>
        </is>
      </c>
      <c r="D86" s="10" t="inlineStr">
        <is>
          <t>Must</t>
        </is>
      </c>
      <c r="E86" s="10" t="inlineStr">
        <is>
          <t>Derived</t>
        </is>
      </c>
      <c r="F86" s="10" t="inlineStr">
        <is>
          <t>4</t>
        </is>
      </c>
    </row>
    <row r="88">
      <c r="A88" s="5" t="inlineStr">
        <is>
          <t>Requirement count by priority</t>
        </is>
      </c>
    </row>
    <row r="89" ht="28" customHeight="1">
      <c r="A89" s="7" t="inlineStr">
        <is>
          <t>Priority</t>
        </is>
      </c>
      <c r="B89" s="7" t="inlineStr">
        <is>
          <t>Count</t>
        </is>
      </c>
    </row>
    <row r="90">
      <c r="A90" s="8" t="inlineStr">
        <is>
          <t>Must</t>
        </is>
      </c>
      <c r="B90" s="8">
        <f>COUNTIF(D5:D86,"Must")</f>
        <v/>
      </c>
    </row>
    <row r="91">
      <c r="A91" s="10" t="inlineStr">
        <is>
          <t>Should</t>
        </is>
      </c>
      <c r="B91" s="10">
        <f>COUNTIF(D5:D86,"Should")</f>
        <v/>
      </c>
    </row>
    <row r="92">
      <c r="A92" s="8" t="inlineStr">
        <is>
          <t>Could</t>
        </is>
      </c>
      <c r="B92" s="8">
        <f>COUNTIF(D5:D86,"Could")</f>
        <v/>
      </c>
    </row>
    <row r="93">
      <c r="A93" s="10" t="inlineStr">
        <is>
          <t>Total</t>
        </is>
      </c>
      <c r="B93" s="10">
        <f>COUNTA(A5:A86)</f>
        <v/>
      </c>
    </row>
    <row r="95">
      <c r="A95" s="16" t="inlineStr">
        <is>
          <t>47 requirements at v0.1, 58 at v0.2, 61 at v0.3, 63 at v0.4 and v1.0. v1.1 adds 2 and rewords 3, as a change against the approved baseline.</t>
        </is>
      </c>
    </row>
    <row r="96">
      <c r="A96" s="16" t="inlineStr">
        <is>
          <t>'Source' = Requester (in the original request), a Q-number (answered at v0.11 review), 'Reviewer v0.11' (added by the reviewer directly), Derived (engineering consequence), or a Decision ID from 07_Architecture.</t>
        </is>
      </c>
    </row>
    <row r="97">
      <c r="A97" s="3" t="inlineStr">
        <is>
          <t>Legend</t>
        </is>
      </c>
    </row>
    <row r="98">
      <c r="A98" s="12" t="inlineStr">
        <is>
          <t>Green = new in v0.2, added from your review answers.</t>
        </is>
      </c>
    </row>
    <row r="99">
      <c r="A99" s="13" t="inlineStr">
        <is>
          <t>Orange = changed in v0.2 as a consequence of your review.</t>
        </is>
      </c>
    </row>
    <row r="100">
      <c r="A100" s="14" t="inlineStr">
        <is>
          <t>Yellow = still needs your input.</t>
        </is>
      </c>
    </row>
  </sheetData>
  <dataValidations count="1">
    <dataValidation sqref="D5:D86"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5"/>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20" t="inlineStr">
        <is>
          <t>PeriodFTEStandard</t>
        </is>
      </c>
      <c r="B9" s="19" t="inlineStr">
        <is>
          <t>THE STANDARD MONTHLY FTE per project type, phase, work scope and period - where every figure gets its size (REQ-CAL-19).</t>
        </is>
      </c>
      <c r="C9" s="20"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 11 at v2.41 (R-33, the standards sheet renamed).</t>
        </is>
      </c>
      <c r="C139" s="20" t="inlineStr">
        <is>
          <t>11</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V-33</t>
        </is>
      </c>
      <c r="B165"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5" s="18" t="inlineStr">
        <is>
          <t>Warning</t>
        </is>
      </c>
      <c r="D165" s="17" t="inlineStr">
        <is>
          <t>R-39</t>
        </is>
      </c>
      <c r="E165" s="17" t="inlineStr">
        <is>
          <t>4</t>
        </is>
      </c>
    </row>
    <row r="166">
      <c r="A166" s="17" t="inlineStr">
        <is>
          <t>V-32</t>
        </is>
      </c>
      <c r="B166" s="18" t="inlineStr">
        <is>
          <t>A project set to MANUAL has a figure for a month in which nobody is assigned to it.</t>
        </is>
      </c>
      <c r="C166"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7">
      <c r="A167" s="17" t="inlineStr">
        <is>
          <t>V-30</t>
        </is>
      </c>
      <c r="B167" s="18" t="inlineStr">
        <is>
          <t>Config has no row for a setting the application reads, so its built-in default is in force. Reported for every such setting, naming the value being used.</t>
        </is>
      </c>
      <c r="C167"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8">
      <c r="A168" s="20" t="inlineStr">
        <is>
          <t>V-25</t>
        </is>
      </c>
      <c r="B168" s="19" t="inlineStr">
        <is>
          <t>RETIRED at schema 7 (R-16). It reported a project whose work_scope_type contradicted its outsourcing_type.</t>
        </is>
      </c>
      <c r="C168"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9">
      <c r="A169" s="17" t="inlineStr">
        <is>
          <t>V-26</t>
        </is>
      </c>
      <c r="B169" s="18" t="inlineStr">
        <is>
          <t>No project carries a project_type that schema 6 retired - at present 'Biosimilar CT', which became 'Biosimilar CT (Healthy)' and 'Biosimilar CT (Patient)'.</t>
        </is>
      </c>
      <c r="C169"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0">
      <c r="A170" s="20" t="inlineStr">
        <is>
          <t>V-23</t>
        </is>
      </c>
      <c r="B170" s="19" t="inlineStr">
        <is>
          <t>Every (project_type, clinical_phase, work_scope_type, period_name, role_name) that a PERSON-MONTH ACTUALLY LOOKED UP has a RoleFactor row. Raised BY the calculation (R-19), grouped on that whole composition, and counted in person-months affected.</t>
        </is>
      </c>
      <c r="C170"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1">
      <c r="A171" s="8" t="inlineStr">
        <is>
          <t>V-04</t>
        </is>
      </c>
      <c r="B171" s="9" t="inlineStr">
        <is>
          <t>project_category is present for either clinical trial type.</t>
        </is>
      </c>
      <c r="C171" s="9" t="inlineStr">
        <is>
          <t>Warning - shown as blank in the dashboard.</t>
        </is>
      </c>
    </row>
    <row r="172">
      <c r="A172" s="10" t="inlineStr">
        <is>
          <t>V-05</t>
        </is>
      </c>
      <c r="B172" s="11" t="inlineStr">
        <is>
          <t>end_date is on or after start_date, for projects, assignments and all weight periods.</t>
        </is>
      </c>
      <c r="C172" s="11" t="inlineStr">
        <is>
          <t>Error - row rejected.</t>
        </is>
      </c>
    </row>
    <row r="173">
      <c r="A173" s="20" t="inlineStr">
        <is>
          <t>V-06</t>
        </is>
      </c>
      <c r="B173" s="19" t="inlineStr">
        <is>
          <t>Periods within one project, and override windows within one assignment, do not overlap.</t>
        </is>
      </c>
      <c r="C173" s="19" t="inlineStr">
        <is>
          <t>Error - overlapping pair reported. The assignment half was specified from v1.0 but not implemented until R-12; an overlap there makes the applied weight depend on row order.</t>
        </is>
      </c>
    </row>
    <row r="174">
      <c r="A174" s="10" t="inlineStr">
        <is>
          <t>V-07</t>
        </is>
      </c>
      <c r="B174" s="11" t="inlineStr">
        <is>
          <t>Assignment dates fall inside the project's own start and end dates.</t>
        </is>
      </c>
      <c r="C174" s="11" t="inlineStr">
        <is>
          <t>Warning - kept, but listed for review.</t>
        </is>
      </c>
    </row>
    <row r="175">
      <c r="A175" s="8" t="inlineStr">
        <is>
          <t>V-08</t>
        </is>
      </c>
      <c r="B175" s="9" t="inlineStr">
        <is>
          <t>project_id, person_id and assignment_id are unique in their sheet.</t>
        </is>
      </c>
      <c r="C175" s="9" t="inlineStr">
        <is>
          <t>Error - duplicate rejected.</t>
        </is>
      </c>
    </row>
    <row r="176">
      <c r="A176" s="10" t="inlineStr">
        <is>
          <t>V-09</t>
        </is>
      </c>
      <c r="B176" s="11" t="inlineStr">
        <is>
          <t>schema_version in Config matches the version the application expects.</t>
        </is>
      </c>
      <c r="C176" s="11" t="inlineStr">
        <is>
          <t>Warning - proceeds, banner shown.</t>
        </is>
      </c>
    </row>
    <row r="177">
      <c r="A177" s="17" t="inlineStr">
        <is>
          <t>V-10</t>
        </is>
      </c>
      <c r="B177" s="18" t="inlineStr">
        <is>
          <t>Clinical-trial projects carry clinical_phase and the four *_setup values.</t>
        </is>
      </c>
      <c r="C177" s="18" t="inlineStr">
        <is>
          <t>Warning - the project still simulates; the gap is listed.</t>
        </is>
      </c>
    </row>
    <row r="178">
      <c r="A178" s="17" t="inlineStr">
        <is>
          <t>V-11</t>
        </is>
      </c>
      <c r="B178" s="18" t="inlineStr">
        <is>
          <t>Every list-typed value appears in the Lists sheet for its list.</t>
        </is>
      </c>
      <c r="C178" s="18" t="inlineStr">
        <is>
          <t>Warning - value kept, reported as unrecognised.</t>
        </is>
      </c>
    </row>
    <row r="179">
      <c r="A179" s="20" t="inlineStr">
        <is>
          <t>V-12</t>
        </is>
      </c>
      <c r="B179" s="19" t="inlineStr">
        <is>
          <t>A project's periods leave no gap and no overlap across its timeline. The full set need not be present - a period may be legitimately omitted (REQ-CAL-12).</t>
        </is>
      </c>
      <c r="C179" s="19" t="inlineStr">
        <is>
          <t>Warning - months with no period use weight 1.00 and are listed (REQ-CAL-10).</t>
        </is>
      </c>
    </row>
    <row r="180">
      <c r="A180" s="17" t="inlineStr">
        <is>
          <t>V-13</t>
        </is>
      </c>
      <c r="B180" s="18" t="inlineStr">
        <is>
          <t>Denormalised project_name / person_name match their master row.</t>
        </is>
      </c>
      <c r="C180" s="18" t="inlineStr">
        <is>
          <t>Warning - the master value wins and the copy is refreshed.</t>
        </is>
      </c>
    </row>
    <row r="181">
      <c r="A181" s="20" t="inlineStr">
        <is>
          <t>V-14</t>
        </is>
      </c>
      <c r="B181" s="19" t="inlineStr">
        <is>
          <t>A milestone date falls inside its project's start..end window, and the boundary milestones appear in chronological order. Repeated 'Inspection' rows are exempt from the uniqueness part of this check.</t>
        </is>
      </c>
      <c r="C181" s="19" t="inlineStr">
        <is>
          <t>Error for period-defining milestones - the derivation cannot run. Warning for markers.</t>
        </is>
      </c>
    </row>
    <row r="182">
      <c r="A182" s="17" t="inlineStr">
        <is>
          <t>V-15</t>
        </is>
      </c>
      <c r="B182" s="18" t="inlineStr">
        <is>
          <t>A period_name belongs to the period set of its project's type.</t>
        </is>
      </c>
      <c r="C182" s="18" t="inlineStr">
        <is>
          <t>Error - a 'Planning' period on a clinical trial is a category mistake, not a typo.</t>
        </is>
      </c>
    </row>
    <row r="183">
      <c r="A183" s="17" t="inlineStr">
        <is>
          <t>V-16</t>
        </is>
      </c>
      <c r="B183" s="18" t="inlineStr">
        <is>
          <t>A clinical trial carries the milestones the derivation needs: CTA submission, and at least one DB lock.</t>
        </is>
      </c>
      <c r="C183" s="18" t="inlineStr">
        <is>
          <t>Error - without them no period boundary can be computed.</t>
        </is>
      </c>
    </row>
    <row r="184">
      <c r="A184" s="20" t="inlineStr">
        <is>
          <t>V-18</t>
        </is>
      </c>
      <c r="B184" s="19" t="inlineStr">
        <is>
          <t>Within a project, period_name is unique, and period_seq is unique.</t>
        </is>
      </c>
      <c r="C184" s="19" t="inlineStr">
        <is>
          <t>Error - since R-11 the key is (project_id, period_name), so a repeated name is a duplicate key rather than a legitimate second stretch. period_seq stays unique because it carries the order.</t>
        </is>
      </c>
    </row>
    <row r="185">
      <c r="A185" s="20" t="inlineStr">
        <is>
          <t>V-19</t>
        </is>
      </c>
      <c r="B185" s="19" t="inlineStr">
        <is>
          <t>A clinical trial carries a clinical_phase, and PeriodFTEStandard has rows for that phase. Not applied to 'Others' projects, whose weights are entered directly.</t>
        </is>
      </c>
      <c r="C185" s="19" t="inlineStr">
        <is>
          <t>Error - since Q-26 the phase selects the weights, so a missing phase leaves the project unweighted.</t>
        </is>
      </c>
    </row>
    <row r="186">
      <c r="A186" s="17" t="inlineStr">
        <is>
          <t>V-20</t>
        </is>
      </c>
      <c r="B186" s="18" t="inlineStr">
        <is>
          <t>A milestone other than 'Inspection' appears at most once per project.</t>
        </is>
      </c>
      <c r="C186" s="18" t="inlineStr">
        <is>
          <t>Warning - repeats are allowed but usually a data-entry slip outside Inspection.</t>
        </is>
      </c>
    </row>
    <row r="187">
      <c r="A187" s="17" t="inlineStr">
        <is>
          <t>V-21</t>
        </is>
      </c>
      <c r="B187" s="18" t="inlineStr">
        <is>
          <t>'Inspection' dates on or before the final DB lock are treated as markers, not as the start of period 7.</t>
        </is>
      </c>
      <c r="C187" s="18" t="inlineStr">
        <is>
          <t>Information - listed so the reader can see why an early inspection did not open a period.</t>
        </is>
      </c>
    </row>
    <row r="188">
      <c r="A188" s="17" t="inlineStr">
        <is>
          <t>V-22</t>
        </is>
      </c>
      <c r="B188" s="18" t="inlineStr">
        <is>
          <t>No person carries a capacity_fte below the under-allocation floor.</t>
        </is>
      </c>
      <c r="C188" s="18" t="inlineStr">
        <is>
          <t>Warning - such a person can never clear the floor however fully they are booked, so the flag would be permanent and meaningless.</t>
        </is>
      </c>
    </row>
    <row r="189">
      <c r="A189" s="17" t="inlineStr">
        <is>
          <t>V-17</t>
        </is>
      </c>
      <c r="B189" s="18" t="inlineStr">
        <is>
          <t>On editing an identifier, every referencing row is updated; on deleting a row, nothing may still reference it.</t>
        </is>
      </c>
      <c r="C189" s="18" t="inlineStr">
        <is>
          <t>Cascade after confirmation / deletion refused (REQ-IMP-10).</t>
        </is>
      </c>
    </row>
    <row r="191">
      <c r="A191" s="16" t="inlineStr">
        <is>
          <t>Import never stops at the first problem: it collects every finding and presents one report (REQ-IMP-02). Under REQ-IMP-09 the same rules run again on any value edited on screen.</t>
        </is>
      </c>
    </row>
    <row r="192">
      <c r="A192" s="3" t="inlineStr">
        <is>
          <t>Legend</t>
        </is>
      </c>
    </row>
    <row r="193">
      <c r="A193" s="12" t="inlineStr">
        <is>
          <t>Green = new in v0.2, added from your review answers.</t>
        </is>
      </c>
    </row>
    <row r="194">
      <c r="A194" s="13" t="inlineStr">
        <is>
          <t>Orange = changed in v0.2 as a consequence of your review.</t>
        </is>
      </c>
    </row>
    <row r="195">
      <c r="A195"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2026-09-05T23:33:49Z</dcterms:created>
  <dcterms:modified xmlns:dcterms="http://purl.org/dc/terms/" xmlns:xsi="http://www.w3.org/2001/XMLSchema-instance" xsi:type="dcterms:W3CDTF">2026-09-05T23:33:49Z</dcterms:modified>
</cp:coreProperties>
</file>