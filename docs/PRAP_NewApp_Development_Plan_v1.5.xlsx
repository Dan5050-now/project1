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5a_Sharing" sheetId="7" state="visible" r:id="rId7"/>
    <sheet name="06_Decisions" sheetId="8" state="visible" r:id="rId8"/>
    <sheet name="07_WBS_Schedule" sheetId="9" state="visible" r:id="rId9"/>
    <sheet name="08_Verification" sheetId="10" state="visible" r:id="rId10"/>
    <sheet name="09_Version_Control" sheetId="11" state="visible" r:id="rId11"/>
    <sheet name="10_Risks" sheetId="12" state="visible" r:id="rId12"/>
    <sheet name="11_Open_Questions" sheetId="13" state="visible" r:id="rId13"/>
    <sheet name="12_Review_Log" sheetId="14" state="visible" r:id="rId1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v1.5</t>
        </is>
      </c>
    </row>
    <row r="7" ht="30" customHeight="1">
      <c r="A7" s="3" t="inlineStr">
        <is>
          <t>Status</t>
        </is>
      </c>
      <c r="B7" s="4" t="inlineStr">
        <is>
          <t>Baseline v1.0 + change C-N01. Gates N1-N3 closed; STEP N4 IN PROGRESS - the storage layer and the desktop shell are built and tested, and the application launches.</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six review rounds, all 18 questions answered</t>
        </is>
      </c>
    </row>
    <row r="11" ht="30" customHeight="1">
      <c r="A11" s="3" t="inlineStr">
        <is>
          <t>Baseline</t>
        </is>
      </c>
      <c r="B11" s="4" t="inlineStr">
        <is>
          <t>v1.0, approved by direction 2026-08-13. Gate N1 closed; unchanged by this issue</t>
        </is>
      </c>
    </row>
    <row r="12" ht="30" customHeight="1">
      <c r="A12" s="3" t="inlineStr">
        <is>
          <t>Application name</t>
        </is>
      </c>
      <c r="B12" s="4" t="inlineStr">
        <is>
          <t>'Project Management APP' on screen; PM_APP as the folder and executable name (Q-N11). The documents keep the PRAP_NewApp_ prefix so this line stays findable beside the web application's - say if you would rather they were renamed too.</t>
        </is>
      </c>
    </row>
    <row r="13" ht="30" customHeight="1">
      <c r="A13" s="3" t="inlineStr">
        <is>
          <t>Sharing model</t>
        </is>
      </c>
      <c r="B13"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4" ht="30" customHeight="1">
      <c r="A14" s="3" t="inlineStr">
        <is>
          <t>Fixed constraints</t>
        </is>
      </c>
      <c r="B14"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5" ht="30" customHeight="1">
      <c r="A15" s="3" t="inlineStr">
        <is>
          <t>Under consideration</t>
        </is>
      </c>
      <c r="B15" s="4" t="inlineStr">
        <is>
          <t>The application folder MAY sit on a SHARED NETWORK FOLDER (Q-N12, round 2). Planned for as though it will: several people running one copy is designed for on sheet 05, and it is what makes workspace locking (NR-STO-10) necessary rather than optional.</t>
        </is>
      </c>
    </row>
    <row r="16" ht="30" customHeight="1">
      <c r="A16" s="3" t="inlineStr">
        <is>
          <t>Relationship to the web application</t>
        </is>
      </c>
      <c r="B16" s="4" t="inlineStr">
        <is>
          <t>PARALLEL, NOT SUCCESSOR. The web application and its documents are complete and stay in service. This plan does not supersede, amend or retire any of them.</t>
        </is>
      </c>
    </row>
    <row r="17" ht="30" customHeight="1">
      <c r="A17" s="3" t="inlineStr">
        <is>
          <t>Governs</t>
        </is>
      </c>
      <c r="B17" s="4" t="inlineStr">
        <is>
          <t>A packaged desktop application built on the same calculation engine</t>
        </is>
      </c>
    </row>
    <row r="18" ht="30" customHeight="1">
      <c r="A18" s="3" t="inlineStr">
        <is>
          <t>Does NOT govern</t>
        </is>
      </c>
      <c r="B18" s="4" t="inlineStr">
        <is>
          <t>app/PRAP.html (application v1.24), which remains under PRAP_Development_Plan_v2.26.xlsx</t>
        </is>
      </c>
    </row>
    <row r="19" ht="30" customHeight="1">
      <c r="A19" s="3" t="inlineStr">
        <is>
          <t>Repository</t>
        </is>
      </c>
      <c r="B19" s="4" t="inlineStr">
        <is>
          <t>Dan5050-now/project1</t>
        </is>
      </c>
    </row>
    <row r="20" ht="30" customHeight="1">
      <c r="A20" s="3" t="inlineStr">
        <is>
          <t>Branch</t>
        </is>
      </c>
      <c r="B20" s="4" t="inlineStr">
        <is>
          <t>claude/project-resource-assignment-app-1vjdzh</t>
        </is>
      </c>
    </row>
    <row r="21" ht="30" customHeight="1">
      <c r="A21" s="3" t="inlineStr">
        <is>
          <t>Supersedes</t>
        </is>
      </c>
      <c r="B21" s="4" t="inlineStr">
        <is>
          <t>Nothing. v1.0 remains the baseline; this issue records progress against it</t>
        </is>
      </c>
    </row>
    <row r="23">
      <c r="A23" s="5" t="inlineStr">
        <is>
          <t>Why a second plan rather than a new version of the first</t>
        </is>
      </c>
    </row>
    <row r="24">
      <c r="A24" s="6" t="inlineStr">
        <is>
          <t>The web application is finished, verified and about to be used. Folding a desktop rewrite into its plan would</t>
        </is>
      </c>
    </row>
    <row r="25">
      <c r="A25" s="6" t="inlineStr">
        <is>
          <t>put a completed, approved document back into draft, and would make it impossible to tell which requirements</t>
        </is>
      </c>
    </row>
    <row r="26">
      <c r="A26" s="6" t="inlineStr">
        <is>
          <t>the finished tool actually satisfies. Two plans keep both answers clean:</t>
        </is>
      </c>
    </row>
    <row r="27">
      <c r="A27" s="6" t="inlineStr"/>
    </row>
    <row r="28">
      <c r="A28" s="7" t="inlineStr">
        <is>
          <t xml:space="preserve">    PRAP_Development_Plan_v2.26.xlsx          the web application - CLOSED at Gate 4, going to Gate 5</t>
        </is>
      </c>
    </row>
    <row r="29">
      <c r="A29" s="7" t="inlineStr">
        <is>
          <t xml:space="preserve">    PRAP_NewApp_Development_Plan_v1.5.xlsx      the desktop application - OPEN at Step 1</t>
        </is>
      </c>
    </row>
    <row r="30">
      <c r="A30" s="6" t="inlineStr"/>
    </row>
    <row r="31">
      <c r="A31" s="6" t="inlineStr">
        <is>
          <t>They share one calculation engine and one data contract, and sheet 02 states exactly how that sharing is</t>
        </is>
      </c>
    </row>
    <row r="32">
      <c r="A32" s="6" t="inlineStr">
        <is>
          <t>kept honest. Everything else about them is independent: their own versions, their own gates, their own</t>
        </is>
      </c>
    </row>
    <row r="33">
      <c r="A33" s="6" t="inlineStr">
        <is>
          <t>approvals, their own release cycles.</t>
        </is>
      </c>
    </row>
    <row r="35">
      <c r="A35"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1.5</t>
        </is>
      </c>
      <c r="B5" s="11" t="inlineStr">
        <is>
          <t>2026-08-13</t>
        </is>
      </c>
      <c r="C5" s="11" t="inlineStr">
        <is>
          <t>Claude Code</t>
        </is>
      </c>
      <c r="D5" s="11" t="inlineStr">
        <is>
          <t>-</t>
        </is>
      </c>
      <c r="E5" s="12" t="inlineStr">
        <is>
          <t>STEP N4 IN PROGRESS - a progress record, not a change. Tasks N4.1 to N4.4c are built: the desktop shell (window, menu, native dialogs, window state), the filesystem storage adapter with its atomic write protocol and retained version, the workspace lifecycle, journalling, and the write claim with its heartbeat, expiry and same-user reclaim. Two suites prove them - tools/test_storage.mjs (33 checks in plain Node, including twelve kills mid-write and an eight-process race for one claim) and tools/desktop_smoke.js (23 checks inside a running Electron application). Both found real defects before delivery; sheet 12 records them. N4.4d, N4.4e and N4.5 - the four session states on screen, the identity dialog and the difference report - are next.</t>
        </is>
      </c>
    </row>
    <row r="6">
      <c r="A6" s="13" t="inlineStr">
        <is>
          <t>1.4</t>
        </is>
      </c>
      <c r="B6" s="13" t="inlineStr">
        <is>
          <t>2026-08-13</t>
        </is>
      </c>
      <c r="C6" s="13" t="inlineStr">
        <is>
          <t>Claude Code</t>
        </is>
      </c>
      <c r="D6" s="13" t="inlineStr">
        <is>
          <t>APPROVED</t>
        </is>
      </c>
      <c r="E6" s="14" t="inlineStr">
        <is>
          <t>GATE N3 CLOSED and CHANGE C-N01 APPROVED, both on 2026-08-13. Content is v1.3 unchanged; this issue records the approvals and opens Step N4. The requirement register now stands at 70 and is the contract for the build; the component list v1.0 and specification v1.2 are its companions. Nothing further is asked of the reviewer until Gate N4, when the application is functionally complete.</t>
        </is>
      </c>
    </row>
    <row r="7">
      <c r="A7" s="15" t="inlineStr">
        <is>
          <t>1.3</t>
        </is>
      </c>
      <c r="B7" s="15" t="inlineStr">
        <is>
          <t>2026-08-13</t>
        </is>
      </c>
      <c r="C7" s="15" t="inlineStr">
        <is>
          <t>Claude Code</t>
        </is>
      </c>
      <c r="D7" s="15" t="inlineStr">
        <is>
          <t>Superseded</t>
        </is>
      </c>
      <c r="E7" s="16" t="inlineStr">
        <is>
          <t>GATE N3 REVIEW APPLIED, and it carries ONE CHANGE against the approved baseline rather than progress alone. Change C-N01: exporting is confirmed as a supported way to EDIT a plan - out to Excel or JSON, changed outside the application, and back in - so NR-IMP-08 is added, requiring the round trip to lose nothing. Assumption A-N13 records the scoping the reviewer supplied with it: bulk editing goes to one manager who imports, not to every user importing their own file. A change against an approved baseline needs its own approval; sheet 12 carries it. The other four answers change the specification and the component list, not this document.</t>
        </is>
      </c>
    </row>
    <row r="8">
      <c r="A8" s="13" t="inlineStr">
        <is>
          <t>1.2</t>
        </is>
      </c>
      <c r="B8" s="13" t="inlineStr">
        <is>
          <t>2026-08-13</t>
        </is>
      </c>
      <c r="C8" s="13" t="inlineStr">
        <is>
          <t>Claude Code</t>
        </is>
      </c>
      <c r="D8" s="13" t="inlineStr">
        <is>
          <t>-</t>
        </is>
      </c>
      <c r="E8" s="14" t="inlineStr">
        <is>
          <t>STEP N3 ISSUED FOR REVIEW - a progress record, not a change. N3.1 designed the eight screens the browser has no counterpart for and built them as a clickable prototype rather than describing them, because a table describing a dialog is a poor way to review a dialog. N3.2 produced the divergence register the plan requires at NR-PAR-04: nine differences from the web interface, each with its reason, and a tenth row saying that nothing else differs. PRAP_NewApp_Component_List_v0.1.xlsx carries 20 components, 18 user-visible strings and 5 open points, and awaits Gate N3.</t>
        </is>
      </c>
    </row>
    <row r="9">
      <c r="A9" s="15" t="inlineStr">
        <is>
          <t>1.1</t>
        </is>
      </c>
      <c r="B9" s="15" t="inlineStr">
        <is>
          <t>2026-08-13</t>
        </is>
      </c>
      <c r="C9" s="15" t="inlineStr">
        <is>
          <t>Claude Code</t>
        </is>
      </c>
      <c r="D9" s="15" t="inlineStr">
        <is>
          <t>-</t>
        </is>
      </c>
      <c r="E9" s="16" t="inlineStr">
        <is>
          <t>STEP N2 COMPLETE - a progress record, not a change. v1.0 remains the approved baseline and no requirement, decision, risk or assumption is altered. N2.1 split the source into core / ui / storage / shell with tools/build_app.py reassembling it; N2.2 proved the split inert - the rebuilt app/PRAP.html is BYTE-IDENTICAL to the file the thirteen suites verified, and all thirteen pass against it unmodified. N2.3 to N2.8 produced PRAP_NewApp_Specification_v1.0.xlsx, approved at Gate N2 with all seven of its open points agreed. Sheet 07 carries the statuses; sheet 04 and sheet 08 record what the refactor turned out to cost, which was less than this plan assumed: storage/ in the web shell is two functions and 63 lines.</t>
        </is>
      </c>
    </row>
    <row r="10">
      <c r="A10" s="13" t="inlineStr">
        <is>
          <t>1.0</t>
        </is>
      </c>
      <c r="B10" s="13" t="inlineStr">
        <is>
          <t>2026-08-13</t>
        </is>
      </c>
      <c r="C10" s="13" t="inlineStr">
        <is>
          <t>Claude Code</t>
        </is>
      </c>
      <c r="D10" s="13" t="inlineStr">
        <is>
          <t>APPROVED</t>
        </is>
      </c>
      <c r="E10" s="14" t="inlineStr">
        <is>
          <t>BASELINE. Gate N1 closed by direction on 2026-08-13 - 'go to next step' - with no change to the content of v0.7. Decisions N-01..N-32 are confirmed by the approval itself rather than by a seventh review round, exactly as decisions C-06..C-11 of the web application plan were at its Gate 1. Two items were outstanding at v0.7 and are resolved the same way: the reading taken of the Q-N04 answer is ADOPTED, and the documents KEEP the PRAP_NewApp_ prefix so this line stays beside the web application's. Both remain correctable - say so and they change under a v1.1. The 69 requirements on sheet 03 are now the contract for Steps N2-N5.</t>
        </is>
      </c>
    </row>
    <row r="11">
      <c r="A11" s="15" t="inlineStr">
        <is>
          <t>0.7</t>
        </is>
      </c>
      <c r="B11" s="15" t="inlineStr">
        <is>
          <t>2026-08-13</t>
        </is>
      </c>
      <c r="C11" s="15" t="inlineStr">
        <is>
          <t>Claude Code</t>
        </is>
      </c>
      <c r="D11" s="15" t="inlineStr">
        <is>
          <t>Superseded</t>
        </is>
      </c>
      <c r="E11" s="16" t="inlineStr">
        <is>
          <t>REVIEW ROUND 6 APPLIED, from PRAP_NewApp_Development_Plan_v0.6_reviewed.xlsx. Every one of the 18 questions is now answered. Q-N02: the approach is ASSUMED workable rather than confirmed with IT - recorded honestly at A-N09 and R-N01, which stay open and are proven only at N5.7. Q-N03: not an answer but a request for a plainer question; sheet 10 gains a plain-language explanation of what code signing is, what it would cost and who would buy it, and the question is re-asked in those terms. Q-N05 confirms the difference report. Q-N07 cuts retained versions from ten to ONE. Q-N09 confirms no validation obligation, which settles R-N16. Q-N10 adds a read-only look at a source workbook. Q-N11 names the application. Q-N14 and Q-N15: both distribution modes, on a WRITABLE share - so per-user data folders can live on the share itself. Q-N04's answer is about file encryption rather than location; the reading taken is recorded at NR-IMP-06 and R-N18 and needs your confirmation. NR-APP-08, NR-IMP-05..07, NR-DEP-14 added; NR-STO-06 changed. Decisions N-29..N-32. Risks R-N18 and R-N19 added; R-N01, R-N09 and R-N16 re-rated.</t>
        </is>
      </c>
    </row>
    <row r="12">
      <c r="A12" s="13" t="inlineStr">
        <is>
          <t>0.6</t>
        </is>
      </c>
      <c r="B12" s="13" t="inlineStr">
        <is>
          <t>2026-08-13</t>
        </is>
      </c>
      <c r="C12" s="13" t="inlineStr">
        <is>
          <t>Claude Code</t>
        </is>
      </c>
      <c r="D12" s="13" t="inlineStr">
        <is>
          <t>Superseded</t>
        </is>
      </c>
      <c r="E12" s="14"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13">
      <c r="A13" s="15" t="inlineStr">
        <is>
          <t>0.5</t>
        </is>
      </c>
      <c r="B13" s="15" t="inlineStr">
        <is>
          <t>2026-08-13</t>
        </is>
      </c>
      <c r="C13" s="15" t="inlineStr">
        <is>
          <t>Claude Code</t>
        </is>
      </c>
      <c r="D13" s="15" t="inlineStr">
        <is>
          <t>Superseded</t>
        </is>
      </c>
      <c r="E13" s="16"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14">
      <c r="A14" s="13" t="inlineStr">
        <is>
          <t>0.4</t>
        </is>
      </c>
      <c r="B14" s="13" t="inlineStr">
        <is>
          <t>2026-08-13</t>
        </is>
      </c>
      <c r="C14" s="13" t="inlineStr">
        <is>
          <t>Claude Code</t>
        </is>
      </c>
      <c r="D14" s="13" t="inlineStr">
        <is>
          <t>Superseded</t>
        </is>
      </c>
      <c r="E14" s="14"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15">
      <c r="A15" s="15" t="inlineStr">
        <is>
          <t>0.3</t>
        </is>
      </c>
      <c r="B15" s="15" t="inlineStr">
        <is>
          <t>2026-08-13</t>
        </is>
      </c>
      <c r="C15" s="15" t="inlineStr">
        <is>
          <t>Claude Code</t>
        </is>
      </c>
      <c r="D15" s="15" t="inlineStr">
        <is>
          <t>Superseded</t>
        </is>
      </c>
      <c r="E15" s="16"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16">
      <c r="A16" s="13" t="inlineStr">
        <is>
          <t>0.2</t>
        </is>
      </c>
      <c r="B16" s="13" t="inlineStr">
        <is>
          <t>2026-08-13</t>
        </is>
      </c>
      <c r="C16" s="13" t="inlineStr">
        <is>
          <t>Claude Code</t>
        </is>
      </c>
      <c r="D16" s="13" t="inlineStr">
        <is>
          <t>Superseded</t>
        </is>
      </c>
      <c r="E16" s="14"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17">
      <c r="A17" s="15" t="inlineStr">
        <is>
          <t>0.1</t>
        </is>
      </c>
      <c r="B17" s="15" t="inlineStr">
        <is>
          <t>2026-08-13</t>
        </is>
      </c>
      <c r="C17" s="15" t="inlineStr">
        <is>
          <t>Claude Code</t>
        </is>
      </c>
      <c r="D17" s="15" t="inlineStr">
        <is>
          <t>Superseded</t>
        </is>
      </c>
      <c r="E17" s="16"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19">
      <c r="A19" s="5" t="inlineStr">
        <is>
          <t>Numbering rules for this document line</t>
        </is>
      </c>
    </row>
    <row r="20" ht="28" customHeight="1">
      <c r="A20" s="10" t="inlineStr">
        <is>
          <t>Version</t>
        </is>
      </c>
      <c r="B20" s="10" t="inlineStr">
        <is>
          <t>Meaning</t>
        </is>
      </c>
    </row>
    <row r="21">
      <c r="A21" s="15" t="inlineStr">
        <is>
          <t>v0.x</t>
        </is>
      </c>
      <c r="B21" s="16" t="inlineStr">
        <is>
          <t>Draft issues during Step 1 review rounds.</t>
        </is>
      </c>
    </row>
    <row r="22">
      <c r="A22" s="13" t="inlineStr">
        <is>
          <t>v1.0</t>
        </is>
      </c>
      <c r="B22" s="14" t="inlineStr">
        <is>
          <t>The approved baseline, set at Gate N1.</t>
        </is>
      </c>
    </row>
    <row r="23">
      <c r="A23" s="15" t="inlineStr">
        <is>
          <t>v1.x</t>
        </is>
      </c>
      <c r="B23" s="16" t="inlineStr">
        <is>
          <t>Approved changes against that baseline, each separately approved.</t>
        </is>
      </c>
    </row>
    <row r="24">
      <c r="A24" s="13" t="inlineStr">
        <is>
          <t>v2.0</t>
        </is>
      </c>
      <c r="B24" s="14" t="inlineStr">
        <is>
          <t>Reserved for a structural change, on the same rule the web plan used.</t>
        </is>
      </c>
    </row>
    <row r="26">
      <c r="A26" s="8" t="inlineStr">
        <is>
          <t>Gate prefixes are N1..N5 throughout this document, so a reference such as 'G4' can never be confused between the two plans.</t>
        </is>
      </c>
    </row>
    <row r="27">
      <c r="A27" s="3" t="inlineStr">
        <is>
          <t>Legend</t>
        </is>
      </c>
    </row>
    <row r="28">
      <c r="A28" s="17" t="inlineStr">
        <is>
          <t>Green = new to the desktop application; nothing in the web application corresponds to it.</t>
        </is>
      </c>
    </row>
    <row r="29">
      <c r="A29" s="18" t="inlineStr">
        <is>
          <t>Orange = inherited from the web application but deliberately changed here.</t>
        </is>
      </c>
    </row>
    <row r="30">
      <c r="A30"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20" t="inlineStr">
        <is>
          <t>Form</t>
        </is>
      </c>
      <c r="B12" s="21" t="inlineStr">
        <is>
          <t>One HTML file, opened in a browser</t>
        </is>
      </c>
      <c r="C12" s="21" t="inlineStr">
        <is>
          <t>Program with its own window and icon, run from a copied folder - NOT installed</t>
        </is>
      </c>
      <c r="D12" s="20" t="inlineStr">
        <is>
          <t>NR-APP-01, NR-DEP-05</t>
        </is>
      </c>
    </row>
    <row r="13">
      <c r="A13" s="20" t="inlineStr">
        <is>
          <t>Platform</t>
        </is>
      </c>
      <c r="B13" s="21" t="inlineStr">
        <is>
          <t>Any browser on any OS</t>
        </is>
      </c>
      <c r="C13" s="21" t="inlineStr">
        <is>
          <t>Windows 10 / 11 only</t>
        </is>
      </c>
      <c r="D13" s="20" t="inlineStr">
        <is>
          <t>NR-DEP-01</t>
        </is>
      </c>
    </row>
    <row r="14">
      <c r="A14" s="20" t="inlineStr">
        <is>
          <t>Data after closing</t>
        </is>
      </c>
      <c r="B14" s="21" t="inlineStr">
        <is>
          <t>Lost - the file must be re-imported each session</t>
        </is>
      </c>
      <c r="C14" s="21" t="inlineStr">
        <is>
          <t>KEPT - the workspace reopens as it was left</t>
        </is>
      </c>
      <c r="D14" s="20" t="inlineStr">
        <is>
          <t>NR-STO-01</t>
        </is>
      </c>
    </row>
    <row r="15">
      <c r="A15" s="20" t="inlineStr">
        <is>
          <t>Source of truth</t>
        </is>
      </c>
      <c r="B15" s="21" t="inlineStr">
        <is>
          <t>The Excel workbook outside the application</t>
        </is>
      </c>
      <c r="C15" s="21" t="inlineStr">
        <is>
          <t>The workspace file the application owns; Excel becomes exchange</t>
        </is>
      </c>
      <c r="D15" s="20"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3" t="inlineStr">
        <is>
          <t>Data contract</t>
        </is>
      </c>
      <c r="B17" s="14" t="inlineStr">
        <is>
          <t>Schema version 5, ten sheets</t>
        </is>
      </c>
      <c r="C17" s="14" t="inlineStr">
        <is>
          <t>Identical, unchanged</t>
        </is>
      </c>
      <c r="D17" s="13"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20" t="inlineStr">
        <is>
          <t>Distribution</t>
        </is>
      </c>
      <c r="B19" s="21" t="inlineStr">
        <is>
          <t>Copy one file</t>
        </is>
      </c>
      <c r="C19" s="21" t="inlineStr">
        <is>
          <t>Copy one folder. No installer, no administrator rights, no registry. Size unconstrained</t>
        </is>
      </c>
      <c r="D19" s="20"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3" t="inlineStr">
        <is>
          <t>Network use</t>
        </is>
      </c>
      <c r="B21" s="14" t="inlineStr">
        <is>
          <t>None</t>
        </is>
      </c>
      <c r="C21" s="14" t="inlineStr">
        <is>
          <t>None</t>
        </is>
      </c>
      <c r="D21" s="13"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4"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4"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4"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4"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4"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4"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4" t="inlineStr">
        <is>
          <t>Multi-user or concurrent editing of one workspace.</t>
        </is>
      </c>
      <c r="B49" s="14"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4" t="inlineStr">
        <is>
          <t>macOS and Linux builds.</t>
        </is>
      </c>
      <c r="B51" s="14"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4" t="inlineStr">
        <is>
          <t>Automatic update over the network.</t>
        </is>
      </c>
      <c r="B53" s="14"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3"/>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20" t="inlineStr">
        <is>
          <t>NR-APP-01</t>
        </is>
      </c>
      <c r="B11" s="20" t="inlineStr">
        <is>
          <t>Application form</t>
        </is>
      </c>
      <c r="C11" s="21" t="inlineStr">
        <is>
          <t>The application is a desktop program with its own window, icon and menu bar. No browser is visible to the user at any point.</t>
        </is>
      </c>
      <c r="D11" s="20" t="inlineStr">
        <is>
          <t>Must</t>
        </is>
      </c>
      <c r="E11" s="21" t="inlineStr">
        <is>
          <t>Your instruction</t>
        </is>
      </c>
      <c r="F11" s="20"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20" t="inlineStr">
        <is>
          <t>NR-APP-06</t>
        </is>
      </c>
      <c r="B16" s="20" t="inlineStr">
        <is>
          <t>Application form</t>
        </is>
      </c>
      <c r="C16" s="21" t="inlineStr">
        <is>
          <t>A recent-workspaces list of at least ten entries is available from the menu. It is stored in the application's own data folder, not in the registry or in the user profile.</t>
        </is>
      </c>
      <c r="D16" s="20" t="inlineStr">
        <is>
          <t>Should</t>
        </is>
      </c>
      <c r="E16" s="21" t="inlineStr">
        <is>
          <t>Desktop convention + NR-DEP-06</t>
        </is>
      </c>
      <c r="F16" s="20"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NR-APP-08</t>
        </is>
      </c>
      <c r="B18" s="11" t="inlineStr">
        <is>
          <t>Application form</t>
        </is>
      </c>
      <c r="C18" s="12" t="inlineStr">
        <is>
          <t>The application is called 'Project Management APP' on screen. Its folder and executable are named PM_APP, so the name survives being copied, shortened or pinned.</t>
        </is>
      </c>
      <c r="D18" s="11" t="inlineStr">
        <is>
          <t>Must</t>
        </is>
      </c>
      <c r="E18" s="12" t="inlineStr">
        <is>
          <t>Q-N11</t>
        </is>
      </c>
      <c r="F18" s="11" t="inlineStr">
        <is>
          <t>N4</t>
        </is>
      </c>
    </row>
    <row r="19">
      <c r="A19" s="11" t="inlineStr">
        <is>
          <t>NR-STO-01</t>
        </is>
      </c>
      <c r="B19" s="11" t="inlineStr">
        <is>
          <t>Storage</t>
        </is>
      </c>
      <c r="C19" s="12" t="inlineStr">
        <is>
          <t>Imported and hand-entered data survives closing the application. Reopening shows the same plan, with the same figures, without re-importing anything.</t>
        </is>
      </c>
      <c r="D19" s="11" t="inlineStr">
        <is>
          <t>Must</t>
        </is>
      </c>
      <c r="E19" s="12" t="inlineStr">
        <is>
          <t>Your instruction</t>
        </is>
      </c>
      <c r="F19" s="11" t="inlineStr">
        <is>
          <t>N4</t>
        </is>
      </c>
    </row>
    <row r="20">
      <c r="A20" s="11" t="inlineStr">
        <is>
          <t>NR-STO-02</t>
        </is>
      </c>
      <c r="B20" s="11" t="inlineStr">
        <is>
          <t>Storage</t>
        </is>
      </c>
      <c r="C20" s="12" t="inlineStr">
        <is>
          <t>The application owns a workspace file on disk. That file, not the source Excel workbook, is the working store from the moment data is imported into it.</t>
        </is>
      </c>
      <c r="D20" s="11" t="inlineStr">
        <is>
          <t>Must</t>
        </is>
      </c>
      <c r="E20" s="12" t="inlineStr">
        <is>
          <t>Derived from NR-STO-01</t>
        </is>
      </c>
      <c r="F20" s="11" t="inlineStr">
        <is>
          <t>N4</t>
        </is>
      </c>
    </row>
    <row r="21">
      <c r="A21" s="11" t="inlineStr">
        <is>
          <t>NR-STO-03</t>
        </is>
      </c>
      <c r="B21" s="11" t="inlineStr">
        <is>
          <t>Storage</t>
        </is>
      </c>
      <c r="C21" s="12" t="inlineStr">
        <is>
          <t>The workspace file is prap-source-data JSON - the same format the AI agent guide already documents - so a workspace can be read, written or generated by an AI agent with no new contract.</t>
        </is>
      </c>
      <c r="D21" s="11" t="inlineStr">
        <is>
          <t>Must</t>
        </is>
      </c>
      <c r="E21" s="12" t="inlineStr">
        <is>
          <t>Interoperability</t>
        </is>
      </c>
      <c r="F21" s="11" t="inlineStr">
        <is>
          <t>N4</t>
        </is>
      </c>
    </row>
    <row r="22">
      <c r="A22" s="11" t="inlineStr">
        <is>
          <t>NR-STO-04</t>
        </is>
      </c>
      <c r="B22" s="11" t="inlineStr">
        <is>
          <t>Storage</t>
        </is>
      </c>
      <c r="C22" s="12" t="inlineStr">
        <is>
          <t>A committed Save is written to disk before the application reports it as saved. A save that did not reach the disk is never reported as done.</t>
        </is>
      </c>
      <c r="D22" s="11" t="inlineStr">
        <is>
          <t>Must</t>
        </is>
      </c>
      <c r="E22" s="12" t="inlineStr">
        <is>
          <t>Data safety</t>
        </is>
      </c>
      <c r="F22" s="11" t="inlineStr">
        <is>
          <t>N4</t>
        </is>
      </c>
    </row>
    <row r="23">
      <c r="A23" s="11" t="inlineStr">
        <is>
          <t>NR-STO-05</t>
        </is>
      </c>
      <c r="B23" s="11" t="inlineStr">
        <is>
          <t>Storage</t>
        </is>
      </c>
      <c r="C23" s="12" t="inlineStr">
        <is>
          <t>Workspace writes are atomic: an interrupted write can never leave a workspace file that is neither the old contents nor the new.</t>
        </is>
      </c>
      <c r="D23" s="11" t="inlineStr">
        <is>
          <t>Must</t>
        </is>
      </c>
      <c r="E23" s="12" t="inlineStr">
        <is>
          <t>Data safety</t>
        </is>
      </c>
      <c r="F23" s="11" t="inlineStr">
        <is>
          <t>N4</t>
        </is>
      </c>
    </row>
    <row r="24">
      <c r="A24" s="20" t="inlineStr">
        <is>
          <t>NR-STO-06</t>
        </is>
      </c>
      <c r="B24" s="20" t="inlineStr">
        <is>
          <t>Storage</t>
        </is>
      </c>
      <c r="C24" s="21" t="inlineStr">
        <is>
          <t>The previous committed version of a workspace is retained and can be restored from within the application. The number retained is a setting; its default is ONE, so a workspace directory holds the current file and the one before it.</t>
        </is>
      </c>
      <c r="D24" s="20" t="inlineStr">
        <is>
          <t>Should</t>
        </is>
      </c>
      <c r="E24" s="21" t="inlineStr">
        <is>
          <t>Q-N07</t>
        </is>
      </c>
      <c r="F24" s="20" t="inlineStr">
        <is>
          <t>N4</t>
        </is>
      </c>
    </row>
    <row r="25">
      <c r="A25" s="11" t="inlineStr">
        <is>
          <t>NR-STO-07</t>
        </is>
      </c>
      <c r="B25" s="11" t="inlineStr">
        <is>
          <t>Storage</t>
        </is>
      </c>
      <c r="C25" s="12" t="inlineStr">
        <is>
          <t>Edits pending at the moment of a crash or power loss are recovered on the next launch, and the user is asked whether to keep or discard them.</t>
        </is>
      </c>
      <c r="D25" s="11" t="inlineStr">
        <is>
          <t>Should</t>
        </is>
      </c>
      <c r="E25" s="12" t="inlineStr">
        <is>
          <t>Data safety</t>
        </is>
      </c>
      <c r="F25" s="11" t="inlineStr">
        <is>
          <t>N4</t>
        </is>
      </c>
    </row>
    <row r="26">
      <c r="A26" s="11" t="inlineStr">
        <is>
          <t>NR-STO-08</t>
        </is>
      </c>
      <c r="B26" s="11" t="inlineStr">
        <is>
          <t>Storage</t>
        </is>
      </c>
      <c r="C26" s="12" t="inlineStr">
        <is>
          <t>Several workspaces may exist. The user chooses which to open, and may create a new empty one at any time.</t>
        </is>
      </c>
      <c r="D26" s="11" t="inlineStr">
        <is>
          <t>Must</t>
        </is>
      </c>
      <c r="E26" s="12" t="inlineStr">
        <is>
          <t>Scenario planning</t>
        </is>
      </c>
      <c r="F26" s="11" t="inlineStr">
        <is>
          <t>N4</t>
        </is>
      </c>
    </row>
    <row r="27">
      <c r="A27" s="11" t="inlineStr">
        <is>
          <t>NR-STO-09</t>
        </is>
      </c>
      <c r="B27" s="11" t="inlineStr">
        <is>
          <t>Storage</t>
        </is>
      </c>
      <c r="C27" s="12" t="inlineStr">
        <is>
          <t>A workspace records which source file it was imported from, when, and by which application version.</t>
        </is>
      </c>
      <c r="D27" s="11" t="inlineStr">
        <is>
          <t>Should</t>
        </is>
      </c>
      <c r="E27" s="12" t="inlineStr">
        <is>
          <t>Traceability</t>
        </is>
      </c>
      <c r="F27" s="11" t="inlineStr">
        <is>
          <t>N4</t>
        </is>
      </c>
    </row>
    <row r="28">
      <c r="A28" s="20" t="inlineStr">
        <is>
          <t>NR-STO-10</t>
        </is>
      </c>
      <c r="B28" s="20" t="inlineStr">
        <is>
          <t>Storage</t>
        </is>
      </c>
      <c r="C28" s="21" t="inlineStr">
        <is>
          <t>While one session is editing a workspace, no other session may update it. The claim is made when the FIRST EDIT is attempted - not when the workspace is opened - so that reading is never blocked.</t>
        </is>
      </c>
      <c r="D28" s="20" t="inlineStr">
        <is>
          <t>Must</t>
        </is>
      </c>
      <c r="E28" s="21" t="inlineStr">
        <is>
          <t>Your instruction, round 3</t>
        </is>
      </c>
      <c r="F28" s="20" t="inlineStr">
        <is>
          <t>N4</t>
        </is>
      </c>
    </row>
    <row r="29">
      <c r="A29" s="20" t="inlineStr">
        <is>
          <t>NR-STO-11</t>
        </is>
      </c>
      <c r="B29" s="20" t="inlineStr">
        <is>
          <t>Storage</t>
        </is>
      </c>
      <c r="C29" s="21" t="inlineStr">
        <is>
          <t>Reading is a full working mode, not a refusal: every figure, table, graph, filter and export is available to a session that does not hold the claim. Only writing to that workspace is withheld.</t>
        </is>
      </c>
      <c r="D29" s="20" t="inlineStr">
        <is>
          <t>Must</t>
        </is>
      </c>
      <c r="E29" s="21" t="inlineStr">
        <is>
          <t>Consequence of NR-STO-10</t>
        </is>
      </c>
      <c r="F29" s="20" t="inlineStr">
        <is>
          <t>N4</t>
        </is>
      </c>
    </row>
    <row r="30">
      <c r="A30" s="20" t="inlineStr">
        <is>
          <t>NR-STO-12</t>
        </is>
      </c>
      <c r="B30" s="20" t="inlineStr">
        <is>
          <t>Storage</t>
        </is>
      </c>
      <c r="C30" s="21" t="inlineStr">
        <is>
          <t>A session refused the claim is shown a message naming who holds it, how to reach them, since when, whether their session is still responding, and when the plan becomes free - never merely that the file is locked.</t>
        </is>
      </c>
      <c r="D30" s="20" t="inlineStr">
        <is>
          <t>Must</t>
        </is>
      </c>
      <c r="E30" s="21" t="inlineStr">
        <is>
          <t>Q-N17</t>
        </is>
      </c>
      <c r="F30" s="20" t="inlineStr">
        <is>
          <t>N4</t>
        </is>
      </c>
    </row>
    <row r="31">
      <c r="A31" s="11" t="inlineStr">
        <is>
          <t>NR-STO-13</t>
        </is>
      </c>
      <c r="B31" s="11" t="inlineStr">
        <is>
          <t>Storage</t>
        </is>
      </c>
      <c r="C31" s="12" t="inlineStr">
        <is>
          <t>The claim is made by an operation that cannot be won by two sessions at once, even when they attempt it in the same instant and even across a network share.</t>
        </is>
      </c>
      <c r="D31" s="11" t="inlineStr">
        <is>
          <t>Must</t>
        </is>
      </c>
      <c r="E31" s="12" t="inlineStr">
        <is>
          <t>Correctness</t>
        </is>
      </c>
      <c r="F31" s="11" t="inlineStr">
        <is>
          <t>N4</t>
        </is>
      </c>
    </row>
    <row r="32">
      <c r="A32" s="20" t="inlineStr">
        <is>
          <t>NR-STO-14</t>
        </is>
      </c>
      <c r="B32" s="20" t="inlineStr">
        <is>
          <t>Storage</t>
        </is>
      </c>
      <c r="C32" s="21" t="inlineStr">
        <is>
          <t>A holding session refreshes its claim every 30 seconds while it lives, so the application always knows whether the holder is alive. A claim that has stopped being refreshed expires after 30 MINUTES, after which anybody may take it over.</t>
        </is>
      </c>
      <c r="D32" s="20" t="inlineStr">
        <is>
          <t>Must</t>
        </is>
      </c>
      <c r="E32" s="21" t="inlineStr">
        <is>
          <t>Q-N16</t>
        </is>
      </c>
      <c r="F32" s="20" t="inlineStr">
        <is>
          <t>N4</t>
        </is>
      </c>
    </row>
    <row r="33">
      <c r="A33" s="11" t="inlineStr">
        <is>
          <t>NR-STO-19</t>
        </is>
      </c>
      <c r="B33" s="11" t="inlineStr">
        <is>
          <t>Storage</t>
        </is>
      </c>
      <c r="C33" s="12" t="inlineStr">
        <is>
          <t>A user may reclaim a stalled claim held by their OWN name on their OWN machine immediately, without waiting out the expiry. Being locked out of your own plan because your application crashed is not a rule worth enforcing.</t>
        </is>
      </c>
      <c r="D33" s="11" t="inlineStr">
        <is>
          <t>Must</t>
        </is>
      </c>
      <c r="E33" s="12" t="inlineStr">
        <is>
          <t>Consequence of the 30-minute expiry</t>
        </is>
      </c>
      <c r="F33" s="11" t="inlineStr">
        <is>
          <t>N4</t>
        </is>
      </c>
    </row>
    <row r="34">
      <c r="A34" s="11" t="inlineStr">
        <is>
          <t>NR-STO-15</t>
        </is>
      </c>
      <c r="B34" s="11" t="inlineStr">
        <is>
          <t>Storage</t>
        </is>
      </c>
      <c r="C34" s="12" t="inlineStr">
        <is>
          <t>The claim ends when the holder saves and closes, discards their edits, or closes the application - and a session waiting to edit is offered it without having to reopen the workspace.</t>
        </is>
      </c>
      <c r="D34" s="11" t="inlineStr">
        <is>
          <t>Must</t>
        </is>
      </c>
      <c r="E34" s="12" t="inlineStr">
        <is>
          <t>Usability</t>
        </is>
      </c>
      <c r="F34" s="11" t="inlineStr">
        <is>
          <t>N4</t>
        </is>
      </c>
    </row>
    <row r="35">
      <c r="A35" s="11" t="inlineStr">
        <is>
          <t>NR-STO-16</t>
        </is>
      </c>
      <c r="B35" s="11" t="inlineStr">
        <is>
          <t>Storage</t>
        </is>
      </c>
      <c r="C35" s="12" t="inlineStr">
        <is>
          <t>A reading session notices when the workspace has changed on disk beneath it, says so, and offers to reload. It never presents figures it knows to be superseded as though they were current.</t>
        </is>
      </c>
      <c r="D35" s="11" t="inlineStr">
        <is>
          <t>Must</t>
        </is>
      </c>
      <c r="E35" s="12" t="inlineStr">
        <is>
          <t>Consequence of many readers</t>
        </is>
      </c>
      <c r="F35" s="11" t="inlineStr">
        <is>
          <t>N4</t>
        </is>
      </c>
    </row>
    <row r="36">
      <c r="A36" s="11" t="inlineStr">
        <is>
          <t>NR-STO-17</t>
        </is>
      </c>
      <c r="B36" s="11" t="inlineStr">
        <is>
          <t>Storage</t>
        </is>
      </c>
      <c r="C36" s="12" t="inlineStr">
        <is>
          <t>A session that cannot claim the workspace may still Save As a copy of its own, and may still export. Being unable to edit a shared plan never means being unable to work.</t>
        </is>
      </c>
      <c r="D36" s="11" t="inlineStr">
        <is>
          <t>Must</t>
        </is>
      </c>
      <c r="E36" s="12" t="inlineStr">
        <is>
          <t>Usability</t>
        </is>
      </c>
      <c r="F36" s="11" t="inlineStr">
        <is>
          <t>N4</t>
        </is>
      </c>
    </row>
    <row r="37">
      <c r="A37" s="11" t="inlineStr">
        <is>
          <t>NR-STO-18</t>
        </is>
      </c>
      <c r="B37" s="11" t="inlineStr">
        <is>
          <t>Storage</t>
        </is>
      </c>
      <c r="C37" s="12" t="inlineStr">
        <is>
          <t>Importing into a workspace is an edit and takes the claim like any other. It is the largest change the application can make, so it cannot be the one that bypasses the rule.</t>
        </is>
      </c>
      <c r="D37" s="11" t="inlineStr">
        <is>
          <t>Must</t>
        </is>
      </c>
      <c r="E37" s="12" t="inlineStr">
        <is>
          <t>Correctness</t>
        </is>
      </c>
      <c r="F37" s="11" t="inlineStr">
        <is>
          <t>N4</t>
        </is>
      </c>
    </row>
    <row r="38">
      <c r="A38" s="20" t="inlineStr">
        <is>
          <t>NR-IMP-01</t>
        </is>
      </c>
      <c r="B38" s="20" t="inlineStr">
        <is>
          <t>Import / export</t>
        </is>
      </c>
      <c r="C38" s="21" t="inlineStr">
        <is>
          <t>Import reads the Excel source workbook and prap-source-data JSON exactly as the web application does, using the same reader and reporting the same findings.</t>
        </is>
      </c>
      <c r="D38" s="20" t="inlineStr">
        <is>
          <t>Must</t>
        </is>
      </c>
      <c r="E38" s="21" t="inlineStr">
        <is>
          <t>Replaces nothing - REQ-IMP-01 inherited</t>
        </is>
      </c>
      <c r="F38" s="20" t="inlineStr">
        <is>
          <t>N4</t>
        </is>
      </c>
    </row>
    <row r="39">
      <c r="A39" s="20" t="inlineStr">
        <is>
          <t>NR-IMP-02</t>
        </is>
      </c>
      <c r="B39" s="20" t="inlineStr">
        <is>
          <t>Import / export</t>
        </is>
      </c>
      <c r="C39" s="21" t="inlineStr">
        <is>
          <t>Importing into a workspace that already holds data first asks whether the existing data is to be updated at all. If it is, a DIFFERENCE REPORT is presented - what the file would add, change and remove, sheet by sheet - and the user decides per sheet whether to accept it. Nothing is overwritten silently, and nothing is overwritten unasked.</t>
        </is>
      </c>
      <c r="D39" s="20" t="inlineStr">
        <is>
          <t>Must</t>
        </is>
      </c>
      <c r="E39" s="21" t="inlineStr">
        <is>
          <t>Q-N05</t>
        </is>
      </c>
      <c r="F39" s="20" t="inlineStr">
        <is>
          <t>N4</t>
        </is>
      </c>
    </row>
    <row r="40">
      <c r="A40" s="20" t="inlineStr">
        <is>
          <t>NR-IMP-03</t>
        </is>
      </c>
      <c r="B40" s="20" t="inlineStr">
        <is>
          <t>Import / export</t>
        </is>
      </c>
      <c r="C40" s="21" t="inlineStr">
        <is>
          <t>Export to Excel and to JSON produces byte-for-byte the same content the web application would produce from the same data.</t>
        </is>
      </c>
      <c r="D40" s="20" t="inlineStr">
        <is>
          <t>Must</t>
        </is>
      </c>
      <c r="E40" s="21" t="inlineStr">
        <is>
          <t>Parity</t>
        </is>
      </c>
      <c r="F40" s="20" t="inlineStr">
        <is>
          <t>N4</t>
        </is>
      </c>
    </row>
    <row r="41">
      <c r="A41" s="11" t="inlineStr">
        <is>
          <t>NR-IMP-05</t>
        </is>
      </c>
      <c r="B41" s="11" t="inlineStr">
        <is>
          <t>Import / export</t>
        </is>
      </c>
      <c r="C41" s="12" t="inlineStr">
        <is>
          <t>A source workbook can be opened for a look without creating a workspace: every table and graph, nothing saved, nothing left behind. The quick question - 'what does this file say?' - does not require committing to a plan first.</t>
        </is>
      </c>
      <c r="D41" s="11" t="inlineStr">
        <is>
          <t>Must</t>
        </is>
      </c>
      <c r="E41" s="12" t="inlineStr">
        <is>
          <t>Q-N10</t>
        </is>
      </c>
      <c r="F41" s="11" t="inlineStr">
        <is>
          <t>N4</t>
        </is>
      </c>
    </row>
    <row r="42">
      <c r="A42" s="11" t="inlineStr">
        <is>
          <t>NR-IMP-06</t>
        </is>
      </c>
      <c r="B42" s="11" t="inlineStr">
        <is>
          <t>Import / export</t>
        </is>
      </c>
      <c r="C42" s="12" t="inlineStr">
        <is>
          <t>A file the application cannot read because it is encrypted or protected says so, names that as the likely cause, and says what to do about it. It never reports a protected file as corrupt, and never fails silently.</t>
        </is>
      </c>
      <c r="D42" s="11" t="inlineStr">
        <is>
          <t>Must</t>
        </is>
      </c>
      <c r="E42" s="12" t="inlineStr">
        <is>
          <t>Q-N04 - see R-N18</t>
        </is>
      </c>
      <c r="F42" s="11" t="inlineStr">
        <is>
          <t>N4</t>
        </is>
      </c>
    </row>
    <row r="43">
      <c r="A43" s="11" t="inlineStr">
        <is>
          <t>NR-IMP-07</t>
        </is>
      </c>
      <c r="B43" s="11" t="inlineStr">
        <is>
          <t>Import / export</t>
        </is>
      </c>
      <c r="C43" s="12" t="inlineStr">
        <is>
          <t>Nothing the application writes is encrypted by the application itself. Where files must be protected, that is done by whatever the company already uses, on the folder - so the application never becomes the only thing that can open the user's own data.</t>
        </is>
      </c>
      <c r="D43" s="11" t="inlineStr">
        <is>
          <t>Must</t>
        </is>
      </c>
      <c r="E43" s="12" t="inlineStr">
        <is>
          <t>Q-N04 - see R-N18</t>
        </is>
      </c>
      <c r="F43" s="11" t="inlineStr">
        <is>
          <t>N2</t>
        </is>
      </c>
    </row>
    <row r="44">
      <c r="A44" s="11" t="inlineStr">
        <is>
          <t>NR-IMP-08</t>
        </is>
      </c>
      <c r="B44" s="11" t="inlineStr">
        <is>
          <t>Import / export</t>
        </is>
      </c>
      <c r="C44" s="12" t="inlineStr">
        <is>
          <t>Export is a supported way to EDIT a plan, not only to read one. The exported file - in either format - can be changed outside the application and imported back with no loss: every row, column and value that went out comes back, and anything the application derives is recomputed rather than trusted.</t>
        </is>
      </c>
      <c r="D44" s="11" t="inlineStr">
        <is>
          <t>Must</t>
        </is>
      </c>
      <c r="E44" s="12" t="inlineStr">
        <is>
          <t>Gate N3 review - C-N01</t>
        </is>
      </c>
      <c r="F44" s="11" t="inlineStr">
        <is>
          <t>N4</t>
        </is>
      </c>
    </row>
    <row r="45">
      <c r="A45" s="20" t="inlineStr">
        <is>
          <t>NR-IMP-04</t>
        </is>
      </c>
      <c r="B45" s="20" t="inlineStr">
        <is>
          <t>Import / export</t>
        </is>
      </c>
      <c r="C45" s="21" t="inlineStr">
        <is>
          <t>A workspace can be opened by dragging it onto the running application's window. Double-clicking a workspace file in Explorer does NOT open it, because a file association would require a registry entry that NR-DEP-06 forbids.</t>
        </is>
      </c>
      <c r="D45" s="20" t="inlineStr">
        <is>
          <t>Could</t>
        </is>
      </c>
      <c r="E45" s="21" t="inlineStr">
        <is>
          <t>Reduced by the non-installed rule</t>
        </is>
      </c>
      <c r="F45" s="20" t="inlineStr">
        <is>
          <t>N4</t>
        </is>
      </c>
    </row>
    <row r="46">
      <c r="A46" s="11" t="inlineStr">
        <is>
          <t>NR-USR-01</t>
        </is>
      </c>
      <c r="B46" s="11" t="inlineStr">
        <is>
          <t>User identity</t>
        </is>
      </c>
      <c r="C46" s="12" t="inlineStr">
        <is>
          <t>The application asks who the user is when it starts, before any workspace is opened, and carries that identity for the session.</t>
        </is>
      </c>
      <c r="D46" s="11" t="inlineStr">
        <is>
          <t>Must</t>
        </is>
      </c>
      <c r="E46" s="12" t="inlineStr">
        <is>
          <t>Q-N17</t>
        </is>
      </c>
      <c r="F46" s="11" t="inlineStr">
        <is>
          <t>N4</t>
        </is>
      </c>
    </row>
    <row r="47">
      <c r="A47" s="11" t="inlineStr">
        <is>
          <t>NR-USR-02</t>
        </is>
      </c>
      <c r="B47" s="11" t="inlineStr">
        <is>
          <t>User identity</t>
        </is>
      </c>
      <c r="C47" s="12" t="inlineStr">
        <is>
          <t>It asks in full only the first time. Afterwards it shows what it remembers, pre-filled, for the user to confirm with one click - and offers 'not me' for a shared PC.</t>
        </is>
      </c>
      <c r="D47" s="11" t="inlineStr">
        <is>
          <t>Must</t>
        </is>
      </c>
      <c r="E47" s="12" t="inlineStr">
        <is>
          <t>Q-N17, usability</t>
        </is>
      </c>
      <c r="F47" s="11" t="inlineStr">
        <is>
          <t>N4</t>
        </is>
      </c>
    </row>
    <row r="48">
      <c r="A48" s="11" t="inlineStr">
        <is>
          <t>NR-USR-03</t>
        </is>
      </c>
      <c r="B48" s="11" t="inlineStr">
        <is>
          <t>User identity</t>
        </is>
      </c>
      <c r="C48" s="12" t="inlineStr">
        <is>
          <t>The name is pre-filled from the Windows account name the first time, so the common case is confirming rather than typing. It stays editable - a Windows account name is often not how colleagues know each other.</t>
        </is>
      </c>
      <c r="D48" s="11" t="inlineStr">
        <is>
          <t>Should</t>
        </is>
      </c>
      <c r="E48" s="12" t="inlineStr">
        <is>
          <t>Q-N17</t>
        </is>
      </c>
      <c r="F48" s="11" t="inlineStr">
        <is>
          <t>N4</t>
        </is>
      </c>
    </row>
    <row r="49">
      <c r="A49" s="20" t="inlineStr">
        <is>
          <t>NR-USR-04</t>
        </is>
      </c>
      <c r="B49" s="20" t="inlineStr">
        <is>
          <t>User identity</t>
        </is>
      </c>
      <c r="C49" s="21" t="inlineStr">
        <is>
          <t>An identity is a name and a DEPARTMENT. Both are recorded; no e-mail, telephone or other field is collected. A name and a department are what a colleague needs to find somebody in the company directory.</t>
        </is>
      </c>
      <c r="D49" s="20" t="inlineStr">
        <is>
          <t>Must</t>
        </is>
      </c>
      <c r="E49" s="21" t="inlineStr">
        <is>
          <t>Q-N18</t>
        </is>
      </c>
      <c r="F49" s="20" t="inlineStr">
        <is>
          <t>N4</t>
        </is>
      </c>
    </row>
    <row r="50">
      <c r="A50" s="11" t="inlineStr">
        <is>
          <t>NR-USR-05</t>
        </is>
      </c>
      <c r="B50" s="11" t="inlineStr">
        <is>
          <t>User identity</t>
        </is>
      </c>
      <c r="C50" s="12" t="inlineStr">
        <is>
          <t>A claim carries the holder's name and contact details, so the message a blocked colleague sees can be acted on rather than merely read. Those details are removed with the claim.</t>
        </is>
      </c>
      <c r="D50" s="11" t="inlineStr">
        <is>
          <t>Must</t>
        </is>
      </c>
      <c r="E50" s="12" t="inlineStr">
        <is>
          <t>Q-N17 - contact</t>
        </is>
      </c>
      <c r="F50" s="11" t="inlineStr">
        <is>
          <t>N4</t>
        </is>
      </c>
    </row>
    <row r="51">
      <c r="A51" s="20" t="inlineStr">
        <is>
          <t>NR-USR-06</t>
        </is>
      </c>
      <c r="B51" s="20" t="inlineStr">
        <is>
          <t>User identity</t>
        </is>
      </c>
      <c r="C51" s="21" t="inlineStr">
        <is>
          <t>The blocked message shows the holder's name and department together, and offers to copy them, so a colleague can look them up or ask their department without writing anything down.</t>
        </is>
      </c>
      <c r="D51" s="20" t="inlineStr">
        <is>
          <t>Should</t>
        </is>
      </c>
      <c r="E51" s="21" t="inlineStr">
        <is>
          <t>Q-N18</t>
        </is>
      </c>
      <c r="F51" s="20" t="inlineStr">
        <is>
          <t>N4</t>
        </is>
      </c>
    </row>
    <row r="52">
      <c r="A52" s="20" t="inlineStr">
        <is>
          <t>NR-USR-07</t>
        </is>
      </c>
      <c r="B52" s="20" t="inlineStr">
        <is>
          <t>User identity</t>
        </is>
      </c>
      <c r="C52" s="21" t="inlineStr">
        <is>
          <t>A workspace records who last saved it - name and department - and when, shown when it is opened. On a shared plan, knowing whose figures these are matters as much as knowing when they were made.</t>
        </is>
      </c>
      <c r="D52" s="20" t="inlineStr">
        <is>
          <t>Should</t>
        </is>
      </c>
      <c r="E52" s="21" t="inlineStr">
        <is>
          <t>Follows from having identities</t>
        </is>
      </c>
      <c r="F52" s="20" t="inlineStr">
        <is>
          <t>N4</t>
        </is>
      </c>
    </row>
    <row r="53">
      <c r="A53" s="11" t="inlineStr">
        <is>
          <t>NR-USR-08</t>
        </is>
      </c>
      <c r="B53" s="11" t="inlineStr">
        <is>
          <t>User identity</t>
        </is>
      </c>
      <c r="C53" s="12" t="inlineStr">
        <is>
          <t>This identity is DECLARED, not verified. The application states as much where it is entered, and nothing in it is treated as proof of who acted.</t>
        </is>
      </c>
      <c r="D53" s="11" t="inlineStr">
        <is>
          <t>Must</t>
        </is>
      </c>
      <c r="E53" s="12" t="inlineStr">
        <is>
          <t>Honesty about what it is</t>
        </is>
      </c>
      <c r="F53" s="11" t="inlineStr">
        <is>
          <t>N2</t>
        </is>
      </c>
    </row>
    <row r="54">
      <c r="A54" s="11" t="inlineStr">
        <is>
          <t>NR-USR-09</t>
        </is>
      </c>
      <c r="B54" s="11" t="inlineStr">
        <is>
          <t>User identity</t>
        </is>
      </c>
      <c r="C54" s="12" t="inlineStr">
        <is>
          <t>Identity is held per user in their own data folder, never in the shared application folder, so two people on one copy do not overwrite each other's details.</t>
        </is>
      </c>
      <c r="D54" s="11" t="inlineStr">
        <is>
          <t>Must</t>
        </is>
      </c>
      <c r="E54" s="12" t="inlineStr">
        <is>
          <t>NR-DEP-11</t>
        </is>
      </c>
      <c r="F54" s="11" t="inlineStr">
        <is>
          <t>N4</t>
        </is>
      </c>
    </row>
    <row r="55">
      <c r="A55" s="11" t="inlineStr">
        <is>
          <t>NR-USR-10</t>
        </is>
      </c>
      <c r="B55" s="11" t="inlineStr">
        <is>
          <t>User identity</t>
        </is>
      </c>
      <c r="C55"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55" s="11" t="inlineStr">
        <is>
          <t>Should</t>
        </is>
      </c>
      <c r="E55" s="12" t="inlineStr">
        <is>
          <t>Q-N18, Person.department</t>
        </is>
      </c>
      <c r="F55" s="11" t="inlineStr">
        <is>
          <t>N4</t>
        </is>
      </c>
    </row>
    <row r="56">
      <c r="A56" s="11" t="inlineStr">
        <is>
          <t>NR-USR-11</t>
        </is>
      </c>
      <c r="B56" s="11" t="inlineStr">
        <is>
          <t>User identity</t>
        </is>
      </c>
      <c r="C56" s="12" t="inlineStr">
        <is>
          <t>Where the declared name matches a person in the open workspace, that person's department is offered first. The user is usually one of the people in the plan, so their own record is the best answer available.</t>
        </is>
      </c>
      <c r="D56" s="11" t="inlineStr">
        <is>
          <t>Could</t>
        </is>
      </c>
      <c r="E56" s="12" t="inlineStr">
        <is>
          <t>Q-N18</t>
        </is>
      </c>
      <c r="F56" s="11" t="inlineStr">
        <is>
          <t>N4</t>
        </is>
      </c>
    </row>
    <row r="57">
      <c r="A57" s="11" t="inlineStr">
        <is>
          <t>NR-PAR-01</t>
        </is>
      </c>
      <c r="B57" s="11" t="inlineStr">
        <is>
          <t>Parity</t>
        </is>
      </c>
      <c r="C57" s="12" t="inlineStr">
        <is>
          <t>The calculation engine, the validation rules and the period derivation are ONE implementation shared by both applications, not two copies kept in step by hand.</t>
        </is>
      </c>
      <c r="D57" s="11" t="inlineStr">
        <is>
          <t>Must</t>
        </is>
      </c>
      <c r="E57" s="12" t="inlineStr">
        <is>
          <t>Your instruction to keep both</t>
        </is>
      </c>
      <c r="F57" s="11" t="inlineStr">
        <is>
          <t>N2</t>
        </is>
      </c>
    </row>
    <row r="58">
      <c r="A58" s="11" t="inlineStr">
        <is>
          <t>NR-PAR-02</t>
        </is>
      </c>
      <c r="B58" s="11" t="inlineStr">
        <is>
          <t>Parity</t>
        </is>
      </c>
      <c r="C58" s="12" t="inlineStr">
        <is>
          <t>Given identical input, both applications produce identical figures, identical findings and identical exports. This is proven by an automated test, not asserted.</t>
        </is>
      </c>
      <c r="D58" s="11" t="inlineStr">
        <is>
          <t>Must</t>
        </is>
      </c>
      <c r="E58" s="12" t="inlineStr">
        <is>
          <t>Derived from NR-PAR-01</t>
        </is>
      </c>
      <c r="F58" s="11" t="inlineStr">
        <is>
          <t>N4</t>
        </is>
      </c>
    </row>
    <row r="59">
      <c r="A59" s="11" t="inlineStr">
        <is>
          <t>NR-PAR-03</t>
        </is>
      </c>
      <c r="B59" s="11" t="inlineStr">
        <is>
          <t>Parity</t>
        </is>
      </c>
      <c r="C59" s="12" t="inlineStr">
        <is>
          <t>The HTML application continues to be built from the shared engine and its behaviour is unchanged by the refactor, proven by the existing 13 suites passing unmodified.</t>
        </is>
      </c>
      <c r="D59" s="11" t="inlineStr">
        <is>
          <t>Must</t>
        </is>
      </c>
      <c r="E59" s="12" t="inlineStr">
        <is>
          <t>Protects the finished product</t>
        </is>
      </c>
      <c r="F59" s="11" t="inlineStr">
        <is>
          <t>N2</t>
        </is>
      </c>
    </row>
    <row r="60">
      <c r="A60" s="11" t="inlineStr">
        <is>
          <t>NR-PAR-04</t>
        </is>
      </c>
      <c r="B60" s="11" t="inlineStr">
        <is>
          <t>Parity</t>
        </is>
      </c>
      <c r="C60" s="12" t="inlineStr">
        <is>
          <t>Screen layout, wording and interaction match the web application except where a desktop convention requires otherwise, and every such difference is listed.</t>
        </is>
      </c>
      <c r="D60" s="11" t="inlineStr">
        <is>
          <t>Should</t>
        </is>
      </c>
      <c r="E60" s="12" t="inlineStr">
        <is>
          <t>Two tools, one habit</t>
        </is>
      </c>
      <c r="F60" s="11" t="inlineStr">
        <is>
          <t>N3</t>
        </is>
      </c>
    </row>
    <row r="61">
      <c r="A61" s="20" t="inlineStr">
        <is>
          <t>NR-DEP-01</t>
        </is>
      </c>
      <c r="B61" s="20" t="inlineStr">
        <is>
          <t>Deployment</t>
        </is>
      </c>
      <c r="C61" s="21" t="inlineStr">
        <is>
          <t>The application runs on Windows 10 and Windows 11, 64-bit. No other operating system is supported or tested.</t>
        </is>
      </c>
      <c r="D61" s="20" t="inlineStr">
        <is>
          <t>Must</t>
        </is>
      </c>
      <c r="E61" s="21" t="inlineStr">
        <is>
          <t>Your instruction</t>
        </is>
      </c>
      <c r="F61" s="20" t="inlineStr">
        <is>
          <t>N5</t>
        </is>
      </c>
    </row>
    <row r="62">
      <c r="A62" s="20" t="inlineStr">
        <is>
          <t>NR-DEP-02</t>
        </is>
      </c>
      <c r="B62" s="20" t="inlineStr">
        <is>
          <t>Deployment</t>
        </is>
      </c>
      <c r="C62" s="21" t="inlineStr">
        <is>
          <t>There is NO INSTALLER. The application is a folder that is copied to wherever the user wants it and run from there. It requires no administrator rights, at any point, for any purpose.</t>
        </is>
      </c>
      <c r="D62" s="20" t="inlineStr">
        <is>
          <t>Must</t>
        </is>
      </c>
      <c r="E62" s="21" t="inlineStr">
        <is>
          <t>Your instruction</t>
        </is>
      </c>
      <c r="F62" s="20" t="inlineStr">
        <is>
          <t>N5</t>
        </is>
      </c>
    </row>
    <row r="63">
      <c r="A63" s="20" t="inlineStr">
        <is>
          <t>NR-DEP-03</t>
        </is>
      </c>
      <c r="B63" s="20" t="inlineStr">
        <is>
          <t>Deployment</t>
        </is>
      </c>
      <c r="C63" s="21" t="inlineStr">
        <is>
          <t>Updating means replacing the application files inside that folder. No workspace, setting or recent-file entry is touched by an update, and a workspace written by an older version opens in a newer one.</t>
        </is>
      </c>
      <c r="D63" s="20" t="inlineStr">
        <is>
          <t>Must</t>
        </is>
      </c>
      <c r="E63" s="21" t="inlineStr">
        <is>
          <t>Data safety</t>
        </is>
      </c>
      <c r="F63" s="20" t="inlineStr">
        <is>
          <t>N5</t>
        </is>
      </c>
    </row>
    <row r="64">
      <c r="A64" s="11" t="inlineStr">
        <is>
          <t>NR-DEP-04</t>
        </is>
      </c>
      <c r="B64" s="11" t="inlineStr">
        <is>
          <t>Deployment</t>
        </is>
      </c>
      <c r="C64" s="12" t="inlineStr">
        <is>
          <t>A workspace written by a NEWER version than the running one is refused with a clear message rather than partially read.</t>
        </is>
      </c>
      <c r="D64" s="11" t="inlineStr">
        <is>
          <t>Must</t>
        </is>
      </c>
      <c r="E64" s="12" t="inlineStr">
        <is>
          <t>Data safety</t>
        </is>
      </c>
      <c r="F64" s="11" t="inlineStr">
        <is>
          <t>N4</t>
        </is>
      </c>
    </row>
    <row r="65">
      <c r="A65" s="11" t="inlineStr">
        <is>
          <t>NR-DEP-05</t>
        </is>
      </c>
      <c r="B65" s="11" t="inlineStr">
        <is>
          <t>Deployment</t>
        </is>
      </c>
      <c r="C65" s="12" t="inlineStr">
        <is>
          <t>The application folder is self-contained: it carries its own browser engine and every other dependency, and requires nothing to be present on the machine beyond Windows itself. Package size is not constrained.</t>
        </is>
      </c>
      <c r="D65" s="11" t="inlineStr">
        <is>
          <t>Must</t>
        </is>
      </c>
      <c r="E65" s="12" t="inlineStr">
        <is>
          <t>Your instruction</t>
        </is>
      </c>
      <c r="F65" s="11" t="inlineStr">
        <is>
          <t>N5</t>
        </is>
      </c>
    </row>
    <row r="66">
      <c r="A66" s="20" t="inlineStr">
        <is>
          <t>NR-DEP-06</t>
        </is>
      </c>
      <c r="B66" s="20" t="inlineStr">
        <is>
          <t>Deployment</t>
        </is>
      </c>
      <c r="C66" s="21"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66" s="20" t="inlineStr">
        <is>
          <t>Must</t>
        </is>
      </c>
      <c r="E66" s="21" t="inlineStr">
        <is>
          <t>Non-installed rule, amended for the shared folder</t>
        </is>
      </c>
      <c r="F66" s="20" t="inlineStr">
        <is>
          <t>N5</t>
        </is>
      </c>
    </row>
    <row r="67">
      <c r="A67" s="11" t="inlineStr">
        <is>
          <t>NR-DEP-07</t>
        </is>
      </c>
      <c r="B67" s="11" t="inlineStr">
        <is>
          <t>Deployment</t>
        </is>
      </c>
      <c r="C67" s="12" t="inlineStr">
        <is>
          <t>Deleting the folder removes the application completely, leaving no trace on the machine.</t>
        </is>
      </c>
      <c r="D67" s="11" t="inlineStr">
        <is>
          <t>Must</t>
        </is>
      </c>
      <c r="E67" s="12" t="inlineStr">
        <is>
          <t>Non-installed rule</t>
        </is>
      </c>
      <c r="F67" s="11" t="inlineStr">
        <is>
          <t>N5</t>
        </is>
      </c>
    </row>
    <row r="68">
      <c r="A68" s="11" t="inlineStr">
        <is>
          <t>NR-DEP-08</t>
        </is>
      </c>
      <c r="B68" s="11" t="inlineStr">
        <is>
          <t>Deployment</t>
        </is>
      </c>
      <c r="C68"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68" s="11" t="inlineStr">
        <is>
          <t>Must</t>
        </is>
      </c>
      <c r="E68" s="12" t="inlineStr">
        <is>
          <t>Non-installed rule</t>
        </is>
      </c>
      <c r="F68" s="11" t="inlineStr">
        <is>
          <t>N5</t>
        </is>
      </c>
    </row>
    <row r="69">
      <c r="A69" s="20" t="inlineStr">
        <is>
          <t>NR-DEP-09</t>
        </is>
      </c>
      <c r="B69" s="20" t="inlineStr">
        <is>
          <t>Deployment</t>
        </is>
      </c>
      <c r="C69" s="21" t="inlineStr">
        <is>
          <t>Where the application folder is read-only or shared - typically on a network folder - the application still runs, tells the user plainly that it cannot keep data beside itself, and keeps that data in a folder the user chooses instead.</t>
        </is>
      </c>
      <c r="D69" s="20" t="inlineStr">
        <is>
          <t>Must</t>
        </is>
      </c>
      <c r="E69" s="21" t="inlineStr">
        <is>
          <t>Raised from Should at round 2 - Q-N12</t>
        </is>
      </c>
      <c r="F69" s="20" t="inlineStr">
        <is>
          <t>N4</t>
        </is>
      </c>
    </row>
    <row r="70">
      <c r="A70" s="11" t="inlineStr">
        <is>
          <t>NR-DEP-10</t>
        </is>
      </c>
      <c r="B70" s="11" t="inlineStr">
        <is>
          <t>Deployment</t>
        </is>
      </c>
      <c r="C70"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70" s="11" t="inlineStr">
        <is>
          <t>Must</t>
        </is>
      </c>
      <c r="E70" s="12" t="inlineStr">
        <is>
          <t>Q-N12</t>
        </is>
      </c>
      <c r="F70" s="11" t="inlineStr">
        <is>
          <t>N4</t>
        </is>
      </c>
    </row>
    <row r="71">
      <c r="A71" s="11" t="inlineStr">
        <is>
          <t>NR-DEP-11</t>
        </is>
      </c>
      <c r="B71" s="11" t="inlineStr">
        <is>
          <t>Deployment</t>
        </is>
      </c>
      <c r="C71" s="12" t="inlineStr">
        <is>
          <t>Where several people run one shared copy, each has their own settings, recent list, backups and default workspace folder. No user can see, overwrite or lock out another through the application.</t>
        </is>
      </c>
      <c r="D71" s="11" t="inlineStr">
        <is>
          <t>Must</t>
        </is>
      </c>
      <c r="E71" s="12" t="inlineStr">
        <is>
          <t>Q-N12</t>
        </is>
      </c>
      <c r="F71" s="11" t="inlineStr">
        <is>
          <t>N4</t>
        </is>
      </c>
    </row>
    <row r="72">
      <c r="A72" s="11" t="inlineStr">
        <is>
          <t>NR-DEP-12</t>
        </is>
      </c>
      <c r="B72" s="11" t="inlineStr">
        <is>
          <t>Deployment</t>
        </is>
      </c>
      <c r="C72" s="12" t="inlineStr">
        <is>
          <t>The application can create a personal desktop shortcut, at the user's request, that carries their own --data path. This is how a shared copy is used day to day without being asked anything at launch.</t>
        </is>
      </c>
      <c r="D72" s="11" t="inlineStr">
        <is>
          <t>Should</t>
        </is>
      </c>
      <c r="E72" s="12" t="inlineStr">
        <is>
          <t>Q-N12</t>
        </is>
      </c>
      <c r="F72" s="11" t="inlineStr">
        <is>
          <t>N4</t>
        </is>
      </c>
    </row>
    <row r="73">
      <c r="A73" s="20" t="inlineStr">
        <is>
          <t>NR-DEP-13</t>
        </is>
      </c>
      <c r="B73" s="20" t="inlineStr">
        <is>
          <t>Deployment</t>
        </is>
      </c>
      <c r="C73" s="21" t="inlineStr">
        <is>
          <t>The application runs correctly when launched from a UNC path (\\server\share\PM_APP) as well as from a mapped drive letter.</t>
        </is>
      </c>
      <c r="D73" s="20" t="inlineStr">
        <is>
          <t>Must</t>
        </is>
      </c>
      <c r="E73" s="21" t="inlineStr">
        <is>
          <t>Q-N12</t>
        </is>
      </c>
      <c r="F73" s="20" t="inlineStr">
        <is>
          <t>N5</t>
        </is>
      </c>
    </row>
    <row r="74">
      <c r="A74" s="11" t="inlineStr">
        <is>
          <t>NR-DEP-14</t>
        </is>
      </c>
      <c r="B74" s="11" t="inlineStr">
        <is>
          <t>Deployment</t>
        </is>
      </c>
      <c r="C74" s="12" t="inlineStr">
        <is>
          <t>Both arrangements are supported and both are tested: run in place from the shared folder, and copied from it to a local folder and run there. Neither is a second-class case, and the user guide states what each costs in launch time.</t>
        </is>
      </c>
      <c r="D74" s="11" t="inlineStr">
        <is>
          <t>Must</t>
        </is>
      </c>
      <c r="E74" s="12" t="inlineStr">
        <is>
          <t>Q-N14</t>
        </is>
      </c>
      <c r="F74" s="11" t="inlineStr">
        <is>
          <t>N5</t>
        </is>
      </c>
    </row>
    <row r="75">
      <c r="A75" s="11" t="inlineStr">
        <is>
          <t>NR-DEP-15</t>
        </is>
      </c>
      <c r="B75" s="11" t="inlineStr">
        <is>
          <t>Deployment</t>
        </is>
      </c>
      <c r="C75" s="12" t="inlineStr">
        <is>
          <t>On a writable shared folder, each person's data folder sits under the application's own data folder, one per user. Nobody has to choose a location, and nobody's settings meet anybody else's.</t>
        </is>
      </c>
      <c r="D75" s="11" t="inlineStr">
        <is>
          <t>Should</t>
        </is>
      </c>
      <c r="E75" s="12" t="inlineStr">
        <is>
          <t>Q-N15</t>
        </is>
      </c>
      <c r="F75" s="11" t="inlineStr">
        <is>
          <t>N4</t>
        </is>
      </c>
    </row>
    <row r="76">
      <c r="A76" s="11" t="inlineStr">
        <is>
          <t>NR-SEC-01</t>
        </is>
      </c>
      <c r="B76" s="11" t="inlineStr">
        <is>
          <t>Security</t>
        </is>
      </c>
      <c r="C76" s="12" t="inlineStr">
        <is>
          <t>No telemetry, no crash reporting to any server, no automatic update check, no font or script loaded from a remote host. Verified by observing that the packaged application opens no socket.</t>
        </is>
      </c>
      <c r="D76" s="11" t="inlineStr">
        <is>
          <t>Must</t>
        </is>
      </c>
      <c r="E76" s="12" t="inlineStr">
        <is>
          <t>Offline by requirement</t>
        </is>
      </c>
      <c r="F76" s="11" t="inlineStr">
        <is>
          <t>N5</t>
        </is>
      </c>
    </row>
    <row r="77">
      <c r="A77" s="11" t="inlineStr">
        <is>
          <t>NR-SEC-02</t>
        </is>
      </c>
      <c r="B77" s="11" t="inlineStr">
        <is>
          <t>Security</t>
        </is>
      </c>
      <c r="C77" s="12" t="inlineStr">
        <is>
          <t>The embedded browser engine runs with remote content disabled and Node integration off in the renderer, so a crafted workspace file cannot execute code.</t>
        </is>
      </c>
      <c r="D77" s="11" t="inlineStr">
        <is>
          <t>Must</t>
        </is>
      </c>
      <c r="E77" s="12" t="inlineStr">
        <is>
          <t>Standard hardening</t>
        </is>
      </c>
      <c r="F77" s="11" t="inlineStr">
        <is>
          <t>N4</t>
        </is>
      </c>
    </row>
    <row r="78">
      <c r="A78" s="11" t="inlineStr">
        <is>
          <t>NR-SEC-03</t>
        </is>
      </c>
      <c r="B78" s="11" t="inlineStr">
        <is>
          <t>Security</t>
        </is>
      </c>
      <c r="C78" s="12" t="inlineStr">
        <is>
          <t>Workspace files contain business data only - no credentials, no connection strings, nothing that would be sensitive if the file were mailed to a colleague.</t>
        </is>
      </c>
      <c r="D78" s="11" t="inlineStr">
        <is>
          <t>Must</t>
        </is>
      </c>
      <c r="E78" s="12" t="inlineStr">
        <is>
          <t>Data hygiene</t>
        </is>
      </c>
      <c r="F78" s="11" t="inlineStr">
        <is>
          <t>N2</t>
        </is>
      </c>
    </row>
    <row r="79">
      <c r="A79" s="20" t="inlineStr">
        <is>
          <t>NR-NFR-01</t>
        </is>
      </c>
      <c r="B79" s="20" t="inlineStr">
        <is>
          <t>Performance</t>
        </is>
      </c>
      <c r="C79" s="21" t="inlineStr">
        <is>
          <t>Launch to a usable window in under 5 seconds from a local disk, and reopening the last workspace adds no more than 2 seconds on the volumes in A-N01. Launch from a network folder is measured and stated rather than promised - see R-N12.</t>
        </is>
      </c>
      <c r="D79" s="20" t="inlineStr">
        <is>
          <t>Should</t>
        </is>
      </c>
      <c r="E79" s="21" t="inlineStr">
        <is>
          <t>Usability</t>
        </is>
      </c>
      <c r="F79" s="20" t="inlineStr">
        <is>
          <t>N4</t>
        </is>
      </c>
    </row>
    <row r="80">
      <c r="A80" s="11" t="inlineStr">
        <is>
          <t>NR-NFR-02</t>
        </is>
      </c>
      <c r="B80" s="11" t="inlineStr">
        <is>
          <t>Performance</t>
        </is>
      </c>
      <c r="C80" s="12" t="inlineStr">
        <is>
          <t>A Save completes in under 1 second at those volumes, so autosave is never felt.</t>
        </is>
      </c>
      <c r="D80" s="11" t="inlineStr">
        <is>
          <t>Should</t>
        </is>
      </c>
      <c r="E80" s="12" t="inlineStr">
        <is>
          <t>Usability</t>
        </is>
      </c>
      <c r="F80" s="11" t="inlineStr">
        <is>
          <t>N4</t>
        </is>
      </c>
    </row>
    <row r="82">
      <c r="A82" s="5" t="inlineStr">
        <is>
          <t>Count</t>
        </is>
      </c>
    </row>
    <row r="83" ht="28" customHeight="1">
      <c r="A83" s="10" t="inlineStr">
        <is>
          <t>Measure</t>
        </is>
      </c>
      <c r="B83" s="10" t="inlineStr">
        <is>
          <t>Count</t>
        </is>
      </c>
    </row>
    <row r="84">
      <c r="A84" s="15" t="inlineStr">
        <is>
          <t>Total requirements</t>
        </is>
      </c>
      <c r="B84" s="15">
        <f>COUNTA(A11:A80)</f>
        <v/>
      </c>
    </row>
    <row r="85">
      <c r="A85" s="13" t="inlineStr">
        <is>
          <t>Must</t>
        </is>
      </c>
      <c r="B85" s="13">
        <f>COUNTIF(D11:D80,"Must")</f>
        <v/>
      </c>
    </row>
    <row r="86">
      <c r="A86" s="15" t="inlineStr">
        <is>
          <t>Should</t>
        </is>
      </c>
      <c r="B86" s="15">
        <f>COUNTIF(D11:D80,"Should")</f>
        <v/>
      </c>
    </row>
    <row r="87">
      <c r="A87" s="13" t="inlineStr">
        <is>
          <t>Could</t>
        </is>
      </c>
      <c r="B87" s="13">
        <f>COUNTIF(D11:D80,"Could")</f>
        <v/>
      </c>
    </row>
    <row r="89">
      <c r="A89" s="8" t="inlineStr">
        <is>
          <t>Please mark any requirement you disagree with in the Priority column, or strike it out. The register is the contract for Steps 2 to 5, exactly as sheet 03 of the web plan was.</t>
        </is>
      </c>
    </row>
    <row r="90">
      <c r="A90" s="3" t="inlineStr">
        <is>
          <t>Legend</t>
        </is>
      </c>
    </row>
    <row r="91">
      <c r="A91" s="17" t="inlineStr">
        <is>
          <t>Green = new to the desktop application; nothing in the web application corresponds to it.</t>
        </is>
      </c>
    </row>
    <row r="92">
      <c r="A92" s="18" t="inlineStr">
        <is>
          <t>Orange = inherited from the web application but deliberately changed here.</t>
        </is>
      </c>
    </row>
    <row r="93">
      <c r="A93" s="19" t="inlineStr">
        <is>
          <t>Yellow = needs your decision before the work can proceed.</t>
        </is>
      </c>
    </row>
  </sheetData>
  <dataValidations count="1">
    <dataValidation sqref="D11:D80"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 Built at N2.1: 7 files, 1,210 lines, and tools/test_layers.py holds it to the boundary.</t>
        </is>
      </c>
    </row>
    <row r="15">
      <c r="A15" s="13" t="inlineStr">
        <is>
          <t>ui/</t>
        </is>
      </c>
      <c r="B15" s="14" t="inlineStr">
        <is>
          <t>Tabs, tables, charts, filters, the provisional-edit model, the change log.</t>
        </is>
      </c>
      <c r="C15" s="14" t="inlineStr">
        <is>
          <t>Shared, identical</t>
        </is>
      </c>
      <c r="D15" s="14"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 In the web shell it is two functions and 63 lines - one reads a file, one writes one - which is how small the seam turned out to be.</t>
        </is>
      </c>
    </row>
    <row r="17">
      <c r="A17" s="13" t="inlineStr">
        <is>
          <t>shell/web/</t>
        </is>
      </c>
      <c r="B17" s="14" t="inlineStr">
        <is>
          <t>Storage over the browser's own storage; the build step that emits the single HTML file.</t>
        </is>
      </c>
      <c r="C17" s="14" t="inlineStr">
        <is>
          <t>Web only</t>
        </is>
      </c>
      <c r="D17" s="14"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3" t="inlineStr">
        <is>
          <t>tools/</t>
        </is>
      </c>
      <c r="B19" s="14" t="inlineStr">
        <is>
          <t>The 13 verification suites, the document generators, the Python reference implementation.</t>
        </is>
      </c>
      <c r="C19" s="14" t="inlineStr">
        <is>
          <t>Shared</t>
        </is>
      </c>
      <c r="D19" s="14"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PM_APP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3" t="inlineStr">
        <is>
          <t>Tauri</t>
        </is>
      </c>
      <c r="B34" s="13" t="inlineStr">
        <is>
          <t>Later option</t>
        </is>
      </c>
      <c r="C34" s="14" t="inlineStr">
        <is>
          <t>Package around 10 MB, single executable. Same engine reuse.</t>
        </is>
      </c>
      <c r="D34" s="14"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3" t="inlineStr">
        <is>
          <t>Progressive web app</t>
        </is>
      </c>
      <c r="B36" s="13" t="inlineStr">
        <is>
          <t>Rejected</t>
        </is>
      </c>
      <c r="C36" s="14" t="inlineStr">
        <is>
          <t>No packaging at all.</t>
        </is>
      </c>
      <c r="D36" s="14"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3" t="inlineStr">
        <is>
          <t>Single self-extracting .exe</t>
        </is>
      </c>
      <c r="B46" s="13" t="inlineStr">
        <is>
          <t>REJECTED</t>
        </is>
      </c>
      <c r="C46" s="14"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3" t="inlineStr">
        <is>
          <t>ZIP of that folder</t>
        </is>
      </c>
      <c r="B48" s="13" t="inlineStr">
        <is>
          <t>How it is delivered</t>
        </is>
      </c>
      <c r="C48" s="14"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4" t="inlineStr">
        <is>
          <t>No Start-menu or taskbar entry appears by itself.</t>
        </is>
      </c>
      <c r="B56" s="14"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4" t="inlineStr">
        <is>
          <t>The folder must not be nested too deeply.</t>
        </is>
      </c>
      <c r="B58" s="14"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7" t="inlineStr">
        <is>
          <t>Green = new to the desktop application; nothing in the web application corresponds to it.</t>
        </is>
      </c>
    </row>
    <row r="63">
      <c r="A63" s="18" t="inlineStr">
        <is>
          <t>Orange = inherited from the web application but deliberately changed here.</t>
        </is>
      </c>
    </row>
    <row r="64">
      <c r="A64"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3" t="inlineStr">
        <is>
          <t>Why not SQLite</t>
        </is>
      </c>
      <c r="B19" s="14"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3"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3" t="inlineStr">
        <is>
          <t>Extension</t>
        </is>
      </c>
      <c r="B21" s="14" t="inlineStr">
        <is>
          <t>.prap - but NOT registered with Windows, because that would need a registry entry the non-installed rule forbids. Workspaces are opened from within the application, or dragged onto its window.</t>
        </is>
      </c>
      <c r="C21" s="13"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3" t="inlineStr">
        <is>
          <t>Readable</t>
        </is>
      </c>
      <c r="B23" s="14" t="inlineStr">
        <is>
          <t>Yes - it is JSON. A workspace can be inspected, diffed, version-controlled, or handed to an AI agent as-is.</t>
        </is>
      </c>
      <c r="C23" s="13"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PM_APP\                      &lt;- copy THIS folder anywhere; delete it to remove the application</t>
        </is>
      </c>
    </row>
    <row r="31">
      <c r="A31" s="7" t="inlineStr">
        <is>
          <t xml:space="preserve">      PM_APP.exe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users\&lt;name&gt;\             &lt;- one per person, where the folder is shared (NR-DEP-15)</t>
        </is>
      </c>
    </row>
    <row r="36">
      <c r="A36" s="7" t="inlineStr">
        <is>
          <t xml:space="preserve">          settings.json           &lt;- window state, recent workspaces, identity, preferences</t>
        </is>
      </c>
    </row>
    <row r="37">
      <c r="A37" s="7" t="inlineStr">
        <is>
          <t xml:space="preserve">          workspaces\             &lt;- the default home for .prap files</t>
        </is>
      </c>
    </row>
    <row r="38">
      <c r="A38" s="7" t="inlineStr">
        <is>
          <t xml:space="preserve">          backups\                &lt;- the ONE retained previous version (NR-STO-06)</t>
        </is>
      </c>
    </row>
    <row r="40" ht="28" customHeight="1">
      <c r="A40" s="10" t="inlineStr">
        <is>
          <t>Rule</t>
        </is>
      </c>
      <c r="B40" s="10" t="inlineStr">
        <is>
          <t>How it is upheld</t>
        </is>
      </c>
    </row>
    <row r="41">
      <c r="A41" s="16" t="inlineStr">
        <is>
          <t>An update replaces the application files and leaves data\ alone.</t>
        </is>
      </c>
      <c r="B41" s="16" t="inlineStr">
        <is>
          <t>Stated as a rule in the user guide AND enforced by the updater instructions: the delivered zip contains no data\ folder, so extracting it over an existing installation cannot overwrite one.</t>
        </is>
      </c>
    </row>
    <row r="42">
      <c r="A42" s="14" t="inlineStr">
        <is>
          <t>Workspaces default into data\workspaces\ but are not confined there.</t>
        </is>
      </c>
      <c r="B42" s="14" t="inlineStr">
        <is>
          <t>The user may save a workspace anywhere - a project folder, a network drive. The default simply means the application always has somewhere sensible to put one.</t>
        </is>
      </c>
    </row>
    <row r="43">
      <c r="A43" s="16" t="inlineStr">
        <is>
          <t>Paths in settings.json are relative wherever they can be.</t>
        </is>
      </c>
      <c r="B43" s="16" t="inlineStr">
        <is>
          <t>So copying the folder to another PC, or to a different drive letter, does not break the recent list (NR-DEP-08).</t>
        </is>
      </c>
    </row>
    <row r="44">
      <c r="A44" s="14" t="inlineStr">
        <is>
          <t>If the application folder is read-only, data\ cannot be created.</t>
        </is>
      </c>
      <c r="B44" s="14" t="inlineStr">
        <is>
          <t>The application says so plainly at first launch and asks the user where to keep data instead, remembering the answer next to nothing else - see R-N11 and NR-DEP-09.</t>
        </is>
      </c>
    </row>
    <row r="46">
      <c r="A46"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8">
      <c r="A48" s="5" t="inlineStr">
        <is>
          <t>When the folder is shared   [round 2: Q-N12]</t>
        </is>
      </c>
    </row>
    <row r="49">
      <c r="A49" s="6" t="inlineStr">
        <is>
          <t>One copy on a network folder, several people running it, is a sensible way to distribute a portable</t>
        </is>
      </c>
    </row>
    <row r="50">
      <c r="A50" s="6" t="inlineStr">
        <is>
          <t>application - and it breaks the simple layout above in two places. Both are cheap to solve now and</t>
        </is>
      </c>
    </row>
    <row r="51">
      <c r="A51" s="6" t="inlineStr">
        <is>
          <t>expensive to solve after somebody has lost an afternoon's work.</t>
        </is>
      </c>
    </row>
    <row r="52">
      <c r="A52" s="6" t="inlineStr"/>
    </row>
    <row r="53">
      <c r="A53" s="6" t="inlineStr">
        <is>
          <t xml:space="preserve">    1. SETTINGS COLLIDE.  One data\settings.json cannot hold two people's window sizes and recent lists.</t>
        </is>
      </c>
    </row>
    <row r="54">
      <c r="A54" s="6" t="inlineStr">
        <is>
          <t xml:space="preserve">    2. TWO WRITERS.       Two people open the same .prap file; the second Save silently discards the first.</t>
        </is>
      </c>
    </row>
    <row r="56">
      <c r="A56" s="8" t="inlineStr">
        <is>
          <t>Note that problem 2 exists as soon as workspaces are reachable by two people - which a shared folder makes likely even if the application itself is copied locally. So it is solved unconditionally, not only in the shared case.</t>
        </is>
      </c>
    </row>
    <row r="58">
      <c r="A58" s="5" t="inlineStr">
        <is>
          <t>Where the data folder is - resolved in one fixed order   [NR-DEP-10]</t>
        </is>
      </c>
    </row>
    <row r="59" ht="28" customHeight="1">
      <c r="A59" s="10" t="inlineStr">
        <is>
          <t>Order</t>
        </is>
      </c>
      <c r="B59" s="10" t="inlineStr">
        <is>
          <t>Source</t>
        </is>
      </c>
      <c r="C59" s="10" t="inlineStr">
        <is>
          <t>Why it is there</t>
        </is>
      </c>
      <c r="D59" s="10" t="inlineStr">
        <is>
          <t>Applies</t>
        </is>
      </c>
    </row>
    <row r="60">
      <c r="A60" s="15" t="inlineStr">
        <is>
          <t>1</t>
        </is>
      </c>
      <c r="B60" s="15" t="inlineStr">
        <is>
          <t>--data=&lt;path&gt; on the command line</t>
        </is>
      </c>
      <c r="C60" s="16" t="inlineStr">
        <is>
          <t>How a personal shortcut carries it. Explicit, visible, and belongs to the user rather than to the application.</t>
        </is>
      </c>
      <c r="D60" s="15" t="inlineStr">
        <is>
          <t>Always wins</t>
        </is>
      </c>
    </row>
    <row r="61">
      <c r="A61" s="13" t="inlineStr">
        <is>
          <t>2</t>
        </is>
      </c>
      <c r="B61" s="13" t="inlineStr">
        <is>
          <t>The PRAP_DATA environment variable</t>
        </is>
      </c>
      <c r="C61" s="14" t="inlineStr">
        <is>
          <t>For a site that wants to set it centrally, by login script or group policy.</t>
        </is>
      </c>
      <c r="D61" s="13" t="inlineStr">
        <is>
          <t>If no argument</t>
        </is>
      </c>
    </row>
    <row r="62">
      <c r="A62" s="15" t="inlineStr">
        <is>
          <t>3</t>
        </is>
      </c>
      <c r="B62" s="15" t="inlineStr">
        <is>
          <t>data\ beside the application - and data\users\&lt;name&gt;\ where the folder is shared</t>
        </is>
      </c>
      <c r="C62" s="16" t="inlineStr">
        <is>
          <t>The ordinary single-user case, and the reason a copied folder simply works. Q-N15 says the share would be WRITABLE, so on a shared copy this rule still applies: each person gets their own folder under it and nobody has to choose anything (NR-DEP-15).</t>
        </is>
      </c>
      <c r="D62" s="15" t="inlineStr">
        <is>
          <t>If writable</t>
        </is>
      </c>
    </row>
    <row r="63">
      <c r="A63" s="13" t="inlineStr">
        <is>
          <t>4</t>
        </is>
      </c>
      <c r="B63" s="13" t="inlineStr">
        <is>
          <t>Ask the user, once</t>
        </is>
      </c>
      <c r="C63" s="14" t="inlineStr">
        <is>
          <t>Only where the folder is read-only after all. The answer is not written to a hidden file - the application offers to create a desktop shortcut carrying --data, so the choice lives somewhere the user can see, move and delete.</t>
        </is>
      </c>
      <c r="D63" s="13" t="inlineStr">
        <is>
          <t>Last resort</t>
        </is>
      </c>
    </row>
    <row r="65">
      <c r="A65"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7">
      <c r="A67" s="5" t="inlineStr">
        <is>
          <t>Two people, one workspace</t>
        </is>
      </c>
    </row>
    <row r="68">
      <c r="A68" s="8" t="inlineStr">
        <is>
          <t>Settled at review round 3 as SINGLE WRITER, MANY READERS, and given its own sheet: see 05a.</t>
        </is>
      </c>
    </row>
    <row r="70">
      <c r="A70" s="5" t="inlineStr">
        <is>
          <t>Writing safely</t>
        </is>
      </c>
    </row>
    <row r="71" ht="28" customHeight="1">
      <c r="A71" s="10" t="inlineStr">
        <is>
          <t>Step</t>
        </is>
      </c>
      <c r="B71" s="10" t="inlineStr">
        <is>
          <t>Action</t>
        </is>
      </c>
      <c r="C71" s="10" t="inlineStr">
        <is>
          <t>Why</t>
        </is>
      </c>
    </row>
    <row r="72">
      <c r="A72" s="15" t="inlineStr">
        <is>
          <t>1</t>
        </is>
      </c>
      <c r="B72" s="16" t="inlineStr">
        <is>
          <t>Serialise the committed model to JSON in memory.</t>
        </is>
      </c>
      <c r="C72" s="16" t="inlineStr">
        <is>
          <t>Nothing has touched the disk yet.</t>
        </is>
      </c>
    </row>
    <row r="73">
      <c r="A73" s="13" t="inlineStr">
        <is>
          <t>2</t>
        </is>
      </c>
      <c r="B73" s="14" t="inlineStr">
        <is>
          <t>Write it to a temporary file in the same directory, and flush it to the physical disk.</t>
        </is>
      </c>
      <c r="C73" s="14" t="inlineStr">
        <is>
          <t>Same directory, so the rename in step 4 cannot cross a filesystem boundary.</t>
        </is>
      </c>
    </row>
    <row r="74">
      <c r="A74" s="15" t="inlineStr">
        <is>
          <t>3</t>
        </is>
      </c>
      <c r="B74" s="16" t="inlineStr">
        <is>
          <t>Roll the current workspace file into the version history.</t>
        </is>
      </c>
      <c r="C74" s="16" t="inlineStr">
        <is>
          <t>This is what NR-STO-06 restores from.</t>
        </is>
      </c>
    </row>
    <row r="75">
      <c r="A75" s="13" t="inlineStr">
        <is>
          <t>4</t>
        </is>
      </c>
      <c r="B75" s="14" t="inlineStr">
        <is>
          <t>Rename the temporary file over the workspace file.</t>
        </is>
      </c>
      <c r="C75" s="14" t="inlineStr">
        <is>
          <t>A rename is atomic. The file is either wholly the old contents or wholly the new - never half of each (NR-STO-05).</t>
        </is>
      </c>
    </row>
    <row r="76">
      <c r="A76" s="15" t="inlineStr">
        <is>
          <t>5</t>
        </is>
      </c>
      <c r="B76" s="16" t="inlineStr">
        <is>
          <t>Only now report the save as done.</t>
        </is>
      </c>
      <c r="C76" s="16" t="inlineStr">
        <is>
          <t>NR-STO-04. Reporting a save that has not reached the disk is the one failure that would destroy trust in the whole feature.</t>
        </is>
      </c>
    </row>
    <row r="79">
      <c r="A79" s="8" t="inlineStr">
        <is>
          <t>Power loss at any point leaves a readable workspace: before step 4 the old one, after it the new one. A stray temporary file is detected and removed at the next launch.</t>
        </is>
      </c>
    </row>
    <row r="81">
      <c r="A81" s="5" t="inlineStr">
        <is>
          <t>How this meets the existing edit model</t>
        </is>
      </c>
    </row>
    <row r="82" ht="28" customHeight="1">
      <c r="A82" s="10" t="inlineStr">
        <is>
          <t>Event</t>
        </is>
      </c>
      <c r="B82" s="10" t="inlineStr">
        <is>
          <t>Behaviour</t>
        </is>
      </c>
      <c r="C82" s="10" t="inlineStr">
        <is>
          <t>Note</t>
        </is>
      </c>
    </row>
    <row r="83">
      <c r="A83" s="15" t="inlineStr">
        <is>
          <t>A pending edit</t>
        </is>
      </c>
      <c r="B83" s="16" t="inlineStr">
        <is>
          <t>Held exactly as today - snapshot taken before the first change.</t>
        </is>
      </c>
      <c r="C83" s="16" t="inlineStr">
        <is>
          <t>Nothing written to the workspace.</t>
        </is>
      </c>
    </row>
    <row r="84">
      <c r="A84" s="13" t="inlineStr">
        <is>
          <t>Save</t>
        </is>
      </c>
      <c r="B84" s="14" t="inlineStr">
        <is>
          <t>Commits as today, then writes the workspace.</t>
        </is>
      </c>
      <c r="C84" s="14" t="inlineStr">
        <is>
          <t>The existing Save is already the commit point, so persistence attaches to it with no new state.</t>
        </is>
      </c>
    </row>
    <row r="85">
      <c r="A85" s="15" t="inlineStr">
        <is>
          <t>Leave without change</t>
        </is>
      </c>
      <c r="B85" s="16" t="inlineStr">
        <is>
          <t>Reverts as today.</t>
        </is>
      </c>
      <c r="C85" s="16" t="inlineStr">
        <is>
          <t>Nothing is written, so nothing needs undoing on disk.</t>
        </is>
      </c>
    </row>
    <row r="86">
      <c r="A86" s="11" t="inlineStr">
        <is>
          <t>Autosave of PENDING edits</t>
        </is>
      </c>
      <c r="B86" s="12" t="inlineStr">
        <is>
          <t>Pending edits are journalled separately, not into the workspace.</t>
        </is>
      </c>
      <c r="C86" s="12" t="inlineStr">
        <is>
          <t>So an unexpected close can offer them back (NR-STO-07) without a half-finished edit ever becoming committed data.</t>
        </is>
      </c>
    </row>
    <row r="87">
      <c r="A87" s="11" t="inlineStr">
        <is>
          <t>Recovery</t>
        </is>
      </c>
      <c r="B87" s="12" t="inlineStr">
        <is>
          <t>At launch, a journal newer than the workspace prompts: keep these edits, or discard them.</t>
        </is>
      </c>
      <c r="C87" s="12" t="inlineStr">
        <is>
          <t>The user decides. Silently applying recovered edits would be worse than losing them.</t>
        </is>
      </c>
    </row>
    <row r="90">
      <c r="A90" s="8" t="inlineStr">
        <is>
          <t>The provisional-edit model built for the web application - snapshot, commit on Save, revert on Leave without change - turns out to be exactly the seam persistence needs. No part of it changes.</t>
        </is>
      </c>
    </row>
    <row r="92">
      <c r="A92" s="5" t="inlineStr">
        <is>
          <t>Re-importing over a workspace that already holds data</t>
        </is>
      </c>
    </row>
    <row r="93">
      <c r="A93" s="6" t="inlineStr">
        <is>
          <t>This is the one genuinely new decision the change forces, and it is the one most likely to lose somebody's</t>
        </is>
      </c>
    </row>
    <row r="94">
      <c r="A94" s="6" t="inlineStr">
        <is>
          <t>work if it is decided carelessly. Somebody else maintains the source workbook; you will have hand-entered</t>
        </is>
      </c>
    </row>
    <row r="95">
      <c r="A95" s="6" t="inlineStr">
        <is>
          <t>assignments in the workspace. A silent replace destroys them, and a silent merge hides that it happened.</t>
        </is>
      </c>
    </row>
    <row r="97" ht="28" customHeight="1">
      <c r="A97" s="10" t="inlineStr">
        <is>
          <t>Option</t>
        </is>
      </c>
      <c r="B97" s="10" t="inlineStr">
        <is>
          <t>For</t>
        </is>
      </c>
      <c r="C97" s="10" t="inlineStr">
        <is>
          <t>Against</t>
        </is>
      </c>
      <c r="D97" s="10" t="inlineStr">
        <is>
          <t>Status</t>
        </is>
      </c>
    </row>
    <row r="98">
      <c r="A98" s="15" t="inlineStr">
        <is>
          <t>Replace everything</t>
        </is>
      </c>
      <c r="B98" s="16" t="inlineStr">
        <is>
          <t>Simple.</t>
        </is>
      </c>
      <c r="C98" s="16" t="inlineStr">
        <is>
          <t>Destroys hand-entered data with no warning.</t>
        </is>
      </c>
      <c r="D98" s="15" t="inlineStr">
        <is>
          <t>Rejected</t>
        </is>
      </c>
    </row>
    <row r="99">
      <c r="A99" s="13" t="inlineStr">
        <is>
          <t>Merge by key, source wins</t>
        </is>
      </c>
      <c r="B99" s="14" t="inlineStr">
        <is>
          <t>Keeps rows the import does not mention.</t>
        </is>
      </c>
      <c r="C99" s="14" t="inlineStr">
        <is>
          <t>Silently changes rows you edited deliberately.</t>
        </is>
      </c>
      <c r="D99" s="13" t="inlineStr">
        <is>
          <t>Rejected</t>
        </is>
      </c>
    </row>
    <row r="100">
      <c r="A100" s="11" t="inlineStr">
        <is>
          <t>Show the differences, decide per sheet</t>
        </is>
      </c>
      <c r="B100" s="12" t="inlineStr">
        <is>
          <t>Nothing is lost without being seen. The user keeps authority over their own data.</t>
        </is>
      </c>
      <c r="C100" s="12" t="inlineStr">
        <is>
          <t>One more dialog to build and to pass through.</t>
        </is>
      </c>
      <c r="D100" s="11" t="inlineStr">
        <is>
          <t>PROPOSED - NR-IMP-02, decision N-07</t>
        </is>
      </c>
    </row>
    <row r="101">
      <c r="A101" s="13" t="inlineStr">
        <is>
          <t>Refuse; require a new workspace</t>
        </is>
      </c>
      <c r="B101" s="14" t="inlineStr">
        <is>
          <t>Impossible to lose anything.</t>
        </is>
      </c>
      <c r="C101" s="14" t="inlineStr">
        <is>
          <t>Makes the ordinary case - refreshed project dates - painful.</t>
        </is>
      </c>
      <c r="D101" s="13" t="inlineStr">
        <is>
          <t>Rejected</t>
        </is>
      </c>
    </row>
    <row r="103">
      <c r="A103" s="8" t="inlineStr">
        <is>
          <t>Q-N05 asks you to confirm this. It is worth a moment's thought: it is the one place in the design where the wrong choice quietly loses work.</t>
        </is>
      </c>
    </row>
    <row r="104">
      <c r="A104" s="3" t="inlineStr">
        <is>
          <t>Legend</t>
        </is>
      </c>
    </row>
    <row r="105">
      <c r="A105" s="17" t="inlineStr">
        <is>
          <t>Green = new to the desktop application; nothing in the web application corresponds to it.</t>
        </is>
      </c>
    </row>
    <row r="106">
      <c r="A106" s="18" t="inlineStr">
        <is>
          <t>Orange = inherited from the web application but deliberately changed here.</t>
        </is>
      </c>
    </row>
    <row r="107">
      <c r="A107"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5" t="inlineStr">
        <is>
          <t>Claim on OPEN</t>
        </is>
      </c>
      <c r="B11" s="16" t="inlineStr">
        <is>
          <t>Simple to build.</t>
        </is>
      </c>
      <c r="C11" s="16"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5" t="inlineStr">
        <is>
          <t>READING</t>
        </is>
      </c>
      <c r="B18" s="16" t="inlineStr">
        <is>
          <t>The workspace is open and nobody in this session has tried to change anything.</t>
        </is>
      </c>
      <c r="C18" s="16" t="inlineStr">
        <is>
          <t>Everything except changing the workspace: all tabs, figures, graphs, filters, horizon, exports, Save As.</t>
        </is>
      </c>
      <c r="D18" s="16" t="inlineStr">
        <is>
          <t>Entered on open. Leaves to EDITING on the first edit attempt.</t>
        </is>
      </c>
    </row>
    <row r="19">
      <c r="A19" s="13" t="inlineStr">
        <is>
          <t>EDITING</t>
        </is>
      </c>
      <c r="B19" s="14" t="inlineStr">
        <is>
          <t>This session holds the claim.</t>
        </is>
      </c>
      <c r="C19" s="14" t="inlineStr">
        <is>
          <t>Everything. This is the ordinary working state, identical to the single-user case.</t>
        </is>
      </c>
      <c r="D19" s="14" t="inlineStr">
        <is>
          <t>Entered by a successful claim. Leaves on Save, on Leave-without-change, or on close.</t>
        </is>
      </c>
    </row>
    <row r="20">
      <c r="A20" s="15" t="inlineStr">
        <is>
          <t>BLOCKED</t>
        </is>
      </c>
      <c r="B20" s="16" t="inlineStr">
        <is>
          <t>This session tried to edit and somebody else holds the claim.</t>
        </is>
      </c>
      <c r="C20" s="16" t="inlineStr">
        <is>
          <t>Everything READING allows. The attempted edit did not happen, and the window says who holds the plan and since when.</t>
        </is>
      </c>
      <c r="D20" s="16" t="inlineStr">
        <is>
          <t>Entered by a refused claim. Leaves to READING, and offers EDITING the moment the holder releases.</t>
        </is>
      </c>
    </row>
    <row r="21">
      <c r="A21" s="13" t="inlineStr">
        <is>
          <t>STALE</t>
        </is>
      </c>
      <c r="B21" s="14" t="inlineStr">
        <is>
          <t>Somebody else has saved this workspace since this session read it.</t>
        </is>
      </c>
      <c r="C21" s="14" t="inlineStr">
        <is>
          <t>Everything READING allows, with a standing offer to reload. Editing from a stale view is refused until it reloads.</t>
        </is>
      </c>
      <c r="D21" s="14"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5" t="inlineStr">
        <is>
          <t>1</t>
        </is>
      </c>
      <c r="B28" s="16" t="inlineStr">
        <is>
          <t>Create a claim file beside the workspace, using an operation that FAILS if the file already exists.</t>
        </is>
      </c>
      <c r="C28" s="16" t="inlineStr">
        <is>
          <t>Not read-then-write: two sessions can both read 'no claim' and both then write one. Create-if-absent is decided by the filesystem, one winner, no race - and it works over SMB (NR-STO-13).</t>
        </is>
      </c>
    </row>
    <row r="29">
      <c r="A29" s="13" t="inlineStr">
        <is>
          <t>2</t>
        </is>
      </c>
      <c r="B29" s="14" t="inlineStr">
        <is>
          <t>The file records user name, machine name, process, the application version, and the time.</t>
        </is>
      </c>
      <c r="C29" s="14" t="inlineStr">
        <is>
          <t>So a refusal can name a person rather than saying 'locked' (NR-STO-12). 'Kim is editing this, since 09:14, on PC-4471' is actionable; 'file in use' is not.</t>
        </is>
      </c>
    </row>
    <row r="30">
      <c r="A30" s="15" t="inlineStr">
        <is>
          <t>3</t>
        </is>
      </c>
      <c r="B30" s="16" t="inlineStr">
        <is>
          <t>While the session holds the claim it rewrites the time inside it, every 30 seconds.</t>
        </is>
      </c>
      <c r="C30" s="16" t="inlineStr">
        <is>
          <t>A heartbeat. It is how a live holder is told apart from a dead one, without asking the user to guess (NR-STO-14).</t>
        </is>
      </c>
    </row>
    <row r="31">
      <c r="A31" s="13" t="inlineStr">
        <is>
          <t>4</t>
        </is>
      </c>
      <c r="B31" s="14" t="inlineStr">
        <is>
          <t>A claim whose heartbeat has not moved for 30 MINUTES expires and may be taken over.</t>
        </is>
      </c>
      <c r="C31" s="14" t="inlineStr">
        <is>
          <t>Your answer at Q-N16. Note that the heartbeat interval and the expiry are two different numbers - see the section below, which is where the value of keeping them apart shows.</t>
        </is>
      </c>
    </row>
    <row r="32">
      <c r="A32" s="15" t="inlineStr">
        <is>
          <t>5</t>
        </is>
      </c>
      <c r="B32" s="16" t="inlineStr">
        <is>
          <t>Saving re-reads the claim first, and refuses if it is no longer this session's.</t>
        </is>
      </c>
      <c r="C32" s="16"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5" t="inlineStr">
        <is>
          <t>Holder active - heartbeat within the last 30 seconds</t>
        </is>
      </c>
      <c r="B47" s="16" t="inlineStr">
        <is>
          <t>"Kim Min-jun is editing this plan (active now)."</t>
        </is>
      </c>
      <c r="C47" s="16" t="inlineStr">
        <is>
          <t>Wait, or telephone them. The plan is genuinely in use.</t>
        </is>
      </c>
    </row>
    <row r="48">
      <c r="A48" s="13" t="inlineStr">
        <is>
          <t>Holder silent - heartbeat older than 30 seconds</t>
        </is>
      </c>
      <c r="B48" s="14" t="inlineStr">
        <is>
          <t>"Kim Min-jun's session has not responded since 09:14. The plan becomes free at 09:44."</t>
        </is>
      </c>
      <c r="C48" s="14" t="inlineStr">
        <is>
          <t>The colleague can decide: wait 20 minutes, or call and ask. Both are informed choices.</t>
        </is>
      </c>
    </row>
    <row r="49">
      <c r="A49" s="15" t="inlineStr">
        <is>
          <t>Expired - heartbeat older than 30 minutes</t>
        </is>
      </c>
      <c r="B49" s="16" t="inlineStr">
        <is>
          <t>"Kim Min-jun's session stopped responding at 09:14. You may take over."</t>
        </is>
      </c>
      <c r="C49" s="16"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5" t="inlineStr">
        <is>
          <t>At launch, before any plan opens</t>
        </is>
      </c>
      <c r="B60" s="16" t="inlineStr">
        <is>
          <t>The application asks who you are. The first time it pre-fills your Windows account name and asks for the rest; afterwards it shows what it remembers and you confirm with one click. 'Not me' switches user, which matters on a shared PC.</t>
        </is>
      </c>
      <c r="C60" s="15" t="inlineStr">
        <is>
          <t>NR-USR-01..03</t>
        </is>
      </c>
    </row>
    <row r="61">
      <c r="A61" s="13" t="inlineStr">
        <is>
          <t>What is recorded</t>
        </is>
      </c>
      <c r="B61" s="14" t="inlineStr">
        <is>
          <t>A name and a DEPARTMENT. Nothing else - no e-mail, no telephone. A name and a department are what a colleague needs to find somebody in the company directory, and they are two fields people will actually fill in.</t>
        </is>
      </c>
      <c r="C61" s="13" t="inlineStr">
        <is>
          <t>NR-USR-04</t>
        </is>
      </c>
    </row>
    <row r="62">
      <c r="A62" s="15" t="inlineStr">
        <is>
          <t>Where the department comes from</t>
        </is>
      </c>
      <c r="B62" s="16"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5" t="inlineStr">
        <is>
          <t>NR-USR-10, NR-USR-11</t>
        </is>
      </c>
    </row>
    <row r="63">
      <c r="A63" s="13" t="inlineStr">
        <is>
          <t>Where it is kept</t>
        </is>
      </c>
      <c r="B63" s="14" t="inlineStr">
        <is>
          <t>In the user's own data folder - never in the shared application folder, where two people would overwrite each other.</t>
        </is>
      </c>
      <c r="C63" s="13" t="inlineStr">
        <is>
          <t>NR-USR-09</t>
        </is>
      </c>
    </row>
    <row r="64">
      <c r="A64" s="15" t="inlineStr">
        <is>
          <t>What the claim carries</t>
        </is>
      </c>
      <c r="B64" s="16" t="inlineStr">
        <is>
          <t>The holder's name and contact details, so the message can be acted on. Removed when the claim ends.</t>
        </is>
      </c>
      <c r="C64" s="15" t="inlineStr">
        <is>
          <t>NR-USR-05</t>
        </is>
      </c>
    </row>
    <row r="65">
      <c r="A65" s="13" t="inlineStr">
        <is>
          <t>What a blocked colleague sees</t>
        </is>
      </c>
      <c r="B65" s="14"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3" t="inlineStr">
        <is>
          <t>NR-STO-12, NR-USR-06</t>
        </is>
      </c>
    </row>
    <row r="66">
      <c r="A66" s="15" t="inlineStr">
        <is>
          <t>What else it improves</t>
        </is>
      </c>
      <c r="B66" s="16" t="inlineStr">
        <is>
          <t>A workspace records who last saved it and when, shown on opening. On a shared plan, whose figures these are matters as much as when they were made.</t>
        </is>
      </c>
      <c r="C66" s="15"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6" t="inlineStr">
        <is>
          <t>The holder saves and closes the workspace.</t>
        </is>
      </c>
      <c r="B73" s="16" t="inlineStr">
        <is>
          <t>Released immediately. A waiting session is offered it without reopening anything.</t>
        </is>
      </c>
    </row>
    <row r="74">
      <c r="A74" s="14" t="inlineStr">
        <is>
          <t>The holder discards their edits (Leave without change).</t>
        </is>
      </c>
      <c r="B74" s="14" t="inlineStr">
        <is>
          <t>Released immediately - there is nothing to protect any more.</t>
        </is>
      </c>
    </row>
    <row r="75">
      <c r="A75" s="16" t="inlineStr">
        <is>
          <t>The holder closes the application.</t>
        </is>
      </c>
      <c r="B75" s="16" t="inlineStr">
        <is>
          <t>Released on the way out, including on an unexpected close where the application still gets to run.</t>
        </is>
      </c>
    </row>
    <row r="76">
      <c r="A76" s="14" t="inlineStr">
        <is>
          <t>The holder's session dies without warning.</t>
        </is>
      </c>
      <c r="B76" s="14"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6" t="inlineStr">
        <is>
          <t>Row-level or section-level locking.</t>
        </is>
      </c>
      <c r="B82" s="16" t="inlineStr">
        <is>
          <t>Two people editing different parts of one plan at the same time is a different product, and it needs a merge model the storage format does not have. The claim covers the whole workspace (N-20).</t>
        </is>
      </c>
    </row>
    <row r="83">
      <c r="A83" s="14" t="inlineStr">
        <is>
          <t>Merging two people's changes.</t>
        </is>
      </c>
      <c r="B83" s="14" t="inlineStr">
        <is>
          <t>Out of scope, and it would change the file format. What is in scope is that no change is lost silently.</t>
        </is>
      </c>
    </row>
    <row r="84">
      <c r="A84" s="16" t="inlineStr">
        <is>
          <t>A queue of waiting editors.</t>
        </is>
      </c>
      <c r="B84" s="16" t="inlineStr">
        <is>
          <t>One waiting session is offered the claim when it frees. Beyond that, people can talk to each other.</t>
        </is>
      </c>
    </row>
    <row r="85">
      <c r="A85" s="14" t="inlineStr">
        <is>
          <t>An operating-system lock.</t>
        </is>
      </c>
      <c r="B85" s="14"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7" t="inlineStr">
        <is>
          <t>Green = new to the desktop application; nothing in the web application corresponds to it.</t>
        </is>
      </c>
    </row>
    <row r="90">
      <c r="A90" s="18" t="inlineStr">
        <is>
          <t>Orange = inherited from the web application but deliberately changed here.</t>
        </is>
      </c>
    </row>
    <row r="91">
      <c r="A91" s="19"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11" t="inlineStr">
        <is>
          <t>CONFIRMED at Gate N1</t>
        </is>
      </c>
    </row>
    <row r="6">
      <c r="A6" s="13" t="inlineStr">
        <is>
          <t>N-02</t>
        </is>
      </c>
      <c r="B6" s="14" t="inlineStr">
        <is>
          <t>The workspace is prap-source-data JSON, not SQLite and not xlsx.</t>
        </is>
      </c>
      <c r="C6" s="14" t="inlineStr">
        <is>
          <t>Small data, an existing round-trip-tested format, and it keeps a workspace directly readable by an AI agent. See sheet 05.</t>
        </is>
      </c>
      <c r="D6" s="11" t="inlineStr">
        <is>
          <t>CONFIRMED at Gate N1</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11" t="inlineStr">
        <is>
          <t>CONFIRMED at Gate N1</t>
        </is>
      </c>
    </row>
    <row r="8">
      <c r="A8" s="13" t="inlineStr">
        <is>
          <t>N-04</t>
        </is>
      </c>
      <c r="B8" s="14" t="inlineStr">
        <is>
          <t>Many workspaces, chosen by the user, with a recent list.</t>
        </is>
      </c>
      <c r="C8" s="14" t="inlineStr">
        <is>
          <t>You plan scenarios. A single implicit workspace would force overwriting one plan to explore another.</t>
        </is>
      </c>
      <c r="D8" s="11" t="inlineStr">
        <is>
          <t>CONFIRMED at Gate N1</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11" t="inlineStr">
        <is>
          <t>CONFIRMED at Gate N1</t>
        </is>
      </c>
    </row>
    <row r="10">
      <c r="A10" s="13" t="inlineStr">
        <is>
          <t>N-06</t>
        </is>
      </c>
      <c r="B10" s="14" t="inlineStr">
        <is>
          <t>The HTML application is frozen in feature terms at its v1.0. Shared-engine fixes reach it; desktop-only features do not.</t>
        </is>
      </c>
      <c r="C10" s="14" t="inlineStr">
        <is>
          <t>It is finished and in service. Keeping it a build target protects it; keeping it feature-frozen keeps it from becoming a second thing to design.</t>
        </is>
      </c>
      <c r="D10" s="11" t="inlineStr">
        <is>
          <t>CONFIRMED at Gate N1</t>
        </is>
      </c>
    </row>
    <row r="11">
      <c r="A11" s="15" t="inlineStr">
        <is>
          <t>N-07</t>
        </is>
      </c>
      <c r="B11" s="16" t="inlineStr">
        <is>
          <t>Re-import shows a difference and lets the user decide per sheet.</t>
        </is>
      </c>
      <c r="C11" s="16" t="inlineStr">
        <is>
          <t>The only option that cannot silently lose hand-entered work. See sheet 05.</t>
        </is>
      </c>
      <c r="D11" s="11" t="inlineStr">
        <is>
          <t>CONFIRMED at Gate N1</t>
        </is>
      </c>
    </row>
    <row r="12">
      <c r="A12" s="13" t="inlineStr">
        <is>
          <t>N-08</t>
        </is>
      </c>
      <c r="B12" s="14" t="inlineStr">
        <is>
          <t>Pending edits are journalled separately from the committed workspace.</t>
        </is>
      </c>
      <c r="C12" s="14" t="inlineStr">
        <is>
          <t>So recovery can offer them back without a half-typed row ever becoming committed data.</t>
        </is>
      </c>
      <c r="D12" s="11" t="inlineStr">
        <is>
          <t>CONFIRMED at Gate N1</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11" t="inlineStr">
        <is>
          <t>CONFIRMED at Gate N1</t>
        </is>
      </c>
    </row>
    <row r="14">
      <c r="A14" s="13" t="inlineStr">
        <is>
          <t>N-10</t>
        </is>
      </c>
      <c r="B14" s="14" t="inlineStr">
        <is>
          <t>Engine parity between the applications is mandatory and tested; visual parity is best-effort and documented.</t>
        </is>
      </c>
      <c r="C14" s="14" t="inlineStr">
        <is>
          <t>The figures must agree or both tools are worthless. Whether a dialog looks native matters much less.</t>
        </is>
      </c>
      <c r="D14" s="11" t="inlineStr">
        <is>
          <t>CONFIRMED at Gate N1</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11" t="inlineStr">
        <is>
          <t>CONFIRMED at Gate N1</t>
        </is>
      </c>
    </row>
    <row r="16">
      <c r="A16" s="13" t="inlineStr">
        <is>
          <t>N-12</t>
        </is>
      </c>
      <c r="B16" s="14" t="inlineStr">
        <is>
          <t>A workspace from a newer application version is refused, not partially read.</t>
        </is>
      </c>
      <c r="C16" s="14" t="inlineStr">
        <is>
          <t>Reading unknown fields and writing them back out is how data quietly disappears.</t>
        </is>
      </c>
      <c r="D16" s="11" t="inlineStr">
        <is>
          <t>CONFIRMED at Gate N1</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11" t="inlineStr">
        <is>
          <t>CONFIRMED at Gate N1</t>
        </is>
      </c>
    </row>
    <row r="18">
      <c r="A18" s="13" t="inlineStr">
        <is>
          <t>N-14</t>
        </is>
      </c>
      <c r="B18" s="14" t="inlineStr">
        <is>
          <t>The package is a plain folder that runs in place, delivered as a zip - not a single self-extracting executable.</t>
        </is>
      </c>
      <c r="C18" s="14" t="inlineStr">
        <is>
          <t>The single .exe unpacks about 180 MB to the temporary folder on every launch: slow to start, writes outside its own folder, and re-scanned by anti-virus each time. It only looks more portable. See sheet 04.</t>
        </is>
      </c>
      <c r="D18" s="11" t="inlineStr">
        <is>
          <t>CONFIRMED at Gate N1</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11" t="inlineStr">
        <is>
          <t>CONFIRMED at Gate N1</t>
        </is>
      </c>
    </row>
    <row r="20">
      <c r="A20" s="13" t="inlineStr">
        <is>
          <t>N-16</t>
        </is>
      </c>
      <c r="B20" s="14" t="inlineStr">
        <is>
          <t>Where data lives is resolved in one fixed order, and the chosen location is shown in the About dialog.</t>
        </is>
      </c>
      <c r="C20" s="14" t="inlineStr">
        <is>
          <t>A portable application that guesses where its data went is a support problem. Four rules, always in the same order, always visible. The last of them creates a shortcut the user owns rather than hidden state in their profile.</t>
        </is>
      </c>
      <c r="D20" s="11" t="inlineStr">
        <is>
          <t>CONFIRMED at Gate N1</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11" t="inlineStr">
        <is>
          <t>CONFIRMED at Gate N1</t>
        </is>
      </c>
    </row>
    <row r="22">
      <c r="A22" s="13" t="inlineStr">
        <is>
          <t>N-18</t>
        </is>
      </c>
      <c r="B22" s="14" t="inlineStr">
        <is>
          <t>Concurrent use is designed for unconditionally, not only if the shared folder is adopted.</t>
        </is>
      </c>
      <c r="C22" s="14" t="inlineStr">
        <is>
          <t>Q-N12 says 'could be considered'. The cost of building the marker anyway is one small file; the cost of not building it, and then adopting the share, is somebody's lost afternoon. This also supersedes Q-N06 - it no longer matters what the answer is.</t>
        </is>
      </c>
      <c r="D22" s="11" t="inlineStr">
        <is>
          <t>CONFIRMED at Gate N1</t>
        </is>
      </c>
    </row>
    <row r="23">
      <c r="A23" s="15" t="inlineStr">
        <is>
          <t>N-19</t>
        </is>
      </c>
      <c r="B23" s="16" t="inlineStr">
        <is>
          <t>The write claim is made at the first EDIT, not when the workspace is opened.</t>
        </is>
      </c>
      <c r="C23" s="16"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11" t="inlineStr">
        <is>
          <t>CONFIRMED at Gate N1</t>
        </is>
      </c>
    </row>
    <row r="24">
      <c r="A24" s="13" t="inlineStr">
        <is>
          <t>N-20</t>
        </is>
      </c>
      <c r="B24" s="14" t="inlineStr">
        <is>
          <t>The claim covers the whole workspace, not a row or a section.</t>
        </is>
      </c>
      <c r="C24" s="14" t="inlineStr">
        <is>
          <t>Part-locking implies merging two people's edits, which the storage format cannot express and which is a different product. The requirement given - block other sessions from updating while somebody edits - is met in full by a whole-workspace claim.</t>
        </is>
      </c>
      <c r="D24" s="11" t="inlineStr">
        <is>
          <t>CONFIRMED at Gate N1</t>
        </is>
      </c>
    </row>
    <row r="25">
      <c r="A25" s="15" t="inlineStr">
        <is>
          <t>N-21</t>
        </is>
      </c>
      <c r="B25" s="16" t="inlineStr">
        <is>
          <t>The claim is a file created by an operation that fails if it already exists, kept alive by a heartbeat.</t>
        </is>
      </c>
      <c r="C25" s="16" t="inlineStr">
        <is>
          <t>Read-then-write loses races; two sessions can both see 'free'. Create-if-absent has one winner, decided by the filesystem, and works over SMB. The heartbeat is what tells a live holder from a crashed one without asking a user to guess.</t>
        </is>
      </c>
      <c r="D25" s="11" t="inlineStr">
        <is>
          <t>CONFIRMED at Gate N1</t>
        </is>
      </c>
    </row>
    <row r="26">
      <c r="A26" s="13" t="inlineStr">
        <is>
          <t>N-22</t>
        </is>
      </c>
      <c r="B26" s="14" t="inlineStr">
        <is>
          <t>Saving keeps the claim; only closing or discarding releases it.</t>
        </is>
      </c>
      <c r="C26" s="14" t="inlineStr">
        <is>
          <t>Releasing on save would hand the plan to somebody else in the middle of a working session, which is exactly when it must not move.</t>
        </is>
      </c>
      <c r="D26" s="11" t="inlineStr">
        <is>
          <t>CONFIRMED at Gate N1</t>
        </is>
      </c>
    </row>
    <row r="27">
      <c r="A27" s="15" t="inlineStr">
        <is>
          <t>N-23</t>
        </is>
      </c>
      <c r="B27" s="16" t="inlineStr">
        <is>
          <t>The heartbeat interval (30 seconds) and the expiry (30 minutes) are separate numbers.</t>
        </is>
      </c>
      <c r="C27" s="16"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11" t="inlineStr">
        <is>
          <t>CONFIRMED at Gate N1</t>
        </is>
      </c>
    </row>
    <row r="28">
      <c r="A28" s="13" t="inlineStr">
        <is>
          <t>N-24</t>
        </is>
      </c>
      <c r="B28" s="14" t="inlineStr">
        <is>
          <t>A user may reclaim their own stalled claim immediately, without waiting out the expiry.</t>
        </is>
      </c>
      <c r="C28" s="14" t="inlineStr">
        <is>
          <t>Thirty minutes locked out of somebody else's plan is a policy; thirty minutes locked out of your OWN plan because your application crashed is just an obstruction. Same name and same machine is enough evidence for this purpose.</t>
        </is>
      </c>
      <c r="D28" s="11" t="inlineStr">
        <is>
          <t>CONFIRMED at Gate N1</t>
        </is>
      </c>
    </row>
    <row r="29">
      <c r="A29" s="15" t="inlineStr">
        <is>
          <t>N-25</t>
        </is>
      </c>
      <c r="B29" s="16" t="inlineStr">
        <is>
          <t>Identity is declared by the user, not authenticated.</t>
        </is>
      </c>
      <c r="C29" s="16"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11" t="inlineStr">
        <is>
          <t>CONFIRMED at Gate N1</t>
        </is>
      </c>
    </row>
    <row r="30">
      <c r="A30" s="13" t="inlineStr">
        <is>
          <t>N-26</t>
        </is>
      </c>
      <c r="B30" s="14" t="inlineStr">
        <is>
          <t>The name is pre-filled from the Windows account but stays editable.</t>
        </is>
      </c>
      <c r="C30" s="14" t="inlineStr">
        <is>
          <t>Free accuracy for the common case without a login system, and editable because a Windows account name is often not how colleagues know each other.</t>
        </is>
      </c>
      <c r="D30" s="11" t="inlineStr">
        <is>
          <t>CONFIRMED at Gate N1</t>
        </is>
      </c>
    </row>
    <row r="31">
      <c r="A31" s="15" t="inlineStr">
        <is>
          <t>N-27</t>
        </is>
      </c>
      <c r="B31" s="16" t="inlineStr">
        <is>
          <t>The holder's name and department travel inside the claim, and are removed with it.</t>
        </is>
      </c>
      <c r="C31" s="16" t="inlineStr">
        <is>
          <t>A message that names somebody but not where to find them leaves the colleague exactly as stuck. Nothing personal outlives the claim it was written for.</t>
        </is>
      </c>
      <c r="D31" s="11" t="inlineStr">
        <is>
          <t>CONFIRMED at Gate N1</t>
        </is>
      </c>
    </row>
    <row r="32">
      <c r="A32" s="13" t="inlineStr">
        <is>
          <t>N-28</t>
        </is>
      </c>
      <c r="B32" s="14" t="inlineStr">
        <is>
          <t>An identity is a name and a department, and nothing else.</t>
        </is>
      </c>
      <c r="C32" s="14"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11" t="inlineStr">
        <is>
          <t>CONFIRMED at Gate N1</t>
        </is>
      </c>
    </row>
    <row r="33">
      <c r="A33" s="15" t="inlineStr">
        <is>
          <t>N-29</t>
        </is>
      </c>
      <c r="B33" s="16" t="inlineStr">
        <is>
          <t>The application is 'Project Management APP' on screen, PM_APP as folder and executable.</t>
        </is>
      </c>
      <c r="C33" s="16" t="inlineStr">
        <is>
          <t>Your answer at Q-N11. The documents keep the PRAP_NewApp_ prefix so this plan stays findable beside the web application's; say if you would rather they were renamed to match.</t>
        </is>
      </c>
      <c r="D33" s="11" t="inlineStr">
        <is>
          <t>CONFIRMED at Gate N1</t>
        </is>
      </c>
    </row>
    <row r="34">
      <c r="A34" s="13" t="inlineStr">
        <is>
          <t>N-30</t>
        </is>
      </c>
      <c r="B34" s="14" t="inlineStr">
        <is>
          <t>One previous version of a workspace is retained, and it is a setting rather than a constant.</t>
        </is>
      </c>
      <c r="C34" s="14" t="inlineStr">
        <is>
          <t>Your answer at Q-N07. Recorded with its consequence rather than silently: two bad saves in a row leave nothing good to return to (R-N19). Keeping it a setting means raising it later costs nothing, and the Excel export remains an archive no save can touch.</t>
        </is>
      </c>
      <c r="D34" s="11" t="inlineStr">
        <is>
          <t>CONFIRMED at Gate N1</t>
        </is>
      </c>
    </row>
    <row r="35">
      <c r="A35" s="15" t="inlineStr">
        <is>
          <t>N-31</t>
        </is>
      </c>
      <c r="B35" s="16" t="inlineStr">
        <is>
          <t>Both distribution arrangements are first-class: run from the share, or copy from it and run locally.</t>
        </is>
      </c>
      <c r="C35" s="16" t="inlineStr">
        <is>
          <t>Your answer at Q-N14. Neither is treated as the fallback, both are tested, and the user guide states what each costs in launch time rather than recommending one and leaving the other undocumented.</t>
        </is>
      </c>
      <c r="D35" s="11" t="inlineStr">
        <is>
          <t>CONFIRMED at Gate N1</t>
        </is>
      </c>
    </row>
    <row r="36">
      <c r="A36" s="13" t="inlineStr">
        <is>
          <t>N-32</t>
        </is>
      </c>
      <c r="B36" s="14" t="inlineStr">
        <is>
          <t>The application never encrypts anything itself; where files must be protected, the company's own protection is applied to the folder.</t>
        </is>
      </c>
      <c r="C36" s="14" t="inlineStr">
        <is>
          <t>Following from Q-N04. An application that encrypts its own data becomes the only thing that can read it - and when it will not start, the data is gone. What the application owes instead is a clear message when it meets a file it cannot read (NR-IMP-06).</t>
        </is>
      </c>
      <c r="D36" s="11" t="inlineStr">
        <is>
          <t>CONFIRMED at Gate N1</t>
        </is>
      </c>
    </row>
    <row r="38">
      <c r="A38" s="8" t="inlineStr">
        <is>
          <t>All thirty-two are confirmed by the Gate N1 approval of 2026-08-13 rather than by a further review round - the same route decisions C-06..C-11 of the web application plan took at its own Gate 1. Any of them can still be changed, but from here it costs a version and a re-approval, and N-01 and N-02 become expensive to reverse once Gate N2 closes.</t>
        </is>
      </c>
    </row>
    <row r="40">
      <c r="A40" s="5" t="inlineStr">
        <is>
          <t>Inherited and unchanged</t>
        </is>
      </c>
    </row>
    <row r="41">
      <c r="A4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6"/>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PRAP_NewApp_Development_Plan_v1.5.xlsx</t>
        </is>
      </c>
      <c r="E5" s="15" t="inlineStr">
        <is>
          <t>Complete - issued for review</t>
        </is>
      </c>
    </row>
    <row r="6">
      <c r="A6" s="13" t="inlineStr">
        <is>
          <t>N1</t>
        </is>
      </c>
      <c r="B6" s="13" t="inlineStr">
        <is>
          <t>N1.2</t>
        </is>
      </c>
      <c r="C6" s="14" t="inlineStr">
        <is>
          <t>Requester reviews across six rounds; all 18 questions answered.</t>
        </is>
      </c>
      <c r="D6" s="14" t="inlineStr">
        <is>
          <t>v0.6_reviewed mark-up</t>
        </is>
      </c>
      <c r="E6" s="13" t="inlineStr">
        <is>
          <t>Complete</t>
        </is>
      </c>
    </row>
    <row r="7">
      <c r="A7" s="15" t="inlineStr">
        <is>
          <t>N1</t>
        </is>
      </c>
      <c r="B7" s="15" t="inlineStr">
        <is>
          <t>N1.3</t>
        </is>
      </c>
      <c r="C7" s="16" t="inlineStr">
        <is>
          <t>Apply the answers and re-issue, round by round.</t>
        </is>
      </c>
      <c r="D7" s="16" t="inlineStr">
        <is>
          <t>Plans v0.2 to v0.7</t>
        </is>
      </c>
      <c r="E7" s="15" t="inlineStr">
        <is>
          <t>Complete</t>
        </is>
      </c>
    </row>
    <row r="8">
      <c r="A8" s="13" t="inlineStr">
        <is>
          <t>N1</t>
        </is>
      </c>
      <c r="B8" s="13" t="inlineStr">
        <is>
          <t>GN1</t>
        </is>
      </c>
      <c r="C8" s="14" t="inlineStr">
        <is>
          <t>GATE N1 CLOSED - approved by direction 2026-08-13. Decisions N-01..N-32 confirmed. Step N2 authorised.</t>
        </is>
      </c>
      <c r="D8" s="14" t="inlineStr">
        <is>
          <t>Plan v1.0</t>
        </is>
      </c>
      <c r="E8" s="13" t="inlineStr">
        <is>
          <t>Complete</t>
        </is>
      </c>
    </row>
    <row r="9">
      <c r="A9" s="15" t="inlineStr">
        <is>
          <t>N2</t>
        </is>
      </c>
      <c r="B9" s="15" t="inlineStr">
        <is>
          <t>N2.1</t>
        </is>
      </c>
      <c r="C9" s="16" t="inlineStr">
        <is>
          <t>Split the source into core / ui / storage / shell-web, with a build step that re-emits app/PRAP.html. NO behaviour change.</t>
        </is>
      </c>
      <c r="D9" s="16" t="inlineStr">
        <is>
          <t>src/ + tools/build_app.py</t>
        </is>
      </c>
      <c r="E9" s="15" t="inlineStr">
        <is>
          <t>Complete</t>
        </is>
      </c>
    </row>
    <row r="10">
      <c r="A10" s="13" t="inlineStr">
        <is>
          <t>N2</t>
        </is>
      </c>
      <c r="B10" s="13" t="inlineStr">
        <is>
          <t>N2.2</t>
        </is>
      </c>
      <c r="C10" s="14" t="inlineStr">
        <is>
          <t>Prove the refactor changed nothing: the rebuilt file is byte-identical, and all 13 existing suites pass against it unmodified.</t>
        </is>
      </c>
      <c r="D10" s="14" t="inlineStr">
        <is>
          <t>tools/test_layers.py + suite run</t>
        </is>
      </c>
      <c r="E10" s="13" t="inlineStr">
        <is>
          <t>Complete - byte-identical; 13/13 suites pass</t>
        </is>
      </c>
    </row>
    <row r="11">
      <c r="A11" s="15" t="inlineStr">
        <is>
          <t>N2</t>
        </is>
      </c>
      <c r="B11" s="15" t="inlineStr">
        <is>
          <t>N2.3</t>
        </is>
      </c>
      <c r="C11" s="16" t="inlineStr">
        <is>
          <t>Specify the storage interface and the workspace file format.</t>
        </is>
      </c>
      <c r="D11" s="16" t="inlineStr">
        <is>
          <t>Specification sheets 03, 04</t>
        </is>
      </c>
      <c r="E11" s="15" t="inlineStr">
        <is>
          <t>Complete - issued for review</t>
        </is>
      </c>
    </row>
    <row r="12">
      <c r="A12" s="13" t="inlineStr">
        <is>
          <t>N2</t>
        </is>
      </c>
      <c r="B12" s="13" t="inlineStr">
        <is>
          <t>N2.4</t>
        </is>
      </c>
      <c r="C12" s="14" t="inlineStr">
        <is>
          <t>Specify the desktop shell: window, menus, dialogs, recent files, drag-and-drop, About; and user identity.</t>
        </is>
      </c>
      <c r="D12" s="14" t="inlineStr">
        <is>
          <t>Specification sheets 05, 08</t>
        </is>
      </c>
      <c r="E12" s="13" t="inlineStr">
        <is>
          <t>Complete - issued for review</t>
        </is>
      </c>
    </row>
    <row r="13">
      <c r="A13" s="15" t="inlineStr">
        <is>
          <t>N2</t>
        </is>
      </c>
      <c r="B13" s="15" t="inlineStr">
        <is>
          <t>N2.5</t>
        </is>
      </c>
      <c r="C13" s="16" t="inlineStr">
        <is>
          <t>Specify save safety, version retention, journalling and recovery; and the write claim.</t>
        </is>
      </c>
      <c r="D13" s="16" t="inlineStr">
        <is>
          <t>Specification sheets 06, 07</t>
        </is>
      </c>
      <c r="E13" s="15" t="inlineStr">
        <is>
          <t>Complete - issued for review</t>
        </is>
      </c>
    </row>
    <row r="14">
      <c r="A14" s="13" t="inlineStr">
        <is>
          <t>N2</t>
        </is>
      </c>
      <c r="B14" s="13" t="inlineStr">
        <is>
          <t>N2.6</t>
        </is>
      </c>
      <c r="C14" s="14" t="inlineStr">
        <is>
          <t>Specify the re-import difference report, the look-without-a-workspace path, and protected files.</t>
        </is>
      </c>
      <c r="D14" s="14" t="inlineStr">
        <is>
          <t>Specification sheet 09</t>
        </is>
      </c>
      <c r="E14" s="13" t="inlineStr">
        <is>
          <t>Complete - issued for review</t>
        </is>
      </c>
    </row>
    <row r="15">
      <c r="A15" s="15" t="inlineStr">
        <is>
          <t>N2</t>
        </is>
      </c>
      <c r="B15" s="15" t="inlineStr">
        <is>
          <t>N2.7</t>
        </is>
      </c>
      <c r="C15" s="16" t="inlineStr">
        <is>
          <t>Specify packaging, deployment, the folder layout, data resolution and update.</t>
        </is>
      </c>
      <c r="D15" s="16" t="inlineStr">
        <is>
          <t>Specification sheet 10</t>
        </is>
      </c>
      <c r="E15" s="15" t="inlineStr">
        <is>
          <t>Complete - issued for review</t>
        </is>
      </c>
    </row>
    <row r="16">
      <c r="A16" s="13" t="inlineStr">
        <is>
          <t>N2</t>
        </is>
      </c>
      <c r="B16" s="13" t="inlineStr">
        <is>
          <t>N2.8</t>
        </is>
      </c>
      <c r="C16" s="14" t="inlineStr">
        <is>
          <t>Traceability matrix: every NR-id to a specification section, read from the plan rather than re-typed.</t>
        </is>
      </c>
      <c r="D16" s="14" t="inlineStr">
        <is>
          <t>Specification sheet 11</t>
        </is>
      </c>
      <c r="E16" s="13" t="inlineStr">
        <is>
          <t>Complete - 69/69 specified</t>
        </is>
      </c>
    </row>
    <row r="17">
      <c r="A17" s="15" t="inlineStr">
        <is>
          <t>N2</t>
        </is>
      </c>
      <c r="B17" s="15" t="inlineStr">
        <is>
          <t>GN2</t>
        </is>
      </c>
      <c r="C17" s="16" t="inlineStr">
        <is>
          <t>GATE N2 CLOSED - specification approved 2026-08-13; all seven open points agreed. Step N3 authorised.</t>
        </is>
      </c>
      <c r="D17" s="16" t="inlineStr">
        <is>
          <t>PRAP_NewApp_Specification_v1.0.xlsx</t>
        </is>
      </c>
      <c r="E17" s="15" t="inlineStr">
        <is>
          <t>Complete</t>
        </is>
      </c>
    </row>
    <row r="18">
      <c r="A18" s="13" t="inlineStr">
        <is>
          <t>N3</t>
        </is>
      </c>
      <c r="B18" s="13" t="inlineStr">
        <is>
          <t>N3.1</t>
        </is>
      </c>
      <c r="C18" s="14" t="inlineStr">
        <is>
          <t>Desktop-specific UI design: eight screens, built as a clickable prototype; then the real application wrapped in the desktop chrome and loaded with the 62-project dummy dataset, so the figures and charts can be reviewed as they will be.</t>
        </is>
      </c>
      <c r="D18" s="14" t="inlineStr">
        <is>
          <t>app/PM_APP_Prototype_v0.2.html</t>
        </is>
      </c>
      <c r="E18" s="13" t="inlineStr">
        <is>
          <t>Complete - issued for review</t>
        </is>
      </c>
    </row>
    <row r="19">
      <c r="A19" s="15" t="inlineStr">
        <is>
          <t>N3</t>
        </is>
      </c>
      <c r="B19" s="15" t="inlineStr">
        <is>
          <t>N3.2</t>
        </is>
      </c>
      <c r="C19" s="16" t="inlineStr">
        <is>
          <t>List every deliberate divergence from the web UI, with its reason (NR-PAR-04).</t>
        </is>
      </c>
      <c r="D19" s="16" t="inlineStr">
        <is>
          <t>Component list sheet 03 - 9 divergences</t>
        </is>
      </c>
      <c r="E19" s="15" t="inlineStr">
        <is>
          <t>Complete - issued for review</t>
        </is>
      </c>
    </row>
    <row r="20">
      <c r="A20" s="13" t="inlineStr">
        <is>
          <t>N3</t>
        </is>
      </c>
      <c r="B20" s="13" t="inlineStr">
        <is>
          <t>N3.3</t>
        </is>
      </c>
      <c r="C20" s="14" t="inlineStr">
        <is>
          <t>Requester reviews the prototype and the component list.</t>
        </is>
      </c>
      <c r="D20" s="14" t="inlineStr">
        <is>
          <t>v0.2_reviewed mark-up</t>
        </is>
      </c>
      <c r="E20" s="13" t="inlineStr">
        <is>
          <t>Complete</t>
        </is>
      </c>
    </row>
    <row r="21">
      <c r="A21" s="15" t="inlineStr">
        <is>
          <t>N3</t>
        </is>
      </c>
      <c r="B21" s="15" t="inlineStr">
        <is>
          <t>GN3</t>
        </is>
      </c>
      <c r="C21" s="16" t="inlineStr">
        <is>
          <t>GATE N3 CLOSED - component list v1.0 approved 2026-08-13, with change C-N01. Step N4 authorised.</t>
        </is>
      </c>
      <c r="D21" s="16" t="inlineStr">
        <is>
          <t>PRAP_NewApp_Component_List_v1.0.xlsx</t>
        </is>
      </c>
      <c r="E21" s="15" t="inlineStr">
        <is>
          <t>Complete</t>
        </is>
      </c>
    </row>
    <row r="22">
      <c r="A22" s="13" t="inlineStr">
        <is>
          <t>N4</t>
        </is>
      </c>
      <c r="B22" s="13" t="inlineStr">
        <is>
          <t>N4.1</t>
        </is>
      </c>
      <c r="C22" s="14" t="inlineStr">
        <is>
          <t>Desktop shell: application window, menu bar, native dialogs, window state.</t>
        </is>
      </c>
      <c r="D22" s="14" t="inlineStr">
        <is>
          <t>src/shell/desktop/main.js, preload.js, paths.js</t>
        </is>
      </c>
      <c r="E22" s="13" t="inlineStr">
        <is>
          <t>Complete - 23 checks in a running application</t>
        </is>
      </c>
    </row>
    <row r="23">
      <c r="A23" s="15" t="inlineStr">
        <is>
          <t>N4</t>
        </is>
      </c>
      <c r="B23" s="15" t="inlineStr">
        <is>
          <t>N4.2</t>
        </is>
      </c>
      <c r="C23" s="16" t="inlineStr">
        <is>
          <t>Filesystem storage adapter: open, save, atomic write, version history.</t>
        </is>
      </c>
      <c r="D23" s="16" t="inlineStr">
        <is>
          <t>src/storage/desktop/workspace.js</t>
        </is>
      </c>
      <c r="E23" s="15" t="inlineStr">
        <is>
          <t>Complete - killed mid-write 12 times, always wholly old or wholly new</t>
        </is>
      </c>
    </row>
    <row r="24">
      <c r="A24" s="13" t="inlineStr">
        <is>
          <t>N4</t>
        </is>
      </c>
      <c r="B24" s="13" t="inlineStr">
        <is>
          <t>N4.3</t>
        </is>
      </c>
      <c r="C24" s="14" t="inlineStr">
        <is>
          <t>Workspace lifecycle: new, open, save, save as, recent list, reopen last at launch.</t>
        </is>
      </c>
      <c r="D24" s="14" t="inlineStr">
        <is>
          <t>src/shell/desktop/main.js</t>
        </is>
      </c>
      <c r="E24" s="13" t="inlineStr">
        <is>
          <t>Complete</t>
        </is>
      </c>
    </row>
    <row r="25">
      <c r="A25" s="15" t="inlineStr">
        <is>
          <t>N4</t>
        </is>
      </c>
      <c r="B25" s="15" t="inlineStr">
        <is>
          <t>N4.4</t>
        </is>
      </c>
      <c r="C25" s="16" t="inlineStr">
        <is>
          <t>Journalling and crash recovery.</t>
        </is>
      </c>
      <c r="D25" s="16" t="inlineStr">
        <is>
          <t>src/storage/desktop/workspace.js</t>
        </is>
      </c>
      <c r="E25" s="15" t="inlineStr">
        <is>
          <t>Complete - the storage half; the prompt is N4.4d</t>
        </is>
      </c>
    </row>
    <row r="26">
      <c r="A26" s="13" t="inlineStr">
        <is>
          <t>N4</t>
        </is>
      </c>
      <c r="B26" s="13" t="inlineStr">
        <is>
          <t>N4.4b</t>
        </is>
      </c>
      <c r="C26" s="14" t="inlineStr">
        <is>
          <t>Data-location resolution, the About dialog that shows it, and the personal shortcut.</t>
        </is>
      </c>
      <c r="D26" s="14" t="inlineStr">
        <is>
          <t>src/shell/desktop/paths.js</t>
        </is>
      </c>
      <c r="E26" s="13" t="inlineStr">
        <is>
          <t>Complete - the shortcut is outstanding</t>
        </is>
      </c>
    </row>
    <row r="27">
      <c r="A27" s="15" t="inlineStr">
        <is>
          <t>N4</t>
        </is>
      </c>
      <c r="B27" s="15" t="inlineStr">
        <is>
          <t>N4.4c</t>
        </is>
      </c>
      <c r="C27" s="16" t="inlineStr">
        <is>
          <t>The write claim: create-if-absent, the heartbeat, expiry and takeover, and the re-check before every save.</t>
        </is>
      </c>
      <c r="D27" s="16" t="inlineStr">
        <is>
          <t>src/storage/desktop/claim.js</t>
        </is>
      </c>
      <c r="E27" s="15" t="inlineStr">
        <is>
          <t>Complete - one winner from eight racing processes</t>
        </is>
      </c>
    </row>
    <row r="28">
      <c r="A28" s="13" t="inlineStr">
        <is>
          <t>N4</t>
        </is>
      </c>
      <c r="B28" s="13" t="inlineStr">
        <is>
          <t>N4.4d</t>
        </is>
      </c>
      <c r="C28" s="14" t="inlineStr">
        <is>
          <t>The four session states on screen: who holds the plan, the refusal that names them, the offer when it frees, and the staleness notice with its reload.</t>
        </is>
      </c>
      <c r="D28" s="14" t="inlineStr">
        <is>
          <t>ui/</t>
        </is>
      </c>
      <c r="E28" s="13" t="inlineStr">
        <is>
          <t>Not started</t>
        </is>
      </c>
    </row>
    <row r="29">
      <c r="A29" s="15" t="inlineStr">
        <is>
          <t>N4</t>
        </is>
      </c>
      <c r="B29" s="15" t="inlineStr">
        <is>
          <t>N4.4e</t>
        </is>
      </c>
      <c r="C29" s="16" t="inlineStr">
        <is>
          <t>User identity: the launch prompt, remembering and confirming it, switching user, contact details, and the blocked message that carries them.</t>
        </is>
      </c>
      <c r="D29" s="16" t="inlineStr">
        <is>
          <t>shell/desktop/ + ui/</t>
        </is>
      </c>
      <c r="E29" s="15" t="inlineStr">
        <is>
          <t>Not started</t>
        </is>
      </c>
    </row>
    <row r="30">
      <c r="A30" s="13" t="inlineStr">
        <is>
          <t>N4</t>
        </is>
      </c>
      <c r="B30" s="13" t="inlineStr">
        <is>
          <t>N4.5</t>
        </is>
      </c>
      <c r="C30" s="14" t="inlineStr">
        <is>
          <t>Import into an occupied workspace: the difference view and the per-sheet decision.</t>
        </is>
      </c>
      <c r="D30" s="14" t="inlineStr">
        <is>
          <t>ui/</t>
        </is>
      </c>
      <c r="E30" s="13" t="inlineStr">
        <is>
          <t>Not started</t>
        </is>
      </c>
    </row>
    <row r="31">
      <c r="A31" s="15" t="inlineStr">
        <is>
          <t>N4</t>
        </is>
      </c>
      <c r="B31" s="15" t="inlineStr">
        <is>
          <t>N4.6</t>
        </is>
      </c>
      <c r="C31" s="16" t="inlineStr">
        <is>
          <t>Parity suite: identical input through both applications, identical figures, findings and exports.</t>
        </is>
      </c>
      <c r="D31" s="16" t="inlineStr">
        <is>
          <t>tools/test_parity.py</t>
        </is>
      </c>
      <c r="E31" s="15" t="inlineStr">
        <is>
          <t>Not started</t>
        </is>
      </c>
    </row>
    <row r="32">
      <c r="A32" s="13" t="inlineStr">
        <is>
          <t>N4</t>
        </is>
      </c>
      <c r="B32" s="13" t="inlineStr">
        <is>
          <t>N4.7</t>
        </is>
      </c>
      <c r="C32" s="14" t="inlineStr">
        <is>
          <t>Persistence suite: save, close, relaunch, verify; kill mid-write, verify; recover pending edits.</t>
        </is>
      </c>
      <c r="D32" s="14" t="inlineStr">
        <is>
          <t>tools/test_persist.py</t>
        </is>
      </c>
      <c r="E32" s="13" t="inlineStr">
        <is>
          <t>Not started</t>
        </is>
      </c>
    </row>
    <row r="33">
      <c r="A33" s="15" t="inlineStr">
        <is>
          <t>N4</t>
        </is>
      </c>
      <c r="B33" s="15" t="inlineStr">
        <is>
          <t>N4.8</t>
        </is>
      </c>
      <c r="C33" s="16" t="inlineStr">
        <is>
          <t>Requester reviews against real data; refinements folded in.</t>
        </is>
      </c>
      <c r="D33" s="16" t="inlineStr">
        <is>
          <t>Updated code</t>
        </is>
      </c>
      <c r="E33" s="15" t="inlineStr">
        <is>
          <t>Not started</t>
        </is>
      </c>
    </row>
    <row r="34">
      <c r="A34" s="13" t="inlineStr">
        <is>
          <t>N4</t>
        </is>
      </c>
      <c r="B34" s="13" t="inlineStr">
        <is>
          <t>GN4</t>
        </is>
      </c>
      <c r="C34" s="14" t="inlineStr">
        <is>
          <t>GATE N4 - application functionally complete.</t>
        </is>
      </c>
      <c r="D34" s="14" t="inlineStr">
        <is>
          <t>Project Management APP v0.9</t>
        </is>
      </c>
      <c r="E34" s="13" t="inlineStr">
        <is>
          <t>Not started</t>
        </is>
      </c>
    </row>
    <row r="35">
      <c r="A35" s="15" t="inlineStr">
        <is>
          <t>N5</t>
        </is>
      </c>
      <c r="B35" s="15" t="inlineStr">
        <is>
          <t>N5.1</t>
        </is>
      </c>
      <c r="C35" s="16" t="inlineStr">
        <is>
          <t>Package as a plain Windows folder delivered in a zip; verify it launches with no installation and no administrator rights.</t>
        </is>
      </c>
      <c r="D35" s="16" t="inlineStr">
        <is>
          <t>PM_APP_v&lt;ver&gt;.zip</t>
        </is>
      </c>
      <c r="E35" s="15" t="inlineStr">
        <is>
          <t>Not started</t>
        </is>
      </c>
    </row>
    <row r="36">
      <c r="A36" s="13" t="inlineStr">
        <is>
          <t>N5</t>
        </is>
      </c>
      <c r="B36" s="13" t="inlineStr">
        <is>
          <t>N5.2</t>
        </is>
      </c>
      <c r="C36" s="14" t="inlineStr">
        <is>
          <t>Verify no socket is opened, offline, for a full session (NR-SEC-01).</t>
        </is>
      </c>
      <c r="D36" s="14" t="inlineStr">
        <is>
          <t>Test evidence</t>
        </is>
      </c>
      <c r="E36" s="13" t="inlineStr">
        <is>
          <t>Not started</t>
        </is>
      </c>
    </row>
    <row r="37">
      <c r="A37" s="15" t="inlineStr">
        <is>
          <t>N5</t>
        </is>
      </c>
      <c r="B37" s="15" t="inlineStr">
        <is>
          <t>N5.3</t>
        </is>
      </c>
      <c r="C37" s="16" t="inlineStr">
        <is>
          <t>Portability suite: run the folder, then copy it to another path and another PC and run it again; verify the recent list and settings survive (NR-DEP-08).</t>
        </is>
      </c>
      <c r="D37" s="16" t="inlineStr">
        <is>
          <t>tools/test_portable.py</t>
        </is>
      </c>
      <c r="E37" s="15" t="inlineStr">
        <is>
          <t>Not started</t>
        </is>
      </c>
    </row>
    <row r="38">
      <c r="A38" s="13" t="inlineStr">
        <is>
          <t>N5</t>
        </is>
      </c>
      <c r="B38" s="13" t="inlineStr">
        <is>
          <t>N5.4</t>
        </is>
      </c>
      <c r="C38" s="14" t="inlineStr">
        <is>
          <t>Cleanliness check: record every file and registry key touched during a full session; verify nothing outside the application folder is written, and that deleting the folder leaves nothing behind (NR-DEP-06, NR-DEP-07).</t>
        </is>
      </c>
      <c r="D38" s="14" t="inlineStr">
        <is>
          <t>Test evidence</t>
        </is>
      </c>
      <c r="E38" s="13" t="inlineStr">
        <is>
          <t>Not started</t>
        </is>
      </c>
    </row>
    <row r="39">
      <c r="A39" s="15" t="inlineStr">
        <is>
          <t>N5</t>
        </is>
      </c>
      <c r="B39" s="15" t="inlineStr">
        <is>
          <t>N5.5</t>
        </is>
      </c>
      <c r="C39" s="16" t="inlineStr">
        <is>
          <t>Update check: extract a newer zip over an existing folder; verify workspaces, backups and settings are untouched (NR-DEP-03).</t>
        </is>
      </c>
      <c r="D39" s="16" t="inlineStr">
        <is>
          <t>Test evidence</t>
        </is>
      </c>
      <c r="E39" s="15" t="inlineStr">
        <is>
          <t>Not started</t>
        </is>
      </c>
    </row>
    <row r="40">
      <c r="A40" s="13" t="inlineStr">
        <is>
          <t>N5</t>
        </is>
      </c>
      <c r="B40" s="13" t="inlineStr">
        <is>
          <t>N5.6</t>
        </is>
      </c>
      <c r="C40" s="14" t="inlineStr">
        <is>
          <t>Awkward-location tests: a deeply nested path (R-N10), a read-only network folder (R-N11), and a UNC path (NR-DEP-13).</t>
        </is>
      </c>
      <c r="D40" s="14" t="inlineStr">
        <is>
          <t>Test evidence</t>
        </is>
      </c>
      <c r="E40" s="13" t="inlineStr">
        <is>
          <t>Not started</t>
        </is>
      </c>
    </row>
    <row r="41">
      <c r="A41" s="15" t="inlineStr">
        <is>
          <t>N5</t>
        </is>
      </c>
      <c r="B41" s="15" t="inlineStr">
        <is>
          <t>N5.6b</t>
        </is>
      </c>
      <c r="C41" s="16"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1" s="16" t="inlineStr">
        <is>
          <t>tools/test_shared.py</t>
        </is>
      </c>
      <c r="E41" s="15" t="inlineStr">
        <is>
          <t>Not started</t>
        </is>
      </c>
    </row>
    <row r="42">
      <c r="A42" s="13" t="inlineStr">
        <is>
          <t>N5</t>
        </is>
      </c>
      <c r="B42" s="13" t="inlineStr">
        <is>
          <t>N5.6c</t>
        </is>
      </c>
      <c r="C42" s="14" t="inlineStr">
        <is>
          <t>Measure launch time from a local disk and from a network folder, and state both in the user guide rather than promising one.</t>
        </is>
      </c>
      <c r="D42" s="14" t="inlineStr">
        <is>
          <t>Test evidence</t>
        </is>
      </c>
      <c r="E42" s="13" t="inlineStr">
        <is>
          <t>Not started</t>
        </is>
      </c>
    </row>
    <row r="43">
      <c r="A43" s="15" t="inlineStr">
        <is>
          <t>N5</t>
        </is>
      </c>
      <c r="B43" s="15" t="inlineStr">
        <is>
          <t>N5.7</t>
        </is>
      </c>
      <c r="C43" s="16" t="inlineStr">
        <is>
          <t>Run on a real company PC - the only place execution policy, SmartScreen and anti-virus can be judged.</t>
        </is>
      </c>
      <c r="D43" s="16" t="inlineStr">
        <is>
          <t>Test evidence</t>
        </is>
      </c>
      <c r="E43" s="15" t="inlineStr">
        <is>
          <t>Pending you</t>
        </is>
      </c>
    </row>
    <row r="44">
      <c r="A44" s="13" t="inlineStr">
        <is>
          <t>N5</t>
        </is>
      </c>
      <c r="B44" s="13" t="inlineStr">
        <is>
          <t>N5.8</t>
        </is>
      </c>
      <c r="C44" s="14" t="inlineStr">
        <is>
          <t>User guide: where to extract it, first launch and the SmartScreen prompt, workspaces, import and export, backup, updating, and what to do if it will not start.</t>
        </is>
      </c>
      <c r="D44" s="14" t="inlineStr">
        <is>
          <t>User guide</t>
        </is>
      </c>
      <c r="E44" s="13" t="inlineStr">
        <is>
          <t>Not started</t>
        </is>
      </c>
    </row>
    <row r="45">
      <c r="A45" s="15" t="inlineStr">
        <is>
          <t>N5</t>
        </is>
      </c>
      <c r="B45" s="15" t="inlineStr">
        <is>
          <t>N5.9</t>
        </is>
      </c>
      <c r="C45" s="16" t="inlineStr">
        <is>
          <t>Full pass over the traceability matrix; version alignment across both product lines.</t>
        </is>
      </c>
      <c r="D45" s="16" t="inlineStr">
        <is>
          <t>Traceability matrix</t>
        </is>
      </c>
      <c r="E45" s="15" t="inlineStr">
        <is>
          <t>Not started</t>
        </is>
      </c>
    </row>
    <row r="46">
      <c r="A46" s="13" t="inlineStr">
        <is>
          <t>N5</t>
        </is>
      </c>
      <c r="B46" s="13" t="inlineStr">
        <is>
          <t>GN5</t>
        </is>
      </c>
      <c r="C46" s="14" t="inlineStr">
        <is>
          <t>GATE N5 - release.</t>
        </is>
      </c>
      <c r="D46" s="14" t="inlineStr">
        <is>
          <t>Project Management APP v1.0 (PM_APP)</t>
        </is>
      </c>
      <c r="E46" s="13" t="inlineStr">
        <is>
          <t>Not started</t>
        </is>
      </c>
    </row>
    <row r="48">
      <c r="A48" s="5" t="inlineStr">
        <is>
          <t>Progress</t>
        </is>
      </c>
    </row>
    <row r="49" ht="28" customHeight="1">
      <c r="A49" s="10" t="inlineStr">
        <is>
          <t>Measure</t>
        </is>
      </c>
      <c r="B49" s="10" t="inlineStr">
        <is>
          <t>Count</t>
        </is>
      </c>
    </row>
    <row r="50">
      <c r="A50" s="15" t="inlineStr">
        <is>
          <t>Tasks total</t>
        </is>
      </c>
      <c r="B50" s="15">
        <f>COUNTA(B5:B46)</f>
        <v/>
      </c>
    </row>
    <row r="51">
      <c r="A51" s="13" t="inlineStr">
        <is>
          <t>Complete</t>
        </is>
      </c>
      <c r="B51" s="13">
        <f>COUNTIF(E5:E46,"Complete")+COUNTIF(E5:E46,"Complete - issued for review")</f>
        <v/>
      </c>
    </row>
    <row r="52">
      <c r="A52" s="15" t="inlineStr">
        <is>
          <t>Awaiting the requester</t>
        </is>
      </c>
      <c r="B52" s="15">
        <f>COUNTIF(E5:E46,"Pending you")</f>
        <v/>
      </c>
    </row>
    <row r="53">
      <c r="A53" s="13" t="inlineStr">
        <is>
          <t>Not started</t>
        </is>
      </c>
      <c r="B53" s="13">
        <f>COUNTIF(E5:E46,"Not started")</f>
        <v/>
      </c>
    </row>
    <row r="56">
      <c r="A56"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46"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rebuilt file is BYTE-IDENTICAL to the one that was verified, and the 13 existing suites pass against it unmodified. Identity is a stronger claim than equivalence and needs no argument.</t>
        </is>
      </c>
      <c r="C5" s="15" t="inlineStr">
        <is>
          <t>NR-PAR-03</t>
        </is>
      </c>
      <c r="D5" s="16" t="inlineStr">
        <is>
          <t>DONE at N2.2 - 13/13 pass, sha256 unchanged</t>
        </is>
      </c>
    </row>
    <row r="6">
      <c r="A6" s="13" t="inlineStr">
        <is>
          <t>The two applications agree</t>
        </is>
      </c>
      <c r="B6" s="14" t="inlineStr">
        <is>
          <t>tools/test_parity.py - one dataset through both, comparing every person-month figure, every validation finding and both export files.</t>
        </is>
      </c>
      <c r="C6" s="13" t="inlineStr">
        <is>
          <t>NR-PAR-02</t>
        </is>
      </c>
      <c r="D6" s="14"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3" t="inlineStr">
        <is>
          <t>A save is never half-written</t>
        </is>
      </c>
      <c r="B8" s="14" t="inlineStr">
        <is>
          <t>Kill the process during a write, relaunch, verify the workspace is wholly old or wholly new. Repeated across many timings.</t>
        </is>
      </c>
      <c r="C8" s="13" t="inlineStr">
        <is>
          <t>NR-STO-05</t>
        </is>
      </c>
      <c r="D8" s="14"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3" t="inlineStr">
        <is>
          <t>Re-import loses nothing</t>
        </is>
      </c>
      <c r="B10" s="14" t="inlineStr">
        <is>
          <t>Import a changed workbook over hand-entered data; verify every difference is shown and nothing changes without a decision.</t>
        </is>
      </c>
      <c r="C10" s="13" t="inlineStr">
        <is>
          <t>NR-IMP-02</t>
        </is>
      </c>
      <c r="D10" s="14"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20" t="inlineStr">
        <is>
          <t>It needs no installation</t>
        </is>
      </c>
      <c r="B13" s="21" t="inlineStr">
        <is>
          <t>Extract the zip, run the exe, use it, delete the folder - with no administrator rights at any point.</t>
        </is>
      </c>
      <c r="C13" s="20" t="inlineStr">
        <is>
          <t>NR-DEP-02</t>
        </is>
      </c>
      <c r="D13" s="21"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20" t="inlineStr">
        <is>
          <t>Only one session can write</t>
        </is>
      </c>
      <c r="B18" s="21" t="inlineStr">
        <is>
          <t>Two sessions attempt the first edit together, many times over; verify exactly one is granted it and the other is told who holds it. Then verify a save is refused if the claim was displaced beneath it.</t>
        </is>
      </c>
      <c r="C18" s="20" t="inlineStr">
        <is>
          <t>NR-STO-10, NR-STO-13</t>
        </is>
      </c>
      <c r="D18" s="21"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20" t="inlineStr">
        <is>
          <t>A crash does not strand a plan</t>
        </is>
      </c>
      <c r="B20" s="21" t="inlineStr">
        <is>
          <t>Kill the holding session; verify the heartbeat stops within 30 seconds and is reported as silent, that the claim expires at 30 minutes and can then be taken over naming whose it was, and that the SAME user on the SAME machine can reclaim it at once.</t>
        </is>
      </c>
      <c r="C20" s="20" t="inlineStr">
        <is>
          <t>NR-STO-14, NR-STO-19, R-N13</t>
        </is>
      </c>
      <c r="D20" s="21" t="inlineStr">
        <is>
          <t>Automated, at N5.6b</t>
        </is>
      </c>
    </row>
    <row r="21">
      <c r="A21" s="20" t="inlineStr">
        <is>
          <t>A blocked colleague can act</t>
        </is>
      </c>
      <c r="B21" s="21" t="inlineStr">
        <is>
          <t>Block a session and verify the message names the holder and their department, says whether they are still responding and when the plan frees, and copies name and department on request.</t>
        </is>
      </c>
      <c r="C21" s="20" t="inlineStr">
        <is>
          <t>NR-STO-12, NR-USR-05, NR-USR-06</t>
        </is>
      </c>
      <c r="D21" s="21" t="inlineStr">
        <is>
          <t>Automated, at N5.6b</t>
        </is>
      </c>
    </row>
    <row r="22">
      <c r="A22" s="11" t="inlineStr">
        <is>
          <t>A look without a workspace</t>
        </is>
      </c>
      <c r="B22" s="12" t="inlineStr">
        <is>
          <t>Open a source workbook directly; verify every table and graph works, that nothing can be saved into it, and that no workspace or setting is created.</t>
        </is>
      </c>
      <c r="C22" s="11" t="inlineStr">
        <is>
          <t>NR-IMP-05</t>
        </is>
      </c>
      <c r="D22" s="12" t="inlineStr">
        <is>
          <t>Automated, at N4</t>
        </is>
      </c>
    </row>
    <row r="23">
      <c r="A23" s="11" t="inlineStr">
        <is>
          <t>Re-import asks before it changes anything</t>
        </is>
      </c>
      <c r="B23" s="12" t="inlineStr">
        <is>
          <t>Import a changed workbook over hand-entered data; verify the update question comes first, that the difference report lists what would be added, changed and removed per sheet, and that declining leaves the workspace byte-identical.</t>
        </is>
      </c>
      <c r="C23" s="11" t="inlineStr">
        <is>
          <t>NR-IMP-02</t>
        </is>
      </c>
      <c r="D23" s="12" t="inlineStr">
        <is>
          <t>Automated, at N4.5</t>
        </is>
      </c>
    </row>
    <row r="24">
      <c r="A24" s="11" t="inlineStr">
        <is>
          <t>A protected file says so</t>
        </is>
      </c>
      <c r="B24" s="12" t="inlineStr">
        <is>
          <t>Present an encrypted or unreadable workbook; verify the message names protection as the likely cause rather than reporting corruption.</t>
        </is>
      </c>
      <c r="C24" s="11" t="inlineStr">
        <is>
          <t>NR-IMP-06, R-N18</t>
        </is>
      </c>
      <c r="D24" s="12" t="inlineStr">
        <is>
          <t>Automated, at N4</t>
        </is>
      </c>
    </row>
    <row r="25">
      <c r="A25" s="11" t="inlineStr">
        <is>
          <t>One version back, and no further</t>
        </is>
      </c>
      <c r="B25" s="12" t="inlineStr">
        <is>
          <t>Save twice; verify exactly one previous version is retained, that it can be restored, and that the older one is gone rather than silently accumulating.</t>
        </is>
      </c>
      <c r="C25" s="11" t="inlineStr">
        <is>
          <t>NR-STO-06</t>
        </is>
      </c>
      <c r="D25" s="12" t="inlineStr">
        <is>
          <t>Automated, at N5.5</t>
        </is>
      </c>
    </row>
    <row r="26">
      <c r="A26" s="11" t="inlineStr">
        <is>
          <t>One vocabulary for departments</t>
        </is>
      </c>
      <c r="B26" s="12" t="inlineStr">
        <is>
          <t>Declare an identity against a workspace whose people carry departments; verify those departments are offered rather than typed, and that a name matching a person offers that person's department first.</t>
        </is>
      </c>
      <c r="C26" s="11" t="inlineStr">
        <is>
          <t>NR-USR-10, NR-USR-11</t>
        </is>
      </c>
      <c r="D26" s="12" t="inlineStr">
        <is>
          <t>Automated, at N5.6b</t>
        </is>
      </c>
    </row>
    <row r="27">
      <c r="A27" s="11" t="inlineStr">
        <is>
          <t>Identities do not collide</t>
        </is>
      </c>
      <c r="B27" s="12" t="inlineStr">
        <is>
          <t>Two users on one shared copy; verify each keeps their own name and contact details and neither sees the other's.</t>
        </is>
      </c>
      <c r="C27" s="11" t="inlineStr">
        <is>
          <t>NR-USR-09</t>
        </is>
      </c>
      <c r="D27" s="12" t="inlineStr">
        <is>
          <t>Automated, at N5.6b</t>
        </is>
      </c>
    </row>
    <row r="28">
      <c r="A28" s="11" t="inlineStr">
        <is>
          <t>Nobody reads superseded figures unknowingly</t>
        </is>
      </c>
      <c r="B28" s="12" t="inlineStr">
        <is>
          <t>Save from one session; verify the other notices, says so, and offers the reload rather than continuing to show the old numbers.</t>
        </is>
      </c>
      <c r="C28" s="11" t="inlineStr">
        <is>
          <t>NR-STO-16</t>
        </is>
      </c>
      <c r="D28" s="12" t="inlineStr">
        <is>
          <t>Automated, at N5.6b</t>
        </is>
      </c>
    </row>
    <row r="29">
      <c r="A29" s="11" t="inlineStr">
        <is>
          <t>The share itself behaves</t>
        </is>
      </c>
      <c r="B29" s="12" t="inlineStr">
        <is>
          <t>Repeat the claim, heartbeat and staleness tests against the real network share, not a local folder.</t>
        </is>
      </c>
      <c r="C29" s="11" t="inlineStr">
        <is>
          <t>R-N14</t>
        </is>
      </c>
      <c r="D29" s="12" t="inlineStr">
        <is>
          <t>ONLY provable on your share, at N5.6b</t>
        </is>
      </c>
    </row>
    <row r="30">
      <c r="A30" s="11" t="inlineStr">
        <is>
          <t>It is allowed to run at all</t>
        </is>
      </c>
      <c r="B30" s="12" t="inlineStr">
        <is>
          <t>Launch it on a company-managed PC and see whether execution policy, SmartScreen or anti-virus stops it.</t>
        </is>
      </c>
      <c r="C30" s="11" t="inlineStr">
        <is>
          <t>R-N01, R-N09</t>
        </is>
      </c>
      <c r="D30" s="12" t="inlineStr">
        <is>
          <t>ONLY provable by you - see the risk sheet</t>
        </is>
      </c>
    </row>
    <row r="31">
      <c r="A31" s="15" t="inlineStr">
        <is>
          <t>The figures are right</t>
        </is>
      </c>
      <c r="B31" s="16" t="inlineStr">
        <is>
          <t>Inherited: the engine is already proven against the Python reference on all 1,225 person-months of the large dataset and 433 of the 10x10 dataset.</t>
        </is>
      </c>
      <c r="C31" s="15" t="inlineStr">
        <is>
          <t>Inherited</t>
        </is>
      </c>
      <c r="D31" s="16" t="inlineStr">
        <is>
          <t>Already done, and re-run by the parity suite</t>
        </is>
      </c>
    </row>
    <row r="34">
      <c r="A3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5">
      <c r="A35" s="3" t="inlineStr">
        <is>
          <t>Legend</t>
        </is>
      </c>
    </row>
    <row r="36">
      <c r="A36" s="17" t="inlineStr">
        <is>
          <t>Green = new to the desktop application; nothing in the web application corresponds to it.</t>
        </is>
      </c>
    </row>
    <row r="37">
      <c r="A37" s="18" t="inlineStr">
        <is>
          <t>Orange = inherited from the web application but deliberately changed here.</t>
        </is>
      </c>
    </row>
    <row r="38">
      <c r="A38" s="19"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3" t="inlineStr">
        <is>
          <t>Desktop specification</t>
        </is>
      </c>
      <c r="B6" s="14" t="inlineStr">
        <is>
          <t>PRAP_NewApp_Specification_v&lt;ver&gt;.xlsx</t>
        </is>
      </c>
      <c r="C6" s="13" t="inlineStr">
        <is>
          <t>docs/</t>
        </is>
      </c>
      <c r="D6" s="14"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3" t="inlineStr">
        <is>
          <t>Desktop application</t>
        </is>
      </c>
      <c r="B8" s="14" t="inlineStr">
        <is>
          <t>PM_APP_v&lt;ver&gt;.zip, extracting to a PM_APP\ folder</t>
        </is>
      </c>
      <c r="C8" s="13" t="inlineStr">
        <is>
          <t>dist/</t>
        </is>
      </c>
      <c r="D8" s="14"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3" t="inlineStr">
        <is>
          <t>User settings</t>
        </is>
      </c>
      <c r="B10" s="14" t="inlineStr">
        <is>
          <t>settings.json</t>
        </is>
      </c>
      <c r="C10" s="13" t="inlineStr">
        <is>
          <t>data\</t>
        </is>
      </c>
      <c r="D10" s="14"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3" t="inlineStr">
        <is>
          <t>Web application</t>
        </is>
      </c>
      <c r="B12" s="14" t="inlineStr">
        <is>
          <t>app/PRAP.html</t>
        </is>
      </c>
      <c r="C12" s="13" t="inlineStr">
        <is>
          <t>app/</t>
        </is>
      </c>
      <c r="D12" s="14"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3" t="inlineStr">
        <is>
          <t>Shared data contract</t>
        </is>
      </c>
      <c r="B14" s="14" t="inlineStr">
        <is>
          <t>schema_version in the Config sheet; format_version in the JSON</t>
        </is>
      </c>
      <c r="C14" s="13" t="inlineStr">
        <is>
          <t>templates/</t>
        </is>
      </c>
      <c r="D14" s="14"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4" t="inlineStr">
        <is>
          <t>The DATA contract versions once, for both.</t>
        </is>
      </c>
      <c r="B20" s="14"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4" t="inlineStr">
        <is>
          <t>A desktop feature does not reach the web application.</t>
        </is>
      </c>
      <c r="B22" s="14"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9"/>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20" t="inlineStr">
        <is>
          <t>R-N01</t>
        </is>
      </c>
      <c r="B5" s="21" t="inlineStr">
        <is>
          <t>Corporate policy blocks the application from running at all - typically application allow-listing, or a rule against executables outside Program Files.</t>
        </is>
      </c>
      <c r="C5" s="20" t="inlineStr">
        <is>
          <t>Medium</t>
        </is>
      </c>
      <c r="D5" s="20" t="inlineStr">
        <is>
          <t>HIGH</t>
        </is>
      </c>
      <c r="E5" s="21" t="inlineStr">
        <is>
          <t>Still the single largest risk. Q-N02 answered at round 6: a zip can be saved in your own folder and run, and checking the rest with IT is impractical for now, so we ASSUME no issue. That is your call to make and the plan proceeds on it - but assuming is not verifying, so this risk stays OPEN rather than closed, assumption A-N09 records it, and N5.7 on a real company PC remains the first moment anybody will know. If it does happen, the web application still works and still meets the original need - which is why keeping it, as you instructed, is the right call.</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1" t="inlineStr">
        <is>
          <t>R-N09</t>
        </is>
      </c>
      <c r="B13" s="12" t="inlineStr">
        <is>
          <t>Windows SmartScreen warns about the executable, or anti-virus quarantines it, because it is unsigned and unknown.</t>
        </is>
      </c>
      <c r="C13" s="11" t="inlineStr">
        <is>
          <t>HIGH</t>
        </is>
      </c>
      <c r="D13" s="11" t="inlineStr">
        <is>
          <t>Medium</t>
        </is>
      </c>
      <c r="E13" s="12" t="inlineStr">
        <is>
          <t>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11" t="inlineStr">
        <is>
          <t>R-N10</t>
        </is>
      </c>
      <c r="B14" s="12" t="inlineStr">
        <is>
          <t>The application fails in a deeply nested folder because Windows path limits are exceeded.</t>
        </is>
      </c>
      <c r="C14" s="11" t="inlineStr">
        <is>
          <t>Medium</t>
        </is>
      </c>
      <c r="D14" s="11" t="inlineStr">
        <is>
          <t>Medium</t>
        </is>
      </c>
      <c r="E14" s="12" t="inlineStr">
        <is>
          <t>A packaged browser engine carries long nested paths, and the classic 260-character limit bites when a portable folder is extracted somewhere like a synced Documents tree. Mitigations: keep internal paths short by packing resources into an archive rather than loose files, test extraction into a deliberately deep path at N5.6, and state a recommended location in the user guide.</t>
        </is>
      </c>
    </row>
    <row r="15">
      <c r="A15" s="20" t="inlineStr">
        <is>
          <t>R-N11</t>
        </is>
      </c>
      <c r="B15" s="21" t="inlineStr">
        <is>
          <t>The application folder is put on a read-only or shared network folder, so it cannot keep its data beside itself.</t>
        </is>
      </c>
      <c r="C15" s="20" t="inlineStr">
        <is>
          <t>HIGH</t>
        </is>
      </c>
      <c r="D15" s="20" t="inlineStr">
        <is>
          <t>Medium</t>
        </is>
      </c>
      <c r="E15" s="21"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20" t="inlineStr">
        <is>
          <t>R-N13</t>
        </is>
      </c>
      <c r="B17" s="21" t="inlineStr">
        <is>
          <t>A crash leaves a workspace claimed, and nobody can edit it.</t>
        </is>
      </c>
      <c r="C17" s="20" t="inlineStr">
        <is>
          <t>Medium</t>
        </is>
      </c>
      <c r="D17" s="20" t="inlineStr">
        <is>
          <t>Low</t>
        </is>
      </c>
      <c r="E17" s="21"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20" t="inlineStr">
        <is>
          <t>R-N16</t>
        </is>
      </c>
      <c r="B19" s="21" t="inlineStr">
        <is>
          <t>A declared name is mistaken for a verified one, and somebody relies on the tool to say who did what.</t>
        </is>
      </c>
      <c r="C19" s="20" t="inlineStr">
        <is>
          <t>Low</t>
        </is>
      </c>
      <c r="D19" s="20" t="inlineStr">
        <is>
          <t>Low</t>
        </is>
      </c>
      <c r="E19" s="21" t="inlineStr">
        <is>
          <t>Much reduced at round 6: Q-N09 confirms there is no internal validation or record-keeping obligation, so nothing formal rests on this identity. It remains stated at NR-USR-08 and on the screen where the name is entered, because the limit should be visible at the point it could mislead - but it is now a courtesy rather than a control.</t>
        </is>
      </c>
    </row>
    <row r="20">
      <c r="A20" s="11" t="inlineStr">
        <is>
          <t>R-N18</t>
        </is>
      </c>
      <c r="B20" s="12" t="inlineStr">
        <is>
          <t>Company file protection encrypts a workbook or a workspace, and the application cannot read it.</t>
        </is>
      </c>
      <c r="C20" s="11" t="inlineStr">
        <is>
          <t>Medium</t>
        </is>
      </c>
      <c r="D20" s="11" t="inlineStr">
        <is>
          <t>Medium</t>
        </is>
      </c>
      <c r="E20" s="12" t="inlineStr">
        <is>
          <t>Raised from your Q-N04 answer, which is about decrypting a file before it can be imported. Where a document-security product encrypts files on a share, an ordinary application sees bytes it cannot parse. Two requirements follow: NR-IMP-06, so a protected file is reported as protected rather than as corrupt - the failure that would otherwise waste an afternoon - and NR-IMP-07, so the application never adds encryption of its own and never becomes the only thing that can open your data. Protection stays the company's, applied to the folder.</t>
        </is>
      </c>
    </row>
    <row r="21">
      <c r="A21" s="11" t="inlineStr">
        <is>
          <t>R-N19</t>
        </is>
      </c>
      <c r="B21" s="12" t="inlineStr">
        <is>
          <t>Two bad saves in a row leave nothing good to go back to.</t>
        </is>
      </c>
      <c r="C21" s="11" t="inlineStr">
        <is>
          <t>Low</t>
        </is>
      </c>
      <c r="D21" s="11" t="inlineStr">
        <is>
          <t>Medium</t>
        </is>
      </c>
      <c r="E21" s="12" t="inlineStr">
        <is>
          <t>The direct cost of the Q-N07 answer - one retained version rather than ten. Save a mistake, notice it, save again while fixing it, and the good version has been pushed out of history. Kept as a setting so it can be raised without a code change, and the Excel export remains an independent archive that no save can touch. The user guide will say plainly: export to Excel anything you cannot afford to lose.</t>
        </is>
      </c>
    </row>
    <row r="22">
      <c r="A22" s="11" t="inlineStr">
        <is>
          <t>R-N17</t>
        </is>
      </c>
      <c r="B22" s="12" t="inlineStr">
        <is>
          <t>A plan is stranded for up to 30 minutes after a crash, and somebody needs it now.</t>
        </is>
      </c>
      <c r="C22" s="11" t="inlineStr">
        <is>
          <t>Medium</t>
        </is>
      </c>
      <c r="D22" s="11" t="inlineStr">
        <is>
          <t>Low</t>
        </is>
      </c>
      <c r="E22"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3">
      <c r="A23" s="11" t="inlineStr">
        <is>
          <t>R-N15</t>
        </is>
      </c>
      <c r="B23" s="12" t="inlineStr">
        <is>
          <t>A blocked user takes a Save As copy, works in it, and the plan quietly forks in two.</t>
        </is>
      </c>
      <c r="C23" s="11" t="inlineStr">
        <is>
          <t>Medium</t>
        </is>
      </c>
      <c r="D23" s="11" t="inlineStr">
        <is>
          <t>Medium</t>
        </is>
      </c>
      <c r="E23"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5">
      <c r="A25" s="5" t="inlineStr">
        <is>
          <t>Code signing, in plain terms   [asked at Q-N03]</t>
        </is>
      </c>
    </row>
    <row r="26">
      <c r="A26" s="6" t="inlineStr">
        <is>
          <t>You asked what the purchase actually is. Here it is without the jargon.</t>
        </is>
      </c>
    </row>
    <row r="28" ht="28" customHeight="1">
      <c r="A28" s="10" t="inlineStr">
        <is>
          <t>Question</t>
        </is>
      </c>
      <c r="B28" s="10" t="inlineStr">
        <is>
          <t>Answer</t>
        </is>
      </c>
    </row>
    <row r="29">
      <c r="A29" s="15" t="inlineStr">
        <is>
          <t>What it is</t>
        </is>
      </c>
      <c r="B29" s="16" t="inlineStr">
        <is>
          <t>A digital seal applied to the .exe that says which ORGANISATION published it. Windows checks the seal when the file is run.</t>
        </is>
      </c>
    </row>
    <row r="30">
      <c r="A30" s="13" t="inlineStr">
        <is>
          <t>What happens without it</t>
        </is>
      </c>
      <c r="B30" s="14" t="inlineStr">
        <is>
          <t>Windows does not know who made the file, so SmartScreen shows 'Windows protected your PC - unknown publisher' the first time it is run. The user clicks 'More info' then 'Run anyway'. Anti-virus also treats an unknown publisher with more suspicion. This is R-N09.</t>
        </is>
      </c>
    </row>
    <row r="31">
      <c r="A31" s="15" t="inlineStr">
        <is>
          <t>What happens with it</t>
        </is>
      </c>
      <c r="B31" s="16" t="inlineStr">
        <is>
          <t>The warning names your company instead, and usually disappears entirely once the file has been seen a few times. Anti-virus is far less likely to quarantine it.</t>
        </is>
      </c>
    </row>
    <row r="32">
      <c r="A32" s="13" t="inlineStr">
        <is>
          <t>What is bought</t>
        </is>
      </c>
      <c r="B32" s="14" t="inlineStr">
        <is>
          <t>A CODE-SIGNING CERTIFICATE, from a certificate authority - DigiCert, Sectigo, GlobalSign and similar. Roughly USD 200-600 per year for the standard kind; more for the 'extended validation' kind, which removes the warning immediately rather than gradually. Treat these as indicative figures to check, not quotations.</t>
        </is>
      </c>
    </row>
    <row r="33">
      <c r="A33" s="15" t="inlineStr">
        <is>
          <t>Why the COMPANY has to buy it</t>
        </is>
      </c>
      <c r="B33" s="16" t="inlineStr">
        <is>
          <t>The authority verifies the ORGANISATION exists before issuing - company registration documents, a verifiable telephone number, that sort of thing. An individual cannot buy a certificate in the company's name, which is the whole point of it.</t>
        </is>
      </c>
    </row>
    <row r="34">
      <c r="A34" s="13" t="inlineStr">
        <is>
          <t>What else it needs</t>
        </is>
      </c>
      <c r="B34" s="14" t="inlineStr">
        <is>
          <t>Industry rules now require the signing key to live on a hardware token or in a cloud signing service, so somebody has to hold that token and run the signing step when a new version is built.</t>
        </is>
      </c>
    </row>
    <row r="35">
      <c r="A35" s="15" t="inlineStr">
        <is>
          <t>Who would own it</t>
        </is>
      </c>
      <c r="B35" s="16" t="inlineStr">
        <is>
          <t>Whoever owns software distribution or endpoint security - IT or InfoSec. It is a procurement request, not a development task.</t>
        </is>
      </c>
    </row>
    <row r="36">
      <c r="A36" s="13" t="inlineStr">
        <is>
          <t>Is it needed?</t>
        </is>
      </c>
      <c r="B36" s="14" t="inlineStr">
        <is>
          <t>NO - not to make the application work. Your Q-N02 answer is that a zip in your own folder can be extracted and run, so the application is usable unsigned. Signing removes friction and reduces the chance of anti-virus interference; it is a comfort measure, not a prerequisite. It is worth raising only if the SmartScreen prompt or a quarantine turns out to be a real nuisance at N5.7.</t>
        </is>
      </c>
    </row>
    <row r="38">
      <c r="A38" s="8" t="inlineStr">
        <is>
          <t>So: nothing needs buying now. If it later does, the request to IT is 'a code-signing certificate for internally distributed software, and somewhere to keep the token'. Q-N03 stays open only in the sense that you may want to ask; nothing in this plan waits for it.</t>
        </is>
      </c>
    </row>
    <row r="40">
      <c r="A40" s="5" t="inlineStr">
        <is>
          <t>Assumptions</t>
        </is>
      </c>
    </row>
    <row r="41" ht="28" customHeight="1">
      <c r="A41" s="10" t="inlineStr">
        <is>
          <t>ID</t>
        </is>
      </c>
      <c r="B41" s="10" t="inlineStr">
        <is>
          <t>Assumption</t>
        </is>
      </c>
      <c r="C41" s="10" t="inlineStr">
        <is>
          <t>Status</t>
        </is>
      </c>
    </row>
    <row r="42">
      <c r="A42" s="15" t="inlineStr">
        <is>
          <t>A-N01</t>
        </is>
      </c>
      <c r="B42" s="16" t="inlineStr">
        <is>
          <t>Data volume stays as assumed by the web plan - up to about 100 projects and 1,000 people.</t>
        </is>
      </c>
      <c r="C42" s="15" t="inlineStr">
        <is>
          <t>Inherited, standing</t>
        </is>
      </c>
    </row>
    <row r="43">
      <c r="A43" s="20" t="inlineStr">
        <is>
          <t>A-N02</t>
        </is>
      </c>
      <c r="B43" s="21" t="inlineStr">
        <is>
          <t>Windows 10 or 11, 64-bit, is the only target. macOS and Linux are out of scope.</t>
        </is>
      </c>
      <c r="C43" s="20" t="inlineStr">
        <is>
          <t>CONFIRMED at review round 1</t>
        </is>
      </c>
    </row>
    <row r="44">
      <c r="A44" s="11" t="inlineStr">
        <is>
          <t>A-N08</t>
        </is>
      </c>
      <c r="B44" s="12" t="inlineStr">
        <is>
          <t>The application is never installed: it is copied as a folder and run in place, and the machine is unchanged by its presence.</t>
        </is>
      </c>
      <c r="C44" s="11" t="inlineStr">
        <is>
          <t>CONFIRMED at review round 1</t>
        </is>
      </c>
    </row>
    <row r="45">
      <c r="A45" s="20" t="inlineStr">
        <is>
          <t>A-N09</t>
        </is>
      </c>
      <c r="B45" s="21" t="inlineStr">
        <is>
          <t>The user can extract a zip and run an executable from their own folder, and nothing will later block or remove it.</t>
        </is>
      </c>
      <c r="C45" s="20" t="inlineStr">
        <is>
          <t>ASSUMED at Q-N02, not verified. Confirming with IT was impractical; you chose to proceed on the assumption. First tested at N5.7</t>
        </is>
      </c>
    </row>
    <row r="46">
      <c r="A46" s="11" t="inlineStr">
        <is>
          <t>A-N11</t>
        </is>
      </c>
      <c r="B46" s="12" t="inlineStr">
        <is>
          <t>No internal validation, qualification or record-keeping obligation applies to this tool.</t>
        </is>
      </c>
      <c r="C46" s="11" t="inlineStr">
        <is>
          <t>CONFIRMED at Q-N09</t>
        </is>
      </c>
    </row>
    <row r="47">
      <c r="A47" s="11" t="inlineStr">
        <is>
          <t>A-N12</t>
        </is>
      </c>
      <c r="B47" s="12" t="inlineStr">
        <is>
          <t>The shared folder, if used, is writable by the people using it.</t>
        </is>
      </c>
      <c r="C47" s="11" t="inlineStr">
        <is>
          <t>CONFIRMED at Q-N15</t>
        </is>
      </c>
    </row>
    <row r="48">
      <c r="A48" s="11" t="inlineStr">
        <is>
          <t>A-N10</t>
        </is>
      </c>
      <c r="B48" s="12" t="inlineStr">
        <is>
          <t>If a shared network folder is used, it is reachable whenever the application is needed. A plan kept only on an unreachable share cannot be opened.</t>
        </is>
      </c>
      <c r="C48" s="11" t="inlineStr">
        <is>
          <t>Standing - the user guide will recommend keeping working copies locally</t>
        </is>
      </c>
    </row>
    <row r="49">
      <c r="A49" s="11" t="inlineStr">
        <is>
          <t>A-N13</t>
        </is>
      </c>
      <c r="B49" s="12" t="inlineStr">
        <is>
          <t>Bulk editing outside the application is done by exporting, changing the file, and giving it to ONE person - the application's manager - who imports it. Every user does not import their own files.</t>
        </is>
      </c>
      <c r="C49" s="11" t="inlineStr">
        <is>
          <t>CONFIRMED at the Gate N3 review</t>
        </is>
      </c>
    </row>
    <row r="50">
      <c r="A50" s="20" t="inlineStr">
        <is>
          <t>A-N03</t>
        </is>
      </c>
      <c r="B50" s="21" t="inlineStr">
        <is>
          <t>One person works on a given workspace at a time - but the application no longer RELIES on it, because a shared folder makes it unsafe to assume.</t>
        </is>
      </c>
      <c r="C50" s="20" t="inlineStr">
        <is>
          <t>WITHDRAWN as an assumption at round 2; enforced by NR-STO-10 instead</t>
        </is>
      </c>
    </row>
    <row r="51">
      <c r="A51" s="13" t="inlineStr">
        <is>
          <t>A-N04</t>
        </is>
      </c>
      <c r="B51" s="14" t="inlineStr">
        <is>
          <t>Package size is unconstrained.</t>
        </is>
      </c>
      <c r="C51" s="13" t="inlineStr">
        <is>
          <t>CONFIRMED by your instruction, 2026-08-13</t>
        </is>
      </c>
    </row>
    <row r="52">
      <c r="A52" s="15" t="inlineStr">
        <is>
          <t>A-N05</t>
        </is>
      </c>
      <c r="B52" s="16" t="inlineStr">
        <is>
          <t>Both applications remain in service indefinitely; neither is a migration path away from the other.</t>
        </is>
      </c>
      <c r="C52" s="15" t="inlineStr">
        <is>
          <t>CONFIRMED by your instruction, 2026-08-13</t>
        </is>
      </c>
    </row>
    <row r="53">
      <c r="A53" s="13" t="inlineStr">
        <is>
          <t>A-N06</t>
        </is>
      </c>
      <c r="B53" s="14" t="inlineStr">
        <is>
          <t>The source Excel workbook continues to be maintained by hand, by someone other than the tool.</t>
        </is>
      </c>
      <c r="C53" s="13" t="inlineStr">
        <is>
          <t>Inherited A-04, standing</t>
        </is>
      </c>
    </row>
    <row r="54">
      <c r="A54" s="15" t="inlineStr">
        <is>
          <t>A-N07</t>
        </is>
      </c>
      <c r="B54" s="16" t="inlineStr">
        <is>
          <t>The user can copy a package into their own profile or a network share and run it from there.</t>
        </is>
      </c>
      <c r="C54" s="15" t="inlineStr">
        <is>
          <t>To confirm - Q-N02</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20" t="inlineStr">
        <is>
          <t>Q-N01</t>
        </is>
      </c>
      <c r="B5" s="20" t="inlineStr">
        <is>
          <t>Deployment</t>
        </is>
      </c>
      <c r="C5" s="21" t="inlineStr">
        <is>
          <t>Which operating systems must this run on?</t>
        </is>
      </c>
      <c r="D5" s="21" t="inlineStr">
        <is>
          <t>ANSWERED 2026-08-13: Windows only. Closed - A-N02, NR-DEP-01. macOS and Linux are out of scope.</t>
        </is>
      </c>
      <c r="E5" s="22" t="inlineStr">
        <is>
          <t>Windows. CLOSED</t>
        </is>
      </c>
    </row>
    <row r="6">
      <c r="A6" s="20" t="inlineStr">
        <is>
          <t>Q-N02</t>
        </is>
      </c>
      <c r="B6" s="20" t="inlineStr">
        <is>
          <t>Deployment</t>
        </is>
      </c>
      <c r="C6" s="21" t="inlineStr">
        <is>
          <t>Can you extract a zip into your own folder and run the .exe inside it?</t>
        </is>
      </c>
      <c r="D6" s="21" t="inlineStr">
        <is>
          <t>ANSWERED 2026-08-13: yes - a zip saved in your own folder can be extracted and executed. On the rest - whether anything might later block or remove it - checking with IT is impractical at the moment, and you have chosen to proceed assuming no issue. That is recorded as ASSUMED rather than confirmed: assumption A-N09 and risk R-N01 stay OPEN, and N5.7 on a real company PC is the first moment anybody will actually know. The plan proceeds on your decision; it simply does not pretend to more certainty than exists.</t>
        </is>
      </c>
      <c r="E6" s="22" t="inlineStr">
        <is>
          <t>Yes for running it; the rest ASSUMED, not verified. Proceeding</t>
        </is>
      </c>
    </row>
    <row r="7">
      <c r="A7" s="20" t="inlineStr">
        <is>
          <t>Q-N03</t>
        </is>
      </c>
      <c r="B7" s="20" t="inlineStr">
        <is>
          <t>Deployment</t>
        </is>
      </c>
      <c r="C7" s="21" t="inlineStr">
        <is>
          <t>Is a company code-signing certificate obtainable, and by whom?</t>
        </is>
      </c>
      <c r="D7" s="21" t="inlineStr">
        <is>
          <t>ROUND 6 asked for this in plainer terms - what is actually bought, and what is a code-signing certificate. Answered in full on sheet 10, 'Code signing, in plain terms'. The short version: it is a digital seal saying which company published the .exe; without it Windows shows an 'unknown publisher' warning once; it costs roughly USD 200-600 a year; only the company can buy it because the authority verifies the organisation; and NOTHING here needs it - the application works unsigned. Raise it only if the warning or an anti-virus quarantine turns out to be a nuisance in practice.</t>
        </is>
      </c>
      <c r="E7" s="22" t="inlineStr">
        <is>
          <t>Explained on sheet 10. Nothing waits on it - raise with IT only if the warning becomes a nuisance</t>
        </is>
      </c>
    </row>
    <row r="8">
      <c r="A8" s="20" t="inlineStr">
        <is>
          <t>Q-N04</t>
        </is>
      </c>
      <c r="B8" s="20" t="inlineStr">
        <is>
          <t>Storage</t>
        </is>
      </c>
      <c r="C8" s="21" t="inlineStr">
        <is>
          <t>Where should workspaces live by default?</t>
        </is>
      </c>
      <c r="D8" s="21" t="inlineStr">
        <is>
          <t>ANSWERED 2026-08-13, and the answer is about ENCRYPTION rather than location: 'even in a shared network, there is a certain way to decrypt a file to be imported into the system'. READING TAKEN - a shared network is acceptable, and files there may carry company protection that has to be lifted before the application can read them. Applied as NR-IMP-06 (a protected file is reported as protected, not as corrupt), NR-IMP-07 and decision N-32 (the application adds no encryption of its own). Location itself falls out of Q-N15: the share is writable, so data\users\&lt;name&gt;\ on the share is the default and nobody has to choose. PLEASE CONFIRM this reading - it is the one place in v0.7 where I have interpreted rather than transcribed.</t>
        </is>
      </c>
      <c r="E8" s="22" t="inlineStr">
        <is>
          <t>READING ADOPTED at Gate N1 - correctable under a v1.1 if it was not your meaning</t>
        </is>
      </c>
    </row>
    <row r="9">
      <c r="A9" s="20" t="inlineStr">
        <is>
          <t>Q-N05</t>
        </is>
      </c>
      <c r="B9" s="20" t="inlineStr">
        <is>
          <t>Storage</t>
        </is>
      </c>
      <c r="C9" s="21" t="inlineStr">
        <is>
          <t>When you re-import a source workbook over a workspace that already holds your hand-entered data, what should happen?</t>
        </is>
      </c>
      <c r="D9" s="21" t="inlineStr">
        <is>
          <t>ANSWERED 2026-08-13: ask first whether existing data is to be updated at all, then give a DIFFERENCE REPORT so the user decides what the import may override. Confirms the proposal and adds the explicit first question. NR-IMP-02 rewritten accordingly.</t>
        </is>
      </c>
      <c r="E9" s="22" t="inlineStr">
        <is>
          <t>Ask first, then a difference report. CLOSED</t>
        </is>
      </c>
    </row>
    <row r="10">
      <c r="A10" s="20" t="inlineStr">
        <is>
          <t>Q-N06</t>
        </is>
      </c>
      <c r="B10" s="20" t="inlineStr">
        <is>
          <t>Storage</t>
        </is>
      </c>
      <c r="C10" s="21" t="inlineStr">
        <is>
          <t>Will more than one person ever have the same workspace open at once?</t>
        </is>
      </c>
      <c r="D10" s="21" t="inlineStr">
        <is>
          <t>SUPERSEDED at round 2. Once a shared folder is on the table the safe answer is 'assume yes', and the cost of doing so is one small marker file. Handled by NR-STO-10 and decision N-18 whichever way it turns out. No answer needed.</t>
        </is>
      </c>
      <c r="E10" s="22" t="inlineStr">
        <is>
          <t>Superseded - no longer needs an answer</t>
        </is>
      </c>
    </row>
    <row r="11">
      <c r="A11" s="20" t="inlineStr">
        <is>
          <t>Q-N07</t>
        </is>
      </c>
      <c r="B11" s="20" t="inlineStr">
        <is>
          <t>Storage</t>
        </is>
      </c>
      <c r="C11" s="21" t="inlineStr">
        <is>
          <t>How many previous versions of a workspace should be retained?</t>
        </is>
      </c>
      <c r="D11" s="21" t="inlineStr">
        <is>
          <t>ANSWERED 2026-08-13: one - the version immediately before the current one. Applied at NR-STO-06 and decision N-30, kept as a setting so it can be raised without a code change. One consequence recorded rather than left implicit: two bad saves in a row leave nothing good to return to (R-N19), so the Excel export remains the archive for anything that matters.</t>
        </is>
      </c>
      <c r="E11" s="22" t="inlineStr">
        <is>
          <t>One previous version. CLOSED</t>
        </is>
      </c>
    </row>
    <row r="12">
      <c r="A12" s="20" t="inlineStr">
        <is>
          <t>Q-N08</t>
        </is>
      </c>
      <c r="B12" s="20" t="inlineStr">
        <is>
          <t>Deployment</t>
        </is>
      </c>
      <c r="C12" s="21" t="inlineStr">
        <is>
          <t>How will updates reach you?</t>
        </is>
      </c>
      <c r="D12" s="21" t="inlineStr">
        <is>
          <t>ANSWERED 2026-08-13: both - a copied file and a shared folder. Neither needs anything special of the package beyond what NR-DEP-03 already requires, since an update is an extraction over the application files and never touches data\.</t>
        </is>
      </c>
      <c r="E12" s="22" t="inlineStr">
        <is>
          <t>Copied file and shared folder. CLOSED</t>
        </is>
      </c>
    </row>
    <row r="13">
      <c r="A13" s="20" t="inlineStr">
        <is>
          <t>Q-N09</t>
        </is>
      </c>
      <c r="B13" s="20" t="inlineStr">
        <is>
          <t>Governance</t>
        </is>
      </c>
      <c r="C13" s="21" t="inlineStr">
        <is>
          <t>Does this tool fall under any internal validation or record-keeping obligation, now that it HOLDS data rather than only displaying it?</t>
        </is>
      </c>
      <c r="D13" s="21" t="inlineStr">
        <is>
          <t>ANSWERED 2026-08-13: no. Recorded as assumption A-N11. It settles R-N16 - with nothing formal resting on it, a declared user name is a courtesy rather than a control - and it keeps Step N5 to functional verification rather than qualification evidence.</t>
        </is>
      </c>
      <c r="E13" s="22" t="inlineStr">
        <is>
          <t>No obligation. CLOSED</t>
        </is>
      </c>
    </row>
    <row r="14">
      <c r="A14" s="20" t="inlineStr">
        <is>
          <t>Q-N10</t>
        </is>
      </c>
      <c r="B14" s="20" t="inlineStr">
        <is>
          <t>Scope</t>
        </is>
      </c>
      <c r="C14" s="21" t="inlineStr">
        <is>
          <t>Should the application be able to open a source workbook for a quick look, without creating a workspace?</t>
        </is>
      </c>
      <c r="D14" s="21" t="inlineStr">
        <is>
          <t>ANSWERED 2026-08-13: yes. Added as NR-IMP-05. A workspace is therefore optional rather than mandatory - the question 'what does this file say?' can be answered without committing to a plan, which is also how somebody tries the application for the first time.</t>
        </is>
      </c>
      <c r="E14" s="22" t="inlineStr">
        <is>
          <t>Yes. CLOSED</t>
        </is>
      </c>
    </row>
    <row r="15">
      <c r="A15" s="20" t="inlineStr">
        <is>
          <t>Q-N11</t>
        </is>
      </c>
      <c r="B15" s="20" t="inlineStr">
        <is>
          <t>Naming</t>
        </is>
      </c>
      <c r="C15" s="21" t="inlineStr">
        <is>
          <t>What should the application be called on screen?</t>
        </is>
      </c>
      <c r="D15" s="21" t="inlineStr">
        <is>
          <t>ANSWERED 2026-08-13: 'Project Management APP', or 'PM_APP'. Applied as NR-APP-08 and decision N-29 - the long form on screen and in the window title, PM_APP as the folder and executable name. The DOCUMENTS keep the PRAP_NewApp_ prefix so this plan stays findable beside the web application's; say if you would rather they were renamed to match.</t>
        </is>
      </c>
      <c r="E15" s="22" t="inlineStr">
        <is>
          <t>Project Management APP / PM_APP. CLOSED</t>
        </is>
      </c>
    </row>
    <row r="16">
      <c r="A16" s="20" t="inlineStr">
        <is>
          <t>Q-N12</t>
        </is>
      </c>
      <c r="B16" s="20" t="inlineStr">
        <is>
          <t>Deployment</t>
        </is>
      </c>
      <c r="C16" s="21" t="inlineStr">
        <is>
          <t>Where will you keep the application folder?</t>
        </is>
      </c>
      <c r="D16" s="21" t="inlineStr">
        <is>
          <t>ANSWERED 2026-08-13: a shared network folder could be considered. Planned for as though it will be - NR-DEP-09..13, NR-STO-10, decisions N-16..N-18, risks R-N11..R-N13. Sheet 05 sets out how data and locking work in that arrangement.</t>
        </is>
      </c>
      <c r="E16" s="22" t="inlineStr">
        <is>
          <t>Shared network folder possible. CLOSED, with Q-N14 and Q-N15 following from it</t>
        </is>
      </c>
    </row>
    <row r="17">
      <c r="A17" s="20" t="inlineStr">
        <is>
          <t>Q-N13</t>
        </is>
      </c>
      <c r="B17" s="20" t="inlineStr">
        <is>
          <t>Deployment</t>
        </is>
      </c>
      <c r="C17" s="21" t="inlineStr">
        <is>
          <t>Is it acceptable that double-clicking a .prap file in Explorer will NOT open the application?</t>
        </is>
      </c>
      <c r="D17" s="21" t="inlineStr">
        <is>
          <t>ANSWERED 2026-08-13: not needed, drag-and-drop is fine. Closed. NR-IMP-04 stands as reduced, decision N-15 is unchallenged, and no registry entry will be written for any reason.</t>
        </is>
      </c>
      <c r="E17" s="22" t="inlineStr">
        <is>
          <t>Not needed. CLOSED</t>
        </is>
      </c>
    </row>
    <row r="18">
      <c r="A18" s="20" t="inlineStr">
        <is>
          <t>Q-N14</t>
        </is>
      </c>
      <c r="B18" s="20" t="inlineStr">
        <is>
          <t>Deployment</t>
        </is>
      </c>
      <c r="C18" s="21" t="inlineStr">
        <is>
          <t>Is the share where people RUN it from, or where they copy it from once?</t>
        </is>
      </c>
      <c r="D18" s="21" t="inlineStr">
        <is>
          <t>ANSWERED 2026-08-13: both are possible. Applied as NR-DEP-14 - both are supported, both are tested, and neither is second-class. What the user guide gains instead of a recommendation is a measurement: what each costs in launch time (N5.6c), so the choice can be made on figures rather than on advice.</t>
        </is>
      </c>
      <c r="E18" s="22" t="inlineStr">
        <is>
          <t>Both. CLOSED</t>
        </is>
      </c>
    </row>
    <row r="19">
      <c r="A19" s="20" t="inlineStr">
        <is>
          <t>Q-N15</t>
        </is>
      </c>
      <c r="B19" s="20" t="inlineStr">
        <is>
          <t>Deployment</t>
        </is>
      </c>
      <c r="C19" s="21" t="inlineStr">
        <is>
          <t>Would the share be writable, or read-only?</t>
        </is>
      </c>
      <c r="D19" s="21" t="inlineStr">
        <is>
          <t>ANSWERED 2026-08-13: writable. This is the simpler outcome - each person gets data\users\&lt;name&gt;\ under the application folder automatically (NR-DEP-15), nobody is asked where to put anything, and the shortcut at NR-DEP-12 becomes a convenience rather than the normal way in. The read-only path (NR-DEP-09) stays built, because a folder can be made read-only later without anybody telling the application.</t>
        </is>
      </c>
      <c r="E19" s="22" t="inlineStr">
        <is>
          <t>Writable. CLOSED</t>
        </is>
      </c>
    </row>
    <row r="20">
      <c r="A20" s="20" t="inlineStr">
        <is>
          <t>Q-N16</t>
        </is>
      </c>
      <c r="B20" s="20" t="inlineStr">
        <is>
          <t>Sharing</t>
        </is>
      </c>
      <c r="C20" s="21" t="inlineStr">
        <is>
          <t>How long should a silent session hold a plan before others may take it over?</t>
        </is>
      </c>
      <c r="D20" s="21"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2" t="inlineStr">
        <is>
          <t>30 minutes. CLOSED</t>
        </is>
      </c>
    </row>
    <row r="21">
      <c r="A21" s="20" t="inlineStr">
        <is>
          <t>Q-N17</t>
        </is>
      </c>
      <c r="B21" s="20" t="inlineStr">
        <is>
          <t>Sharing</t>
        </is>
      </c>
      <c r="C21" s="21" t="inlineStr">
        <is>
          <t>Should the application be able to say who is editing, and let a blocked colleague contact them?</t>
        </is>
      </c>
      <c r="D21" s="21"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2" t="inlineStr">
        <is>
          <t>Yes, with contact details. CLOSED</t>
        </is>
      </c>
    </row>
    <row r="22">
      <c r="A22" s="20" t="inlineStr">
        <is>
          <t>Q-N18</t>
        </is>
      </c>
      <c r="B22" s="20" t="inlineStr">
        <is>
          <t>User identity</t>
        </is>
      </c>
      <c r="C22" s="21" t="inlineStr">
        <is>
          <t>Which details should the application record beside the name?</t>
        </is>
      </c>
      <c r="D22" s="21"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2"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7" t="inlineStr">
        <is>
          <t>Green = new to the desktop application; nothing in the web application corresponds to it.</t>
        </is>
      </c>
    </row>
    <row r="27">
      <c r="A27" s="18" t="inlineStr">
        <is>
          <t>Orange = inherited from the web application but deliberately changed here.</t>
        </is>
      </c>
    </row>
    <row r="28">
      <c r="A28" s="19" t="inlineStr">
        <is>
          <t>Yellow = needs your decision before the work can proceed.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3" t="inlineStr">
        <is>
          <t>2</t>
        </is>
      </c>
      <c r="B6" s="13" t="inlineStr">
        <is>
          <t>Instruction 2026-08-13</t>
        </is>
      </c>
      <c r="C6" s="14" t="inlineStr">
        <is>
          <t>Change the data flow to keep imported data even after the application closes.</t>
        </is>
      </c>
      <c r="D6" s="14" t="inlineStr">
        <is>
          <t>Accepted.</t>
        </is>
      </c>
      <c r="E6" s="14" t="inlineStr">
        <is>
          <t>NR-STO-01..09; sheet 05 sets out the workspace model, the write protocol and the recovery behaviour; decisions N-02, N-03, N-08; risk R-N03 records the new risk this creates.</t>
        </is>
      </c>
      <c r="F6" s="13"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3" t="inlineStr">
        <is>
          <t>4</t>
        </is>
      </c>
      <c r="B8" s="13" t="inlineStr">
        <is>
          <t>Instruction 2026-08-13</t>
        </is>
      </c>
      <c r="C8" s="14" t="inlineStr">
        <is>
          <t>Develop the new application under a separate plan with a different name.</t>
        </is>
      </c>
      <c r="D8" s="14" t="inlineStr">
        <is>
          <t>Accepted.</t>
        </is>
      </c>
      <c r="E8" s="14" t="inlineStr">
        <is>
          <t>This document, PRAP-NAPP-PLAN-001, in its own version line from v0.1 with its own gates N1..N5. The web application plan is not amended.</t>
        </is>
      </c>
      <c r="F8" s="13"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3" t="inlineStr">
        <is>
          <t>6</t>
        </is>
      </c>
      <c r="B10" s="13" t="inlineStr">
        <is>
          <t>-</t>
        </is>
      </c>
      <c r="C10" s="14" t="inlineStr">
        <is>
          <t>Not requester input - raised while drafting.</t>
        </is>
      </c>
      <c r="D10" s="14" t="inlineStr">
        <is>
          <t>Two claims in this plan cannot be verified from the development environment.</t>
        </is>
      </c>
      <c r="E10" s="14"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3"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3" t="inlineStr">
        <is>
          <t>8</t>
        </is>
      </c>
      <c r="B12" s="13" t="inlineStr">
        <is>
          <t>Instruction 2026-08-13 (round 1)</t>
        </is>
      </c>
      <c r="C12" s="14" t="inlineStr">
        <is>
          <t>It should be a non-installed application.</t>
        </is>
      </c>
      <c r="D12" s="14" t="inlineStr">
        <is>
          <t>Accepted, and it reaches further than one requirement.</t>
        </is>
      </c>
      <c r="E12" s="14"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3"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Closed</t>
        </is>
      </c>
    </row>
    <row r="14">
      <c r="A14" s="13" t="inlineStr">
        <is>
          <t>10</t>
        </is>
      </c>
      <c r="B14" s="13" t="inlineStr">
        <is>
          <t>-</t>
        </is>
      </c>
      <c r="C14" s="14" t="inlineStr">
        <is>
          <t>Not requester input - found while applying item 8.</t>
        </is>
      </c>
      <c r="D14" s="14" t="inlineStr">
        <is>
          <t>Non-installed makes one thing HARDER, not easier.</t>
        </is>
      </c>
      <c r="E14" s="14"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3" t="inlineStr">
        <is>
          <t>Closed</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3" t="inlineStr">
        <is>
          <t>12</t>
        </is>
      </c>
      <c r="B16" s="13" t="inlineStr">
        <is>
          <t>Q-N12 answer (round 2)</t>
        </is>
      </c>
      <c r="C16" s="14" t="inlineStr">
        <is>
          <t>A shared network folder could be considered.</t>
        </is>
      </c>
      <c r="D16" s="14" t="inlineStr">
        <is>
          <t>Accepted, and planned for as though it will happen.</t>
        </is>
      </c>
      <c r="E16" s="14"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3"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3" t="inlineStr">
        <is>
          <t>14</t>
        </is>
      </c>
      <c r="B18" s="13" t="inlineStr">
        <is>
          <t>-</t>
        </is>
      </c>
      <c r="C18" s="14" t="inlineStr">
        <is>
          <t>Not requester input - found while applying item 12.</t>
        </is>
      </c>
      <c r="D18" s="14" t="inlineStr">
        <is>
          <t>Where does a portable application remember its data location, if it cannot write beside itself?</t>
        </is>
      </c>
      <c r="E18" s="14"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3"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0">
      <c r="A20" s="13" t="inlineStr">
        <is>
          <t>16</t>
        </is>
      </c>
      <c r="B20" s="13" t="inlineStr">
        <is>
          <t>Instruction 2026-08-13 (round 3)</t>
        </is>
      </c>
      <c r="C20" s="14" t="inlineStr">
        <is>
          <t>Block other sessions from updating while someone starts editing.</t>
        </is>
      </c>
      <c r="D20" s="14" t="inlineStr">
        <is>
          <t>Accepted, and it settles the sharing model: single writer, many readers.</t>
        </is>
      </c>
      <c r="E20" s="14"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3" t="inlineStr">
        <is>
          <t>Closed</t>
        </is>
      </c>
    </row>
    <row r="21">
      <c r="A21" s="15" t="inlineStr">
        <is>
          <t>17</t>
        </is>
      </c>
      <c r="B21" s="15" t="inlineStr">
        <is>
          <t>-</t>
        </is>
      </c>
      <c r="C21" s="16" t="inlineStr">
        <is>
          <t>Not requester input - noticed while applying item 16.</t>
        </is>
      </c>
      <c r="D21" s="16" t="inlineStr">
        <is>
          <t>The instruction fits the application's existing edit model exactly.</t>
        </is>
      </c>
      <c r="E21" s="16"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5" t="inlineStr">
        <is>
          <t>Closed</t>
        </is>
      </c>
    </row>
    <row r="22">
      <c r="A22" s="13" t="inlineStr">
        <is>
          <t>18</t>
        </is>
      </c>
      <c r="B22" s="13" t="inlineStr">
        <is>
          <t>-</t>
        </is>
      </c>
      <c r="C22" s="14" t="inlineStr">
        <is>
          <t>Not requester input - a gap in v0.3 that item 16 makes plain.</t>
        </is>
      </c>
      <c r="D22" s="14" t="inlineStr">
        <is>
          <t>Blocking writers is not enough on its own: a READER can be misled just as badly.</t>
        </is>
      </c>
      <c r="E22" s="14"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3" t="inlineStr">
        <is>
          <t>Closed</t>
        </is>
      </c>
    </row>
    <row r="23">
      <c r="A23" s="15" t="inlineStr">
        <is>
          <t>19</t>
        </is>
      </c>
      <c r="B23" s="15" t="inlineStr">
        <is>
          <t>-</t>
        </is>
      </c>
      <c r="C23" s="16" t="inlineStr">
        <is>
          <t>Not requester input - raised while applying item 16.</t>
        </is>
      </c>
      <c r="D23" s="16" t="inlineStr">
        <is>
          <t>One failure mode belongs to the network, not to the application.</t>
        </is>
      </c>
      <c r="E23" s="16"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5" t="inlineStr">
        <is>
          <t>Closed</t>
        </is>
      </c>
    </row>
    <row r="24">
      <c r="A24" s="13" t="inlineStr">
        <is>
          <t>20</t>
        </is>
      </c>
      <c r="B24" s="13" t="inlineStr">
        <is>
          <t>Q-N16 answer (round 4)</t>
        </is>
      </c>
      <c r="C24" s="14" t="inlineStr">
        <is>
          <t>A silent session may hold a plan for 30 minutes.</t>
        </is>
      </c>
      <c r="D24" s="14" t="inlineStr">
        <is>
          <t>Accepted - twenty times the 90 seconds proposed, and coherent with the Q-N17 answer.</t>
        </is>
      </c>
      <c r="E24" s="14"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3" t="inlineStr">
        <is>
          <t>Closed</t>
        </is>
      </c>
    </row>
    <row r="25">
      <c r="A25" s="15" t="inlineStr">
        <is>
          <t>21</t>
        </is>
      </c>
      <c r="B25" s="15" t="inlineStr">
        <is>
          <t>Q-N17 answer (round 4)</t>
        </is>
      </c>
      <c r="C25" s="16" t="inlineStr">
        <is>
          <t>Ask for the user's name at log-in; show who is editing in the pop-up; let others contact that person from what the pop-up shows.</t>
        </is>
      </c>
      <c r="D25" s="16" t="inlineStr">
        <is>
          <t>Accepted, and it is what makes item 20 work.</t>
        </is>
      </c>
      <c r="E25" s="16"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5" t="inlineStr">
        <is>
          <t>Closed</t>
        </is>
      </c>
    </row>
    <row r="26">
      <c r="A26" s="13" t="inlineStr">
        <is>
          <t>22</t>
        </is>
      </c>
      <c r="B26" s="13" t="inlineStr">
        <is>
          <t>-</t>
        </is>
      </c>
      <c r="C26" s="14" t="inlineStr">
        <is>
          <t>Not requester input - noticed while applying items 20 and 21.</t>
        </is>
      </c>
      <c r="D26" s="14" t="inlineStr">
        <is>
          <t>The two answers are stronger together than separately.</t>
        </is>
      </c>
      <c r="E26" s="14"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3" t="inlineStr">
        <is>
          <t>Closed</t>
        </is>
      </c>
    </row>
    <row r="27">
      <c r="A27" s="15" t="inlineStr">
        <is>
          <t>23</t>
        </is>
      </c>
      <c r="B27" s="15" t="inlineStr">
        <is>
          <t>-</t>
        </is>
      </c>
      <c r="C27" s="16" t="inlineStr">
        <is>
          <t>Not requester input - found while applying item 20.</t>
        </is>
      </c>
      <c r="D27" s="16" t="inlineStr">
        <is>
          <t>Thirty minutes has one genuinely infuriating case.</t>
        </is>
      </c>
      <c r="E27" s="16" t="inlineStr">
        <is>
          <t>Your own application crashes, you restart it, and you cannot edit your own plan for half an hour. NR-STO-19 and decision N-24 let a user reclaim a stalled claim held by their own name on their own machine at once. Everybody else waits.</t>
        </is>
      </c>
      <c r="F27" s="15" t="inlineStr">
        <is>
          <t>Closed</t>
        </is>
      </c>
    </row>
    <row r="28">
      <c r="A28" s="13" t="inlineStr">
        <is>
          <t>24</t>
        </is>
      </c>
      <c r="B28" s="13" t="inlineStr">
        <is>
          <t>-</t>
        </is>
      </c>
      <c r="C28" s="14" t="inlineStr">
        <is>
          <t>Not requester input - raised while applying item 21.</t>
        </is>
      </c>
      <c r="D28" s="14" t="inlineStr">
        <is>
          <t>What a typed name is, and is not.</t>
        </is>
      </c>
      <c r="E28" s="14"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3" t="inlineStr">
        <is>
          <t>Closed</t>
        </is>
      </c>
    </row>
    <row r="29">
      <c r="A29" s="15" t="inlineStr">
        <is>
          <t>25</t>
        </is>
      </c>
      <c r="B29" s="15" t="inlineStr">
        <is>
          <t>Q-N18 answer (round 5)</t>
        </is>
      </c>
      <c r="C29" s="16" t="inlineStr">
        <is>
          <t>Record the user's department beside their name.</t>
        </is>
      </c>
      <c r="D29" s="16" t="inlineStr">
        <is>
          <t>Accepted, and e-mail and telephone are dropped rather than kept as optional.</t>
        </is>
      </c>
      <c r="E29" s="16"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5" t="inlineStr">
        <is>
          <t>Closed</t>
        </is>
      </c>
    </row>
    <row r="30">
      <c r="A30" s="13" t="inlineStr">
        <is>
          <t>26</t>
        </is>
      </c>
      <c r="B30" s="13" t="inlineStr">
        <is>
          <t>-</t>
        </is>
      </c>
      <c r="C30" s="14" t="inlineStr">
        <is>
          <t>Not requester input - noticed while applying item 25.</t>
        </is>
      </c>
      <c r="D30" s="14" t="inlineStr">
        <is>
          <t>The answer fits a column the data model already has.</t>
        </is>
      </c>
      <c r="E30" s="14"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3" t="inlineStr">
        <is>
          <t>Closed</t>
        </is>
      </c>
    </row>
    <row r="31">
      <c r="A31" s="15" t="inlineStr">
        <is>
          <t>27</t>
        </is>
      </c>
      <c r="B31" s="15" t="inlineStr">
        <is>
          <t>v0.6_reviewed (round 6)</t>
        </is>
      </c>
      <c r="C31" s="16" t="inlineStr">
        <is>
          <t>Q-N02: a zip can be saved in your own folder and executed. Confirming the rest with IT is difficult at the moment - assume no issue.</t>
        </is>
      </c>
      <c r="D31" s="16" t="inlineStr">
        <is>
          <t>Accepted as a decision to proceed, recorded as an assumption rather than a fact.</t>
        </is>
      </c>
      <c r="E31" s="16" t="inlineStr">
        <is>
          <t>A-N09 reworded from 'to confirm' to 'ASSUMED, not verified'; R-N01 stays OPEN with the same wording. The plan proceeds on your call - it simply does not claim more certainty than exists, and N5.7 remains the first moment anybody will know. Everything else in this plan has been demonstrated before it was claimed; this one cannot be, from here.</t>
        </is>
      </c>
      <c r="F31" s="15" t="inlineStr">
        <is>
          <t>Closed</t>
        </is>
      </c>
    </row>
    <row r="32">
      <c r="A32" s="13" t="inlineStr">
        <is>
          <t>28</t>
        </is>
      </c>
      <c r="B32" s="13" t="inlineStr">
        <is>
          <t>v0.6_reviewed - Q-N03</t>
        </is>
      </c>
      <c r="C32" s="14" t="inlineStr">
        <is>
          <t>Not an answer: 'elaborate the question more easily. What IT purchase is needed? What is the company code-signing certificate?'</t>
        </is>
      </c>
      <c r="D32" s="14" t="inlineStr">
        <is>
          <t>Fair - the question assumed knowledge it should have supplied.</t>
        </is>
      </c>
      <c r="E32" s="14" t="inlineStr">
        <is>
          <t>Sheet 10 gains 'Code signing, in plain terms': what the seal is, what happens with and without it, what is bought and for roughly how much, why only the company can buy it, what else it needs, who would own it, and - the part that matters - that NOTHING here needs it. The application works unsigned; signing removes friction. Q-N03 rewritten in those terms.</t>
        </is>
      </c>
      <c r="F32" s="13" t="inlineStr">
        <is>
          <t>Closed</t>
        </is>
      </c>
    </row>
    <row r="33">
      <c r="A33" s="15" t="inlineStr">
        <is>
          <t>29</t>
        </is>
      </c>
      <c r="B33" s="15" t="inlineStr">
        <is>
          <t>v0.6_reviewed - Q-N04</t>
        </is>
      </c>
      <c r="C33" s="16" t="inlineStr">
        <is>
          <t>'Even in a shared network, there is a certain way to decrypt a file to be imported into the system.'</t>
        </is>
      </c>
      <c r="D33" s="16" t="inlineStr">
        <is>
          <t>Read as being about file PROTECTION rather than about location - flagged for your confirmation.</t>
        </is>
      </c>
      <c r="E33" s="16" t="inlineStr">
        <is>
          <t>The reading taken: a shared network is acceptable, and files on it may carry company protection that must be lifted before an ordinary application can read them. NR-IMP-06 makes a protected file report itself as protected rather than as corrupt, which is the failure that would otherwise waste an afternoon; NR-IMP-07 and N-32 keep the application from adding encryption of its own, so it never becomes the only thing that can open your data. Risk R-N18. The location question itself is answered by Q-N15 instead. THIS IS THE ONE PLACE IN v0.7 WHERE I HAVE INTERPRETED RATHER THAN TRANSCRIBED - please confirm or correct it.</t>
        </is>
      </c>
      <c r="F33" s="15" t="inlineStr">
        <is>
          <t>Closed</t>
        </is>
      </c>
    </row>
    <row r="34">
      <c r="A34" s="13" t="inlineStr">
        <is>
          <t>30</t>
        </is>
      </c>
      <c r="B34" s="13" t="inlineStr">
        <is>
          <t>v0.6_reviewed - Q-N05</t>
        </is>
      </c>
      <c r="C34" s="14" t="inlineStr">
        <is>
          <t>Ask whether to update existing data, and give a difference report so the user decides what may be overridden.</t>
        </is>
      </c>
      <c r="D34" s="14" t="inlineStr">
        <is>
          <t>Accepted - confirms the v0.3 proposal and adds an explicit first question.</t>
        </is>
      </c>
      <c r="E34" s="14" t="inlineStr">
        <is>
          <t>NR-IMP-02 rewritten: the import asks whether existing data is to be updated at all, then presents a difference report sheet by sheet. The 'ask first' step is the addition - v0.6 went straight to the differences, which presumes the user wanted an update at all.</t>
        </is>
      </c>
      <c r="F34" s="13" t="inlineStr">
        <is>
          <t>Closed</t>
        </is>
      </c>
    </row>
    <row r="35">
      <c r="A35" s="15" t="inlineStr">
        <is>
          <t>31</t>
        </is>
      </c>
      <c r="B35" s="15" t="inlineStr">
        <is>
          <t>v0.6_reviewed - Q-N07</t>
        </is>
      </c>
      <c r="C35" s="16" t="inlineStr">
        <is>
          <t>Retain only one previous version.</t>
        </is>
      </c>
      <c r="D35" s="16" t="inlineStr">
        <is>
          <t>Accepted, with its consequence recorded rather than left implicit.</t>
        </is>
      </c>
      <c r="E35" s="16" t="inlineStr">
        <is>
          <t>NR-STO-06 changed from ten to one, decision N-30, kept as a setting. R-N19 added: save a mistake, notice it, save again while fixing it, and the good version has been pushed out of history. The Excel export remains an archive no save can touch, and the user guide will say so plainly.</t>
        </is>
      </c>
      <c r="F35" s="15" t="inlineStr">
        <is>
          <t>Closed</t>
        </is>
      </c>
    </row>
    <row r="36">
      <c r="A36" s="13" t="inlineStr">
        <is>
          <t>32</t>
        </is>
      </c>
      <c r="B36" s="13" t="inlineStr">
        <is>
          <t>v0.6_reviewed - Q-N09</t>
        </is>
      </c>
      <c r="C36" s="14" t="inlineStr">
        <is>
          <t>No internal validation or record-keeping obligation.</t>
        </is>
      </c>
      <c r="D36" s="14" t="inlineStr">
        <is>
          <t>Accepted - and it settles an open risk.</t>
        </is>
      </c>
      <c r="E36" s="14" t="inlineStr">
        <is>
          <t>Assumption A-N11. R-N16 falls from Medium/Medium to Low/Low: with nothing formal resting on it, a declared user name is a courtesy rather than a control. It also keeps Step N5 to functional verification rather than qualification evidence.</t>
        </is>
      </c>
      <c r="F36" s="13" t="inlineStr">
        <is>
          <t>Closed</t>
        </is>
      </c>
    </row>
    <row r="37">
      <c r="A37" s="15" t="inlineStr">
        <is>
          <t>33</t>
        </is>
      </c>
      <c r="B37" s="15" t="inlineStr">
        <is>
          <t>v0.6_reviewed - Q-N10</t>
        </is>
      </c>
      <c r="C37" s="16" t="inlineStr">
        <is>
          <t>Yes - open a source workbook for a look without creating a workspace.</t>
        </is>
      </c>
      <c r="D37" s="16" t="inlineStr">
        <is>
          <t>Accepted.</t>
        </is>
      </c>
      <c r="E37" s="16" t="inlineStr">
        <is>
          <t>NR-IMP-05. A workspace becomes optional rather than mandatory, which also gives somebody a way to try the application without committing to anything.</t>
        </is>
      </c>
      <c r="F37" s="15" t="inlineStr">
        <is>
          <t>Closed</t>
        </is>
      </c>
    </row>
    <row r="38">
      <c r="A38" s="13" t="inlineStr">
        <is>
          <t>34</t>
        </is>
      </c>
      <c r="B38" s="13" t="inlineStr">
        <is>
          <t>v0.6_reviewed - Q-N11</t>
        </is>
      </c>
      <c r="C38" s="14" t="inlineStr">
        <is>
          <t>'Project Management APP' or 'PM_APP'.</t>
        </is>
      </c>
      <c r="D38" s="14" t="inlineStr">
        <is>
          <t>Accepted, with one thing to confirm.</t>
        </is>
      </c>
      <c r="E38" s="14" t="inlineStr">
        <is>
          <t>NR-APP-08 and N-29: the long form on screen and in the window title, PM_APP as folder and executable. Sheet 05's layout and NR-DEP-13 updated to match. The DOCUMENTS keep the PRAP_NewApp_ prefix so this plan stays findable beside the web application's - say if you would rather they were renamed too.</t>
        </is>
      </c>
      <c r="F38" s="13" t="inlineStr">
        <is>
          <t>Closed</t>
        </is>
      </c>
    </row>
    <row r="39">
      <c r="A39" s="15" t="inlineStr">
        <is>
          <t>35</t>
        </is>
      </c>
      <c r="B39" s="15" t="inlineStr">
        <is>
          <t>v0.6_reviewed - Q-N14 and Q-N15</t>
        </is>
      </c>
      <c r="C39" s="16" t="inlineStr">
        <is>
          <t>Both ways of using the share; and the share would be writable.</t>
        </is>
      </c>
      <c r="D39" s="16" t="inlineStr">
        <is>
          <t>Accepted - and the writable answer is the simpler outcome.</t>
        </is>
      </c>
      <c r="E39" s="16" t="inlineStr">
        <is>
          <t>NR-DEP-14: both arrangements first-class, both tested, and the user guide states what each costs in launch time rather than recommending one. NR-DEP-15: on a writable share each person gets data\users\&lt;name&gt;\ automatically, so nobody is asked where to put anything. The read-only path stays built - a folder can be made read-only later without telling the application.</t>
        </is>
      </c>
      <c r="F39" s="15" t="inlineStr">
        <is>
          <t>Closed</t>
        </is>
      </c>
    </row>
    <row r="40">
      <c r="A40" s="13" t="inlineStr">
        <is>
          <t>36</t>
        </is>
      </c>
      <c r="B40" s="13" t="inlineStr">
        <is>
          <t>-</t>
        </is>
      </c>
      <c r="C40" s="14" t="inlineStr">
        <is>
          <t>Not requester input - the state of the document.</t>
        </is>
      </c>
      <c r="D40" s="14" t="inlineStr">
        <is>
          <t>Every question is answered.</t>
        </is>
      </c>
      <c r="E40" s="14" t="inlineStr">
        <is>
          <t>Eighteen questions across six review rounds, all answered. Two items were outstanding at v0.7 - the reading at item 29 and the naming at item 34 - and both are resolved by the Gate N1 approval below: the reading is adopted, and the documents keep their prefix. Both remain correctable under a v1.1.</t>
        </is>
      </c>
      <c r="F40" s="13" t="inlineStr">
        <is>
          <t>Closed</t>
        </is>
      </c>
    </row>
    <row r="41">
      <c r="A41" s="15" t="inlineStr">
        <is>
          <t>37</t>
        </is>
      </c>
      <c r="B41" s="15" t="inlineStr">
        <is>
          <t>Gate N1</t>
        </is>
      </c>
      <c r="C41" s="16" t="inlineStr">
        <is>
          <t>'Go to next step', 2026-08-13.</t>
        </is>
      </c>
      <c r="D41" s="16" t="inlineStr">
        <is>
          <t>Recorded as approval of the plan as a baseline.</t>
        </is>
      </c>
      <c r="E41" s="16" t="inlineStr">
        <is>
          <t>v1.0 issued with no content change against v0.7. Decisions N-01..N-32 are confirmed by the approval itself rather than by a seventh review round - the same route the web application plan took at its own Gate 1, where C-06..C-11 were resolved at approval. Step N2 opens with the refactor, which is gated on the 13 existing suites passing unmodified against the rebuilt HTML file.</t>
        </is>
      </c>
      <c r="F41" s="15" t="inlineStr">
        <is>
          <t>Closed</t>
        </is>
      </c>
    </row>
    <row r="43">
      <c r="A43" s="8" t="inlineStr">
        <is>
          <t>Every item is closed. Five of them - 9, 10, 19, 24 and 29 - were carried open through the review rounds and are closed at Gate N1 because their ACTIONS are complete: each was recorded as a requirement, a decision or a risk. What remains live from them lives on sheet 10, which is where a risk belongs; a review log records what was done, not what is still feared.</t>
        </is>
      </c>
    </row>
    <row r="45">
      <c r="A45" s="5" t="inlineStr">
        <is>
          <t>Approval - Gate N1</t>
        </is>
      </c>
    </row>
    <row r="46" ht="28" customHeight="1">
      <c r="A46" s="10" t="inlineStr">
        <is>
          <t>Document</t>
        </is>
      </c>
      <c r="B46" s="10" t="inlineStr">
        <is>
          <t>Approver</t>
        </is>
      </c>
      <c r="C46" s="10" t="inlineStr">
        <is>
          <t>Date</t>
        </is>
      </c>
      <c r="D46" s="10" t="inlineStr">
        <is>
          <t>Decision</t>
        </is>
      </c>
    </row>
    <row r="47">
      <c r="A47" s="11" t="inlineStr">
        <is>
          <t>PRAP NewApp Development Plan v1.0</t>
        </is>
      </c>
      <c r="B47" s="11" t="inlineStr">
        <is>
          <t>Dan</t>
        </is>
      </c>
      <c r="C47" s="11" t="inlineStr">
        <is>
          <t>2026-08-13</t>
        </is>
      </c>
      <c r="D47" s="12" t="inlineStr">
        <is>
          <t>APPROVED - BASELINE, by direction ('go to next step'). Gate N1 is closed and Step N2 is authorised. The approval confirms decisions N-01 to N-32 on sheet 06, adopts the reading taken of the Q-N04 answer (review-log item 29), and leaves the documents named PRAP_NewApp_* rather than renaming them to match the application. The 69 requirements on sheet 03 are the contract for Steps N2 to N5. Any of these can still be changed - it costs a version and a re-approval, not a re-opened gate.</t>
        </is>
      </c>
    </row>
    <row r="49">
      <c r="A49" s="8" t="inlineStr">
        <is>
          <t>STEP N1 IS COMPLETE. Work now proceeds under Step N2, whose first task is the refactor that gives both applications one engine - gated on the 13 existing suites passing unmodified against the rebuilt HTML file, so the finished web application cannot be damaged by it.</t>
        </is>
      </c>
    </row>
  </sheetData>
  <dataValidations count="1">
    <dataValidation sqref="F5:F41"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2026-08-14T13:59:17Z</dcterms:created>
  <dcterms:modified xsi:type="dcterms:W3CDTF">2026-08-14T13:59:17Z</dcterms:modified>
</cp:coreProperties>
</file>