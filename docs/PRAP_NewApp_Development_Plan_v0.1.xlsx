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6_Decisions" sheetId="7" state="visible" r:id="rId7"/>
    <sheet name="07_WBS_Schedule" sheetId="8" state="visible" r:id="rId8"/>
    <sheet name="08_Verification"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v0.1</t>
        </is>
      </c>
    </row>
    <row r="7" ht="30" customHeight="1">
      <c r="A7" s="3" t="inlineStr">
        <is>
          <t>Status</t>
        </is>
      </c>
      <c r="B7" s="4" t="inlineStr">
        <is>
          <t>DRAFT - issued for review. Step 1 of 5. Nothing is built until Gate N1 is passed.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review round 1 pending</t>
        </is>
      </c>
    </row>
    <row r="11" ht="30" customHeight="1">
      <c r="A11" s="3" t="inlineStr">
        <is>
          <t>Relationship to the web application</t>
        </is>
      </c>
      <c r="B11" s="4" t="inlineStr">
        <is>
          <t>PARALLEL, NOT SUCCESSOR. The web application and its documents are complete and stay in service. This plan does not supersede, amend or retire any of them.</t>
        </is>
      </c>
    </row>
    <row r="12" ht="30" customHeight="1">
      <c r="A12" s="3" t="inlineStr">
        <is>
          <t>Governs</t>
        </is>
      </c>
      <c r="B12" s="4" t="inlineStr">
        <is>
          <t>A packaged desktop application built on the same calculation engine</t>
        </is>
      </c>
    </row>
    <row r="13" ht="30" customHeight="1">
      <c r="A13" s="3" t="inlineStr">
        <is>
          <t>Does NOT govern</t>
        </is>
      </c>
      <c r="B13" s="4" t="inlineStr">
        <is>
          <t>app/PRAP.html (application v1.24), which remains under PRAP_Development_Plan_v2.26.xlsx</t>
        </is>
      </c>
    </row>
    <row r="14" ht="30" customHeight="1">
      <c r="A14" s="3" t="inlineStr">
        <is>
          <t>Repository</t>
        </is>
      </c>
      <c r="B14" s="4" t="inlineStr">
        <is>
          <t>Dan5050-now/project1</t>
        </is>
      </c>
    </row>
    <row r="15" ht="30" customHeight="1">
      <c r="A15" s="3" t="inlineStr">
        <is>
          <t>Branch</t>
        </is>
      </c>
      <c r="B15" s="4" t="inlineStr">
        <is>
          <t>claude/project-resource-assignment-app-1vjdzh</t>
        </is>
      </c>
    </row>
    <row r="16" ht="30" customHeight="1">
      <c r="A16" s="3" t="inlineStr">
        <is>
          <t>Supersedes</t>
        </is>
      </c>
      <c r="B16" s="4" t="inlineStr">
        <is>
          <t>Nothing. This is a new document line, numbered from v0.1</t>
        </is>
      </c>
    </row>
    <row r="18">
      <c r="A18" s="5" t="inlineStr">
        <is>
          <t>Why a second plan rather than a new version of the first</t>
        </is>
      </c>
    </row>
    <row r="19">
      <c r="A19" s="6" t="inlineStr">
        <is>
          <t>The web application is finished, verified and about to be used. Folding a desktop rewrite into its plan would</t>
        </is>
      </c>
    </row>
    <row r="20">
      <c r="A20" s="6" t="inlineStr">
        <is>
          <t>put a completed, approved document back into draft, and would make it impossible to tell which requirements</t>
        </is>
      </c>
    </row>
    <row r="21">
      <c r="A21" s="6" t="inlineStr">
        <is>
          <t>the finished tool actually satisfies. Two plans keep both answers clean:</t>
        </is>
      </c>
    </row>
    <row r="22">
      <c r="A22" s="6" t="inlineStr"/>
    </row>
    <row r="23">
      <c r="A23" s="7" t="inlineStr">
        <is>
          <t xml:space="preserve">    PRAP_Development_Plan_v2.26.xlsx          the web application - CLOSED at Gate 4, going to Gate 5</t>
        </is>
      </c>
    </row>
    <row r="24">
      <c r="A24" s="7" t="inlineStr">
        <is>
          <t xml:space="preserve">    PRAP_NewApp_Development_Plan_v0.1.xlsx      the desktop application - OPEN at Step 1</t>
        </is>
      </c>
    </row>
    <row r="25">
      <c r="A25" s="6" t="inlineStr"/>
    </row>
    <row r="26">
      <c r="A26" s="6" t="inlineStr">
        <is>
          <t>They share one calculation engine and one data contract, and sheet 02 states exactly how that sharing is</t>
        </is>
      </c>
    </row>
    <row r="27">
      <c r="A27" s="6" t="inlineStr">
        <is>
          <t>kept honest. Everything else about them is independent: their own versions, their own gates, their own</t>
        </is>
      </c>
    </row>
    <row r="28">
      <c r="A28" s="6" t="inlineStr">
        <is>
          <t>approvals, their own release cycles.</t>
        </is>
      </c>
    </row>
    <row r="30">
      <c r="A30"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0.1</t>
        </is>
      </c>
      <c r="B5" s="11" t="inlineStr">
        <is>
          <t>2026-08-13</t>
        </is>
      </c>
      <c r="C5" s="11" t="inlineStr">
        <is>
          <t>Claude Code</t>
        </is>
      </c>
      <c r="D5" s="11" t="inlineStr">
        <is>
          <t>Pending</t>
        </is>
      </c>
      <c r="E5" s="12"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7">
      <c r="A7" s="5" t="inlineStr">
        <is>
          <t>Numbering rules for this document line</t>
        </is>
      </c>
    </row>
    <row r="8" ht="28" customHeight="1">
      <c r="A8" s="10" t="inlineStr">
        <is>
          <t>Version</t>
        </is>
      </c>
      <c r="B8" s="10" t="inlineStr">
        <is>
          <t>Meaning</t>
        </is>
      </c>
    </row>
    <row r="9">
      <c r="A9" s="13" t="inlineStr">
        <is>
          <t>v0.x</t>
        </is>
      </c>
      <c r="B9" s="14" t="inlineStr">
        <is>
          <t>Draft issues during Step 1 review rounds.</t>
        </is>
      </c>
    </row>
    <row r="10">
      <c r="A10" s="15" t="inlineStr">
        <is>
          <t>v1.0</t>
        </is>
      </c>
      <c r="B10" s="16" t="inlineStr">
        <is>
          <t>The approved baseline, set at Gate N1.</t>
        </is>
      </c>
    </row>
    <row r="11">
      <c r="A11" s="13" t="inlineStr">
        <is>
          <t>v1.x</t>
        </is>
      </c>
      <c r="B11" s="14" t="inlineStr">
        <is>
          <t>Approved changes against that baseline, each separately approved.</t>
        </is>
      </c>
    </row>
    <row r="12">
      <c r="A12" s="15" t="inlineStr">
        <is>
          <t>v2.0</t>
        </is>
      </c>
      <c r="B12" s="16" t="inlineStr">
        <is>
          <t>Reserved for a structural change, on the same rule the web plan used.</t>
        </is>
      </c>
    </row>
    <row r="14">
      <c r="A14" s="8" t="inlineStr">
        <is>
          <t>Gate prefixes are N1..N5 throughout this document, so a reference such as 'G4' can never be confused between the two plans.</t>
        </is>
      </c>
    </row>
    <row r="15">
      <c r="A15" s="3" t="inlineStr">
        <is>
          <t>Legend</t>
        </is>
      </c>
    </row>
    <row r="16">
      <c r="A16" s="17" t="inlineStr">
        <is>
          <t>Green = new to the desktop application; nothing in the web application corresponds to it.</t>
        </is>
      </c>
    </row>
    <row r="17">
      <c r="A17" s="18" t="inlineStr">
        <is>
          <t>Orange = inherited from the web application but deliberately changed here.</t>
        </is>
      </c>
    </row>
    <row r="18">
      <c r="A18"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5"/>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13" t="inlineStr">
        <is>
          <t>Form</t>
        </is>
      </c>
      <c r="B12" s="14" t="inlineStr">
        <is>
          <t>One HTML file, opened in a browser</t>
        </is>
      </c>
      <c r="C12" s="14" t="inlineStr">
        <is>
          <t>Installed program with its own window and icon</t>
        </is>
      </c>
      <c r="D12" s="13" t="inlineStr">
        <is>
          <t>-</t>
        </is>
      </c>
    </row>
    <row r="13">
      <c r="A13" s="20" t="inlineStr">
        <is>
          <t>Data after closing</t>
        </is>
      </c>
      <c r="B13" s="21" t="inlineStr">
        <is>
          <t>Lost - the file must be re-imported each session</t>
        </is>
      </c>
      <c r="C13" s="21" t="inlineStr">
        <is>
          <t>KEPT - the workspace reopens as it was left</t>
        </is>
      </c>
      <c r="D13" s="20" t="inlineStr">
        <is>
          <t>NR-STO-01</t>
        </is>
      </c>
    </row>
    <row r="14">
      <c r="A14" s="20" t="inlineStr">
        <is>
          <t>Source of truth</t>
        </is>
      </c>
      <c r="B14" s="21" t="inlineStr">
        <is>
          <t>The Excel workbook outside the application</t>
        </is>
      </c>
      <c r="C14" s="21" t="inlineStr">
        <is>
          <t>The workspace file the application owns; Excel becomes exchange</t>
        </is>
      </c>
      <c r="D14" s="20" t="inlineStr">
        <is>
          <t>NR-STO-02</t>
        </is>
      </c>
    </row>
    <row r="15">
      <c r="A15" s="15" t="inlineStr">
        <is>
          <t>Calculation engine</t>
        </is>
      </c>
      <c r="B15" s="16" t="inlineStr">
        <is>
          <t>Shared - one implementation</t>
        </is>
      </c>
      <c r="C15" s="16" t="inlineStr">
        <is>
          <t>Shared - the same implementation, not a copy</t>
        </is>
      </c>
      <c r="D15" s="15" t="inlineStr">
        <is>
          <t>NR-PAR-01</t>
        </is>
      </c>
    </row>
    <row r="16">
      <c r="A16" s="13" t="inlineStr">
        <is>
          <t>Data contract</t>
        </is>
      </c>
      <c r="B16" s="14" t="inlineStr">
        <is>
          <t>Schema version 5, ten sheets</t>
        </is>
      </c>
      <c r="C16" s="14" t="inlineStr">
        <is>
          <t>Identical, unchanged</t>
        </is>
      </c>
      <c r="D16" s="13" t="inlineStr">
        <is>
          <t>NR-PAR-02</t>
        </is>
      </c>
    </row>
    <row r="17">
      <c r="A17" s="15" t="inlineStr">
        <is>
          <t>AI agent interoperability</t>
        </is>
      </c>
      <c r="B17" s="16" t="inlineStr">
        <is>
          <t>prap-source-data JSON, format_version 1</t>
        </is>
      </c>
      <c r="C17" s="16" t="inlineStr">
        <is>
          <t>Identical, and now also the on-disk format</t>
        </is>
      </c>
      <c r="D17" s="15" t="inlineStr">
        <is>
          <t>NR-STO-03</t>
        </is>
      </c>
    </row>
    <row r="18">
      <c r="A18" s="11" t="inlineStr">
        <is>
          <t>Distribution</t>
        </is>
      </c>
      <c r="B18" s="12" t="inlineStr">
        <is>
          <t>Copy one file</t>
        </is>
      </c>
      <c r="C18" s="12" t="inlineStr">
        <is>
          <t>Copy or install one package; size unconstrained on your instruction</t>
        </is>
      </c>
      <c r="D18" s="11" t="inlineStr">
        <is>
          <t>NR-DEP-01</t>
        </is>
      </c>
    </row>
    <row r="19">
      <c r="A19" s="15" t="inlineStr">
        <is>
          <t>Network use</t>
        </is>
      </c>
      <c r="B19" s="16" t="inlineStr">
        <is>
          <t>None</t>
        </is>
      </c>
      <c r="C19" s="16" t="inlineStr">
        <is>
          <t>None</t>
        </is>
      </c>
      <c r="D19" s="15" t="inlineStr">
        <is>
          <t>NR-SEC-01</t>
        </is>
      </c>
    </row>
    <row r="20">
      <c r="A20" s="13" t="inlineStr">
        <is>
          <t>Status</t>
        </is>
      </c>
      <c r="B20" s="14" t="inlineStr">
        <is>
          <t>Complete, in service, frozen at Gate 5</t>
        </is>
      </c>
      <c r="C20" s="14" t="inlineStr">
        <is>
          <t>Not started - this plan is Step 1</t>
        </is>
      </c>
      <c r="D20" s="13" t="inlineStr">
        <is>
          <t>-</t>
        </is>
      </c>
    </row>
    <row r="23">
      <c r="A23" s="5" t="inlineStr">
        <is>
          <t>What the web application keeps - not touched by this plan</t>
        </is>
      </c>
    </row>
    <row r="24" ht="28" customHeight="1">
      <c r="A24" s="10" t="inlineStr">
        <is>
          <t>Point</t>
        </is>
      </c>
    </row>
    <row r="25">
      <c r="A25" s="14" t="inlineStr">
        <is>
          <t>app/PRAP.html (application v1.24) continues in service, unchanged, and is released as v1.0 under its own Gate 5.</t>
        </is>
      </c>
    </row>
    <row r="26">
      <c r="A26" s="16" t="inlineStr">
        <is>
          <t>PRAP_Development_Plan_v2.26.xlsx, the programming specification v1.0 and the UI component list v1.0 stay approved as they are.</t>
        </is>
      </c>
    </row>
    <row r="27">
      <c r="A27" s="14" t="inlineStr">
        <is>
          <t>The source workbook template, the dummy datasets and the AI agent guide serve BOTH applications and are not forked.</t>
        </is>
      </c>
    </row>
    <row r="28">
      <c r="A28" s="16" t="inlineStr">
        <is>
          <t>The 13 verification suites under tools/ keep running against the HTML build after every change, which is how a regression in the shared engine is caught before it can reach either application.</t>
        </is>
      </c>
    </row>
    <row r="29">
      <c r="A29" s="14" t="inlineStr">
        <is>
          <t>Any engine fix found while building the desktop application is made in the shared engine, re-verified against both, and released to the HTML build as a point version. Fixes flow to both; features do not flow backwards without their own approval.</t>
        </is>
      </c>
    </row>
    <row r="32">
      <c r="A32" s="5" t="inlineStr">
        <is>
          <t>In scope</t>
        </is>
      </c>
    </row>
    <row r="33" ht="28" customHeight="1">
      <c r="A33" s="10" t="inlineStr">
        <is>
          <t>Item</t>
        </is>
      </c>
    </row>
    <row r="34">
      <c r="A34" s="14" t="inlineStr">
        <is>
          <t>A packaged desktop application for Windows, launched from an icon, no browser involved.</t>
        </is>
      </c>
    </row>
    <row r="35">
      <c r="A35" s="16" t="inlineStr">
        <is>
          <t>Persistent storage: a workspace the application owns, written on every Save and reopened at launch.</t>
        </is>
      </c>
    </row>
    <row r="36">
      <c r="A36" s="14" t="inlineStr">
        <is>
          <t>Import from the Excel source workbook and from prap-source-data JSON, as today - but as an INGEST into the workspace rather than as the session's only data.</t>
        </is>
      </c>
    </row>
    <row r="37">
      <c r="A37" s="16" t="inlineStr">
        <is>
          <t>Export to Excel and JSON, as today, for sharing and archiving.</t>
        </is>
      </c>
    </row>
    <row r="38">
      <c r="A38" s="14" t="inlineStr">
        <is>
          <t>Desktop conventions the web version cannot offer: native Open/Save dialogs, a recent-workspaces list, a menu bar, window state remembered between sessions.</t>
        </is>
      </c>
    </row>
    <row r="39">
      <c r="A39" s="16" t="inlineStr">
        <is>
          <t>Crash and power-loss recovery, including edits that were pending when the application stopped.</t>
        </is>
      </c>
    </row>
    <row r="40">
      <c r="A40" s="14" t="inlineStr">
        <is>
          <t>The refactor that makes one engine serve both applications, with the HTML build proven unchanged by it.</t>
        </is>
      </c>
    </row>
    <row r="43">
      <c r="A43" s="5" t="inlineStr">
        <is>
          <t>Out of scope for v1.0</t>
        </is>
      </c>
    </row>
    <row r="44" ht="28" customHeight="1">
      <c r="A44" s="10" t="inlineStr">
        <is>
          <t>Excluded</t>
        </is>
      </c>
      <c r="B44" s="10" t="inlineStr">
        <is>
          <t>Why</t>
        </is>
      </c>
    </row>
    <row r="45">
      <c r="A45" s="14" t="inlineStr">
        <is>
          <t>Any change to the load formula, the period derivation, the validation rules or the data schema.</t>
        </is>
      </c>
      <c r="B45" s="14" t="inlineStr">
        <is>
          <t>The engine is shared. Changing it here would change the finished web application too.</t>
        </is>
      </c>
    </row>
    <row r="46">
      <c r="A46" s="16" t="inlineStr">
        <is>
          <t>Multi-user or concurrent editing of one workspace.</t>
        </is>
      </c>
      <c r="B46" s="16" t="inlineStr">
        <is>
          <t>Assumption A-06 of the web plan still holds - one person maintains a plan at a time. Q-N06 asks whether that is still true.</t>
        </is>
      </c>
    </row>
    <row r="47">
      <c r="A47" s="14" t="inlineStr">
        <is>
          <t>A server, a database service, or any network feature.</t>
        </is>
      </c>
      <c r="B47" s="14" t="inlineStr">
        <is>
          <t>The tool is offline by requirement, and that is a property worth keeping rather than an accident.</t>
        </is>
      </c>
    </row>
    <row r="48">
      <c r="A48" s="16" t="inlineStr">
        <is>
          <t>macOS and Linux builds.</t>
        </is>
      </c>
      <c r="B48" s="16" t="inlineStr">
        <is>
          <t>Buildable from the same source at little cost, but not verified and not supported unless Q-N01 says the target is not Windows-only.</t>
        </is>
      </c>
    </row>
    <row r="49">
      <c r="A49" s="14" t="inlineStr">
        <is>
          <t>Automatic update over the network.</t>
        </is>
      </c>
      <c r="B49" s="14" t="inlineStr">
        <is>
          <t>It would be the only thing in the product that needs a network. Updates are distributed as a new package.</t>
        </is>
      </c>
    </row>
    <row r="50">
      <c r="A50" s="16" t="inlineStr">
        <is>
          <t>Migrating the web application onto the desktop shell, or retiring it.</t>
        </is>
      </c>
      <c r="B50" s="16" t="inlineStr">
        <is>
          <t>Explicitly excluded on your instruction: both applications stay.</t>
        </is>
      </c>
    </row>
    <row r="52">
      <c r="A52" s="3" t="inlineStr">
        <is>
          <t>Legend</t>
        </is>
      </c>
    </row>
    <row r="53">
      <c r="A53" s="17" t="inlineStr">
        <is>
          <t>Green = new to the desktop application; nothing in the web application corresponds to it.</t>
        </is>
      </c>
    </row>
    <row r="54">
      <c r="A54" s="18" t="inlineStr">
        <is>
          <t>Orange = inherited from the web application but deliberately changed here.</t>
        </is>
      </c>
    </row>
    <row r="55">
      <c r="A55"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11" t="inlineStr">
        <is>
          <t>NR-APP-01</t>
        </is>
      </c>
      <c r="B11" s="11" t="inlineStr">
        <is>
          <t>Application form</t>
        </is>
      </c>
      <c r="C11" s="12" t="inlineStr">
        <is>
          <t>The application is an installed or portable desktop program with its own window, icon and menu bar. No browser is visible to the user at any point.</t>
        </is>
      </c>
      <c r="D11" s="11" t="inlineStr">
        <is>
          <t>Must</t>
        </is>
      </c>
      <c r="E11" s="12" t="inlineStr">
        <is>
          <t>Your instruction</t>
        </is>
      </c>
      <c r="F11" s="11"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11" t="inlineStr">
        <is>
          <t>NR-APP-06</t>
        </is>
      </c>
      <c r="B16" s="11" t="inlineStr">
        <is>
          <t>Application form</t>
        </is>
      </c>
      <c r="C16" s="12" t="inlineStr">
        <is>
          <t>A recent-workspaces list of at least ten entries is available from the menu.</t>
        </is>
      </c>
      <c r="D16" s="11" t="inlineStr">
        <is>
          <t>Should</t>
        </is>
      </c>
      <c r="E16" s="12" t="inlineStr">
        <is>
          <t>Desktop convention</t>
        </is>
      </c>
      <c r="F16" s="11"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NR-STO-01</t>
        </is>
      </c>
      <c r="B18" s="11" t="inlineStr">
        <is>
          <t>Storage</t>
        </is>
      </c>
      <c r="C18" s="12" t="inlineStr">
        <is>
          <t>Imported and hand-entered data survives closing the application. Reopening shows the same plan, with the same figures, without re-importing anything.</t>
        </is>
      </c>
      <c r="D18" s="11" t="inlineStr">
        <is>
          <t>Must</t>
        </is>
      </c>
      <c r="E18" s="12" t="inlineStr">
        <is>
          <t>Your instruction</t>
        </is>
      </c>
      <c r="F18" s="11" t="inlineStr">
        <is>
          <t>N4</t>
        </is>
      </c>
    </row>
    <row r="19">
      <c r="A19" s="11" t="inlineStr">
        <is>
          <t>NR-STO-02</t>
        </is>
      </c>
      <c r="B19" s="11" t="inlineStr">
        <is>
          <t>Storage</t>
        </is>
      </c>
      <c r="C19" s="12" t="inlineStr">
        <is>
          <t>The application owns a workspace file on disk. That file, not the source Excel workbook, is the working store from the moment data is imported into it.</t>
        </is>
      </c>
      <c r="D19" s="11" t="inlineStr">
        <is>
          <t>Must</t>
        </is>
      </c>
      <c r="E19" s="12" t="inlineStr">
        <is>
          <t>Derived from NR-STO-01</t>
        </is>
      </c>
      <c r="F19" s="11" t="inlineStr">
        <is>
          <t>N4</t>
        </is>
      </c>
    </row>
    <row r="20">
      <c r="A20" s="11" t="inlineStr">
        <is>
          <t>NR-STO-03</t>
        </is>
      </c>
      <c r="B20" s="11" t="inlineStr">
        <is>
          <t>Storage</t>
        </is>
      </c>
      <c r="C20" s="12" t="inlineStr">
        <is>
          <t>The workspace file is prap-source-data JSON - the same format the AI agent guide already documents - so a workspace can be read, written or generated by an AI agent with no new contract.</t>
        </is>
      </c>
      <c r="D20" s="11" t="inlineStr">
        <is>
          <t>Must</t>
        </is>
      </c>
      <c r="E20" s="12" t="inlineStr">
        <is>
          <t>Interoperability</t>
        </is>
      </c>
      <c r="F20" s="11" t="inlineStr">
        <is>
          <t>N4</t>
        </is>
      </c>
    </row>
    <row r="21">
      <c r="A21" s="11" t="inlineStr">
        <is>
          <t>NR-STO-04</t>
        </is>
      </c>
      <c r="B21" s="11" t="inlineStr">
        <is>
          <t>Storage</t>
        </is>
      </c>
      <c r="C21" s="12" t="inlineStr">
        <is>
          <t>A committed Save is written to disk before the application reports it as saved. A save that did not reach the disk is never reported as done.</t>
        </is>
      </c>
      <c r="D21" s="11" t="inlineStr">
        <is>
          <t>Must</t>
        </is>
      </c>
      <c r="E21" s="12" t="inlineStr">
        <is>
          <t>Data safety</t>
        </is>
      </c>
      <c r="F21" s="11" t="inlineStr">
        <is>
          <t>N4</t>
        </is>
      </c>
    </row>
    <row r="22">
      <c r="A22" s="11" t="inlineStr">
        <is>
          <t>NR-STO-05</t>
        </is>
      </c>
      <c r="B22" s="11" t="inlineStr">
        <is>
          <t>Storage</t>
        </is>
      </c>
      <c r="C22" s="12" t="inlineStr">
        <is>
          <t>Workspace writes are atomic: an interrupted write can never leave a workspace file that is neither the old contents nor the new.</t>
        </is>
      </c>
      <c r="D22" s="11" t="inlineStr">
        <is>
          <t>Must</t>
        </is>
      </c>
      <c r="E22" s="12" t="inlineStr">
        <is>
          <t>Data safety</t>
        </is>
      </c>
      <c r="F22" s="11" t="inlineStr">
        <is>
          <t>N4</t>
        </is>
      </c>
    </row>
    <row r="23">
      <c r="A23" s="11" t="inlineStr">
        <is>
          <t>NR-STO-06</t>
        </is>
      </c>
      <c r="B23" s="11" t="inlineStr">
        <is>
          <t>Storage</t>
        </is>
      </c>
      <c r="C23" s="12" t="inlineStr">
        <is>
          <t>The last N committed versions of a workspace are retained and can be restored from within the application. N is a setting, default 10.</t>
        </is>
      </c>
      <c r="D23" s="11" t="inlineStr">
        <is>
          <t>Should</t>
        </is>
      </c>
      <c r="E23" s="12" t="inlineStr">
        <is>
          <t>Data safety</t>
        </is>
      </c>
      <c r="F23" s="11" t="inlineStr">
        <is>
          <t>N4</t>
        </is>
      </c>
    </row>
    <row r="24">
      <c r="A24" s="11" t="inlineStr">
        <is>
          <t>NR-STO-07</t>
        </is>
      </c>
      <c r="B24" s="11" t="inlineStr">
        <is>
          <t>Storage</t>
        </is>
      </c>
      <c r="C24" s="12" t="inlineStr">
        <is>
          <t>Edits pending at the moment of a crash or power loss are recovered on the next launch, and the user is asked whether to keep or discard them.</t>
        </is>
      </c>
      <c r="D24" s="11" t="inlineStr">
        <is>
          <t>Should</t>
        </is>
      </c>
      <c r="E24" s="12" t="inlineStr">
        <is>
          <t>Data safety</t>
        </is>
      </c>
      <c r="F24" s="11" t="inlineStr">
        <is>
          <t>N4</t>
        </is>
      </c>
    </row>
    <row r="25">
      <c r="A25" s="11" t="inlineStr">
        <is>
          <t>NR-STO-08</t>
        </is>
      </c>
      <c r="B25" s="11" t="inlineStr">
        <is>
          <t>Storage</t>
        </is>
      </c>
      <c r="C25" s="12" t="inlineStr">
        <is>
          <t>Several workspaces may exist. The user chooses which to open, and may create a new empty one at any time.</t>
        </is>
      </c>
      <c r="D25" s="11" t="inlineStr">
        <is>
          <t>Must</t>
        </is>
      </c>
      <c r="E25" s="12" t="inlineStr">
        <is>
          <t>Scenario planning</t>
        </is>
      </c>
      <c r="F25" s="11" t="inlineStr">
        <is>
          <t>N4</t>
        </is>
      </c>
    </row>
    <row r="26">
      <c r="A26" s="11" t="inlineStr">
        <is>
          <t>NR-STO-09</t>
        </is>
      </c>
      <c r="B26" s="11" t="inlineStr">
        <is>
          <t>Storage</t>
        </is>
      </c>
      <c r="C26" s="12" t="inlineStr">
        <is>
          <t>A workspace records which source file it was imported from, when, and by which application version.</t>
        </is>
      </c>
      <c r="D26" s="11" t="inlineStr">
        <is>
          <t>Should</t>
        </is>
      </c>
      <c r="E26" s="12" t="inlineStr">
        <is>
          <t>Traceability</t>
        </is>
      </c>
      <c r="F26" s="11" t="inlineStr">
        <is>
          <t>N4</t>
        </is>
      </c>
    </row>
    <row r="27">
      <c r="A27" s="20" t="inlineStr">
        <is>
          <t>NR-IMP-01</t>
        </is>
      </c>
      <c r="B27" s="20" t="inlineStr">
        <is>
          <t>Import / export</t>
        </is>
      </c>
      <c r="C27" s="21" t="inlineStr">
        <is>
          <t>Import reads the Excel source workbook and prap-source-data JSON exactly as the web application does, using the same reader and reporting the same findings.</t>
        </is>
      </c>
      <c r="D27" s="20" t="inlineStr">
        <is>
          <t>Must</t>
        </is>
      </c>
      <c r="E27" s="21" t="inlineStr">
        <is>
          <t>Replaces nothing - REQ-IMP-01 inherited</t>
        </is>
      </c>
      <c r="F27" s="20" t="inlineStr">
        <is>
          <t>N4</t>
        </is>
      </c>
    </row>
    <row r="28">
      <c r="A28" s="20" t="inlineStr">
        <is>
          <t>NR-IMP-02</t>
        </is>
      </c>
      <c r="B28" s="20" t="inlineStr">
        <is>
          <t>Import / export</t>
        </is>
      </c>
      <c r="C28" s="21" t="inlineStr">
        <is>
          <t>Importing into a workspace that already holds data presents the differences and lets the user decide, per sheet, whether to replace, merge or skip. It never overwrites silently.</t>
        </is>
      </c>
      <c r="D28" s="20" t="inlineStr">
        <is>
          <t>Must</t>
        </is>
      </c>
      <c r="E28" s="21" t="inlineStr">
        <is>
          <t>New consequence of NR-STO-02</t>
        </is>
      </c>
      <c r="F28" s="20" t="inlineStr">
        <is>
          <t>N4</t>
        </is>
      </c>
    </row>
    <row r="29">
      <c r="A29" s="20" t="inlineStr">
        <is>
          <t>NR-IMP-03</t>
        </is>
      </c>
      <c r="B29" s="20" t="inlineStr">
        <is>
          <t>Import / export</t>
        </is>
      </c>
      <c r="C29" s="21" t="inlineStr">
        <is>
          <t>Export to Excel and to JSON produces byte-for-byte the same content the web application would produce from the same data.</t>
        </is>
      </c>
      <c r="D29" s="20" t="inlineStr">
        <is>
          <t>Must</t>
        </is>
      </c>
      <c r="E29" s="21" t="inlineStr">
        <is>
          <t>Parity</t>
        </is>
      </c>
      <c r="F29" s="20" t="inlineStr">
        <is>
          <t>N4</t>
        </is>
      </c>
    </row>
    <row r="30">
      <c r="A30" s="11" t="inlineStr">
        <is>
          <t>NR-IMP-04</t>
        </is>
      </c>
      <c r="B30" s="11" t="inlineStr">
        <is>
          <t>Import / export</t>
        </is>
      </c>
      <c r="C30" s="12" t="inlineStr">
        <is>
          <t>A workspace can be opened directly by drag-and-drop onto the application window or its icon.</t>
        </is>
      </c>
      <c r="D30" s="11" t="inlineStr">
        <is>
          <t>Could</t>
        </is>
      </c>
      <c r="E30" s="12" t="inlineStr">
        <is>
          <t>Desktop convention</t>
        </is>
      </c>
      <c r="F30" s="11" t="inlineStr">
        <is>
          <t>N4</t>
        </is>
      </c>
    </row>
    <row r="31">
      <c r="A31" s="11" t="inlineStr">
        <is>
          <t>NR-PAR-01</t>
        </is>
      </c>
      <c r="B31" s="11" t="inlineStr">
        <is>
          <t>Parity</t>
        </is>
      </c>
      <c r="C31" s="12" t="inlineStr">
        <is>
          <t>The calculation engine, the validation rules and the period derivation are ONE implementation shared by both applications, not two copies kept in step by hand.</t>
        </is>
      </c>
      <c r="D31" s="11" t="inlineStr">
        <is>
          <t>Must</t>
        </is>
      </c>
      <c r="E31" s="12" t="inlineStr">
        <is>
          <t>Your instruction to keep both</t>
        </is>
      </c>
      <c r="F31" s="11" t="inlineStr">
        <is>
          <t>N2</t>
        </is>
      </c>
    </row>
    <row r="32">
      <c r="A32" s="11" t="inlineStr">
        <is>
          <t>NR-PAR-02</t>
        </is>
      </c>
      <c r="B32" s="11" t="inlineStr">
        <is>
          <t>Parity</t>
        </is>
      </c>
      <c r="C32" s="12" t="inlineStr">
        <is>
          <t>Given identical input, both applications produce identical figures, identical findings and identical exports. This is proven by an automated test, not asserted.</t>
        </is>
      </c>
      <c r="D32" s="11" t="inlineStr">
        <is>
          <t>Must</t>
        </is>
      </c>
      <c r="E32" s="12" t="inlineStr">
        <is>
          <t>Derived from NR-PAR-01</t>
        </is>
      </c>
      <c r="F32" s="11" t="inlineStr">
        <is>
          <t>N4</t>
        </is>
      </c>
    </row>
    <row r="33">
      <c r="A33" s="11" t="inlineStr">
        <is>
          <t>NR-PAR-03</t>
        </is>
      </c>
      <c r="B33" s="11" t="inlineStr">
        <is>
          <t>Parity</t>
        </is>
      </c>
      <c r="C33" s="12" t="inlineStr">
        <is>
          <t>The HTML application continues to be built from the shared engine and its behaviour is unchanged by the refactor, proven by the existing 13 suites passing unmodified.</t>
        </is>
      </c>
      <c r="D33" s="11" t="inlineStr">
        <is>
          <t>Must</t>
        </is>
      </c>
      <c r="E33" s="12" t="inlineStr">
        <is>
          <t>Protects the finished product</t>
        </is>
      </c>
      <c r="F33" s="11" t="inlineStr">
        <is>
          <t>N2</t>
        </is>
      </c>
    </row>
    <row r="34">
      <c r="A34" s="11" t="inlineStr">
        <is>
          <t>NR-PAR-04</t>
        </is>
      </c>
      <c r="B34" s="11" t="inlineStr">
        <is>
          <t>Parity</t>
        </is>
      </c>
      <c r="C34" s="12" t="inlineStr">
        <is>
          <t>Screen layout, wording and interaction match the web application except where a desktop convention requires otherwise, and every such difference is listed.</t>
        </is>
      </c>
      <c r="D34" s="11" t="inlineStr">
        <is>
          <t>Should</t>
        </is>
      </c>
      <c r="E34" s="12" t="inlineStr">
        <is>
          <t>Two tools, one habit</t>
        </is>
      </c>
      <c r="F34" s="11" t="inlineStr">
        <is>
          <t>N3</t>
        </is>
      </c>
    </row>
    <row r="35">
      <c r="A35" s="11" t="inlineStr">
        <is>
          <t>NR-DEP-01</t>
        </is>
      </c>
      <c r="B35" s="11" t="inlineStr">
        <is>
          <t>Deployment</t>
        </is>
      </c>
      <c r="C35" s="12" t="inlineStr">
        <is>
          <t>The application is delivered as one package. Package size is not constrained.</t>
        </is>
      </c>
      <c r="D35" s="11" t="inlineStr">
        <is>
          <t>Must</t>
        </is>
      </c>
      <c r="E35" s="12" t="inlineStr">
        <is>
          <t>Your instruction</t>
        </is>
      </c>
      <c r="F35" s="11" t="inlineStr">
        <is>
          <t>N5</t>
        </is>
      </c>
    </row>
    <row r="36">
      <c r="A36" s="11" t="inlineStr">
        <is>
          <t>NR-DEP-02</t>
        </is>
      </c>
      <c r="B36" s="11" t="inlineStr">
        <is>
          <t>Deployment</t>
        </is>
      </c>
      <c r="C36" s="12" t="inlineStr">
        <is>
          <t>It installs and runs without administrator rights.</t>
        </is>
      </c>
      <c r="D36" s="11" t="inlineStr">
        <is>
          <t>Must</t>
        </is>
      </c>
      <c r="E36" s="12" t="inlineStr">
        <is>
          <t>Corporate desktop reality</t>
        </is>
      </c>
      <c r="F36" s="11" t="inlineStr">
        <is>
          <t>N5</t>
        </is>
      </c>
    </row>
    <row r="37">
      <c r="A37" s="11" t="inlineStr">
        <is>
          <t>NR-DEP-03</t>
        </is>
      </c>
      <c r="B37" s="11" t="inlineStr">
        <is>
          <t>Deployment</t>
        </is>
      </c>
      <c r="C37" s="12" t="inlineStr">
        <is>
          <t>Updating means replacing the package. No workspace is touched by an update, and a workspace written by an older version opens in a newer one.</t>
        </is>
      </c>
      <c r="D37" s="11" t="inlineStr">
        <is>
          <t>Must</t>
        </is>
      </c>
      <c r="E37" s="12" t="inlineStr">
        <is>
          <t>Data safety</t>
        </is>
      </c>
      <c r="F37" s="11" t="inlineStr">
        <is>
          <t>N5</t>
        </is>
      </c>
    </row>
    <row r="38">
      <c r="A38" s="11" t="inlineStr">
        <is>
          <t>NR-DEP-04</t>
        </is>
      </c>
      <c r="B38" s="11" t="inlineStr">
        <is>
          <t>Deployment</t>
        </is>
      </c>
      <c r="C38" s="12" t="inlineStr">
        <is>
          <t>A workspace written by a NEWER version than the running one is refused with a clear message rather than partially read.</t>
        </is>
      </c>
      <c r="D38" s="11" t="inlineStr">
        <is>
          <t>Must</t>
        </is>
      </c>
      <c r="E38" s="12" t="inlineStr">
        <is>
          <t>Data safety</t>
        </is>
      </c>
      <c r="F38" s="11" t="inlineStr">
        <is>
          <t>N4</t>
        </is>
      </c>
    </row>
    <row r="39">
      <c r="A39" s="11" t="inlineStr">
        <is>
          <t>NR-SEC-01</t>
        </is>
      </c>
      <c r="B39" s="11" t="inlineStr">
        <is>
          <t>Security</t>
        </is>
      </c>
      <c r="C39" s="12" t="inlineStr">
        <is>
          <t>No telemetry, no crash reporting to any server, no automatic update check, no font or script loaded from a remote host. Verified by observing that the packaged application opens no socket.</t>
        </is>
      </c>
      <c r="D39" s="11" t="inlineStr">
        <is>
          <t>Must</t>
        </is>
      </c>
      <c r="E39" s="12" t="inlineStr">
        <is>
          <t>Offline by requirement</t>
        </is>
      </c>
      <c r="F39" s="11" t="inlineStr">
        <is>
          <t>N5</t>
        </is>
      </c>
    </row>
    <row r="40">
      <c r="A40" s="11" t="inlineStr">
        <is>
          <t>NR-SEC-02</t>
        </is>
      </c>
      <c r="B40" s="11" t="inlineStr">
        <is>
          <t>Security</t>
        </is>
      </c>
      <c r="C40" s="12" t="inlineStr">
        <is>
          <t>The embedded browser engine runs with remote content disabled and Node integration off in the renderer, so a crafted workspace file cannot execute code.</t>
        </is>
      </c>
      <c r="D40" s="11" t="inlineStr">
        <is>
          <t>Must</t>
        </is>
      </c>
      <c r="E40" s="12" t="inlineStr">
        <is>
          <t>Standard hardening</t>
        </is>
      </c>
      <c r="F40" s="11" t="inlineStr">
        <is>
          <t>N4</t>
        </is>
      </c>
    </row>
    <row r="41">
      <c r="A41" s="11" t="inlineStr">
        <is>
          <t>NR-SEC-03</t>
        </is>
      </c>
      <c r="B41" s="11" t="inlineStr">
        <is>
          <t>Security</t>
        </is>
      </c>
      <c r="C41" s="12" t="inlineStr">
        <is>
          <t>Workspace files contain business data only - no credentials, no connection strings, nothing that would be sensitive if the file were mailed to a colleague.</t>
        </is>
      </c>
      <c r="D41" s="11" t="inlineStr">
        <is>
          <t>Must</t>
        </is>
      </c>
      <c r="E41" s="12" t="inlineStr">
        <is>
          <t>Data hygiene</t>
        </is>
      </c>
      <c r="F41" s="11" t="inlineStr">
        <is>
          <t>N2</t>
        </is>
      </c>
    </row>
    <row r="42">
      <c r="A42" s="11" t="inlineStr">
        <is>
          <t>NR-NFR-01</t>
        </is>
      </c>
      <c r="B42" s="11" t="inlineStr">
        <is>
          <t>Performance</t>
        </is>
      </c>
      <c r="C42" s="12" t="inlineStr">
        <is>
          <t>Launch to a usable window in under 5 seconds, and reopening the last workspace adds no more than 2 seconds on the volumes in A-N01.</t>
        </is>
      </c>
      <c r="D42" s="11" t="inlineStr">
        <is>
          <t>Should</t>
        </is>
      </c>
      <c r="E42" s="12" t="inlineStr">
        <is>
          <t>Usability</t>
        </is>
      </c>
      <c r="F42" s="11" t="inlineStr">
        <is>
          <t>N4</t>
        </is>
      </c>
    </row>
    <row r="43">
      <c r="A43" s="11" t="inlineStr">
        <is>
          <t>NR-NFR-02</t>
        </is>
      </c>
      <c r="B43" s="11" t="inlineStr">
        <is>
          <t>Performance</t>
        </is>
      </c>
      <c r="C43" s="12" t="inlineStr">
        <is>
          <t>A Save completes in under 1 second at those volumes, so autosave is never felt.</t>
        </is>
      </c>
      <c r="D43" s="11" t="inlineStr">
        <is>
          <t>Should</t>
        </is>
      </c>
      <c r="E43" s="12" t="inlineStr">
        <is>
          <t>Usability</t>
        </is>
      </c>
      <c r="F43" s="11" t="inlineStr">
        <is>
          <t>N4</t>
        </is>
      </c>
    </row>
    <row r="45">
      <c r="A45" s="5" t="inlineStr">
        <is>
          <t>Count</t>
        </is>
      </c>
    </row>
    <row r="46" ht="28" customHeight="1">
      <c r="A46" s="10" t="inlineStr">
        <is>
          <t>Measure</t>
        </is>
      </c>
      <c r="B46" s="10" t="inlineStr">
        <is>
          <t>Count</t>
        </is>
      </c>
    </row>
    <row r="47">
      <c r="A47" s="13" t="inlineStr">
        <is>
          <t>Total requirements</t>
        </is>
      </c>
      <c r="B47" s="13">
        <f>COUNTA(A11:A43)</f>
        <v/>
      </c>
    </row>
    <row r="48">
      <c r="A48" s="15" t="inlineStr">
        <is>
          <t>Must</t>
        </is>
      </c>
      <c r="B48" s="15">
        <f>COUNTIF(D11:D43,"Must")</f>
        <v/>
      </c>
    </row>
    <row r="49">
      <c r="A49" s="13" t="inlineStr">
        <is>
          <t>Should</t>
        </is>
      </c>
      <c r="B49" s="13">
        <f>COUNTIF(D11:D43,"Should")</f>
        <v/>
      </c>
    </row>
    <row r="50">
      <c r="A50" s="15" t="inlineStr">
        <is>
          <t>Could</t>
        </is>
      </c>
      <c r="B50" s="15">
        <f>COUNTIF(D11:D43,"Could")</f>
        <v/>
      </c>
    </row>
    <row r="52">
      <c r="A52" s="8" t="inlineStr">
        <is>
          <t>Please mark any requirement you disagree with in the Priority column, or strike it out. The register is the contract for Steps 2 to 5, exactly as sheet 03 of the web plan was.</t>
        </is>
      </c>
    </row>
    <row r="53">
      <c r="A53" s="3" t="inlineStr">
        <is>
          <t>Legend</t>
        </is>
      </c>
    </row>
    <row r="54">
      <c r="A54" s="17" t="inlineStr">
        <is>
          <t>Green = new to the desktop application; nothing in the web application corresponds to it.</t>
        </is>
      </c>
    </row>
    <row r="55">
      <c r="A55" s="18" t="inlineStr">
        <is>
          <t>Orange = inherited from the web application but deliberately changed here.</t>
        </is>
      </c>
    </row>
    <row r="56">
      <c r="A56" s="19" t="inlineStr">
        <is>
          <t>Yellow = needs your decision before the work can proceed.</t>
        </is>
      </c>
    </row>
  </sheetData>
  <dataValidations count="1">
    <dataValidation sqref="D11:D43"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
  <sheetViews>
    <sheetView showGridLines="0" workbookViewId="0">
      <pane ySplit="4" topLeftCell="A5" activePane="bottomLeft" state="frozen"/>
      <selection pane="bottomLeft" activeCell="A1" sqref="A1"/>
    </sheetView>
  </sheetViews>
  <sheetFormatPr baseColWidth="8" defaultRowHeight="15"/>
  <cols>
    <col width="26" customWidth="1" min="1" max="1"/>
    <col width="14" customWidth="1" min="2" max="2"/>
    <col width="58"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3" t="inlineStr">
        <is>
          <t>core/</t>
        </is>
      </c>
      <c r="B14" s="14" t="inlineStr">
        <is>
          <t>Parse, validate, derive periods, calculate load, read and write xlsx, read and write JSON. No DOM, no filesystem, no dialogs.</t>
        </is>
      </c>
      <c r="C14" s="14" t="inlineStr">
        <is>
          <t>Shared, identical</t>
        </is>
      </c>
      <c r="D14" s="14" t="inlineStr">
        <is>
          <t>The whole of the trust in both products sits here.</t>
        </is>
      </c>
    </row>
    <row r="15">
      <c r="A15" s="15" t="inlineStr">
        <is>
          <t>ui/</t>
        </is>
      </c>
      <c r="B15" s="16" t="inlineStr">
        <is>
          <t>Tabs, tables, charts, filters, the provisional-edit model, the change log.</t>
        </is>
      </c>
      <c r="C15" s="16" t="inlineStr">
        <is>
          <t>Shared, identical</t>
        </is>
      </c>
      <c r="D15" s="16" t="inlineStr">
        <is>
          <t>Renders into a DOM; indifferent to which shell provides it.</t>
        </is>
      </c>
    </row>
    <row r="16">
      <c r="A16" s="13" t="inlineStr">
        <is>
          <t>storage/</t>
        </is>
      </c>
      <c r="B16" s="14" t="inlineStr">
        <is>
          <t>An interface: open, save, listWorkspaces, restoreVersion, recoverPending.</t>
        </is>
      </c>
      <c r="C16" s="14" t="inlineStr">
        <is>
          <t>Interface shared, implementation per shell</t>
        </is>
      </c>
      <c r="D16" s="14" t="inlineStr">
        <is>
          <t>The whole of the difference between the two products sits here.</t>
        </is>
      </c>
    </row>
    <row r="17">
      <c r="A17" s="15" t="inlineStr">
        <is>
          <t>shell/web/</t>
        </is>
      </c>
      <c r="B17" s="16" t="inlineStr">
        <is>
          <t>Storage over the browser's own storage; the build step that emits the single HTML file.</t>
        </is>
      </c>
      <c r="C17" s="16" t="inlineStr">
        <is>
          <t>Web only</t>
        </is>
      </c>
      <c r="D17" s="16"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5" t="inlineStr">
        <is>
          <t>tools/</t>
        </is>
      </c>
      <c r="B19" s="16" t="inlineStr">
        <is>
          <t>The 13 verification suites, the document generators, the Python reference implementation.</t>
        </is>
      </c>
      <c r="C19" s="16" t="inlineStr">
        <is>
          <t>Shared</t>
        </is>
      </c>
      <c r="D19" s="16"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PRAP Desktop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5" t="inlineStr">
        <is>
          <t>Tauri</t>
        </is>
      </c>
      <c r="B34" s="15" t="inlineStr">
        <is>
          <t>Later option</t>
        </is>
      </c>
      <c r="C34" s="16" t="inlineStr">
        <is>
          <t>Package around 10 MB, single executable. Same engine reuse.</t>
        </is>
      </c>
      <c r="D34" s="16" t="inlineStr">
        <is>
          <t>Needs a Rust toolchain and a Windows build host; cannot be verified from the current environment. Automated UI testing needs a WebDriver setup that is not available here.</t>
        </is>
      </c>
    </row>
    <row r="35">
      <c r="A35" s="13" t="inlineStr">
        <is>
          <t>Native rewrite (C# / .NET, Java)</t>
        </is>
      </c>
      <c r="B35" s="13" t="inlineStr">
        <is>
          <t>Rejected</t>
        </is>
      </c>
      <c r="C35" s="14" t="inlineStr">
        <is>
          <t>Smallest package, best desktop integration.</t>
        </is>
      </c>
      <c r="D35" s="14" t="inlineStr">
        <is>
          <t>Discards a verified engine and a verified UI, and creates the second implementation that NR-PAR-01 exists to prevent. Months of work to reach where the product already is.</t>
        </is>
      </c>
    </row>
    <row r="36">
      <c r="A36" s="15" t="inlineStr">
        <is>
          <t>Progressive web app</t>
        </is>
      </c>
      <c r="B36" s="15" t="inlineStr">
        <is>
          <t>Rejected</t>
        </is>
      </c>
      <c r="C36" s="16" t="inlineStr">
        <is>
          <t>No packaging at all.</t>
        </is>
      </c>
      <c r="D36" s="16"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39">
      <c r="A39" s="3" t="inlineStr">
        <is>
          <t>Legend</t>
        </is>
      </c>
    </row>
    <row r="40">
      <c r="A40" s="17" t="inlineStr">
        <is>
          <t>Green = new to the desktop application; nothing in the web application corresponds to it.</t>
        </is>
      </c>
    </row>
    <row r="41">
      <c r="A41" s="18" t="inlineStr">
        <is>
          <t>Orange = inherited from the web application but deliberately changed here.</t>
        </is>
      </c>
    </row>
    <row r="42">
      <c r="A42"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3"/>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3" t="inlineStr">
        <is>
          <t>Format</t>
        </is>
      </c>
      <c r="B18" s="14" t="inlineStr">
        <is>
          <t>prap-source-data JSON, format_version 1 - the format the AI agent guide already documents.</t>
        </is>
      </c>
      <c r="C18" s="13" t="inlineStr">
        <is>
          <t>NR-STO-03</t>
        </is>
      </c>
    </row>
    <row r="19">
      <c r="A19" s="15" t="inlineStr">
        <is>
          <t>Why not SQLite</t>
        </is>
      </c>
      <c r="B19" s="16"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5" t="inlineStr">
        <is>
          <t>N-02</t>
        </is>
      </c>
    </row>
    <row r="20">
      <c r="A20" s="13" t="inlineStr">
        <is>
          <t>Why not the Excel workbook itself</t>
        </is>
      </c>
      <c r="B20" s="14" t="inlineStr">
        <is>
          <t>Writing xlsx on every Save would be slow, would lose the provisional-edit state, and would make an interrupted write corrupt the user's own archive file.</t>
        </is>
      </c>
      <c r="C20" s="13" t="inlineStr">
        <is>
          <t>N-02</t>
        </is>
      </c>
    </row>
    <row r="21">
      <c r="A21" s="15" t="inlineStr">
        <is>
          <t>Extension</t>
        </is>
      </c>
      <c r="B21" s="16" t="inlineStr">
        <is>
          <t>.prap - registered with Windows so double-clicking one opens the application.</t>
        </is>
      </c>
      <c r="C21" s="15" t="inlineStr">
        <is>
          <t>NR-IMP-04</t>
        </is>
      </c>
    </row>
    <row r="22">
      <c r="A22" s="13" t="inlineStr">
        <is>
          <t>Contents</t>
        </is>
      </c>
      <c r="B22" s="14" t="inlineStr">
        <is>
          <t>The ten sheets exactly as imported, plus a small header: application version, schema version, source file name and import timestamp, and the retained version history.</t>
        </is>
      </c>
      <c r="C22" s="13" t="inlineStr">
        <is>
          <t>NR-STO-09</t>
        </is>
      </c>
    </row>
    <row r="23">
      <c r="A23" s="15" t="inlineStr">
        <is>
          <t>Readable</t>
        </is>
      </c>
      <c r="B23" s="16" t="inlineStr">
        <is>
          <t>Yes - it is JSON. A workspace can be inspected, diffed, version-controlled, or handed to an AI agent as-is.</t>
        </is>
      </c>
      <c r="C23" s="15" t="inlineStr">
        <is>
          <t>NR-STO-03</t>
        </is>
      </c>
    </row>
    <row r="26">
      <c r="A26" s="5" t="inlineStr">
        <is>
          <t>Writing safely</t>
        </is>
      </c>
    </row>
    <row r="27" ht="28" customHeight="1">
      <c r="A27" s="10" t="inlineStr">
        <is>
          <t>Step</t>
        </is>
      </c>
      <c r="B27" s="10" t="inlineStr">
        <is>
          <t>Action</t>
        </is>
      </c>
      <c r="C27" s="10" t="inlineStr">
        <is>
          <t>Why</t>
        </is>
      </c>
    </row>
    <row r="28">
      <c r="A28" s="13" t="inlineStr">
        <is>
          <t>1</t>
        </is>
      </c>
      <c r="B28" s="14" t="inlineStr">
        <is>
          <t>Serialise the committed model to JSON in memory.</t>
        </is>
      </c>
      <c r="C28" s="14" t="inlineStr">
        <is>
          <t>Nothing has touched the disk yet.</t>
        </is>
      </c>
    </row>
    <row r="29">
      <c r="A29" s="15" t="inlineStr">
        <is>
          <t>2</t>
        </is>
      </c>
      <c r="B29" s="16" t="inlineStr">
        <is>
          <t>Write it to a temporary file in the same directory, and flush it to the physical disk.</t>
        </is>
      </c>
      <c r="C29" s="16" t="inlineStr">
        <is>
          <t>Same directory, so the rename in step 4 cannot cross a filesystem boundary.</t>
        </is>
      </c>
    </row>
    <row r="30">
      <c r="A30" s="13" t="inlineStr">
        <is>
          <t>3</t>
        </is>
      </c>
      <c r="B30" s="14" t="inlineStr">
        <is>
          <t>Roll the current workspace file into the version history.</t>
        </is>
      </c>
      <c r="C30" s="14" t="inlineStr">
        <is>
          <t>This is what NR-STO-06 restores from.</t>
        </is>
      </c>
    </row>
    <row r="31">
      <c r="A31" s="15" t="inlineStr">
        <is>
          <t>4</t>
        </is>
      </c>
      <c r="B31" s="16" t="inlineStr">
        <is>
          <t>Rename the temporary file over the workspace file.</t>
        </is>
      </c>
      <c r="C31" s="16" t="inlineStr">
        <is>
          <t>A rename is atomic. The file is either wholly the old contents or wholly the new - never half of each (NR-STO-05).</t>
        </is>
      </c>
    </row>
    <row r="32">
      <c r="A32" s="13" t="inlineStr">
        <is>
          <t>5</t>
        </is>
      </c>
      <c r="B32" s="14" t="inlineStr">
        <is>
          <t>Only now report the save as done.</t>
        </is>
      </c>
      <c r="C32" s="14" t="inlineStr">
        <is>
          <t>NR-STO-04. Reporting a save that has not reached the disk is the one failure that would destroy trust in the whole feature.</t>
        </is>
      </c>
    </row>
    <row r="35">
      <c r="A35" s="8" t="inlineStr">
        <is>
          <t>Power loss at any point leaves a readable workspace: before step 4 the old one, after it the new one. A stray temporary file is detected and removed at the next launch.</t>
        </is>
      </c>
    </row>
    <row r="37">
      <c r="A37" s="5" t="inlineStr">
        <is>
          <t>How this meets the existing edit model</t>
        </is>
      </c>
    </row>
    <row r="38" ht="28" customHeight="1">
      <c r="A38" s="10" t="inlineStr">
        <is>
          <t>Event</t>
        </is>
      </c>
      <c r="B38" s="10" t="inlineStr">
        <is>
          <t>Behaviour</t>
        </is>
      </c>
      <c r="C38" s="10" t="inlineStr">
        <is>
          <t>Note</t>
        </is>
      </c>
    </row>
    <row r="39">
      <c r="A39" s="13" t="inlineStr">
        <is>
          <t>A pending edit</t>
        </is>
      </c>
      <c r="B39" s="14" t="inlineStr">
        <is>
          <t>Held exactly as today - snapshot taken before the first change.</t>
        </is>
      </c>
      <c r="C39" s="14" t="inlineStr">
        <is>
          <t>Nothing written to the workspace.</t>
        </is>
      </c>
    </row>
    <row r="40">
      <c r="A40" s="15" t="inlineStr">
        <is>
          <t>Save</t>
        </is>
      </c>
      <c r="B40" s="16" t="inlineStr">
        <is>
          <t>Commits as today, then writes the workspace.</t>
        </is>
      </c>
      <c r="C40" s="16" t="inlineStr">
        <is>
          <t>The existing Save is already the commit point, so persistence attaches to it with no new state.</t>
        </is>
      </c>
    </row>
    <row r="41">
      <c r="A41" s="13" t="inlineStr">
        <is>
          <t>Leave without change</t>
        </is>
      </c>
      <c r="B41" s="14" t="inlineStr">
        <is>
          <t>Reverts as today.</t>
        </is>
      </c>
      <c r="C41" s="14" t="inlineStr">
        <is>
          <t>Nothing is written, so nothing needs undoing on disk.</t>
        </is>
      </c>
    </row>
    <row r="42">
      <c r="A42" s="11" t="inlineStr">
        <is>
          <t>Autosave of PENDING edits</t>
        </is>
      </c>
      <c r="B42" s="12" t="inlineStr">
        <is>
          <t>Pending edits are journalled separately, not into the workspace.</t>
        </is>
      </c>
      <c r="C42" s="12" t="inlineStr">
        <is>
          <t>So an unexpected close can offer them back (NR-STO-07) without a half-finished edit ever becoming committed data.</t>
        </is>
      </c>
    </row>
    <row r="43">
      <c r="A43" s="11" t="inlineStr">
        <is>
          <t>Recovery</t>
        </is>
      </c>
      <c r="B43" s="12" t="inlineStr">
        <is>
          <t>At launch, a journal newer than the workspace prompts: keep these edits, or discard them.</t>
        </is>
      </c>
      <c r="C43" s="12" t="inlineStr">
        <is>
          <t>The user decides. Silently applying recovered edits would be worse than losing them.</t>
        </is>
      </c>
    </row>
    <row r="46">
      <c r="A46" s="8" t="inlineStr">
        <is>
          <t>The provisional-edit model built for the web application - snapshot, commit on Save, revert on Leave without change - turns out to be exactly the seam persistence needs. No part of it changes.</t>
        </is>
      </c>
    </row>
    <row r="48">
      <c r="A48" s="5" t="inlineStr">
        <is>
          <t>Re-importing over a workspace that already holds data</t>
        </is>
      </c>
    </row>
    <row r="49">
      <c r="A49" s="6" t="inlineStr">
        <is>
          <t>This is the one genuinely new decision the change forces, and it is the one most likely to lose somebody's</t>
        </is>
      </c>
    </row>
    <row r="50">
      <c r="A50" s="6" t="inlineStr">
        <is>
          <t>work if it is decided carelessly. Somebody else maintains the source workbook; you will have hand-entered</t>
        </is>
      </c>
    </row>
    <row r="51">
      <c r="A51" s="6" t="inlineStr">
        <is>
          <t>assignments in the workspace. A silent replace destroys them, and a silent merge hides that it happened.</t>
        </is>
      </c>
    </row>
    <row r="53" ht="28" customHeight="1">
      <c r="A53" s="10" t="inlineStr">
        <is>
          <t>Option</t>
        </is>
      </c>
      <c r="B53" s="10" t="inlineStr">
        <is>
          <t>For</t>
        </is>
      </c>
      <c r="C53" s="10" t="inlineStr">
        <is>
          <t>Against</t>
        </is>
      </c>
      <c r="D53" s="10" t="inlineStr">
        <is>
          <t>Status</t>
        </is>
      </c>
    </row>
    <row r="54">
      <c r="A54" s="13" t="inlineStr">
        <is>
          <t>Replace everything</t>
        </is>
      </c>
      <c r="B54" s="14" t="inlineStr">
        <is>
          <t>Simple.</t>
        </is>
      </c>
      <c r="C54" s="14" t="inlineStr">
        <is>
          <t>Destroys hand-entered data with no warning.</t>
        </is>
      </c>
      <c r="D54" s="13" t="inlineStr">
        <is>
          <t>Rejected</t>
        </is>
      </c>
    </row>
    <row r="55">
      <c r="A55" s="15" t="inlineStr">
        <is>
          <t>Merge by key, source wins</t>
        </is>
      </c>
      <c r="B55" s="16" t="inlineStr">
        <is>
          <t>Keeps rows the import does not mention.</t>
        </is>
      </c>
      <c r="C55" s="16" t="inlineStr">
        <is>
          <t>Silently changes rows you edited deliberately.</t>
        </is>
      </c>
      <c r="D55" s="15" t="inlineStr">
        <is>
          <t>Rejected</t>
        </is>
      </c>
    </row>
    <row r="56">
      <c r="A56" s="11" t="inlineStr">
        <is>
          <t>Show the differences, decide per sheet</t>
        </is>
      </c>
      <c r="B56" s="12" t="inlineStr">
        <is>
          <t>Nothing is lost without being seen. The user keeps authority over their own data.</t>
        </is>
      </c>
      <c r="C56" s="12" t="inlineStr">
        <is>
          <t>One more dialog to build and to pass through.</t>
        </is>
      </c>
      <c r="D56" s="11" t="inlineStr">
        <is>
          <t>PROPOSED - NR-IMP-02, decision N-07</t>
        </is>
      </c>
    </row>
    <row r="57">
      <c r="A57" s="15" t="inlineStr">
        <is>
          <t>Refuse; require a new workspace</t>
        </is>
      </c>
      <c r="B57" s="16" t="inlineStr">
        <is>
          <t>Impossible to lose anything.</t>
        </is>
      </c>
      <c r="C57" s="16" t="inlineStr">
        <is>
          <t>Makes the ordinary case - refreshed project dates - painful.</t>
        </is>
      </c>
      <c r="D57" s="15" t="inlineStr">
        <is>
          <t>Rejected</t>
        </is>
      </c>
    </row>
    <row r="59">
      <c r="A59" s="8" t="inlineStr">
        <is>
          <t>Q-N05 asks you to confirm this. It is worth a moment's thought: it is the one place in the design where the wrong choice quietly loses work.</t>
        </is>
      </c>
    </row>
    <row r="60">
      <c r="A60" s="3" t="inlineStr">
        <is>
          <t>Legend</t>
        </is>
      </c>
    </row>
    <row r="61">
      <c r="A61" s="17" t="inlineStr">
        <is>
          <t>Green = new to the desktop application; nothing in the web application corresponds to it.</t>
        </is>
      </c>
    </row>
    <row r="62">
      <c r="A62" s="18" t="inlineStr">
        <is>
          <t>Orange = inherited from the web application but deliberately changed here.</t>
        </is>
      </c>
    </row>
    <row r="63">
      <c r="A63"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3" t="inlineStr">
        <is>
          <t>N-01</t>
        </is>
      </c>
      <c r="B5" s="14" t="inlineStr">
        <is>
          <t>The desktop shell is Electron, packaged without an installer requirement.</t>
        </is>
      </c>
      <c r="C5" s="14" t="inlineStr">
        <is>
          <t>Reuses a verified engine and a verified UI whole, and can be tested in this repository before delivery. Size was the argument against it, and your instruction removes that argument. Reversible: only shell/desktop/ would change.</t>
        </is>
      </c>
      <c r="D5" s="22" t="inlineStr">
        <is>
          <t>CONFIRM</t>
        </is>
      </c>
    </row>
    <row r="6">
      <c r="A6" s="15" t="inlineStr">
        <is>
          <t>N-02</t>
        </is>
      </c>
      <c r="B6" s="16" t="inlineStr">
        <is>
          <t>The workspace is prap-source-data JSON, not SQLite and not xlsx.</t>
        </is>
      </c>
      <c r="C6" s="16" t="inlineStr">
        <is>
          <t>Small data, an existing round-trip-tested format, and it keeps a workspace directly readable by an AI agent. See sheet 05.</t>
        </is>
      </c>
      <c r="D6" s="22" t="inlineStr">
        <is>
          <t>CONFIRM</t>
        </is>
      </c>
    </row>
    <row r="7">
      <c r="A7" s="13" t="inlineStr">
        <is>
          <t>N-03</t>
        </is>
      </c>
      <c r="B7" s="14" t="inlineStr">
        <is>
          <t>Workspace writes are atomic, with the previous versions retained.</t>
        </is>
      </c>
      <c r="C7" s="14" t="inlineStr">
        <is>
          <t>The cost of persistence is that a bad write now destroys data that used to live safely in Excel. Atomic rename plus history is the standard answer.</t>
        </is>
      </c>
      <c r="D7" s="22" t="inlineStr">
        <is>
          <t>CONFIRM</t>
        </is>
      </c>
    </row>
    <row r="8">
      <c r="A8" s="15" t="inlineStr">
        <is>
          <t>N-04</t>
        </is>
      </c>
      <c r="B8" s="16" t="inlineStr">
        <is>
          <t>Many workspaces, chosen by the user, with a recent list.</t>
        </is>
      </c>
      <c r="C8" s="16" t="inlineStr">
        <is>
          <t>You plan scenarios. A single implicit workspace would force overwriting one plan to explore another.</t>
        </is>
      </c>
      <c r="D8" s="22" t="inlineStr">
        <is>
          <t>CONFIRM</t>
        </is>
      </c>
    </row>
    <row r="9">
      <c r="A9" s="13" t="inlineStr">
        <is>
          <t>N-05</t>
        </is>
      </c>
      <c r="B9" s="14" t="inlineStr">
        <is>
          <t>One shared engine, two shells - never two implementations.</t>
        </is>
      </c>
      <c r="C9" s="14" t="inlineStr">
        <is>
          <t>Two implementations of the same arithmetic will diverge, and the divergence will be discovered by someone who trusted the wrong number.</t>
        </is>
      </c>
      <c r="D9" s="22" t="inlineStr">
        <is>
          <t>CONFIRM</t>
        </is>
      </c>
    </row>
    <row r="10">
      <c r="A10" s="15" t="inlineStr">
        <is>
          <t>N-06</t>
        </is>
      </c>
      <c r="B10" s="16" t="inlineStr">
        <is>
          <t>The HTML application is frozen in feature terms at its v1.0. Shared-engine fixes reach it; desktop-only features do not.</t>
        </is>
      </c>
      <c r="C10" s="16" t="inlineStr">
        <is>
          <t>It is finished and in service. Keeping it a build target protects it; keeping it feature-frozen keeps it from becoming a second thing to design.</t>
        </is>
      </c>
      <c r="D10" s="22" t="inlineStr">
        <is>
          <t>CONFIRM</t>
        </is>
      </c>
    </row>
    <row r="11">
      <c r="A11" s="13" t="inlineStr">
        <is>
          <t>N-07</t>
        </is>
      </c>
      <c r="B11" s="14" t="inlineStr">
        <is>
          <t>Re-import shows a difference and lets the user decide per sheet.</t>
        </is>
      </c>
      <c r="C11" s="14" t="inlineStr">
        <is>
          <t>The only option that cannot silently lose hand-entered work. See sheet 05.</t>
        </is>
      </c>
      <c r="D11" s="22" t="inlineStr">
        <is>
          <t>CONFIRM</t>
        </is>
      </c>
    </row>
    <row r="12">
      <c r="A12" s="15" t="inlineStr">
        <is>
          <t>N-08</t>
        </is>
      </c>
      <c r="B12" s="16" t="inlineStr">
        <is>
          <t>Pending edits are journalled separately from the committed workspace.</t>
        </is>
      </c>
      <c r="C12" s="16" t="inlineStr">
        <is>
          <t>So recovery can offer them back without a half-typed row ever becoming committed data.</t>
        </is>
      </c>
      <c r="D12" s="22" t="inlineStr">
        <is>
          <t>CONFIRM</t>
        </is>
      </c>
    </row>
    <row r="13">
      <c r="A13" s="13" t="inlineStr">
        <is>
          <t>N-09</t>
        </is>
      </c>
      <c r="B13" s="14" t="inlineStr">
        <is>
          <t>No network access of any kind, including update checks and crash reporting.</t>
        </is>
      </c>
      <c r="C13" s="14" t="inlineStr">
        <is>
          <t>The tool is offline by requirement. Anything that opens a socket makes it a different kind of product in the eyes of corporate IT.</t>
        </is>
      </c>
      <c r="D13" s="22" t="inlineStr">
        <is>
          <t>CONFIRM</t>
        </is>
      </c>
    </row>
    <row r="14">
      <c r="A14" s="15" t="inlineStr">
        <is>
          <t>N-10</t>
        </is>
      </c>
      <c r="B14" s="16" t="inlineStr">
        <is>
          <t>Engine parity between the applications is mandatory and tested; visual parity is best-effort and documented.</t>
        </is>
      </c>
      <c r="C14" s="16" t="inlineStr">
        <is>
          <t>The figures must agree or both tools are worthless. Whether a dialog looks native matters much less.</t>
        </is>
      </c>
      <c r="D14" s="22" t="inlineStr">
        <is>
          <t>CONFIRM</t>
        </is>
      </c>
    </row>
    <row r="15">
      <c r="A15" s="13" t="inlineStr">
        <is>
          <t>N-11</t>
        </is>
      </c>
      <c r="B15" s="14" t="inlineStr">
        <is>
          <t>The desktop application reuses the web UI rather than being redesigned.</t>
        </is>
      </c>
      <c r="C15" s="14" t="inlineStr">
        <is>
          <t>You have reviewed that UI over 25 rounds. Redesigning it would discard that and give you two habits to hold.</t>
        </is>
      </c>
      <c r="D15" s="22" t="inlineStr">
        <is>
          <t>CONFIRM</t>
        </is>
      </c>
    </row>
    <row r="16">
      <c r="A16" s="15" t="inlineStr">
        <is>
          <t>N-12</t>
        </is>
      </c>
      <c r="B16" s="16" t="inlineStr">
        <is>
          <t>A workspace from a newer application version is refused, not partially read.</t>
        </is>
      </c>
      <c r="C16" s="16" t="inlineStr">
        <is>
          <t>Reading unknown fields and writing them back out is how data quietly disappears.</t>
        </is>
      </c>
      <c r="D16" s="22" t="inlineStr">
        <is>
          <t>CONFIRM</t>
        </is>
      </c>
    </row>
    <row r="18">
      <c r="A18" s="8" t="inlineStr">
        <is>
          <t>Each of these is a decision I have taken provisionally so that Step 1 has something concrete to review. Change any of them in the Status column and the plan follows - none is expensive to reverse at this stage, and N-01 and N-02 become expensive after Gate N2.</t>
        </is>
      </c>
    </row>
    <row r="20">
      <c r="A20" s="5" t="inlineStr">
        <is>
          <t>Inherited and unchanged</t>
        </is>
      </c>
    </row>
    <row r="21">
      <c r="A2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16" showDropDown="0" showInputMessage="0" showErrorMessage="0" allowBlank="1" type="list">
      <formula1>"CONFIRM,CONFIRMED,REJECTED,DEFERRED"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3" t="inlineStr">
        <is>
          <t>N1</t>
        </is>
      </c>
      <c r="B5" s="13" t="inlineStr">
        <is>
          <t>N1.1</t>
        </is>
      </c>
      <c r="C5" s="14" t="inlineStr">
        <is>
          <t>Draft this plan.</t>
        </is>
      </c>
      <c r="D5" s="14" t="inlineStr">
        <is>
          <t>PRAP_NewApp_Development_Plan_v0.1.xlsx</t>
        </is>
      </c>
      <c r="E5" s="13" t="inlineStr">
        <is>
          <t>Complete - issued for review</t>
        </is>
      </c>
    </row>
    <row r="6">
      <c r="A6" s="15" t="inlineStr">
        <is>
          <t>N1</t>
        </is>
      </c>
      <c r="B6" s="15" t="inlineStr">
        <is>
          <t>N1.2</t>
        </is>
      </c>
      <c r="C6" s="16" t="inlineStr">
        <is>
          <t>Requester reviews; answers Q-N01..Q-N11; confirms or changes decisions N-01..N-12.</t>
        </is>
      </c>
      <c r="D6" s="16" t="inlineStr">
        <is>
          <t>Reviewed mark-up</t>
        </is>
      </c>
      <c r="E6" s="15" t="inlineStr">
        <is>
          <t>Pending you</t>
        </is>
      </c>
    </row>
    <row r="7">
      <c r="A7" s="13" t="inlineStr">
        <is>
          <t>N1</t>
        </is>
      </c>
      <c r="B7" s="13" t="inlineStr">
        <is>
          <t>N1.3</t>
        </is>
      </c>
      <c r="C7" s="14" t="inlineStr">
        <is>
          <t>Apply the answers and re-issue.</t>
        </is>
      </c>
      <c r="D7" s="14" t="inlineStr">
        <is>
          <t>Plan v0.2</t>
        </is>
      </c>
      <c r="E7" s="13" t="inlineStr">
        <is>
          <t>Not started</t>
        </is>
      </c>
    </row>
    <row r="8">
      <c r="A8" s="15" t="inlineStr">
        <is>
          <t>N1</t>
        </is>
      </c>
      <c r="B8" s="15" t="inlineStr">
        <is>
          <t>GN1</t>
        </is>
      </c>
      <c r="C8" s="16" t="inlineStr">
        <is>
          <t>GATE N1 - development plan approved as the baseline.</t>
        </is>
      </c>
      <c r="D8" s="16" t="inlineStr">
        <is>
          <t>Plan v1.0</t>
        </is>
      </c>
      <c r="E8" s="15" t="inlineStr">
        <is>
          <t>Not started</t>
        </is>
      </c>
    </row>
    <row r="9">
      <c r="A9" s="13" t="inlineStr">
        <is>
          <t>N2</t>
        </is>
      </c>
      <c r="B9" s="13" t="inlineStr">
        <is>
          <t>N2.1</t>
        </is>
      </c>
      <c r="C9" s="14" t="inlineStr">
        <is>
          <t>Split the source into core / ui / storage / shell-web, with a build step that re-emits app/PRAP.html. NO behaviour change.</t>
        </is>
      </c>
      <c r="D9" s="14" t="inlineStr">
        <is>
          <t>Source tree + rebuilt PRAP.html</t>
        </is>
      </c>
      <c r="E9" s="13" t="inlineStr">
        <is>
          <t>Not started</t>
        </is>
      </c>
    </row>
    <row r="10">
      <c r="A10" s="15" t="inlineStr">
        <is>
          <t>N2</t>
        </is>
      </c>
      <c r="B10" s="15" t="inlineStr">
        <is>
          <t>N2.2</t>
        </is>
      </c>
      <c r="C10" s="16" t="inlineStr">
        <is>
          <t>Prove the refactor changed nothing: all 13 existing suites pass against the rebuilt HTML file, unmodified.</t>
        </is>
      </c>
      <c r="D10" s="16" t="inlineStr">
        <is>
          <t>Test evidence</t>
        </is>
      </c>
      <c r="E10" s="15" t="inlineStr">
        <is>
          <t>Not started</t>
        </is>
      </c>
    </row>
    <row r="11">
      <c r="A11" s="13" t="inlineStr">
        <is>
          <t>N2</t>
        </is>
      </c>
      <c r="B11" s="13" t="inlineStr">
        <is>
          <t>N2.3</t>
        </is>
      </c>
      <c r="C11" s="14" t="inlineStr">
        <is>
          <t>Specify the storage interface and the workspace file format.</t>
        </is>
      </c>
      <c r="D11" s="14" t="inlineStr">
        <is>
          <t>Specification sheet 'Storage'</t>
        </is>
      </c>
      <c r="E11" s="13" t="inlineStr">
        <is>
          <t>Not started</t>
        </is>
      </c>
    </row>
    <row r="12">
      <c r="A12" s="15" t="inlineStr">
        <is>
          <t>N2</t>
        </is>
      </c>
      <c r="B12" s="15" t="inlineStr">
        <is>
          <t>N2.4</t>
        </is>
      </c>
      <c r="C12" s="16" t="inlineStr">
        <is>
          <t>Specify the desktop shell: window, menus, dialogs, recent files, drag-and-drop, About.</t>
        </is>
      </c>
      <c r="D12" s="16" t="inlineStr">
        <is>
          <t>Specification sheet 'Shell'</t>
        </is>
      </c>
      <c r="E12" s="15" t="inlineStr">
        <is>
          <t>Not started</t>
        </is>
      </c>
    </row>
    <row r="13">
      <c r="A13" s="13" t="inlineStr">
        <is>
          <t>N2</t>
        </is>
      </c>
      <c r="B13" s="13" t="inlineStr">
        <is>
          <t>N2.5</t>
        </is>
      </c>
      <c r="C13" s="14" t="inlineStr">
        <is>
          <t>Specify save safety, version retention, journalling and recovery.</t>
        </is>
      </c>
      <c r="D13" s="14" t="inlineStr">
        <is>
          <t>Specification sheet 'Persistence'</t>
        </is>
      </c>
      <c r="E13" s="13" t="inlineStr">
        <is>
          <t>Not started</t>
        </is>
      </c>
    </row>
    <row r="14">
      <c r="A14" s="15" t="inlineStr">
        <is>
          <t>N2</t>
        </is>
      </c>
      <c r="B14" s="15" t="inlineStr">
        <is>
          <t>N2.6</t>
        </is>
      </c>
      <c r="C14" s="16" t="inlineStr">
        <is>
          <t>Specify the re-import difference dialog.</t>
        </is>
      </c>
      <c r="D14" s="16" t="inlineStr">
        <is>
          <t>Specification sheet 'Import'</t>
        </is>
      </c>
      <c r="E14" s="15" t="inlineStr">
        <is>
          <t>Not started</t>
        </is>
      </c>
    </row>
    <row r="15">
      <c r="A15" s="13" t="inlineStr">
        <is>
          <t>N2</t>
        </is>
      </c>
      <c r="B15" s="13" t="inlineStr">
        <is>
          <t>N2.7</t>
        </is>
      </c>
      <c r="C15" s="14" t="inlineStr">
        <is>
          <t>Specify packaging, deployment and update.</t>
        </is>
      </c>
      <c r="D15" s="14" t="inlineStr">
        <is>
          <t>Specification sheet 'Deployment'</t>
        </is>
      </c>
      <c r="E15" s="13" t="inlineStr">
        <is>
          <t>Not started</t>
        </is>
      </c>
    </row>
    <row r="16">
      <c r="A16" s="15" t="inlineStr">
        <is>
          <t>N2</t>
        </is>
      </c>
      <c r="B16" s="15" t="inlineStr">
        <is>
          <t>N2.8</t>
        </is>
      </c>
      <c r="C16" s="16" t="inlineStr">
        <is>
          <t>Traceability matrix: every NR-id to a specification section.</t>
        </is>
      </c>
      <c r="D16" s="16" t="inlineStr">
        <is>
          <t>Specification sheet 'Traceability'</t>
        </is>
      </c>
      <c r="E16" s="15" t="inlineStr">
        <is>
          <t>Not started</t>
        </is>
      </c>
    </row>
    <row r="17">
      <c r="A17" s="13" t="inlineStr">
        <is>
          <t>N2</t>
        </is>
      </c>
      <c r="B17" s="13" t="inlineStr">
        <is>
          <t>GN2</t>
        </is>
      </c>
      <c r="C17" s="14" t="inlineStr">
        <is>
          <t>GATE N2 - programming specification approved.</t>
        </is>
      </c>
      <c r="D17" s="14" t="inlineStr">
        <is>
          <t>PRAP_NewApp_Specification_v1.0.xlsx</t>
        </is>
      </c>
      <c r="E17" s="13" t="inlineStr">
        <is>
          <t>Not started</t>
        </is>
      </c>
    </row>
    <row r="18">
      <c r="A18" s="15" t="inlineStr">
        <is>
          <t>N3</t>
        </is>
      </c>
      <c r="B18" s="15" t="inlineStr">
        <is>
          <t>N3.1</t>
        </is>
      </c>
      <c r="C18" s="16" t="inlineStr">
        <is>
          <t>Desktop-specific UI design: menu structure, dialogs, the workspace-open screen, the recovery prompt, the difference view.</t>
        </is>
      </c>
      <c r="D18" s="16" t="inlineStr">
        <is>
          <t>Component list draft</t>
        </is>
      </c>
      <c r="E18" s="15" t="inlineStr">
        <is>
          <t>Not started</t>
        </is>
      </c>
    </row>
    <row r="19">
      <c r="A19" s="13" t="inlineStr">
        <is>
          <t>N3</t>
        </is>
      </c>
      <c r="B19" s="13" t="inlineStr">
        <is>
          <t>N3.2</t>
        </is>
      </c>
      <c r="C19" s="14" t="inlineStr">
        <is>
          <t>List every deliberate divergence from the web UI, with its reason (NR-PAR-04).</t>
        </is>
      </c>
      <c r="D19" s="14" t="inlineStr">
        <is>
          <t>Divergence list</t>
        </is>
      </c>
      <c r="E19" s="13" t="inlineStr">
        <is>
          <t>Not started</t>
        </is>
      </c>
    </row>
    <row r="20">
      <c r="A20" s="15" t="inlineStr">
        <is>
          <t>N3</t>
        </is>
      </c>
      <c r="B20" s="15" t="inlineStr">
        <is>
          <t>N3.3</t>
        </is>
      </c>
      <c r="C20" s="16" t="inlineStr">
        <is>
          <t>Requester reviews the design.</t>
        </is>
      </c>
      <c r="D20" s="16" t="inlineStr">
        <is>
          <t>Review comments</t>
        </is>
      </c>
      <c r="E20" s="15" t="inlineStr">
        <is>
          <t>Not started</t>
        </is>
      </c>
    </row>
    <row r="21">
      <c r="A21" s="13" t="inlineStr">
        <is>
          <t>N3</t>
        </is>
      </c>
      <c r="B21" s="13" t="inlineStr">
        <is>
          <t>GN3</t>
        </is>
      </c>
      <c r="C21" s="14" t="inlineStr">
        <is>
          <t>GATE N3 - design and component list approved.</t>
        </is>
      </c>
      <c r="D21" s="14" t="inlineStr">
        <is>
          <t>PRAP_NewApp_Component_List_v1.0.xlsx</t>
        </is>
      </c>
      <c r="E21" s="13" t="inlineStr">
        <is>
          <t>Not started</t>
        </is>
      </c>
    </row>
    <row r="22">
      <c r="A22" s="15" t="inlineStr">
        <is>
          <t>N4</t>
        </is>
      </c>
      <c r="B22" s="15" t="inlineStr">
        <is>
          <t>N4.1</t>
        </is>
      </c>
      <c r="C22" s="16" t="inlineStr">
        <is>
          <t>Desktop shell: application window, menu bar, native dialogs, window state.</t>
        </is>
      </c>
      <c r="D22" s="16" t="inlineStr">
        <is>
          <t>shell/desktop/</t>
        </is>
      </c>
      <c r="E22" s="15" t="inlineStr">
        <is>
          <t>Not started</t>
        </is>
      </c>
    </row>
    <row r="23">
      <c r="A23" s="13" t="inlineStr">
        <is>
          <t>N4</t>
        </is>
      </c>
      <c r="B23" s="13" t="inlineStr">
        <is>
          <t>N4.2</t>
        </is>
      </c>
      <c r="C23" s="14" t="inlineStr">
        <is>
          <t>Filesystem storage adapter: open, save, atomic write, version history.</t>
        </is>
      </c>
      <c r="D23" s="14" t="inlineStr">
        <is>
          <t>storage/</t>
        </is>
      </c>
      <c r="E23" s="13" t="inlineStr">
        <is>
          <t>Not started</t>
        </is>
      </c>
    </row>
    <row r="24">
      <c r="A24" s="15" t="inlineStr">
        <is>
          <t>N4</t>
        </is>
      </c>
      <c r="B24" s="15" t="inlineStr">
        <is>
          <t>N4.3</t>
        </is>
      </c>
      <c r="C24" s="16" t="inlineStr">
        <is>
          <t>Workspace lifecycle: new, open, save, save as, recent list, reopen last at launch.</t>
        </is>
      </c>
      <c r="D24" s="16" t="inlineStr">
        <is>
          <t>shell/desktop/</t>
        </is>
      </c>
      <c r="E24" s="15" t="inlineStr">
        <is>
          <t>Not started</t>
        </is>
      </c>
    </row>
    <row r="25">
      <c r="A25" s="13" t="inlineStr">
        <is>
          <t>N4</t>
        </is>
      </c>
      <c r="B25" s="13" t="inlineStr">
        <is>
          <t>N4.4</t>
        </is>
      </c>
      <c r="C25" s="14" t="inlineStr">
        <is>
          <t>Journalling and crash recovery.</t>
        </is>
      </c>
      <c r="D25" s="14" t="inlineStr">
        <is>
          <t>storage/</t>
        </is>
      </c>
      <c r="E25" s="13" t="inlineStr">
        <is>
          <t>Not started</t>
        </is>
      </c>
    </row>
    <row r="26">
      <c r="A26" s="15" t="inlineStr">
        <is>
          <t>N4</t>
        </is>
      </c>
      <c r="B26" s="15" t="inlineStr">
        <is>
          <t>N4.5</t>
        </is>
      </c>
      <c r="C26" s="16" t="inlineStr">
        <is>
          <t>Import into an occupied workspace: the difference view and the per-sheet decision.</t>
        </is>
      </c>
      <c r="D26" s="16" t="inlineStr">
        <is>
          <t>ui/</t>
        </is>
      </c>
      <c r="E26" s="15" t="inlineStr">
        <is>
          <t>Not started</t>
        </is>
      </c>
    </row>
    <row r="27">
      <c r="A27" s="13" t="inlineStr">
        <is>
          <t>N4</t>
        </is>
      </c>
      <c r="B27" s="13" t="inlineStr">
        <is>
          <t>N4.6</t>
        </is>
      </c>
      <c r="C27" s="14" t="inlineStr">
        <is>
          <t>Parity suite: identical input through both applications, identical figures, findings and exports.</t>
        </is>
      </c>
      <c r="D27" s="14" t="inlineStr">
        <is>
          <t>tools/test_parity.py</t>
        </is>
      </c>
      <c r="E27" s="13" t="inlineStr">
        <is>
          <t>Not started</t>
        </is>
      </c>
    </row>
    <row r="28">
      <c r="A28" s="15" t="inlineStr">
        <is>
          <t>N4</t>
        </is>
      </c>
      <c r="B28" s="15" t="inlineStr">
        <is>
          <t>N4.7</t>
        </is>
      </c>
      <c r="C28" s="16" t="inlineStr">
        <is>
          <t>Persistence suite: save, close, relaunch, verify; kill mid-write, verify; recover pending edits.</t>
        </is>
      </c>
      <c r="D28" s="16" t="inlineStr">
        <is>
          <t>tools/test_persist.py</t>
        </is>
      </c>
      <c r="E28" s="15" t="inlineStr">
        <is>
          <t>Not started</t>
        </is>
      </c>
    </row>
    <row r="29">
      <c r="A29" s="13" t="inlineStr">
        <is>
          <t>N4</t>
        </is>
      </c>
      <c r="B29" s="13" t="inlineStr">
        <is>
          <t>N4.8</t>
        </is>
      </c>
      <c r="C29" s="14" t="inlineStr">
        <is>
          <t>Requester reviews against real data; refinements folded in.</t>
        </is>
      </c>
      <c r="D29" s="14" t="inlineStr">
        <is>
          <t>Updated code</t>
        </is>
      </c>
      <c r="E29" s="13" t="inlineStr">
        <is>
          <t>Not started</t>
        </is>
      </c>
    </row>
    <row r="30">
      <c r="A30" s="15" t="inlineStr">
        <is>
          <t>N4</t>
        </is>
      </c>
      <c r="B30" s="15" t="inlineStr">
        <is>
          <t>GN4</t>
        </is>
      </c>
      <c r="C30" s="16" t="inlineStr">
        <is>
          <t>GATE N4 - application functionally complete.</t>
        </is>
      </c>
      <c r="D30" s="16" t="inlineStr">
        <is>
          <t>PRAP Desktop v0.9</t>
        </is>
      </c>
      <c r="E30" s="15" t="inlineStr">
        <is>
          <t>Not started</t>
        </is>
      </c>
    </row>
    <row r="31">
      <c r="A31" s="13" t="inlineStr">
        <is>
          <t>N5</t>
        </is>
      </c>
      <c r="B31" s="13" t="inlineStr">
        <is>
          <t>N5.1</t>
        </is>
      </c>
      <c r="C31" s="14" t="inlineStr">
        <is>
          <t>Package for Windows; verify it launches without administrator rights.</t>
        </is>
      </c>
      <c r="D31" s="14" t="inlineStr">
        <is>
          <t>Installable package</t>
        </is>
      </c>
      <c r="E31" s="13" t="inlineStr">
        <is>
          <t>Not started</t>
        </is>
      </c>
    </row>
    <row r="32">
      <c r="A32" s="15" t="inlineStr">
        <is>
          <t>N5</t>
        </is>
      </c>
      <c r="B32" s="15" t="inlineStr">
        <is>
          <t>N5.2</t>
        </is>
      </c>
      <c r="C32" s="16" t="inlineStr">
        <is>
          <t>Verify no socket is opened, offline, on a clean machine (NR-SEC-01).</t>
        </is>
      </c>
      <c r="D32" s="16" t="inlineStr">
        <is>
          <t>Test evidence</t>
        </is>
      </c>
      <c r="E32" s="15" t="inlineStr">
        <is>
          <t>Not started</t>
        </is>
      </c>
    </row>
    <row r="33">
      <c r="A33" s="13" t="inlineStr">
        <is>
          <t>N5</t>
        </is>
      </c>
      <c r="B33" s="13" t="inlineStr">
        <is>
          <t>N5.3</t>
        </is>
      </c>
      <c r="C33" s="14" t="inlineStr">
        <is>
          <t>Install and test on a real company PC - the only place several of these requirements can be proven.</t>
        </is>
      </c>
      <c r="D33" s="14" t="inlineStr">
        <is>
          <t>Test evidence</t>
        </is>
      </c>
      <c r="E33" s="13" t="inlineStr">
        <is>
          <t>Pending you</t>
        </is>
      </c>
    </row>
    <row r="34">
      <c r="A34" s="15" t="inlineStr">
        <is>
          <t>N5</t>
        </is>
      </c>
      <c r="B34" s="15" t="inlineStr">
        <is>
          <t>N5.4</t>
        </is>
      </c>
      <c r="C34" s="16" t="inlineStr">
        <is>
          <t>User guide: install, workspaces, import and export, backup, what to do if it will not start.</t>
        </is>
      </c>
      <c r="D34" s="16" t="inlineStr">
        <is>
          <t>User guide</t>
        </is>
      </c>
      <c r="E34" s="15" t="inlineStr">
        <is>
          <t>Not started</t>
        </is>
      </c>
    </row>
    <row r="35">
      <c r="A35" s="13" t="inlineStr">
        <is>
          <t>N5</t>
        </is>
      </c>
      <c r="B35" s="13" t="inlineStr">
        <is>
          <t>N5.5</t>
        </is>
      </c>
      <c r="C35" s="14" t="inlineStr">
        <is>
          <t>Full pass over the traceability matrix; version alignment across both product lines.</t>
        </is>
      </c>
      <c r="D35" s="14" t="inlineStr">
        <is>
          <t>Traceability matrix</t>
        </is>
      </c>
      <c r="E35" s="13" t="inlineStr">
        <is>
          <t>Not started</t>
        </is>
      </c>
    </row>
    <row r="36">
      <c r="A36" s="15" t="inlineStr">
        <is>
          <t>N5</t>
        </is>
      </c>
      <c r="B36" s="15" t="inlineStr">
        <is>
          <t>GN5</t>
        </is>
      </c>
      <c r="C36" s="16" t="inlineStr">
        <is>
          <t>GATE N5 - release.</t>
        </is>
      </c>
      <c r="D36" s="16" t="inlineStr">
        <is>
          <t>PRAP Desktop v1.0</t>
        </is>
      </c>
      <c r="E36" s="15" t="inlineStr">
        <is>
          <t>Not started</t>
        </is>
      </c>
    </row>
    <row r="38">
      <c r="A38" s="5" t="inlineStr">
        <is>
          <t>Progress</t>
        </is>
      </c>
    </row>
    <row r="39" ht="28" customHeight="1">
      <c r="A39" s="10" t="inlineStr">
        <is>
          <t>Measure</t>
        </is>
      </c>
      <c r="B39" s="10" t="inlineStr">
        <is>
          <t>Count</t>
        </is>
      </c>
    </row>
    <row r="40">
      <c r="A40" s="13" t="inlineStr">
        <is>
          <t>Tasks total</t>
        </is>
      </c>
      <c r="B40" s="13">
        <f>COUNTA(B5:B36)</f>
        <v/>
      </c>
    </row>
    <row r="41">
      <c r="A41" s="15" t="inlineStr">
        <is>
          <t>Complete</t>
        </is>
      </c>
      <c r="B41" s="15">
        <f>COUNTIF(E5:E36,"Complete")+COUNTIF(E5:E36,"Complete - issued for review")</f>
        <v/>
      </c>
    </row>
    <row r="42">
      <c r="A42" s="13" t="inlineStr">
        <is>
          <t>Awaiting the requester</t>
        </is>
      </c>
      <c r="B42" s="13">
        <f>COUNTIF(E5:E36,"Pending you")</f>
        <v/>
      </c>
    </row>
    <row r="43">
      <c r="A43" s="15" t="inlineStr">
        <is>
          <t>Not started</t>
        </is>
      </c>
      <c r="B43" s="15">
        <f>COUNTIF(E5:E36,"Not started")</f>
        <v/>
      </c>
    </row>
    <row r="46">
      <c r="A46"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36"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2"/>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3" t="inlineStr">
        <is>
          <t>The refactor changed nothing</t>
        </is>
      </c>
      <c r="B5" s="14" t="inlineStr">
        <is>
          <t>The 13 existing suites, unmodified, against the rebuilt app/PRAP.html.</t>
        </is>
      </c>
      <c r="C5" s="13" t="inlineStr">
        <is>
          <t>NR-PAR-03</t>
        </is>
      </c>
      <c r="D5" s="14" t="inlineStr">
        <is>
          <t>Automated, in this repository</t>
        </is>
      </c>
    </row>
    <row r="6">
      <c r="A6" s="15" t="inlineStr">
        <is>
          <t>The two applications agree</t>
        </is>
      </c>
      <c r="B6" s="16" t="inlineStr">
        <is>
          <t>tools/test_parity.py - one dataset through both, comparing every person-month figure, every validation finding and both export files.</t>
        </is>
      </c>
      <c r="C6" s="15" t="inlineStr">
        <is>
          <t>NR-PAR-02</t>
        </is>
      </c>
      <c r="D6" s="16" t="inlineStr">
        <is>
          <t>Automated, in this repository</t>
        </is>
      </c>
    </row>
    <row r="7">
      <c r="A7" s="13" t="inlineStr">
        <is>
          <t>Data survives closing</t>
        </is>
      </c>
      <c r="B7" s="14" t="inlineStr">
        <is>
          <t>tools/test_persist.py - import, save, close the application, relaunch, compare the model to what was saved.</t>
        </is>
      </c>
      <c r="C7" s="13" t="inlineStr">
        <is>
          <t>NR-STO-01</t>
        </is>
      </c>
      <c r="D7" s="14" t="inlineStr">
        <is>
          <t>Automated, in this repository</t>
        </is>
      </c>
    </row>
    <row r="8">
      <c r="A8" s="15" t="inlineStr">
        <is>
          <t>A save is never half-written</t>
        </is>
      </c>
      <c r="B8" s="16" t="inlineStr">
        <is>
          <t>Kill the process during a write, relaunch, verify the workspace is wholly old or wholly new. Repeated across many timings.</t>
        </is>
      </c>
      <c r="C8" s="15" t="inlineStr">
        <is>
          <t>NR-STO-05</t>
        </is>
      </c>
      <c r="D8" s="16" t="inlineStr">
        <is>
          <t>Automated, in this repository</t>
        </is>
      </c>
    </row>
    <row r="9">
      <c r="A9" s="13" t="inlineStr">
        <is>
          <t>Pending edits are recovered</t>
        </is>
      </c>
      <c r="B9" s="14" t="inlineStr">
        <is>
          <t>Kill the process with edits pending, relaunch, verify the prompt appears and both answers behave.</t>
        </is>
      </c>
      <c r="C9" s="13" t="inlineStr">
        <is>
          <t>NR-STO-07</t>
        </is>
      </c>
      <c r="D9" s="14" t="inlineStr">
        <is>
          <t>Automated, in this repository</t>
        </is>
      </c>
    </row>
    <row r="10">
      <c r="A10" s="15" t="inlineStr">
        <is>
          <t>Re-import loses nothing</t>
        </is>
      </c>
      <c r="B10" s="16" t="inlineStr">
        <is>
          <t>Import a changed workbook over hand-entered data; verify every difference is shown and nothing changes without a decision.</t>
        </is>
      </c>
      <c r="C10" s="15" t="inlineStr">
        <is>
          <t>NR-IMP-02</t>
        </is>
      </c>
      <c r="D10" s="16" t="inlineStr">
        <is>
          <t>Automated, in this repository</t>
        </is>
      </c>
    </row>
    <row r="11">
      <c r="A11" s="13" t="inlineStr">
        <is>
          <t>An old workspace still opens</t>
        </is>
      </c>
      <c r="B11" s="14" t="inlineStr">
        <is>
          <t>Open a workspace written by an earlier version; verify it loads and reports the upgrade.</t>
        </is>
      </c>
      <c r="C11" s="13" t="inlineStr">
        <is>
          <t>NR-DEP-03</t>
        </is>
      </c>
      <c r="D11" s="14"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11" t="inlineStr">
        <is>
          <t>It installs without admin rights</t>
        </is>
      </c>
      <c r="B13" s="12" t="inlineStr">
        <is>
          <t>Install and launch on a company-managed PC.</t>
        </is>
      </c>
      <c r="C13" s="11" t="inlineStr">
        <is>
          <t>NR-DEP-02</t>
        </is>
      </c>
      <c r="D13" s="12" t="inlineStr">
        <is>
          <t>ONLY provable by you, at N5.3</t>
        </is>
      </c>
    </row>
    <row r="14">
      <c r="A14" s="11" t="inlineStr">
        <is>
          <t>It is allowed to run at all</t>
        </is>
      </c>
      <c r="B14" s="12" t="inlineStr">
        <is>
          <t>Launch the packaged application on a company-managed PC.</t>
        </is>
      </c>
      <c r="C14" s="11" t="inlineStr">
        <is>
          <t>R-N01</t>
        </is>
      </c>
      <c r="D14" s="12" t="inlineStr">
        <is>
          <t>ONLY provable by you - see the risk sheet</t>
        </is>
      </c>
    </row>
    <row r="15">
      <c r="A15" s="13" t="inlineStr">
        <is>
          <t>The figures are right</t>
        </is>
      </c>
      <c r="B15" s="14" t="inlineStr">
        <is>
          <t>Inherited: the engine is already proven against the Python reference on all 1,225 person-months of the large dataset and 433 of the 10x10 dataset.</t>
        </is>
      </c>
      <c r="C15" s="13" t="inlineStr">
        <is>
          <t>Inherited</t>
        </is>
      </c>
      <c r="D15" s="14" t="inlineStr">
        <is>
          <t>Already done, and re-run by the parity suite</t>
        </is>
      </c>
    </row>
    <row r="18">
      <c r="A18" s="8" t="inlineStr">
        <is>
          <t>Two rows say ONLY PROVABLE BY YOU. Everything else in this project has been demonstrated before it was claimed; these two cannot be, from here. They are the reason risk R-N01 is rated as it is.</t>
        </is>
      </c>
    </row>
    <row r="19">
      <c r="A19" s="3" t="inlineStr">
        <is>
          <t>Legend</t>
        </is>
      </c>
    </row>
    <row r="20">
      <c r="A20" s="17" t="inlineStr">
        <is>
          <t>Green = new to the desktop application; nothing in the web application corresponds to it.</t>
        </is>
      </c>
    </row>
    <row r="21">
      <c r="A21" s="18" t="inlineStr">
        <is>
          <t>Orange = inherited from the web application but deliberately changed here.</t>
        </is>
      </c>
    </row>
    <row r="22">
      <c r="A22" s="19" t="inlineStr">
        <is>
          <t>Yellow = needs your decision before the work can proceed.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2"/>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3" t="inlineStr">
        <is>
          <t>Desktop plan</t>
        </is>
      </c>
      <c r="B5" s="14" t="inlineStr">
        <is>
          <t>PRAP_NewApp_Development_Plan_v&lt;ver&gt;.xlsx</t>
        </is>
      </c>
      <c r="C5" s="13" t="inlineStr">
        <is>
          <t>docs/</t>
        </is>
      </c>
      <c r="D5" s="14" t="inlineStr">
        <is>
          <t>Sheet 01 of this document</t>
        </is>
      </c>
    </row>
    <row r="6">
      <c r="A6" s="15" t="inlineStr">
        <is>
          <t>Desktop specification</t>
        </is>
      </c>
      <c r="B6" s="16" t="inlineStr">
        <is>
          <t>PRAP_NewApp_Specification_v&lt;ver&gt;.xlsx</t>
        </is>
      </c>
      <c r="C6" s="15" t="inlineStr">
        <is>
          <t>docs/</t>
        </is>
      </c>
      <c r="D6" s="16" t="inlineStr">
        <is>
          <t>Its own version-history sheet</t>
        </is>
      </c>
    </row>
    <row r="7">
      <c r="A7" s="13" t="inlineStr">
        <is>
          <t>Desktop component list</t>
        </is>
      </c>
      <c r="B7" s="14" t="inlineStr">
        <is>
          <t>PRAP_NewApp_Component_List_v&lt;ver&gt;.xlsx</t>
        </is>
      </c>
      <c r="C7" s="13" t="inlineStr">
        <is>
          <t>docs/</t>
        </is>
      </c>
      <c r="D7" s="14" t="inlineStr">
        <is>
          <t>Its own version-history sheet</t>
        </is>
      </c>
    </row>
    <row r="8">
      <c r="A8" s="15" t="inlineStr">
        <is>
          <t>Desktop application</t>
        </is>
      </c>
      <c r="B8" s="16" t="inlineStr">
        <is>
          <t>PRAP_Desktop_v&lt;ver&gt; (package)</t>
        </is>
      </c>
      <c r="C8" s="15" t="inlineStr">
        <is>
          <t>dist/</t>
        </is>
      </c>
      <c r="D8" s="16" t="inlineStr">
        <is>
          <t>About dialog and window title</t>
        </is>
      </c>
    </row>
    <row r="9">
      <c r="A9" s="13" t="inlineStr">
        <is>
          <t>Workspace file</t>
        </is>
      </c>
      <c r="B9" s="14" t="inlineStr">
        <is>
          <t>&lt;user's own name&gt;.prap</t>
        </is>
      </c>
      <c r="C9" s="13" t="inlineStr">
        <is>
          <t>wherever the user keeps it</t>
        </is>
      </c>
      <c r="D9" s="14" t="inlineStr">
        <is>
          <t>Header block inside the file</t>
        </is>
      </c>
    </row>
    <row r="10">
      <c r="A10" s="15" t="inlineStr">
        <is>
          <t>Web plan and its documents</t>
        </is>
      </c>
      <c r="B10" s="16" t="inlineStr">
        <is>
          <t>PRAP_Development_Plan_v&lt;ver&gt;.xlsx and siblings</t>
        </is>
      </c>
      <c r="C10" s="15" t="inlineStr">
        <is>
          <t>docs/</t>
        </is>
      </c>
      <c r="D10" s="16" t="inlineStr">
        <is>
          <t>Unchanged - their own sheets</t>
        </is>
      </c>
    </row>
    <row r="11">
      <c r="A11" s="13" t="inlineStr">
        <is>
          <t>Web application</t>
        </is>
      </c>
      <c r="B11" s="14" t="inlineStr">
        <is>
          <t>app/PRAP.html</t>
        </is>
      </c>
      <c r="C11" s="13" t="inlineStr">
        <is>
          <t>app/</t>
        </is>
      </c>
      <c r="D11" s="14" t="inlineStr">
        <is>
          <t>APP_VERSION constant, shown in the footer</t>
        </is>
      </c>
    </row>
    <row r="12">
      <c r="A12" s="15" t="inlineStr">
        <is>
          <t>Shared source tree</t>
        </is>
      </c>
      <c r="B12" s="16" t="inlineStr">
        <is>
          <t>core/, ui/, storage/, shell/</t>
        </is>
      </c>
      <c r="C12" s="15" t="inlineStr">
        <is>
          <t>repository root</t>
        </is>
      </c>
      <c r="D12" s="16" t="inlineStr">
        <is>
          <t>Git history</t>
        </is>
      </c>
    </row>
    <row r="13">
      <c r="A13" s="13" t="inlineStr">
        <is>
          <t>Shared data contract</t>
        </is>
      </c>
      <c r="B13" s="14" t="inlineStr">
        <is>
          <t>schema_version in the Config sheet; format_version in the JSON</t>
        </is>
      </c>
      <c r="C13" s="13" t="inlineStr">
        <is>
          <t>templates/</t>
        </is>
      </c>
      <c r="D13" s="14" t="inlineStr">
        <is>
          <t>Unchanged at 5 and 1</t>
        </is>
      </c>
    </row>
    <row r="16">
      <c r="A16" s="5" t="inlineStr">
        <is>
          <t>Rules</t>
        </is>
      </c>
    </row>
    <row r="17" ht="28" customHeight="1">
      <c r="A17" s="10" t="inlineStr">
        <is>
          <t>Rule</t>
        </is>
      </c>
      <c r="B17" s="10" t="inlineStr">
        <is>
          <t>Consequence</t>
        </is>
      </c>
    </row>
    <row r="18">
      <c r="A18" s="14" t="inlineStr">
        <is>
          <t>The two product lines version independently.</t>
        </is>
      </c>
      <c r="B18" s="14" t="inlineStr">
        <is>
          <t>Desktop v1.0 and web v1.0 are unrelated numbers. Nothing forces them to move together.</t>
        </is>
      </c>
    </row>
    <row r="19">
      <c r="A19" s="16" t="inlineStr">
        <is>
          <t>The DATA contract versions once, for both.</t>
        </is>
      </c>
      <c r="B19" s="16" t="inlineStr">
        <is>
          <t>Schema version 5 and JSON format_version 1 are shared. A change to either is a change to both products and needs approval on both plans.</t>
        </is>
      </c>
    </row>
    <row r="20">
      <c r="A20" s="14" t="inlineStr">
        <is>
          <t>An engine fix is released to both.</t>
        </is>
      </c>
      <c r="B20" s="14" t="inlineStr">
        <is>
          <t>Fix in core/, re-verify against both, re-issue the HTML file as a point version and the desktop package as a point version. The fix is recorded in both version histories.</t>
        </is>
      </c>
    </row>
    <row r="21">
      <c r="A21" s="16" t="inlineStr">
        <is>
          <t>A desktop feature does not reach the web application.</t>
        </is>
      </c>
      <c r="B21" s="16" t="inlineStr">
        <is>
          <t>Decision N-06. The web application is feature-frozen; adding to it would reopen a closed gate.</t>
        </is>
      </c>
    </row>
    <row r="22">
      <c r="A22" s="14" t="inlineStr">
        <is>
          <t>Neither plan supersedes the other.</t>
        </is>
      </c>
      <c r="B22" s="14" t="inlineStr">
        <is>
          <t>Both remain live documents. The web plan's status stays exactly what it is today.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7"/>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11" t="inlineStr">
        <is>
          <t>R-N01</t>
        </is>
      </c>
      <c r="B5" s="12" t="inlineStr">
        <is>
          <t>Corporate policy blocks an unsigned packaged application, so it cannot be launched on the machine it was built for.</t>
        </is>
      </c>
      <c r="C5" s="11" t="inlineStr">
        <is>
          <t>Medium</t>
        </is>
      </c>
      <c r="D5" s="11" t="inlineStr">
        <is>
          <t>HIGH</t>
        </is>
      </c>
      <c r="E5" s="12" t="inlineStr">
        <is>
          <t>The single largest risk in this plan, and it cannot be tested from here. Q-N02 asks you to check with IT BEFORE Gate N1. Mitigation if it happens: the web application still works and still meets the original need - which is precisely why keeping it, as you instructed, is the right call. A code-signing certificate is an IT purchase, not a coding task.</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4">
      <c r="A14" s="5" t="inlineStr">
        <is>
          <t>Assumptions</t>
        </is>
      </c>
    </row>
    <row r="15" ht="28" customHeight="1">
      <c r="A15" s="10" t="inlineStr">
        <is>
          <t>ID</t>
        </is>
      </c>
      <c r="B15" s="10" t="inlineStr">
        <is>
          <t>Assumption</t>
        </is>
      </c>
      <c r="C15" s="10" t="inlineStr">
        <is>
          <t>Status</t>
        </is>
      </c>
    </row>
    <row r="16">
      <c r="A16" s="13" t="inlineStr">
        <is>
          <t>A-N01</t>
        </is>
      </c>
      <c r="B16" s="14" t="inlineStr">
        <is>
          <t>Data volume stays as assumed by the web plan - up to about 100 projects and 1,000 people.</t>
        </is>
      </c>
      <c r="C16" s="13" t="inlineStr">
        <is>
          <t>Inherited, standing</t>
        </is>
      </c>
    </row>
    <row r="17">
      <c r="A17" s="15" t="inlineStr">
        <is>
          <t>A-N02</t>
        </is>
      </c>
      <c r="B17" s="16" t="inlineStr">
        <is>
          <t>Windows 10 or 11 is the target. macOS and Linux are out of scope unless Q-N01 says otherwise.</t>
        </is>
      </c>
      <c r="C17" s="15" t="inlineStr">
        <is>
          <t>To confirm - Q-N01</t>
        </is>
      </c>
    </row>
    <row r="18">
      <c r="A18" s="13" t="inlineStr">
        <is>
          <t>A-N03</t>
        </is>
      </c>
      <c r="B18" s="14" t="inlineStr">
        <is>
          <t>One person works on a given workspace at a time.</t>
        </is>
      </c>
      <c r="C18" s="13" t="inlineStr">
        <is>
          <t>Inherited A-06 - to confirm at Q-N06</t>
        </is>
      </c>
    </row>
    <row r="19">
      <c r="A19" s="15" t="inlineStr">
        <is>
          <t>A-N04</t>
        </is>
      </c>
      <c r="B19" s="16" t="inlineStr">
        <is>
          <t>Package size is unconstrained.</t>
        </is>
      </c>
      <c r="C19" s="15" t="inlineStr">
        <is>
          <t>CONFIRMED by your instruction, 2026-08-13</t>
        </is>
      </c>
    </row>
    <row r="20">
      <c r="A20" s="13" t="inlineStr">
        <is>
          <t>A-N05</t>
        </is>
      </c>
      <c r="B20" s="14" t="inlineStr">
        <is>
          <t>Both applications remain in service indefinitely; neither is a migration path away from the other.</t>
        </is>
      </c>
      <c r="C20" s="13" t="inlineStr">
        <is>
          <t>CONFIRMED by your instruction, 2026-08-13</t>
        </is>
      </c>
    </row>
    <row r="21">
      <c r="A21" s="15" t="inlineStr">
        <is>
          <t>A-N06</t>
        </is>
      </c>
      <c r="B21" s="16" t="inlineStr">
        <is>
          <t>The source Excel workbook continues to be maintained by hand, by someone other than the tool.</t>
        </is>
      </c>
      <c r="C21" s="15" t="inlineStr">
        <is>
          <t>Inherited A-04, standing</t>
        </is>
      </c>
    </row>
    <row r="22">
      <c r="A22" s="13" t="inlineStr">
        <is>
          <t>A-N07</t>
        </is>
      </c>
      <c r="B22" s="14" t="inlineStr">
        <is>
          <t>The user can copy a package into their own profile or a network share and run it from there.</t>
        </is>
      </c>
      <c r="C22" s="13" t="inlineStr">
        <is>
          <t>To confirm - Q-N02</t>
        </is>
      </c>
    </row>
    <row r="24">
      <c r="A24" s="3" t="inlineStr">
        <is>
          <t>Legend</t>
        </is>
      </c>
    </row>
    <row r="25">
      <c r="A25" s="17" t="inlineStr">
        <is>
          <t>Green = new to the desktop application; nothing in the web application corresponds to it.</t>
        </is>
      </c>
    </row>
    <row r="26">
      <c r="A26" s="18" t="inlineStr">
        <is>
          <t>Orange = inherited from the web application but deliberately changed here.</t>
        </is>
      </c>
    </row>
    <row r="27">
      <c r="A27" s="19" t="inlineStr">
        <is>
          <t>Yellow = needs your decision before the work can proceed.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1"/>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13" t="inlineStr">
        <is>
          <t>Q-N01</t>
        </is>
      </c>
      <c r="B5" s="13" t="inlineStr">
        <is>
          <t>Deployment</t>
        </is>
      </c>
      <c r="C5" s="14" t="inlineStr">
        <is>
          <t>Which operating systems must this run on? Windows 10/11 only, or also macOS?</t>
        </is>
      </c>
      <c r="D5" s="14" t="inlineStr">
        <is>
          <t>Decides whether one package or three are built and tested.</t>
        </is>
      </c>
      <c r="E5" s="23" t="inlineStr"/>
    </row>
    <row r="6">
      <c r="A6" s="15" t="inlineStr">
        <is>
          <t>Q-N02</t>
        </is>
      </c>
      <c r="B6" s="15" t="inlineStr">
        <is>
          <t>Deployment</t>
        </is>
      </c>
      <c r="C6" s="16" t="inlineStr">
        <is>
          <t>Can you run a packaged application from your own user folder or a network share, without administrator rights and without it being code-signed? Worth asking your IT or desktop-support team rather than assuming.</t>
        </is>
      </c>
      <c r="D6" s="16" t="inlineStr">
        <is>
          <t>The highest-value question in this document. A 'no' changes decision N-01, and would make the web application the right long-term answer after all. See risk R-N01.</t>
        </is>
      </c>
      <c r="E6" s="23" t="inlineStr"/>
    </row>
    <row r="7">
      <c r="A7" s="13" t="inlineStr">
        <is>
          <t>Q-N03</t>
        </is>
      </c>
      <c r="B7" s="13" t="inlineStr">
        <is>
          <t>Deployment</t>
        </is>
      </c>
      <c r="C7" s="14" t="inlineStr">
        <is>
          <t>If signing IS required, is a company code-signing certificate obtainable, and by whom?</t>
        </is>
      </c>
      <c r="D7" s="14" t="inlineStr">
        <is>
          <t>An IT purchase with a lead time, not a development task. Better known now than at Gate N5.</t>
        </is>
      </c>
      <c r="E7" s="23" t="inlineStr"/>
    </row>
    <row r="8">
      <c r="A8" s="15" t="inlineStr">
        <is>
          <t>Q-N04</t>
        </is>
      </c>
      <c r="B8" s="15" t="inlineStr">
        <is>
          <t>Storage</t>
        </is>
      </c>
      <c r="C8" s="16" t="inlineStr">
        <is>
          <t>Where should workspaces live by default - your user profile, or a shared network drive?</t>
        </is>
      </c>
      <c r="D8" s="16" t="inlineStr">
        <is>
          <t>A network drive raises file-locking and latency questions that are cheap to design for now and expensive later.</t>
        </is>
      </c>
      <c r="E8" s="23" t="inlineStr"/>
    </row>
    <row r="9">
      <c r="A9" s="13" t="inlineStr">
        <is>
          <t>Q-N05</t>
        </is>
      </c>
      <c r="B9" s="13" t="inlineStr">
        <is>
          <t>Storage</t>
        </is>
      </c>
      <c r="C9" s="14" t="inlineStr">
        <is>
          <t>When you re-import a source workbook over a workspace that already holds your hand-entered data, what should happen? The proposal is to show the differences and let you decide per sheet.</t>
        </is>
      </c>
      <c r="D9" s="14" t="inlineStr">
        <is>
          <t>The one design choice that can silently lose work. See sheet 05.</t>
        </is>
      </c>
      <c r="E9" s="23" t="inlineStr"/>
    </row>
    <row r="10">
      <c r="A10" s="15" t="inlineStr">
        <is>
          <t>Q-N06</t>
        </is>
      </c>
      <c r="B10" s="15" t="inlineStr">
        <is>
          <t>Storage</t>
        </is>
      </c>
      <c r="C10" s="16" t="inlineStr">
        <is>
          <t>Will more than one person ever have the same workspace open at once?</t>
        </is>
      </c>
      <c r="D10" s="16" t="inlineStr">
        <is>
          <t>If yes, the format decision N-02 needs revisiting and locking has to be designed. If no, the plan is simpler and stays simpler.</t>
        </is>
      </c>
      <c r="E10" s="23" t="inlineStr"/>
    </row>
    <row r="11">
      <c r="A11" s="13" t="inlineStr">
        <is>
          <t>Q-N07</t>
        </is>
      </c>
      <c r="B11" s="13" t="inlineStr">
        <is>
          <t>Storage</t>
        </is>
      </c>
      <c r="C11" s="14" t="inlineStr">
        <is>
          <t>How many previous versions of a workspace should be retained, and for how long?</t>
        </is>
      </c>
      <c r="D11" s="14" t="inlineStr">
        <is>
          <t>Default proposed: the last 10. Retention costs only disk space.</t>
        </is>
      </c>
      <c r="E11" s="23" t="inlineStr"/>
    </row>
    <row r="12">
      <c r="A12" s="15" t="inlineStr">
        <is>
          <t>Q-N08</t>
        </is>
      </c>
      <c r="B12" s="15" t="inlineStr">
        <is>
          <t>Deployment</t>
        </is>
      </c>
      <c r="C12" s="16" t="inlineStr">
        <is>
          <t>How will updates reach you - a file you copy, a shared folder, or a software-distribution system?</t>
        </is>
      </c>
      <c r="D12" s="16" t="inlineStr">
        <is>
          <t>Decides whether the package needs to be distribution-system friendly, which affects how it is built.</t>
        </is>
      </c>
      <c r="E12" s="23" t="inlineStr"/>
    </row>
    <row r="13">
      <c r="A13" s="13" t="inlineStr">
        <is>
          <t>Q-N09</t>
        </is>
      </c>
      <c r="B13" s="13" t="inlineStr">
        <is>
          <t>Governance</t>
        </is>
      </c>
      <c r="C13" s="14" t="inlineStr">
        <is>
          <t>Does this tool fall under any internal validation or record-keeping obligation, given that it will now HOLD data rather than only display it?</t>
        </is>
      </c>
      <c r="D13" s="14" t="inlineStr">
        <is>
          <t>Holding data can change how a tool is treated in a regulated company. Cheaper to know at Step 1 than at release.</t>
        </is>
      </c>
      <c r="E13" s="23" t="inlineStr"/>
    </row>
    <row r="14">
      <c r="A14" s="15" t="inlineStr">
        <is>
          <t>Q-N10</t>
        </is>
      </c>
      <c r="B14" s="15" t="inlineStr">
        <is>
          <t>Scope</t>
        </is>
      </c>
      <c r="C14" s="16" t="inlineStr">
        <is>
          <t>Should the desktop application be able to open the same source workbook read-only, as the web application does, for a quick look without creating a workspace?</t>
        </is>
      </c>
      <c r="D14" s="16" t="inlineStr">
        <is>
          <t>A small feature, but it decides whether the workspace is mandatory or optional.</t>
        </is>
      </c>
      <c r="E14" s="23" t="inlineStr"/>
    </row>
    <row r="15">
      <c r="A15" s="13" t="inlineStr">
        <is>
          <t>Q-N11</t>
        </is>
      </c>
      <c r="B15" s="13" t="inlineStr">
        <is>
          <t>Naming</t>
        </is>
      </c>
      <c r="C15" s="14" t="inlineStr">
        <is>
          <t>What should the application be called on screen and in the Start menu? 'PRAP' or something else?</t>
        </is>
      </c>
      <c r="D15" s="14" t="inlineStr">
        <is>
          <t>Cosmetic, but it appears in the package name, the window title and the file association.</t>
        </is>
      </c>
      <c r="E15" s="23" t="inlineStr"/>
    </row>
    <row r="17">
      <c r="A17" s="8" t="inlineStr">
        <is>
          <t>Nothing here blocks drafting the specification except Q-N02, Q-N05 and Q-N06 - those three change the design rather than fill it in. The rest can be answered while Step 2 proceeds.</t>
        </is>
      </c>
    </row>
    <row r="18">
      <c r="A18" s="3" t="inlineStr">
        <is>
          <t>Legend</t>
        </is>
      </c>
    </row>
    <row r="19">
      <c r="A19" s="17" t="inlineStr">
        <is>
          <t>Green = new to the desktop application; nothing in the web application corresponds to it.</t>
        </is>
      </c>
    </row>
    <row r="20">
      <c r="A20" s="18" t="inlineStr">
        <is>
          <t>Orange = inherited from the web application but deliberately changed here.</t>
        </is>
      </c>
    </row>
    <row r="21">
      <c r="A21"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3" t="inlineStr">
        <is>
          <t>1</t>
        </is>
      </c>
      <c r="B5" s="13" t="inlineStr">
        <is>
          <t>Instruction 2026-08-13</t>
        </is>
      </c>
      <c r="C5" s="14" t="inlineStr">
        <is>
          <t>Change the program from a web application to a separate program type, like other open-source applications.</t>
        </is>
      </c>
      <c r="D5" s="14" t="inlineStr">
        <is>
          <t>Accepted as the purpose of this plan.</t>
        </is>
      </c>
      <c r="E5" s="14" t="inlineStr">
        <is>
          <t>Sheet 02 scope; NR-APP-01..07; decision N-01 selects the shell technology; sheet 04 records why the engine is not rewritten.</t>
        </is>
      </c>
      <c r="F5" s="13" t="inlineStr">
        <is>
          <t>Closed</t>
        </is>
      </c>
    </row>
    <row r="6">
      <c r="A6" s="15" t="inlineStr">
        <is>
          <t>2</t>
        </is>
      </c>
      <c r="B6" s="15" t="inlineStr">
        <is>
          <t>Instruction 2026-08-13</t>
        </is>
      </c>
      <c r="C6" s="16" t="inlineStr">
        <is>
          <t>Change the data flow to keep imported data even after the application closes.</t>
        </is>
      </c>
      <c r="D6" s="16" t="inlineStr">
        <is>
          <t>Accepted.</t>
        </is>
      </c>
      <c r="E6" s="16" t="inlineStr">
        <is>
          <t>NR-STO-01..09; sheet 05 sets out the workspace model, the write protocol and the recovery behaviour; decisions N-02, N-03, N-08; risk R-N03 records the new risk this creates.</t>
        </is>
      </c>
      <c r="F6" s="15" t="inlineStr">
        <is>
          <t>Closed</t>
        </is>
      </c>
    </row>
    <row r="7">
      <c r="A7" s="13" t="inlineStr">
        <is>
          <t>3</t>
        </is>
      </c>
      <c r="B7" s="13" t="inlineStr">
        <is>
          <t>Instruction 2026-08-13</t>
        </is>
      </c>
      <c r="C7" s="14" t="inlineStr">
        <is>
          <t>Use both ways - the web application goes final and stays usable; keep the HTML and its documents.</t>
        </is>
      </c>
      <c r="D7" s="14" t="inlineStr">
        <is>
          <t>Accepted, and it shapes the architecture.</t>
        </is>
      </c>
      <c r="E7" s="14" t="inlineStr">
        <is>
          <t>Sheet 02 states what is kept and untouched. Decisions N-05, N-06 and N-10 make the arrangement maintainable: one engine, the web application feature-frozen, parity tested rather than assumed. Risk R-N07 records the cost.</t>
        </is>
      </c>
      <c r="F7" s="13" t="inlineStr">
        <is>
          <t>Closed</t>
        </is>
      </c>
    </row>
    <row r="8">
      <c r="A8" s="15" t="inlineStr">
        <is>
          <t>4</t>
        </is>
      </c>
      <c r="B8" s="15" t="inlineStr">
        <is>
          <t>Instruction 2026-08-13</t>
        </is>
      </c>
      <c r="C8" s="16" t="inlineStr">
        <is>
          <t>Develop the new application under a separate plan with a different name.</t>
        </is>
      </c>
      <c r="D8" s="16" t="inlineStr">
        <is>
          <t>Accepted.</t>
        </is>
      </c>
      <c r="E8" s="16" t="inlineStr">
        <is>
          <t>This document, PRAP-NAPP-PLAN-001, in its own version line from v0.1 with its own gates N1..N5. The web application plan is not amended.</t>
        </is>
      </c>
      <c r="F8" s="15" t="inlineStr">
        <is>
          <t>Closed</t>
        </is>
      </c>
    </row>
    <row r="9">
      <c r="A9" s="13" t="inlineStr">
        <is>
          <t>5</t>
        </is>
      </c>
      <c r="B9" s="13" t="inlineStr">
        <is>
          <t>Instruction 2026-08-13</t>
        </is>
      </c>
      <c r="C9" s="14" t="inlineStr">
        <is>
          <t>Distribution size would be allowed.</t>
        </is>
      </c>
      <c r="D9" s="14" t="inlineStr">
        <is>
          <t>Accepted - and it decides an open question.</t>
        </is>
      </c>
      <c r="E9" s="14" t="inlineStr">
        <is>
          <t>Recorded as assumption A-N04. It removes the only strong argument against Electron, so decision N-01 selects it on the grounds of verifiability instead. Sheet 04 keeps Tauri as a documented later option.</t>
        </is>
      </c>
      <c r="F9" s="13" t="inlineStr">
        <is>
          <t>Closed</t>
        </is>
      </c>
    </row>
    <row r="10">
      <c r="A10" s="15" t="inlineStr">
        <is>
          <t>6</t>
        </is>
      </c>
      <c r="B10" s="15" t="inlineStr">
        <is>
          <t>-</t>
        </is>
      </c>
      <c r="C10" s="16" t="inlineStr">
        <is>
          <t>Not requester input - raised while drafting.</t>
        </is>
      </c>
      <c r="D10" s="16" t="inlineStr">
        <is>
          <t>Two claims in this plan cannot be verified from the development environment.</t>
        </is>
      </c>
      <c r="E10" s="16" t="inlineStr">
        <is>
          <t>Whether the package is allowed to run on a company PC (R-N01), and whether it installs without administrator rights (NR-DEP-02). Both are marked on sheet 08 as provable only by you, and Q-N02 asks you to check the first before Gate N1 rather than after Gate N5.</t>
        </is>
      </c>
      <c r="F10" s="15" t="inlineStr">
        <is>
          <t>Open</t>
        </is>
      </c>
    </row>
    <row r="12">
      <c r="A12" s="5" t="inlineStr">
        <is>
          <t>Approval - Gate N1</t>
        </is>
      </c>
    </row>
    <row r="13" ht="28" customHeight="1">
      <c r="A13" s="10" t="inlineStr">
        <is>
          <t>Document</t>
        </is>
      </c>
      <c r="B13" s="10" t="inlineStr">
        <is>
          <t>Approver</t>
        </is>
      </c>
      <c r="C13" s="10" t="inlineStr">
        <is>
          <t>Date</t>
        </is>
      </c>
      <c r="D13" s="10" t="inlineStr">
        <is>
          <t>Decision</t>
        </is>
      </c>
    </row>
    <row r="14">
      <c r="A14" s="13" t="inlineStr">
        <is>
          <t>PRAP NewApp Development Plan v0.1</t>
        </is>
      </c>
      <c r="B14" s="22" t="inlineStr"/>
      <c r="C14" s="22" t="inlineStr"/>
      <c r="D14" s="14" t="inlineStr">
        <is>
          <t>Awaiting review. To approve: answer Q-N01..Q-N11 on sheet 11, confirm or change decisions N-01..N-12 on sheet 06, and mark any requirement on sheet 03 you disagree with.</t>
        </is>
      </c>
    </row>
    <row r="16">
      <c r="A16" s="8" t="inlineStr">
        <is>
          <t>STEP N1 IS OPEN. Nothing is built until this plan is approved - including the refactor, which touches the finished web application and therefore waits for the same gate as everything else.</t>
        </is>
      </c>
    </row>
  </sheetData>
  <dataValidations count="1">
    <dataValidation sqref="F5:F1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2026-08-13T08:06:52Z</dcterms:created>
  <dcterms:modified xsi:type="dcterms:W3CDTF">2026-08-13T08:06:52Z</dcterms:modified>
</cp:coreProperties>
</file>