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v1.0</t>
        </is>
      </c>
    </row>
    <row r="7" ht="30" customHeight="1">
      <c r="A7" s="3" t="inlineStr">
        <is>
          <t>Status</t>
        </is>
      </c>
      <c r="B7" s="4" t="inlineStr">
        <is>
          <t>APPROVED BASELINE. Gate N1 closed by direction on 2026-08-13; Step N2 is authorised and open. Decisions N-01..N-32 are confirmed by that approval.</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v0.7 and every earlier draft in this line. This is the baseline for Steps N2-N5</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PRAP_NewApp_Development_Plan_v1.0.xlsx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1.0</t>
        </is>
      </c>
      <c r="B5" s="11" t="inlineStr">
        <is>
          <t>2026-08-13</t>
        </is>
      </c>
      <c r="C5" s="11" t="inlineStr">
        <is>
          <t>Claude Code</t>
        </is>
      </c>
      <c r="D5" s="11" t="inlineStr">
        <is>
          <t>APPROVED</t>
        </is>
      </c>
      <c r="E5" s="12"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6">
      <c r="A6" s="13" t="inlineStr">
        <is>
          <t>0.7</t>
        </is>
      </c>
      <c r="B6" s="13" t="inlineStr">
        <is>
          <t>2026-08-13</t>
        </is>
      </c>
      <c r="C6" s="13" t="inlineStr">
        <is>
          <t>Claude Code</t>
        </is>
      </c>
      <c r="D6" s="13" t="inlineStr">
        <is>
          <t>Superseded</t>
        </is>
      </c>
      <c r="E6"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7">
      <c r="A7" s="15" t="inlineStr">
        <is>
          <t>0.6</t>
        </is>
      </c>
      <c r="B7" s="15" t="inlineStr">
        <is>
          <t>2026-08-13</t>
        </is>
      </c>
      <c r="C7" s="15" t="inlineStr">
        <is>
          <t>Claude Code</t>
        </is>
      </c>
      <c r="D7" s="15" t="inlineStr">
        <is>
          <t>Superseded</t>
        </is>
      </c>
      <c r="E7"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8">
      <c r="A8" s="13" t="inlineStr">
        <is>
          <t>0.5</t>
        </is>
      </c>
      <c r="B8" s="13" t="inlineStr">
        <is>
          <t>2026-08-13</t>
        </is>
      </c>
      <c r="C8" s="13" t="inlineStr">
        <is>
          <t>Claude Code</t>
        </is>
      </c>
      <c r="D8" s="13" t="inlineStr">
        <is>
          <t>Superseded</t>
        </is>
      </c>
      <c r="E8"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9">
      <c r="A9" s="15" t="inlineStr">
        <is>
          <t>0.4</t>
        </is>
      </c>
      <c r="B9" s="15" t="inlineStr">
        <is>
          <t>2026-08-13</t>
        </is>
      </c>
      <c r="C9" s="15" t="inlineStr">
        <is>
          <t>Claude Code</t>
        </is>
      </c>
      <c r="D9" s="15" t="inlineStr">
        <is>
          <t>Superseded</t>
        </is>
      </c>
      <c r="E9"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0">
      <c r="A10" s="13" t="inlineStr">
        <is>
          <t>0.3</t>
        </is>
      </c>
      <c r="B10" s="13" t="inlineStr">
        <is>
          <t>2026-08-13</t>
        </is>
      </c>
      <c r="C10" s="13" t="inlineStr">
        <is>
          <t>Claude Code</t>
        </is>
      </c>
      <c r="D10" s="13" t="inlineStr">
        <is>
          <t>Superseded</t>
        </is>
      </c>
      <c r="E10"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1">
      <c r="A11" s="15" t="inlineStr">
        <is>
          <t>0.2</t>
        </is>
      </c>
      <c r="B11" s="15" t="inlineStr">
        <is>
          <t>2026-08-13</t>
        </is>
      </c>
      <c r="C11" s="15" t="inlineStr">
        <is>
          <t>Claude Code</t>
        </is>
      </c>
      <c r="D11" s="15" t="inlineStr">
        <is>
          <t>Superseded</t>
        </is>
      </c>
      <c r="E11"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2">
      <c r="A12" s="13" t="inlineStr">
        <is>
          <t>0.1</t>
        </is>
      </c>
      <c r="B12" s="13" t="inlineStr">
        <is>
          <t>2026-08-13</t>
        </is>
      </c>
      <c r="C12" s="13" t="inlineStr">
        <is>
          <t>Claude Code</t>
        </is>
      </c>
      <c r="D12" s="13" t="inlineStr">
        <is>
          <t>Superseded</t>
        </is>
      </c>
      <c r="E12"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4">
      <c r="A14" s="5" t="inlineStr">
        <is>
          <t>Numbering rules for this document line</t>
        </is>
      </c>
    </row>
    <row r="15" ht="28" customHeight="1">
      <c r="A15" s="10" t="inlineStr">
        <is>
          <t>Version</t>
        </is>
      </c>
      <c r="B15" s="10" t="inlineStr">
        <is>
          <t>Meaning</t>
        </is>
      </c>
    </row>
    <row r="16">
      <c r="A16" s="15" t="inlineStr">
        <is>
          <t>v0.x</t>
        </is>
      </c>
      <c r="B16" s="16" t="inlineStr">
        <is>
          <t>Draft issues during Step 1 review rounds.</t>
        </is>
      </c>
    </row>
    <row r="17">
      <c r="A17" s="13" t="inlineStr">
        <is>
          <t>v1.0</t>
        </is>
      </c>
      <c r="B17" s="14" t="inlineStr">
        <is>
          <t>The approved baseline, set at Gate N1.</t>
        </is>
      </c>
    </row>
    <row r="18">
      <c r="A18" s="15" t="inlineStr">
        <is>
          <t>v1.x</t>
        </is>
      </c>
      <c r="B18" s="16" t="inlineStr">
        <is>
          <t>Approved changes against that baseline, each separately approved.</t>
        </is>
      </c>
    </row>
    <row r="19">
      <c r="A19" s="13" t="inlineStr">
        <is>
          <t>v2.0</t>
        </is>
      </c>
      <c r="B19" s="14" t="inlineStr">
        <is>
          <t>Reserved for a structural change, on the same rule the web plan used.</t>
        </is>
      </c>
    </row>
    <row r="21">
      <c r="A21" s="8" t="inlineStr">
        <is>
          <t>Gate prefixes are N1..N5 throughout this document, so a reference such as 'G4' can never be confused between the two plans.</t>
        </is>
      </c>
    </row>
    <row r="22">
      <c r="A22" s="3" t="inlineStr">
        <is>
          <t>Legend</t>
        </is>
      </c>
    </row>
    <row r="23">
      <c r="A23" s="17" t="inlineStr">
        <is>
          <t>Green = new to the desktop application; nothing in the web application corresponds to it.</t>
        </is>
      </c>
    </row>
    <row r="24">
      <c r="A24" s="18" t="inlineStr">
        <is>
          <t>Orange = inherited from the web application but deliberately changed here.</t>
        </is>
      </c>
    </row>
    <row r="25">
      <c r="A25"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20" t="inlineStr">
        <is>
          <t>NR-IMP-04</t>
        </is>
      </c>
      <c r="B44" s="20" t="inlineStr">
        <is>
          <t>Import / export</t>
        </is>
      </c>
      <c r="C44" s="21" t="inlineStr">
        <is>
          <t>A workspace can be opened by dragging it onto the running application's window. Double-clicking a workspace file in Explorer does NOT open it, because a file association would require a registry entry that NR-DEP-06 forbids.</t>
        </is>
      </c>
      <c r="D44" s="20" t="inlineStr">
        <is>
          <t>Could</t>
        </is>
      </c>
      <c r="E44" s="21" t="inlineStr">
        <is>
          <t>Reduced by the non-installed rule</t>
        </is>
      </c>
      <c r="F44" s="20" t="inlineStr">
        <is>
          <t>N4</t>
        </is>
      </c>
    </row>
    <row r="45">
      <c r="A45" s="11" t="inlineStr">
        <is>
          <t>NR-USR-01</t>
        </is>
      </c>
      <c r="B45" s="11" t="inlineStr">
        <is>
          <t>User identity</t>
        </is>
      </c>
      <c r="C45" s="12" t="inlineStr">
        <is>
          <t>The application asks who the user is when it starts, before any workspace is opened, and carries that identity for the session.</t>
        </is>
      </c>
      <c r="D45" s="11" t="inlineStr">
        <is>
          <t>Must</t>
        </is>
      </c>
      <c r="E45" s="12" t="inlineStr">
        <is>
          <t>Q-N17</t>
        </is>
      </c>
      <c r="F45" s="11" t="inlineStr">
        <is>
          <t>N4</t>
        </is>
      </c>
    </row>
    <row r="46">
      <c r="A46" s="11" t="inlineStr">
        <is>
          <t>NR-USR-02</t>
        </is>
      </c>
      <c r="B46" s="11" t="inlineStr">
        <is>
          <t>User identity</t>
        </is>
      </c>
      <c r="C46" s="12" t="inlineStr">
        <is>
          <t>It asks in full only the first time. Afterwards it shows what it remembers, pre-filled, for the user to confirm with one click - and offers 'not me' for a shared PC.</t>
        </is>
      </c>
      <c r="D46" s="11" t="inlineStr">
        <is>
          <t>Must</t>
        </is>
      </c>
      <c r="E46" s="12" t="inlineStr">
        <is>
          <t>Q-N17, usability</t>
        </is>
      </c>
      <c r="F46" s="11" t="inlineStr">
        <is>
          <t>N4</t>
        </is>
      </c>
    </row>
    <row r="47">
      <c r="A47" s="11" t="inlineStr">
        <is>
          <t>NR-USR-03</t>
        </is>
      </c>
      <c r="B47" s="11" t="inlineStr">
        <is>
          <t>User identity</t>
        </is>
      </c>
      <c r="C47" s="12" t="inlineStr">
        <is>
          <t>The name is pre-filled from the Windows account name the first time, so the common case is confirming rather than typing. It stays editable - a Windows account name is often not how colleagues know each other.</t>
        </is>
      </c>
      <c r="D47" s="11" t="inlineStr">
        <is>
          <t>Should</t>
        </is>
      </c>
      <c r="E47" s="12" t="inlineStr">
        <is>
          <t>Q-N17</t>
        </is>
      </c>
      <c r="F47" s="11" t="inlineStr">
        <is>
          <t>N4</t>
        </is>
      </c>
    </row>
    <row r="48">
      <c r="A48" s="20" t="inlineStr">
        <is>
          <t>NR-USR-04</t>
        </is>
      </c>
      <c r="B48" s="20" t="inlineStr">
        <is>
          <t>User identity</t>
        </is>
      </c>
      <c r="C48" s="21" t="inlineStr">
        <is>
          <t>An identity is a name and a DEPARTMENT. Both are recorded; no e-mail, telephone or other field is collected. A name and a department are what a colleague needs to find somebody in the company directory.</t>
        </is>
      </c>
      <c r="D48" s="20" t="inlineStr">
        <is>
          <t>Must</t>
        </is>
      </c>
      <c r="E48" s="21" t="inlineStr">
        <is>
          <t>Q-N18</t>
        </is>
      </c>
      <c r="F48" s="20" t="inlineStr">
        <is>
          <t>N4</t>
        </is>
      </c>
    </row>
    <row r="49">
      <c r="A49" s="11" t="inlineStr">
        <is>
          <t>NR-USR-05</t>
        </is>
      </c>
      <c r="B49" s="11" t="inlineStr">
        <is>
          <t>User identity</t>
        </is>
      </c>
      <c r="C49" s="12" t="inlineStr">
        <is>
          <t>A claim carries the holder's name and contact details, so the message a blocked colleague sees can be acted on rather than merely read. Those details are removed with the claim.</t>
        </is>
      </c>
      <c r="D49" s="11" t="inlineStr">
        <is>
          <t>Must</t>
        </is>
      </c>
      <c r="E49" s="12" t="inlineStr">
        <is>
          <t>Q-N17 - contact</t>
        </is>
      </c>
      <c r="F49" s="11" t="inlineStr">
        <is>
          <t>N4</t>
        </is>
      </c>
    </row>
    <row r="50">
      <c r="A50" s="20" t="inlineStr">
        <is>
          <t>NR-USR-06</t>
        </is>
      </c>
      <c r="B50" s="20" t="inlineStr">
        <is>
          <t>User identity</t>
        </is>
      </c>
      <c r="C50" s="21" t="inlineStr">
        <is>
          <t>The blocked message shows the holder's name and department together, and offers to copy them, so a colleague can look them up or ask their department without writing anything down.</t>
        </is>
      </c>
      <c r="D50" s="20" t="inlineStr">
        <is>
          <t>Should</t>
        </is>
      </c>
      <c r="E50" s="21" t="inlineStr">
        <is>
          <t>Q-N18</t>
        </is>
      </c>
      <c r="F50" s="20" t="inlineStr">
        <is>
          <t>N4</t>
        </is>
      </c>
    </row>
    <row r="51">
      <c r="A51" s="20" t="inlineStr">
        <is>
          <t>NR-USR-07</t>
        </is>
      </c>
      <c r="B51" s="20" t="inlineStr">
        <is>
          <t>User identity</t>
        </is>
      </c>
      <c r="C51" s="21" t="inlineStr">
        <is>
          <t>A workspace records who last saved it - name and department - and when, shown when it is opened. On a shared plan, knowing whose figures these are matters as much as knowing when they were made.</t>
        </is>
      </c>
      <c r="D51" s="20" t="inlineStr">
        <is>
          <t>Should</t>
        </is>
      </c>
      <c r="E51" s="21" t="inlineStr">
        <is>
          <t>Follows from having identities</t>
        </is>
      </c>
      <c r="F51" s="20" t="inlineStr">
        <is>
          <t>N4</t>
        </is>
      </c>
    </row>
    <row r="52">
      <c r="A52" s="11" t="inlineStr">
        <is>
          <t>NR-USR-08</t>
        </is>
      </c>
      <c r="B52" s="11" t="inlineStr">
        <is>
          <t>User identity</t>
        </is>
      </c>
      <c r="C52" s="12" t="inlineStr">
        <is>
          <t>This identity is DECLARED, not verified. The application states as much where it is entered, and nothing in it is treated as proof of who acted.</t>
        </is>
      </c>
      <c r="D52" s="11" t="inlineStr">
        <is>
          <t>Must</t>
        </is>
      </c>
      <c r="E52" s="12" t="inlineStr">
        <is>
          <t>Honesty about what it is</t>
        </is>
      </c>
      <c r="F52" s="11" t="inlineStr">
        <is>
          <t>N2</t>
        </is>
      </c>
    </row>
    <row r="53">
      <c r="A53" s="11" t="inlineStr">
        <is>
          <t>NR-USR-09</t>
        </is>
      </c>
      <c r="B53" s="11" t="inlineStr">
        <is>
          <t>User identity</t>
        </is>
      </c>
      <c r="C53" s="12" t="inlineStr">
        <is>
          <t>Identity is held per user in their own data folder, never in the shared application folder, so two people on one copy do not overwrite each other's details.</t>
        </is>
      </c>
      <c r="D53" s="11" t="inlineStr">
        <is>
          <t>Must</t>
        </is>
      </c>
      <c r="E53" s="12" t="inlineStr">
        <is>
          <t>NR-DEP-11</t>
        </is>
      </c>
      <c r="F53" s="11" t="inlineStr">
        <is>
          <t>N4</t>
        </is>
      </c>
    </row>
    <row r="54">
      <c r="A54" s="11" t="inlineStr">
        <is>
          <t>NR-USR-10</t>
        </is>
      </c>
      <c r="B54" s="11" t="inlineStr">
        <is>
          <t>User identity</t>
        </is>
      </c>
      <c r="C54"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4" s="11" t="inlineStr">
        <is>
          <t>Should</t>
        </is>
      </c>
      <c r="E54" s="12" t="inlineStr">
        <is>
          <t>Q-N18, Person.department</t>
        </is>
      </c>
      <c r="F54" s="11" t="inlineStr">
        <is>
          <t>N4</t>
        </is>
      </c>
    </row>
    <row r="55">
      <c r="A55" s="11" t="inlineStr">
        <is>
          <t>NR-USR-11</t>
        </is>
      </c>
      <c r="B55" s="11" t="inlineStr">
        <is>
          <t>User identity</t>
        </is>
      </c>
      <c r="C55" s="12" t="inlineStr">
        <is>
          <t>Where the declared name matches a person in the open workspace, that person's department is offered first. The user is usually one of the people in the plan, so their own record is the best answer available.</t>
        </is>
      </c>
      <c r="D55" s="11" t="inlineStr">
        <is>
          <t>Could</t>
        </is>
      </c>
      <c r="E55" s="12" t="inlineStr">
        <is>
          <t>Q-N18</t>
        </is>
      </c>
      <c r="F55" s="11" t="inlineStr">
        <is>
          <t>N4</t>
        </is>
      </c>
    </row>
    <row r="56">
      <c r="A56" s="11" t="inlineStr">
        <is>
          <t>NR-PAR-01</t>
        </is>
      </c>
      <c r="B56" s="11" t="inlineStr">
        <is>
          <t>Parity</t>
        </is>
      </c>
      <c r="C56" s="12" t="inlineStr">
        <is>
          <t>The calculation engine, the validation rules and the period derivation are ONE implementation shared by both applications, not two copies kept in step by hand.</t>
        </is>
      </c>
      <c r="D56" s="11" t="inlineStr">
        <is>
          <t>Must</t>
        </is>
      </c>
      <c r="E56" s="12" t="inlineStr">
        <is>
          <t>Your instruction to keep both</t>
        </is>
      </c>
      <c r="F56" s="11" t="inlineStr">
        <is>
          <t>N2</t>
        </is>
      </c>
    </row>
    <row r="57">
      <c r="A57" s="11" t="inlineStr">
        <is>
          <t>NR-PAR-02</t>
        </is>
      </c>
      <c r="B57" s="11" t="inlineStr">
        <is>
          <t>Parity</t>
        </is>
      </c>
      <c r="C57" s="12" t="inlineStr">
        <is>
          <t>Given identical input, both applications produce identical figures, identical findings and identical exports. This is proven by an automated test, not asserted.</t>
        </is>
      </c>
      <c r="D57" s="11" t="inlineStr">
        <is>
          <t>Must</t>
        </is>
      </c>
      <c r="E57" s="12" t="inlineStr">
        <is>
          <t>Derived from NR-PAR-01</t>
        </is>
      </c>
      <c r="F57" s="11" t="inlineStr">
        <is>
          <t>N4</t>
        </is>
      </c>
    </row>
    <row r="58">
      <c r="A58" s="11" t="inlineStr">
        <is>
          <t>NR-PAR-03</t>
        </is>
      </c>
      <c r="B58" s="11" t="inlineStr">
        <is>
          <t>Parity</t>
        </is>
      </c>
      <c r="C58" s="12" t="inlineStr">
        <is>
          <t>The HTML application continues to be built from the shared engine and its behaviour is unchanged by the refactor, proven by the existing 13 suites passing unmodified.</t>
        </is>
      </c>
      <c r="D58" s="11" t="inlineStr">
        <is>
          <t>Must</t>
        </is>
      </c>
      <c r="E58" s="12" t="inlineStr">
        <is>
          <t>Protects the finished product</t>
        </is>
      </c>
      <c r="F58" s="11" t="inlineStr">
        <is>
          <t>N2</t>
        </is>
      </c>
    </row>
    <row r="59">
      <c r="A59" s="11" t="inlineStr">
        <is>
          <t>NR-PAR-04</t>
        </is>
      </c>
      <c r="B59" s="11" t="inlineStr">
        <is>
          <t>Parity</t>
        </is>
      </c>
      <c r="C59" s="12" t="inlineStr">
        <is>
          <t>Screen layout, wording and interaction match the web application except where a desktop convention requires otherwise, and every such difference is listed.</t>
        </is>
      </c>
      <c r="D59" s="11" t="inlineStr">
        <is>
          <t>Should</t>
        </is>
      </c>
      <c r="E59" s="12" t="inlineStr">
        <is>
          <t>Two tools, one habit</t>
        </is>
      </c>
      <c r="F59" s="11" t="inlineStr">
        <is>
          <t>N3</t>
        </is>
      </c>
    </row>
    <row r="60">
      <c r="A60" s="20" t="inlineStr">
        <is>
          <t>NR-DEP-01</t>
        </is>
      </c>
      <c r="B60" s="20" t="inlineStr">
        <is>
          <t>Deployment</t>
        </is>
      </c>
      <c r="C60" s="21" t="inlineStr">
        <is>
          <t>The application runs on Windows 10 and Windows 11, 64-bit. No other operating system is supported or tested.</t>
        </is>
      </c>
      <c r="D60" s="20" t="inlineStr">
        <is>
          <t>Must</t>
        </is>
      </c>
      <c r="E60" s="21" t="inlineStr">
        <is>
          <t>Your instruction</t>
        </is>
      </c>
      <c r="F60" s="20" t="inlineStr">
        <is>
          <t>N5</t>
        </is>
      </c>
    </row>
    <row r="61">
      <c r="A61" s="20" t="inlineStr">
        <is>
          <t>NR-DEP-02</t>
        </is>
      </c>
      <c r="B61" s="20" t="inlineStr">
        <is>
          <t>Deployment</t>
        </is>
      </c>
      <c r="C61" s="21" t="inlineStr">
        <is>
          <t>There is NO INSTALLER. The application is a folder that is copied to wherever the user wants it and run from there. It requires no administrator rights, at any point, for any purpose.</t>
        </is>
      </c>
      <c r="D61" s="20" t="inlineStr">
        <is>
          <t>Must</t>
        </is>
      </c>
      <c r="E61" s="21" t="inlineStr">
        <is>
          <t>Your instruction</t>
        </is>
      </c>
      <c r="F61" s="20" t="inlineStr">
        <is>
          <t>N5</t>
        </is>
      </c>
    </row>
    <row r="62">
      <c r="A62" s="20" t="inlineStr">
        <is>
          <t>NR-DEP-03</t>
        </is>
      </c>
      <c r="B62" s="20" t="inlineStr">
        <is>
          <t>Deployment</t>
        </is>
      </c>
      <c r="C62" s="21" t="inlineStr">
        <is>
          <t>Updating means replacing the application files inside that folder. No workspace, setting or recent-file entry is touched by an update, and a workspace written by an older version opens in a newer one.</t>
        </is>
      </c>
      <c r="D62" s="20" t="inlineStr">
        <is>
          <t>Must</t>
        </is>
      </c>
      <c r="E62" s="21" t="inlineStr">
        <is>
          <t>Data safety</t>
        </is>
      </c>
      <c r="F62" s="20" t="inlineStr">
        <is>
          <t>N5</t>
        </is>
      </c>
    </row>
    <row r="63">
      <c r="A63" s="11" t="inlineStr">
        <is>
          <t>NR-DEP-04</t>
        </is>
      </c>
      <c r="B63" s="11" t="inlineStr">
        <is>
          <t>Deployment</t>
        </is>
      </c>
      <c r="C63" s="12" t="inlineStr">
        <is>
          <t>A workspace written by a NEWER version than the running one is refused with a clear message rather than partially read.</t>
        </is>
      </c>
      <c r="D63" s="11" t="inlineStr">
        <is>
          <t>Must</t>
        </is>
      </c>
      <c r="E63" s="12" t="inlineStr">
        <is>
          <t>Data safety</t>
        </is>
      </c>
      <c r="F63" s="11" t="inlineStr">
        <is>
          <t>N4</t>
        </is>
      </c>
    </row>
    <row r="64">
      <c r="A64" s="11" t="inlineStr">
        <is>
          <t>NR-DEP-05</t>
        </is>
      </c>
      <c r="B64" s="11" t="inlineStr">
        <is>
          <t>Deployment</t>
        </is>
      </c>
      <c r="C64" s="12" t="inlineStr">
        <is>
          <t>The application folder is self-contained: it carries its own browser engine and every other dependency, and requires nothing to be present on the machine beyond Windows itself. Package size is not constrained.</t>
        </is>
      </c>
      <c r="D64" s="11" t="inlineStr">
        <is>
          <t>Must</t>
        </is>
      </c>
      <c r="E64" s="12" t="inlineStr">
        <is>
          <t>Your instruction</t>
        </is>
      </c>
      <c r="F64" s="11" t="inlineStr">
        <is>
          <t>N5</t>
        </is>
      </c>
    </row>
    <row r="65">
      <c r="A65" s="20" t="inlineStr">
        <is>
          <t>NR-DEP-06</t>
        </is>
      </c>
      <c r="B65" s="20" t="inlineStr">
        <is>
          <t>Deployment</t>
        </is>
      </c>
      <c r="C65"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5" s="20" t="inlineStr">
        <is>
          <t>Must</t>
        </is>
      </c>
      <c r="E65" s="21" t="inlineStr">
        <is>
          <t>Non-installed rule, amended for the shared folder</t>
        </is>
      </c>
      <c r="F65" s="20" t="inlineStr">
        <is>
          <t>N5</t>
        </is>
      </c>
    </row>
    <row r="66">
      <c r="A66" s="11" t="inlineStr">
        <is>
          <t>NR-DEP-07</t>
        </is>
      </c>
      <c r="B66" s="11" t="inlineStr">
        <is>
          <t>Deployment</t>
        </is>
      </c>
      <c r="C66" s="12" t="inlineStr">
        <is>
          <t>Deleting the folder removes the application completely, leaving no trace on the machine.</t>
        </is>
      </c>
      <c r="D66" s="11" t="inlineStr">
        <is>
          <t>Must</t>
        </is>
      </c>
      <c r="E66" s="12" t="inlineStr">
        <is>
          <t>Non-installed rule</t>
        </is>
      </c>
      <c r="F66" s="11" t="inlineStr">
        <is>
          <t>N5</t>
        </is>
      </c>
    </row>
    <row r="67">
      <c r="A67" s="11" t="inlineStr">
        <is>
          <t>NR-DEP-08</t>
        </is>
      </c>
      <c r="B67" s="11" t="inlineStr">
        <is>
          <t>Deployment</t>
        </is>
      </c>
      <c r="C67"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7" s="11" t="inlineStr">
        <is>
          <t>Must</t>
        </is>
      </c>
      <c r="E67" s="12" t="inlineStr">
        <is>
          <t>Non-installed rule</t>
        </is>
      </c>
      <c r="F67" s="11" t="inlineStr">
        <is>
          <t>N5</t>
        </is>
      </c>
    </row>
    <row r="68">
      <c r="A68" s="20" t="inlineStr">
        <is>
          <t>NR-DEP-09</t>
        </is>
      </c>
      <c r="B68" s="20" t="inlineStr">
        <is>
          <t>Deployment</t>
        </is>
      </c>
      <c r="C68" s="21" t="inlineStr">
        <is>
          <t>Where the application folder is read-only or shared - typically on a network folder - the application still runs, tells the user plainly that it cannot keep data beside itself, and keeps that data in a folder the user chooses instead.</t>
        </is>
      </c>
      <c r="D68" s="20" t="inlineStr">
        <is>
          <t>Must</t>
        </is>
      </c>
      <c r="E68" s="21" t="inlineStr">
        <is>
          <t>Raised from Should at round 2 - Q-N12</t>
        </is>
      </c>
      <c r="F68" s="20" t="inlineStr">
        <is>
          <t>N4</t>
        </is>
      </c>
    </row>
    <row r="69">
      <c r="A69" s="11" t="inlineStr">
        <is>
          <t>NR-DEP-10</t>
        </is>
      </c>
      <c r="B69" s="11" t="inlineStr">
        <is>
          <t>Deployment</t>
        </is>
      </c>
      <c r="C69"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69" s="11" t="inlineStr">
        <is>
          <t>Must</t>
        </is>
      </c>
      <c r="E69" s="12" t="inlineStr">
        <is>
          <t>Q-N12</t>
        </is>
      </c>
      <c r="F69" s="11" t="inlineStr">
        <is>
          <t>N4</t>
        </is>
      </c>
    </row>
    <row r="70">
      <c r="A70" s="11" t="inlineStr">
        <is>
          <t>NR-DEP-11</t>
        </is>
      </c>
      <c r="B70" s="11" t="inlineStr">
        <is>
          <t>Deployment</t>
        </is>
      </c>
      <c r="C70" s="12" t="inlineStr">
        <is>
          <t>Where several people run one shared copy, each has their own settings, recent list, backups and default workspace folder. No user can see, overwrite or lock out another through the application.</t>
        </is>
      </c>
      <c r="D70" s="11" t="inlineStr">
        <is>
          <t>Must</t>
        </is>
      </c>
      <c r="E70" s="12" t="inlineStr">
        <is>
          <t>Q-N12</t>
        </is>
      </c>
      <c r="F70" s="11" t="inlineStr">
        <is>
          <t>N4</t>
        </is>
      </c>
    </row>
    <row r="71">
      <c r="A71" s="11" t="inlineStr">
        <is>
          <t>NR-DEP-12</t>
        </is>
      </c>
      <c r="B71" s="11" t="inlineStr">
        <is>
          <t>Deployment</t>
        </is>
      </c>
      <c r="C71" s="12" t="inlineStr">
        <is>
          <t>The application can create a personal desktop shortcut, at the user's request, that carries their own --data path. This is how a shared copy is used day to day without being asked anything at launch.</t>
        </is>
      </c>
      <c r="D71" s="11" t="inlineStr">
        <is>
          <t>Should</t>
        </is>
      </c>
      <c r="E71" s="12" t="inlineStr">
        <is>
          <t>Q-N12</t>
        </is>
      </c>
      <c r="F71" s="11" t="inlineStr">
        <is>
          <t>N4</t>
        </is>
      </c>
    </row>
    <row r="72">
      <c r="A72" s="20" t="inlineStr">
        <is>
          <t>NR-DEP-13</t>
        </is>
      </c>
      <c r="B72" s="20" t="inlineStr">
        <is>
          <t>Deployment</t>
        </is>
      </c>
      <c r="C72" s="21" t="inlineStr">
        <is>
          <t>The application runs correctly when launched from a UNC path (\\server\share\PM_APP) as well as from a mapped drive letter.</t>
        </is>
      </c>
      <c r="D72" s="20" t="inlineStr">
        <is>
          <t>Must</t>
        </is>
      </c>
      <c r="E72" s="21" t="inlineStr">
        <is>
          <t>Q-N12</t>
        </is>
      </c>
      <c r="F72" s="20" t="inlineStr">
        <is>
          <t>N5</t>
        </is>
      </c>
    </row>
    <row r="73">
      <c r="A73" s="11" t="inlineStr">
        <is>
          <t>NR-DEP-14</t>
        </is>
      </c>
      <c r="B73" s="11" t="inlineStr">
        <is>
          <t>Deployment</t>
        </is>
      </c>
      <c r="C73" s="12" t="inlineStr">
        <is>
          <t>Both arrangements are supported and both are tested: run in place from the shared folder, and copied from it to a local folder and run there. Neither is a second-class case, and the user guide states what each costs in launch time.</t>
        </is>
      </c>
      <c r="D73" s="11" t="inlineStr">
        <is>
          <t>Must</t>
        </is>
      </c>
      <c r="E73" s="12" t="inlineStr">
        <is>
          <t>Q-N14</t>
        </is>
      </c>
      <c r="F73" s="11" t="inlineStr">
        <is>
          <t>N5</t>
        </is>
      </c>
    </row>
    <row r="74">
      <c r="A74" s="11" t="inlineStr">
        <is>
          <t>NR-DEP-15</t>
        </is>
      </c>
      <c r="B74" s="11" t="inlineStr">
        <is>
          <t>Deployment</t>
        </is>
      </c>
      <c r="C74" s="12" t="inlineStr">
        <is>
          <t>On a writable shared folder, each person's data folder sits under the application's own data folder, one per user. Nobody has to choose a location, and nobody's settings meet anybody else's.</t>
        </is>
      </c>
      <c r="D74" s="11" t="inlineStr">
        <is>
          <t>Should</t>
        </is>
      </c>
      <c r="E74" s="12" t="inlineStr">
        <is>
          <t>Q-N15</t>
        </is>
      </c>
      <c r="F74" s="11" t="inlineStr">
        <is>
          <t>N4</t>
        </is>
      </c>
    </row>
    <row r="75">
      <c r="A75" s="11" t="inlineStr">
        <is>
          <t>NR-SEC-01</t>
        </is>
      </c>
      <c r="B75" s="11" t="inlineStr">
        <is>
          <t>Security</t>
        </is>
      </c>
      <c r="C75" s="12" t="inlineStr">
        <is>
          <t>No telemetry, no crash reporting to any server, no automatic update check, no font or script loaded from a remote host. Verified by observing that the packaged application opens no socket.</t>
        </is>
      </c>
      <c r="D75" s="11" t="inlineStr">
        <is>
          <t>Must</t>
        </is>
      </c>
      <c r="E75" s="12" t="inlineStr">
        <is>
          <t>Offline by requirement</t>
        </is>
      </c>
      <c r="F75" s="11" t="inlineStr">
        <is>
          <t>N5</t>
        </is>
      </c>
    </row>
    <row r="76">
      <c r="A76" s="11" t="inlineStr">
        <is>
          <t>NR-SEC-02</t>
        </is>
      </c>
      <c r="B76" s="11" t="inlineStr">
        <is>
          <t>Security</t>
        </is>
      </c>
      <c r="C76" s="12" t="inlineStr">
        <is>
          <t>The embedded browser engine runs with remote content disabled and Node integration off in the renderer, so a crafted workspace file cannot execute code.</t>
        </is>
      </c>
      <c r="D76" s="11" t="inlineStr">
        <is>
          <t>Must</t>
        </is>
      </c>
      <c r="E76" s="12" t="inlineStr">
        <is>
          <t>Standard hardening</t>
        </is>
      </c>
      <c r="F76" s="11" t="inlineStr">
        <is>
          <t>N4</t>
        </is>
      </c>
    </row>
    <row r="77">
      <c r="A77" s="11" t="inlineStr">
        <is>
          <t>NR-SEC-03</t>
        </is>
      </c>
      <c r="B77" s="11" t="inlineStr">
        <is>
          <t>Security</t>
        </is>
      </c>
      <c r="C77" s="12" t="inlineStr">
        <is>
          <t>Workspace files contain business data only - no credentials, no connection strings, nothing that would be sensitive if the file were mailed to a colleague.</t>
        </is>
      </c>
      <c r="D77" s="11" t="inlineStr">
        <is>
          <t>Must</t>
        </is>
      </c>
      <c r="E77" s="12" t="inlineStr">
        <is>
          <t>Data hygiene</t>
        </is>
      </c>
      <c r="F77" s="11" t="inlineStr">
        <is>
          <t>N2</t>
        </is>
      </c>
    </row>
    <row r="78">
      <c r="A78" s="20" t="inlineStr">
        <is>
          <t>NR-NFR-01</t>
        </is>
      </c>
      <c r="B78" s="20" t="inlineStr">
        <is>
          <t>Performance</t>
        </is>
      </c>
      <c r="C78" s="21" t="inlineStr">
        <is>
          <t>Launch to a usable window in under 5 seconds from a local disk, and reopening the last workspace adds no more than 2 seconds on the volumes in A-N01. Launch from a network folder is measured and stated rather than promised - see R-N12.</t>
        </is>
      </c>
      <c r="D78" s="20" t="inlineStr">
        <is>
          <t>Should</t>
        </is>
      </c>
      <c r="E78" s="21" t="inlineStr">
        <is>
          <t>Usability</t>
        </is>
      </c>
      <c r="F78" s="20" t="inlineStr">
        <is>
          <t>N4</t>
        </is>
      </c>
    </row>
    <row r="79">
      <c r="A79" s="11" t="inlineStr">
        <is>
          <t>NR-NFR-02</t>
        </is>
      </c>
      <c r="B79" s="11" t="inlineStr">
        <is>
          <t>Performance</t>
        </is>
      </c>
      <c r="C79" s="12" t="inlineStr">
        <is>
          <t>A Save completes in under 1 second at those volumes, so autosave is never felt.</t>
        </is>
      </c>
      <c r="D79" s="11" t="inlineStr">
        <is>
          <t>Should</t>
        </is>
      </c>
      <c r="E79" s="12" t="inlineStr">
        <is>
          <t>Usability</t>
        </is>
      </c>
      <c r="F79" s="11" t="inlineStr">
        <is>
          <t>N4</t>
        </is>
      </c>
    </row>
    <row r="81">
      <c r="A81" s="5" t="inlineStr">
        <is>
          <t>Count</t>
        </is>
      </c>
    </row>
    <row r="82" ht="28" customHeight="1">
      <c r="A82" s="10" t="inlineStr">
        <is>
          <t>Measure</t>
        </is>
      </c>
      <c r="B82" s="10" t="inlineStr">
        <is>
          <t>Count</t>
        </is>
      </c>
    </row>
    <row r="83">
      <c r="A83" s="15" t="inlineStr">
        <is>
          <t>Total requirements</t>
        </is>
      </c>
      <c r="B83" s="15">
        <f>COUNTA(A11:A79)</f>
        <v/>
      </c>
    </row>
    <row r="84">
      <c r="A84" s="13" t="inlineStr">
        <is>
          <t>Must</t>
        </is>
      </c>
      <c r="B84" s="13">
        <f>COUNTIF(D11:D79,"Must")</f>
        <v/>
      </c>
    </row>
    <row r="85">
      <c r="A85" s="15" t="inlineStr">
        <is>
          <t>Should</t>
        </is>
      </c>
      <c r="B85" s="15">
        <f>COUNTIF(D11:D79,"Should")</f>
        <v/>
      </c>
    </row>
    <row r="86">
      <c r="A86" s="13" t="inlineStr">
        <is>
          <t>Could</t>
        </is>
      </c>
      <c r="B86" s="13">
        <f>COUNTIF(D11:D79,"Could")</f>
        <v/>
      </c>
    </row>
    <row r="88">
      <c r="A88" s="8" t="inlineStr">
        <is>
          <t>Please mark any requirement you disagree with in the Priority column, or strike it out. The register is the contract for Steps 2 to 5, exactly as sheet 03 of the web plan was.</t>
        </is>
      </c>
    </row>
    <row r="89">
      <c r="A89" s="3" t="inlineStr">
        <is>
          <t>Legend</t>
        </is>
      </c>
    </row>
    <row r="90">
      <c r="A90" s="17" t="inlineStr">
        <is>
          <t>Green = new to the desktop application; nothing in the web application corresponds to it.</t>
        </is>
      </c>
    </row>
    <row r="91">
      <c r="A91" s="18" t="inlineStr">
        <is>
          <t>Orange = inherited from the web application but deliberately changed here.</t>
        </is>
      </c>
    </row>
    <row r="92">
      <c r="A92" s="19" t="inlineStr">
        <is>
          <t>Yellow = needs your decision before the work can proceed.</t>
        </is>
      </c>
    </row>
  </sheetData>
  <dataValidations count="1">
    <dataValidation sqref="D11:D7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PRAP_NewApp_Development_Plan_v1.0.xlsx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 programming specification approved.</t>
        </is>
      </c>
      <c r="D17" s="16" t="inlineStr">
        <is>
          <t>PRAP_NewApp_Specification_v1.0.xlsx</t>
        </is>
      </c>
      <c r="E17" s="15" t="inlineStr">
        <is>
          <t>Pending you</t>
        </is>
      </c>
    </row>
    <row r="18">
      <c r="A18" s="13" t="inlineStr">
        <is>
          <t>N3</t>
        </is>
      </c>
      <c r="B18" s="13" t="inlineStr">
        <is>
          <t>N3.1</t>
        </is>
      </c>
      <c r="C18" s="14" t="inlineStr">
        <is>
          <t>Desktop-specific UI design: menu structure, dialogs, the workspace-open screen, the recovery prompt, the difference view.</t>
        </is>
      </c>
      <c r="D18" s="14" t="inlineStr">
        <is>
          <t>Component list draft</t>
        </is>
      </c>
      <c r="E18" s="13" t="inlineStr">
        <is>
          <t>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8"/>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Q-N02 answered at round 6: a zip can be saved in your own folder and run, and checking the rest with IT is impractical for now, so we ASSUME no issue. That is your call to make and the plan proceeds on it - but assuming is not verifying, so this risk stays OPEN rather than closed, assumption A-N09 records it, and N5.7 on a real company PC remains the first moment anybody will know. If it does happen,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ASSUMED at Q-N02, not verified. Confirming with IT was impractical; you chose to proceed on the assumption. First tested at N5.7</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20" t="inlineStr">
        <is>
          <t>A-N03</t>
        </is>
      </c>
      <c r="B49" s="21" t="inlineStr">
        <is>
          <t>One person works on a given workspace at a time - but the application no longer RELIES on it, because a shared folder makes it unsafe to assume.</t>
        </is>
      </c>
      <c r="C49" s="20" t="inlineStr">
        <is>
          <t>WITHDRAWN as an assumption at round 2; enforced by NR-STO-10 instead</t>
        </is>
      </c>
    </row>
    <row r="50">
      <c r="A50" s="15" t="inlineStr">
        <is>
          <t>A-N04</t>
        </is>
      </c>
      <c r="B50" s="16" t="inlineStr">
        <is>
          <t>Package size is unconstrained.</t>
        </is>
      </c>
      <c r="C50" s="15" t="inlineStr">
        <is>
          <t>CONFIRMED by your instruction, 2026-08-13</t>
        </is>
      </c>
    </row>
    <row r="51">
      <c r="A51" s="13" t="inlineStr">
        <is>
          <t>A-N05</t>
        </is>
      </c>
      <c r="B51" s="14" t="inlineStr">
        <is>
          <t>Both applications remain in service indefinitely; neither is a migration path away from the other.</t>
        </is>
      </c>
      <c r="C51" s="13" t="inlineStr">
        <is>
          <t>CONFIRMED by your instruction, 2026-08-13</t>
        </is>
      </c>
    </row>
    <row r="52">
      <c r="A52" s="15" t="inlineStr">
        <is>
          <t>A-N06</t>
        </is>
      </c>
      <c r="B52" s="16" t="inlineStr">
        <is>
          <t>The source Excel workbook continues to be maintained by hand, by someone other than the tool.</t>
        </is>
      </c>
      <c r="C52" s="15" t="inlineStr">
        <is>
          <t>Inherited A-04, standing</t>
        </is>
      </c>
    </row>
    <row r="53">
      <c r="A53" s="13" t="inlineStr">
        <is>
          <t>A-N07</t>
        </is>
      </c>
      <c r="B53" s="14" t="inlineStr">
        <is>
          <t>The user can copy a package into their own profile or a network share and run it from there.</t>
        </is>
      </c>
      <c r="C53" s="13" t="inlineStr">
        <is>
          <t>To confirm - Q-N02</t>
        </is>
      </c>
    </row>
    <row r="55">
      <c r="A55" s="3" t="inlineStr">
        <is>
          <t>Legend</t>
        </is>
      </c>
    </row>
    <row r="56">
      <c r="A56" s="17" t="inlineStr">
        <is>
          <t>Green = new to the desktop application; nothing in the web application corresponds to it.</t>
        </is>
      </c>
    </row>
    <row r="57">
      <c r="A57" s="18" t="inlineStr">
        <is>
          <t>Orange = inherited from the web application but deliberately changed here.</t>
        </is>
      </c>
    </row>
    <row r="58">
      <c r="A58"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2026-08-13T15:13:35Z</dcterms:created>
  <dcterms:modified xsi:type="dcterms:W3CDTF">2026-08-13T15:13:35Z</dcterms:modified>
</cp:coreProperties>
</file>