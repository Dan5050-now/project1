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v1.0 baseline</t>
        </is>
      </c>
    </row>
    <row r="6">
      <c r="A6" s="3" t="inlineStr">
        <is>
          <t>Version</t>
        </is>
      </c>
      <c r="B6" s="4" t="inlineStr">
        <is>
          <t>v1.2</t>
        </is>
      </c>
    </row>
    <row r="7">
      <c r="A7" s="3" t="inlineStr">
        <is>
          <t>Status</t>
        </is>
      </c>
      <c r="B7" s="4" t="inlineStr">
        <is>
          <t>Change against approved baseline v1.0 - R-03 confirmed, ready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v1.0, approved by Dan 2026-08-01 (Gate 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v1.1 (draft, never approved). v1.0 remains the approved baseline until this issue is approved</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Nothing in this document is open. Five review rounds produced 28 questions and 3 change requests; all</t>
        </is>
      </c>
    </row>
    <row r="41">
      <c r="A41" s="6" t="inlineStr">
        <is>
          <t>31 are answered and applied. The only outstanding item is the approval signature on sheet 12 for this</t>
        </is>
      </c>
    </row>
    <row r="42">
      <c r="A42" s="6" t="inlineStr">
        <is>
          <t>change against the v1.0 baseline.</t>
        </is>
      </c>
    </row>
    <row r="44">
      <c r="A44" s="5" t="inlineStr">
        <is>
          <t>The plan in one page</t>
        </is>
      </c>
    </row>
    <row r="45">
      <c r="A45" s="6" t="inlineStr">
        <is>
          <t xml:space="preserve">  Output        One HTML file, opened by double-click on Windows, offline, no install. One Excel</t>
        </is>
      </c>
    </row>
    <row r="46">
      <c r="A46" s="6" t="inlineStr">
        <is>
          <t xml:space="preserve">                workbook alongside it holds the data and remains the archive of record.</t>
        </is>
      </c>
    </row>
    <row r="47">
      <c r="A47" s="6" t="inlineStr"/>
    </row>
    <row r="48">
      <c r="A48" s="6" t="inlineStr">
        <is>
          <t xml:space="preserve">  Calculation   load = project period weight x role factor x person weight x month coverage,</t>
        </is>
      </c>
    </row>
    <row r="49">
      <c r="A49" s="6" t="inlineStr">
        <is>
          <t xml:space="preserve">                in FTE where 1.00 FTE = 160 hours per month.</t>
        </is>
      </c>
    </row>
    <row r="50">
      <c r="A50" s="6" t="inlineStr">
        <is>
          <t xml:space="preserve">                Over-allocated above 1.50 FTE in a month; under-allocated below 0.80 FTE for three</t>
        </is>
      </c>
    </row>
    <row r="51">
      <c r="A51" s="6" t="inlineStr">
        <is>
          <t xml:space="preserve">                or more consecutive months, reported as a run.</t>
        </is>
      </c>
    </row>
    <row r="52">
      <c r="A52" s="6" t="inlineStr"/>
    </row>
    <row r="53">
      <c r="A53" s="6" t="inlineStr">
        <is>
          <t xml:space="preserve">  Periods       Clinical Trial: five period names derived from milestone dates and month offsets,</t>
        </is>
      </c>
    </row>
    <row r="54">
      <c r="A54" s="6" t="inlineStr">
        <is>
          <t xml:space="preserve">                with Conduct occurring up to twice where an interim DB lock splits it. Weights come</t>
        </is>
      </c>
    </row>
    <row r="55">
      <c r="A55" s="6" t="inlineStr">
        <is>
          <t xml:space="preserve">                from the trial's clinical phase.</t>
        </is>
      </c>
    </row>
    <row r="56">
      <c r="A56" s="6" t="inlineStr">
        <is>
          <t xml:space="preserve">                Others: three periods, dates and weights both entered by hand.</t>
        </is>
      </c>
    </row>
    <row r="57">
      <c r="A57" s="6" t="inlineStr"/>
    </row>
    <row r="58">
      <c r="A58" s="6" t="inlineStr">
        <is>
          <t xml:space="preserve">  Dashboard     Overall (monthly simulation per project and per person, tables and graphs),</t>
        </is>
      </c>
    </row>
    <row r="59">
      <c r="A59" s="6" t="inlineStr">
        <is>
          <t xml:space="preserve">                Source data (project), Source data (person). Every field editable, with identifier</t>
        </is>
      </c>
    </row>
    <row r="60">
      <c r="A60" s="6" t="inlineStr">
        <is>
          <t xml:space="preserve">                edits cascading to referencing rows.</t>
        </is>
      </c>
    </row>
    <row r="61">
      <c r="A61" s="6" t="inlineStr"/>
    </row>
    <row r="62">
      <c r="A62" s="6" t="inlineStr">
        <is>
          <t xml:space="preserve">  Build         Five steps, each ending at a review gate. This document closes Step 1.</t>
        </is>
      </c>
    </row>
    <row r="64">
      <c r="A64" s="5" t="inlineStr">
        <is>
          <t>What approving this document means</t>
        </is>
      </c>
    </row>
    <row r="65">
      <c r="A65" s="6" t="inlineStr">
        <is>
          <t>Gate 1 approval on sheet 12 baselines the 63 requirements on sheet 03 as the contract for Steps 2-5,</t>
        </is>
      </c>
    </row>
    <row r="66">
      <c r="A66" s="6" t="inlineStr">
        <is>
          <t>and confirms the six engineering decisions C-06 to C-11 on sheet 05 that were proposed but never</t>
        </is>
      </c>
    </row>
    <row r="67">
      <c r="A67" s="6" t="inlineStr">
        <is>
          <t>explicitly answered across the review rounds. Those six are listed there with their rationale; if any</t>
        </is>
      </c>
    </row>
    <row r="68">
      <c r="A68" s="6" t="inlineStr">
        <is>
          <t>is wrong, say so at approval rather than after.</t>
        </is>
      </c>
    </row>
    <row r="70">
      <c r="A70" s="5" t="inlineStr">
        <is>
          <t>How to read this workbook</t>
        </is>
      </c>
    </row>
    <row r="71" ht="28" customHeight="1">
      <c r="A71" s="7" t="inlineStr">
        <is>
          <t>Sheet</t>
        </is>
      </c>
      <c r="B71" s="7" t="inlineStr">
        <is>
          <t>Contents</t>
        </is>
      </c>
    </row>
    <row r="72">
      <c r="A72" s="8" t="inlineStr">
        <is>
          <t>00_Cover</t>
        </is>
      </c>
      <c r="B72" s="9" t="inlineStr">
        <is>
          <t>Document control, what changed, reading guide.</t>
        </is>
      </c>
    </row>
    <row r="73">
      <c r="A73" s="10" t="inlineStr">
        <is>
          <t>01_Version_History</t>
        </is>
      </c>
      <c r="B73" s="11" t="inlineStr">
        <is>
          <t>Change log for this plan.</t>
        </is>
      </c>
    </row>
    <row r="74">
      <c r="A74" s="8" t="inlineStr">
        <is>
          <t>02_Scope</t>
        </is>
      </c>
      <c r="B74" s="9" t="inlineStr">
        <is>
          <t>Background, objectives, in scope / out of scope.</t>
        </is>
      </c>
    </row>
    <row r="75">
      <c r="A75" s="10" t="inlineStr">
        <is>
          <t>03_Requirements</t>
        </is>
      </c>
      <c r="B75" s="11" t="inlineStr">
        <is>
          <t>Numbered requirement register - the contract for Steps 2-5.</t>
        </is>
      </c>
    </row>
    <row r="76">
      <c r="A76" s="8" t="inlineStr">
        <is>
          <t>04_Data_Model</t>
        </is>
      </c>
      <c r="B76" s="9" t="inlineStr">
        <is>
          <t>Every sheet and column of the single source workbook, with rules.</t>
        </is>
      </c>
    </row>
    <row r="77">
      <c r="A77" s="10" t="inlineStr">
        <is>
          <t>05_Resource_Logic</t>
        </is>
      </c>
      <c r="B77" s="11" t="inlineStr">
        <is>
          <t>The calculation that turns assignments and weights into monthly FTE.</t>
        </is>
      </c>
    </row>
    <row r="78">
      <c r="A78" s="8" t="inlineStr">
        <is>
          <t>06_Dashboard_Design</t>
        </is>
      </c>
      <c r="B78" s="9" t="inlineStr">
        <is>
          <t>The three dashboard tabs: tables, graphs, filters, editing.</t>
        </is>
      </c>
    </row>
    <row r="79">
      <c r="A79" s="10" t="inlineStr">
        <is>
          <t>07_Architecture</t>
        </is>
      </c>
      <c r="B79" s="11" t="inlineStr">
        <is>
          <t>Single-file HTML + Excel-on-disk design and the file-access decision.</t>
        </is>
      </c>
    </row>
    <row r="80">
      <c r="A80" s="8" t="inlineStr">
        <is>
          <t>08_WBS_Schedule</t>
        </is>
      </c>
      <c r="B80" s="9" t="inlineStr">
        <is>
          <t>The five steps broken into tasks, deliverables and review gates.</t>
        </is>
      </c>
    </row>
    <row r="81">
      <c r="A81" s="10" t="inlineStr">
        <is>
          <t>09_Version_Control</t>
        </is>
      </c>
      <c r="B81" s="11" t="inlineStr">
        <is>
          <t>How plan, specification and output files are versioned together.</t>
        </is>
      </c>
    </row>
    <row r="82">
      <c r="A82" s="8" t="inlineStr">
        <is>
          <t>10_Risks</t>
        </is>
      </c>
      <c r="B82" s="9" t="inlineStr">
        <is>
          <t>Risks and assumptions with mitigations.</t>
        </is>
      </c>
    </row>
    <row r="83">
      <c r="A83" s="10" t="inlineStr">
        <is>
          <t>11_Open_Questions</t>
        </is>
      </c>
      <c r="B83" s="11" t="inlineStr">
        <is>
          <t>All 28 questions and their answers. Nothing open.</t>
        </is>
      </c>
    </row>
    <row r="84">
      <c r="A84" s="8" t="inlineStr">
        <is>
          <t>12_Review_Log</t>
        </is>
      </c>
      <c r="B84" s="9" t="inlineStr">
        <is>
          <t>Every change made across the four review rounds, and why. Gate 1 approval block.</t>
        </is>
      </c>
    </row>
    <row r="86">
      <c r="A86" s="3" t="inlineStr">
        <is>
          <t>Legend</t>
        </is>
      </c>
    </row>
    <row r="87">
      <c r="A87" s="12" t="inlineStr">
        <is>
          <t>Green = new in v0.2, added from your review answers.</t>
        </is>
      </c>
    </row>
    <row r="88">
      <c r="A88" s="13" t="inlineStr">
        <is>
          <t>Orange = changed in v0.2 as a consequence of your review.</t>
        </is>
      </c>
    </row>
    <row r="89">
      <c r="A8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 and the only outstanding item is the approval signature for this change.</t>
        </is>
      </c>
      <c r="F17" s="8" t="inlineStr">
        <is>
          <t>For approval</t>
        </is>
      </c>
    </row>
    <row r="19">
      <c r="A1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 After Close-out (final); 'Others' uses Planning / Develop / Close.</t>
        </is>
      </c>
      <c r="D18" s="18" t="inlineStr">
        <is>
          <t>Must</t>
        </is>
      </c>
      <c r="E18" s="18" t="inlineStr">
        <is>
          <t>Q-18, Q-23, R-02</t>
        </is>
      </c>
      <c r="F18" s="18" t="inlineStr">
        <is>
          <t>2</t>
        </is>
      </c>
    </row>
    <row r="19">
      <c r="A19" s="20" t="inlineStr">
        <is>
          <t>REQ-PRJ-13</t>
        </is>
      </c>
      <c r="B19" s="20" t="inlineStr">
        <is>
          <t>Project data</t>
        </is>
      </c>
      <c r="C19" s="19" t="inlineStr">
        <is>
          <t>A milestone name may occur more than once in one project. 'Inspection' in particular may record several events; the others are expected once.</t>
        </is>
      </c>
      <c r="D19" s="20" t="inlineStr">
        <is>
          <t>Must</t>
        </is>
      </c>
      <c r="E19" s="20" t="inlineStr">
        <is>
          <t>R-01</t>
        </is>
      </c>
      <c r="F19" s="20" t="inlineStr">
        <is>
          <t>2</t>
        </is>
      </c>
    </row>
    <row r="20">
      <c r="A20" s="18" t="inlineStr">
        <is>
          <t>REQ-PRJ-09</t>
        </is>
      </c>
      <c r="B20" s="18" t="inlineStr">
        <is>
          <t>Project data</t>
        </is>
      </c>
      <c r="C20" s="17" t="inlineStr">
        <is>
          <t>A 'Clinical Trial' project records its clinical phase (phase 1 / 2 / 3 / 4). The phase determines the project's period weights, so it drives the simulation rather than merely describing the project.</t>
        </is>
      </c>
      <c r="D20" s="18" t="inlineStr">
        <is>
          <t>Must</t>
        </is>
      </c>
      <c r="E20" s="18" t="inlineStr">
        <is>
          <t>Q-26</t>
        </is>
      </c>
      <c r="F20" s="18" t="inlineStr">
        <is>
          <t>2</t>
        </is>
      </c>
    </row>
    <row r="21">
      <c r="A21" s="20" t="inlineStr">
        <is>
          <t>REQ-PRJ-10</t>
        </is>
      </c>
      <c r="B21" s="20" t="inlineStr">
        <is>
          <t>Project data</t>
        </is>
      </c>
      <c r="C21" s="19" t="inlineStr">
        <is>
          <t>A 'Clinical Trial' project records who performs each of EDC set-up, data-review-system set-up, RBQM set-up and DM conduct ('by CRO' / 'by SB').</t>
        </is>
      </c>
      <c r="D21" s="20" t="inlineStr">
        <is>
          <t>Must</t>
        </is>
      </c>
      <c r="E21" s="20" t="inlineStr">
        <is>
          <t>Reviewer v0.11</t>
        </is>
      </c>
      <c r="F21" s="20" t="inlineStr">
        <is>
          <t>2</t>
        </is>
      </c>
    </row>
    <row r="22">
      <c r="A22" s="20" t="inlineStr">
        <is>
          <t>REQ-PRJ-11</t>
        </is>
      </c>
      <c r="B22" s="20" t="inlineStr">
        <is>
          <t>Project data</t>
        </is>
      </c>
      <c r="C22" s="19" t="inlineStr">
        <is>
          <t>A 'Clinical Trial' project records the EDC system, data review system and RBQM system in use, from data-driven value lists.</t>
        </is>
      </c>
      <c r="D22" s="20" t="inlineStr">
        <is>
          <t>Must</t>
        </is>
      </c>
      <c r="E22" s="20" t="inlineStr">
        <is>
          <t>Reviewer v0.11</t>
        </is>
      </c>
      <c r="F22" s="20"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8" t="inlineStr">
        <is>
          <t>REQ-PSN-03</t>
        </is>
      </c>
      <c r="B25" s="18" t="inlineStr">
        <is>
          <t>Person data</t>
        </is>
      </c>
      <c r="C25" s="17" t="inlineStr">
        <is>
          <t>Each assignment records the role(s) the person holds on that project, drawn from the role list valid for that project's type.</t>
        </is>
      </c>
      <c r="D25" s="18" t="inlineStr">
        <is>
          <t>Must</t>
        </is>
      </c>
      <c r="E25" s="18" t="inlineStr">
        <is>
          <t>Q-03</t>
        </is>
      </c>
      <c r="F25" s="18"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8" t="inlineStr">
        <is>
          <t>REQ-PSN-05</t>
        </is>
      </c>
      <c r="B27" s="18" t="inlineStr">
        <is>
          <t>Person data</t>
        </is>
      </c>
      <c r="C27" s="17" t="inlineStr">
        <is>
          <t>Each assignment carries a person weight saying how much that person works on that project, with optional period-specific overrides.</t>
        </is>
      </c>
      <c r="D27" s="18" t="inlineStr">
        <is>
          <t>Must</t>
        </is>
      </c>
      <c r="E27" s="18" t="inlineStr">
        <is>
          <t>Q-01</t>
        </is>
      </c>
      <c r="F27" s="18"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8" t="inlineStr">
        <is>
          <t>REQ-CAL-01</t>
        </is>
      </c>
      <c r="B30" s="18" t="inlineStr">
        <is>
          <t>Calculation</t>
        </is>
      </c>
      <c r="C30" s="17" t="inlineStr">
        <is>
          <t>Resource is simulated on a monthly grid, default horizon 24 months, expandable to the latest project end date.</t>
        </is>
      </c>
      <c r="D30" s="18" t="inlineStr">
        <is>
          <t>Must</t>
        </is>
      </c>
      <c r="E30" s="18" t="inlineStr">
        <is>
          <t>Q-11</t>
        </is>
      </c>
      <c r="F30" s="18" t="inlineStr">
        <is>
          <t>4</t>
        </is>
      </c>
    </row>
    <row r="31">
      <c r="A31" s="18" t="inlineStr">
        <is>
          <t>REQ-CAL-02</t>
        </is>
      </c>
      <c r="B31" s="18" t="inlineStr">
        <is>
          <t>Calculation</t>
        </is>
      </c>
      <c r="C31" s="17" t="inlineStr">
        <is>
          <t>Monthly load for an assignment = project period weight x role factor x person weight x fraction of the month covered. There is no separate base allocation.</t>
        </is>
      </c>
      <c r="D31" s="18" t="inlineStr">
        <is>
          <t>Must</t>
        </is>
      </c>
      <c r="E31" s="18" t="inlineStr">
        <is>
          <t>Q-01</t>
        </is>
      </c>
      <c r="F31" s="18"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18" t="inlineStr">
        <is>
          <t>REQ-CAL-04</t>
        </is>
      </c>
      <c r="B33" s="18" t="inlineStr">
        <is>
          <t>Calculation</t>
        </is>
      </c>
      <c r="C33" s="17" t="inlineStr">
        <is>
          <t>A person-month whose total exceeds the over-allocation threshold (default 1.50 FTE) is flagged as over-allocated.</t>
        </is>
      </c>
      <c r="D33" s="18" t="inlineStr">
        <is>
          <t>Must</t>
        </is>
      </c>
      <c r="E33" s="18" t="inlineStr">
        <is>
          <t>Q-08</t>
        </is>
      </c>
      <c r="F33" s="18" t="inlineStr">
        <is>
          <t>4</t>
        </is>
      </c>
    </row>
    <row r="34">
      <c r="A34" s="18" t="inlineStr">
        <is>
          <t>REQ-CAL-05</t>
        </is>
      </c>
      <c r="B34" s="18" t="inlineStr">
        <is>
          <t>Calculation</t>
        </is>
      </c>
      <c r="C34" s="17" t="inlineStr">
        <is>
          <t>A partial first or last month is pro-rated by calendar days worked, not counted as a whole month.</t>
        </is>
      </c>
      <c r="D34" s="18" t="inlineStr">
        <is>
          <t>Must</t>
        </is>
      </c>
      <c r="E34" s="18" t="inlineStr">
        <is>
          <t>Q-02</t>
        </is>
      </c>
      <c r="F34" s="18"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0.80 FTE) for three or more consecutive months is flagged as under-allocated, with the run's start and length reported.</t>
        </is>
      </c>
      <c r="D36" s="20" t="inlineStr">
        <is>
          <t>Must</t>
        </is>
      </c>
      <c r="E36" s="20" t="inlineStr">
        <is>
          <t>Q-08</t>
        </is>
      </c>
      <c r="F36" s="20" t="inlineStr">
        <is>
          <t>4</t>
        </is>
      </c>
    </row>
    <row r="37">
      <c r="A37" s="20" t="inlineStr">
        <is>
          <t>REQ-CAL-08</t>
        </is>
      </c>
      <c r="B37" s="20" t="inlineStr">
        <is>
          <t>Calculation</t>
        </is>
      </c>
      <c r="C37" s="19" t="inlineStr">
        <is>
          <t>Load is expressed in FTE, where 1.00 FTE = 160 hours per month (8 h/day x 5 days/week x 20 days/month). Hours are shown alongside FTE where useful.</t>
        </is>
      </c>
      <c r="D37" s="20" t="inlineStr">
        <is>
          <t>Must</t>
        </is>
      </c>
      <c r="E37" s="20" t="inlineStr">
        <is>
          <t>Q-08</t>
        </is>
      </c>
      <c r="F37" s="20" t="inlineStr">
        <is>
          <t>4</t>
        </is>
      </c>
    </row>
    <row r="38">
      <c r="A38" s="18" t="inlineStr">
        <is>
          <t>REQ-CAL-09</t>
        </is>
      </c>
      <c r="B38" s="18" t="inlineStr">
        <is>
          <t>Calculation</t>
        </is>
      </c>
      <c r="C38"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8" s="18" t="inlineStr">
        <is>
          <t>Must</t>
        </is>
      </c>
      <c r="E38" s="18" t="inlineStr">
        <is>
          <t>Q-16, Q-22, Q-23, Q-25</t>
        </is>
      </c>
      <c r="F38" s="18" t="inlineStr">
        <is>
          <t>2,4</t>
        </is>
      </c>
    </row>
    <row r="39">
      <c r="A39" s="20" t="inlineStr">
        <is>
          <t>REQ-CAL-10</t>
        </is>
      </c>
      <c r="B39" s="20" t="inlineStr">
        <is>
          <t>Calculation</t>
        </is>
      </c>
      <c r="C39" s="19" t="inlineStr">
        <is>
          <t>Every month of a project's timeline falls in exactly one period. A month left uncovered by the derivation is reported and carries weight 1.00 rather than being dropped from the simulation.</t>
        </is>
      </c>
      <c r="D39" s="20" t="inlineStr">
        <is>
          <t>Must</t>
        </is>
      </c>
      <c r="E39" s="20" t="inlineStr">
        <is>
          <t>Derived from Q-16</t>
        </is>
      </c>
      <c r="F39" s="20" t="inlineStr">
        <is>
          <t>2,4</t>
        </is>
      </c>
    </row>
    <row r="40">
      <c r="A40" s="20" t="inlineStr">
        <is>
          <t>REQ-CAL-11</t>
        </is>
      </c>
      <c r="B40" s="20" t="inlineStr">
        <is>
          <t>Calculation</t>
        </is>
      </c>
      <c r="C40" s="19" t="inlineStr">
        <is>
          <t>A period name may occur more than once in one project: 'Conduct' runs as two separate stretches where an interim DB lock splits it. Each occurrence is its own row with its own dates and a sequence number.</t>
        </is>
      </c>
      <c r="D40" s="20" t="inlineStr">
        <is>
          <t>Must</t>
        </is>
      </c>
      <c r="E40" s="20" t="inlineStr">
        <is>
          <t>Q-23</t>
        </is>
      </c>
      <c r="F40" s="20" t="inlineStr">
        <is>
          <t>2,4</t>
        </is>
      </c>
    </row>
    <row r="41">
      <c r="A41" s="20" t="inlineStr">
        <is>
          <t>REQ-CAL-13</t>
        </is>
      </c>
      <c r="B41" s="20" t="inlineStr">
        <is>
          <t>Calculation</t>
        </is>
      </c>
      <c r="C41" s="19" t="inlineStr">
        <is>
          <t>Where a period boundary has both a milestone and a month-offset definition, a recorded milestone date wins. The offset is the fallback for a project that does not carry that milestone.</t>
        </is>
      </c>
      <c r="D41" s="20" t="inlineStr">
        <is>
          <t>Must</t>
        </is>
      </c>
      <c r="E41" s="20" t="inlineStr">
        <is>
          <t>R-02</t>
        </is>
      </c>
      <c r="F41" s="20" t="inlineStr">
        <is>
          <t>2,4</t>
        </is>
      </c>
    </row>
    <row r="42">
      <c r="A42" s="20" t="inlineStr">
        <is>
          <t>REQ-CAL-12</t>
        </is>
      </c>
      <c r="B42" s="20" t="inlineStr">
        <is>
          <t>Calculation</t>
        </is>
      </c>
      <c r="C42" s="19" t="inlineStr">
        <is>
          <t>Where a timeline squeezes a derived period to zero or negative length, that period is omitted and the omission reported. Boundaries are applied in order so the periods always stay contiguous.</t>
        </is>
      </c>
      <c r="D42" s="20" t="inlineStr">
        <is>
          <t>Must</t>
        </is>
      </c>
      <c r="E42" s="20" t="inlineStr">
        <is>
          <t>Derived from Q-22, Q-23</t>
        </is>
      </c>
      <c r="F42" s="20"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8" t="inlineStr">
        <is>
          <t>REQ-DSH-05</t>
        </is>
      </c>
      <c r="B47" s="8" t="inlineStr">
        <is>
          <t>Dashboard</t>
        </is>
      </c>
      <c r="C47" s="9" t="inlineStr">
        <is>
          <t>Tables can be filtered by date horizon, project type, project, person and role.</t>
        </is>
      </c>
      <c r="D47" s="8" t="inlineStr">
        <is>
          <t>Should</t>
        </is>
      </c>
      <c r="E47" s="8" t="inlineStr">
        <is>
          <t>Derived</t>
        </is>
      </c>
      <c r="F47" s="8"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20" t="inlineStr">
        <is>
          <t>REQ-DSH-07</t>
        </is>
      </c>
      <c r="B49" s="20" t="inlineStr">
        <is>
          <t>Dashboard</t>
        </is>
      </c>
      <c r="C49" s="19" t="inlineStr">
        <is>
          <t>The horizon control offers 24 months by default and a one-click expansion to cover the latest project end date across all projects.</t>
        </is>
      </c>
      <c r="D49" s="20" t="inlineStr">
        <is>
          <t>Must</t>
        </is>
      </c>
      <c r="E49" s="20" t="inlineStr">
        <is>
          <t>Q-11</t>
        </is>
      </c>
      <c r="F49" s="20" t="inlineStr">
        <is>
          <t>3,4</t>
        </is>
      </c>
    </row>
    <row r="50">
      <c r="A50" s="20" t="inlineStr">
        <is>
          <t>REQ-DSH-08</t>
        </is>
      </c>
      <c r="B50" s="20" t="inlineStr">
        <is>
          <t>Dashboard</t>
        </is>
      </c>
      <c r="C50" s="19" t="inlineStr">
        <is>
          <t>Over-allocated and under-allocated person-months are distinguishable at a glance, and both are counted in the summary tiles.</t>
        </is>
      </c>
      <c r="D50" s="20" t="inlineStr">
        <is>
          <t>Must</t>
        </is>
      </c>
      <c r="E50" s="20" t="inlineStr">
        <is>
          <t>Q-08</t>
        </is>
      </c>
      <c r="F50" s="20" t="inlineStr">
        <is>
          <t>3,4</t>
        </is>
      </c>
    </row>
    <row r="51">
      <c r="A51" s="18" t="inlineStr">
        <is>
          <t>REQ-IMP-01</t>
        </is>
      </c>
      <c r="B51" s="18" t="inlineStr">
        <is>
          <t>Import/Export</t>
        </is>
      </c>
      <c r="C51" s="17" t="inlineStr">
        <is>
          <t>The user loads the source workbook through a file picker or drag-and-drop, chosen because a local HTML page cannot open a file from disk unaided.</t>
        </is>
      </c>
      <c r="D51" s="18" t="inlineStr">
        <is>
          <t>Must</t>
        </is>
      </c>
      <c r="E51" s="18" t="inlineStr">
        <is>
          <t>Decision D-01</t>
        </is>
      </c>
      <c r="F51" s="18" t="inlineStr">
        <is>
          <t>4</t>
        </is>
      </c>
    </row>
    <row r="52">
      <c r="A52" s="10" t="inlineStr">
        <is>
          <t>REQ-IMP-02</t>
        </is>
      </c>
      <c r="B52" s="10" t="inlineStr">
        <is>
          <t>Import/Export</t>
        </is>
      </c>
      <c r="C52" s="11" t="inlineStr">
        <is>
          <t>Loading validates the workbook and reports every problem found - missing sheet, missing column, bad date, unknown project reference - without stopping at the first one.</t>
        </is>
      </c>
      <c r="D52" s="10" t="inlineStr">
        <is>
          <t>Must</t>
        </is>
      </c>
      <c r="E52" s="10" t="inlineStr">
        <is>
          <t>Derived</t>
        </is>
      </c>
      <c r="F52" s="10" t="inlineStr">
        <is>
          <t>4</t>
        </is>
      </c>
    </row>
    <row r="53">
      <c r="A53" s="18" t="inlineStr">
        <is>
          <t>REQ-IMP-03</t>
        </is>
      </c>
      <c r="B53" s="18" t="inlineStr">
        <is>
          <t>Import/Export</t>
        </is>
      </c>
      <c r="C53" s="17" t="inlineStr">
        <is>
          <t>A blank source workbook template with correct sheet names, headers, value lists and one example row is delivered with the application.</t>
        </is>
      </c>
      <c r="D53" s="18" t="inlineStr">
        <is>
          <t>Must</t>
        </is>
      </c>
      <c r="E53" s="18" t="inlineStr">
        <is>
          <t>Derived</t>
        </is>
      </c>
      <c r="F53" s="18" t="inlineStr">
        <is>
          <t>4</t>
        </is>
      </c>
    </row>
    <row r="54">
      <c r="A54" s="10" t="inlineStr">
        <is>
          <t>REQ-IMP-04</t>
        </is>
      </c>
      <c r="B54" s="10" t="inlineStr">
        <is>
          <t>Import/Export</t>
        </is>
      </c>
      <c r="C54" s="11" t="inlineStr">
        <is>
          <t>The user can export current data back to .xlsx, preserving the template layout so the export can be re-imported.</t>
        </is>
      </c>
      <c r="D54" s="10" t="inlineStr">
        <is>
          <t>Must</t>
        </is>
      </c>
      <c r="E54" s="10" t="inlineStr">
        <is>
          <t>Derived</t>
        </is>
      </c>
      <c r="F54" s="10" t="inlineStr">
        <is>
          <t>4</t>
        </is>
      </c>
    </row>
    <row r="55">
      <c r="A55" s="8" t="inlineStr">
        <is>
          <t>REQ-IMP-05</t>
        </is>
      </c>
      <c r="B55" s="8" t="inlineStr">
        <is>
          <t>Import/Export</t>
        </is>
      </c>
      <c r="C55" s="9" t="inlineStr">
        <is>
          <t>The application records which file was loaded, and when, and shows it on screen.</t>
        </is>
      </c>
      <c r="D55" s="8" t="inlineStr">
        <is>
          <t>Should</t>
        </is>
      </c>
      <c r="E55" s="8" t="inlineStr">
        <is>
          <t>Derived</t>
        </is>
      </c>
      <c r="F55" s="8" t="inlineStr">
        <is>
          <t>4</t>
        </is>
      </c>
    </row>
    <row r="56">
      <c r="A56" s="10" t="inlineStr">
        <is>
          <t>REQ-IMP-06</t>
        </is>
      </c>
      <c r="B56" s="10" t="inlineStr">
        <is>
          <t>Import/Export</t>
        </is>
      </c>
      <c r="C56" s="11" t="inlineStr">
        <is>
          <t>Loaded data may be cached in the browser so re-opening the page does not force a re-import; the cache never replaces the workbook as the record.</t>
        </is>
      </c>
      <c r="D56" s="10" t="inlineStr">
        <is>
          <t>Could</t>
        </is>
      </c>
      <c r="E56" s="10" t="inlineStr">
        <is>
          <t>Derived</t>
        </is>
      </c>
      <c r="F56" s="10" t="inlineStr">
        <is>
          <t>4</t>
        </is>
      </c>
    </row>
    <row r="57">
      <c r="A57" s="20" t="inlineStr">
        <is>
          <t>REQ-IMP-07</t>
        </is>
      </c>
      <c r="B57" s="20" t="inlineStr">
        <is>
          <t>Import/Export</t>
        </is>
      </c>
      <c r="C57" s="19" t="inlineStr">
        <is>
          <t>After import, the application lets the user update the data on screen, and those updates are carried into the file produced on export.</t>
        </is>
      </c>
      <c r="D57" s="20" t="inlineStr">
        <is>
          <t>Must</t>
        </is>
      </c>
      <c r="E57" s="20" t="inlineStr">
        <is>
          <t>Reviewer v0.11</t>
        </is>
      </c>
      <c r="F57" s="20" t="inlineStr">
        <is>
          <t>4</t>
        </is>
      </c>
    </row>
    <row r="58">
      <c r="A58" s="20" t="inlineStr">
        <is>
          <t>REQ-IMP-08</t>
        </is>
      </c>
      <c r="B58" s="20" t="inlineStr">
        <is>
          <t>Import/Export</t>
        </is>
      </c>
      <c r="C58" s="19" t="inlineStr">
        <is>
          <t>Unsaved edits are visible as such, and the user is warned before any action that would discard them (closing the page, loading another file).</t>
        </is>
      </c>
      <c r="D58" s="20" t="inlineStr">
        <is>
          <t>Must</t>
        </is>
      </c>
      <c r="E58" s="20" t="inlineStr">
        <is>
          <t>Derived from REQ-IMP-07</t>
        </is>
      </c>
      <c r="F58" s="20" t="inlineStr">
        <is>
          <t>4</t>
        </is>
      </c>
    </row>
    <row r="59">
      <c r="A59" s="18" t="inlineStr">
        <is>
          <t>REQ-IMP-09</t>
        </is>
      </c>
      <c r="B59" s="18" t="inlineStr">
        <is>
          <t>Import/Export</t>
        </is>
      </c>
      <c r="C59" s="17" t="inlineStr">
        <is>
          <t>Every field is editable, including identifiers. An on-screen edit is re-validated against the same rules as an imported value, so editing cannot introduce data the import would have rejected.</t>
        </is>
      </c>
      <c r="D59" s="18" t="inlineStr">
        <is>
          <t>Must</t>
        </is>
      </c>
      <c r="E59" s="18" t="inlineStr">
        <is>
          <t>Q-20</t>
        </is>
      </c>
      <c r="F59" s="18" t="inlineStr">
        <is>
          <t>4</t>
        </is>
      </c>
    </row>
    <row r="60">
      <c r="A60" s="20" t="inlineStr">
        <is>
          <t>REQ-IMP-10</t>
        </is>
      </c>
      <c r="B60" s="20" t="inlineStr">
        <is>
          <t>Import/Export</t>
        </is>
      </c>
      <c r="C60" s="19" t="inlineStr">
        <is>
          <t>Editing an identifier that other sheets reference cascades to every referencing row, after showing how many rows will change. Deleting a referenced row is refused, naming what still points at it.</t>
        </is>
      </c>
      <c r="D60" s="20" t="inlineStr">
        <is>
          <t>Must</t>
        </is>
      </c>
      <c r="E60" s="20" t="inlineStr">
        <is>
          <t>Q-20</t>
        </is>
      </c>
      <c r="F60" s="20" t="inlineStr">
        <is>
          <t>4</t>
        </is>
      </c>
    </row>
    <row r="61">
      <c r="A61" s="8" t="inlineStr">
        <is>
          <t>REQ-VC-01</t>
        </is>
      </c>
      <c r="B61" s="8" t="inlineStr">
        <is>
          <t>Version control</t>
        </is>
      </c>
      <c r="C61" s="9" t="inlineStr">
        <is>
          <t>Development plan, programming specification and output files are version-controlled together and their versions are cross-referenced.</t>
        </is>
      </c>
      <c r="D61" s="8" t="inlineStr">
        <is>
          <t>Must</t>
        </is>
      </c>
      <c r="E61" s="8" t="inlineStr">
        <is>
          <t>Requester</t>
        </is>
      </c>
      <c r="F61" s="8" t="inlineStr">
        <is>
          <t>1-5</t>
        </is>
      </c>
    </row>
    <row r="62">
      <c r="A62" s="10" t="inlineStr">
        <is>
          <t>REQ-VC-02</t>
        </is>
      </c>
      <c r="B62" s="10" t="inlineStr">
        <is>
          <t>Version control</t>
        </is>
      </c>
      <c r="C62" s="11" t="inlineStr">
        <is>
          <t>The application displays its own version, and the version of the source data schema it expects.</t>
        </is>
      </c>
      <c r="D62" s="10" t="inlineStr">
        <is>
          <t>Must</t>
        </is>
      </c>
      <c r="E62" s="10" t="inlineStr">
        <is>
          <t>Requester</t>
        </is>
      </c>
      <c r="F62" s="10" t="inlineStr">
        <is>
          <t>4</t>
        </is>
      </c>
    </row>
    <row r="63">
      <c r="A63" s="8" t="inlineStr">
        <is>
          <t>REQ-VC-03</t>
        </is>
      </c>
      <c r="B63" s="8" t="inlineStr">
        <is>
          <t>Version control</t>
        </is>
      </c>
      <c r="C63" s="9" t="inlineStr">
        <is>
          <t>Loading a source file whose schema version is newer or older than the application expects produces a clear warning.</t>
        </is>
      </c>
      <c r="D63" s="8" t="inlineStr">
        <is>
          <t>Should</t>
        </is>
      </c>
      <c r="E63" s="8" t="inlineStr">
        <is>
          <t>Derived</t>
        </is>
      </c>
      <c r="F63" s="8" t="inlineStr">
        <is>
          <t>4</t>
        </is>
      </c>
    </row>
    <row r="64">
      <c r="A64" s="10" t="inlineStr">
        <is>
          <t>REQ-VC-04</t>
        </is>
      </c>
      <c r="B64" s="10" t="inlineStr">
        <is>
          <t>Version control</t>
        </is>
      </c>
      <c r="C64" s="11" t="inlineStr">
        <is>
          <t>Every document re-issue adds a version-history row stating what changed and why.</t>
        </is>
      </c>
      <c r="D64" s="10" t="inlineStr">
        <is>
          <t>Must</t>
        </is>
      </c>
      <c r="E64" s="10" t="inlineStr">
        <is>
          <t>Requester</t>
        </is>
      </c>
      <c r="F64" s="10" t="inlineStr">
        <is>
          <t>1-5</t>
        </is>
      </c>
    </row>
    <row r="65">
      <c r="A65" s="8" t="inlineStr">
        <is>
          <t>REQ-NFR-01</t>
        </is>
      </c>
      <c r="B65" s="8" t="inlineStr">
        <is>
          <t>Non-functional</t>
        </is>
      </c>
      <c r="C65" s="9" t="inlineStr">
        <is>
          <t>The application is built so later requirements can be added without restructuring: parsing, calculation and presentation are separated.</t>
        </is>
      </c>
      <c r="D65" s="8" t="inlineStr">
        <is>
          <t>Must</t>
        </is>
      </c>
      <c r="E65" s="8" t="inlineStr">
        <is>
          <t>Requester</t>
        </is>
      </c>
      <c r="F65" s="8" t="inlineStr">
        <is>
          <t>4</t>
        </is>
      </c>
    </row>
    <row r="66">
      <c r="A66" s="10" t="inlineStr">
        <is>
          <t>REQ-NFR-02</t>
        </is>
      </c>
      <c r="B66" s="10" t="inlineStr">
        <is>
          <t>Non-functional</t>
        </is>
      </c>
      <c r="C66" s="11" t="inlineStr">
        <is>
          <t>Works in Microsoft Edge and Google Chrome on Windows 10/11, offline.</t>
        </is>
      </c>
      <c r="D66" s="10" t="inlineStr">
        <is>
          <t>Must</t>
        </is>
      </c>
      <c r="E66" s="10" t="inlineStr">
        <is>
          <t>Q-05</t>
        </is>
      </c>
      <c r="F66" s="10" t="inlineStr">
        <is>
          <t>4</t>
        </is>
      </c>
    </row>
    <row r="67">
      <c r="A67" s="18" t="inlineStr">
        <is>
          <t>REQ-NFR-03</t>
        </is>
      </c>
      <c r="B67" s="18" t="inlineStr">
        <is>
          <t>Non-functional</t>
        </is>
      </c>
      <c r="C67" s="17" t="inlineStr">
        <is>
          <t>Handles the working data volume - 20 projects, 30 people - with headroom to 50 projects, 100 people, 500 assignments and a 60-month horizon, redrawing in under about 1 second.</t>
        </is>
      </c>
      <c r="D67" s="18" t="inlineStr">
        <is>
          <t>Should</t>
        </is>
      </c>
      <c r="E67" s="18" t="inlineStr">
        <is>
          <t>Q-06</t>
        </is>
      </c>
      <c r="F67" s="18" t="inlineStr">
        <is>
          <t>4</t>
        </is>
      </c>
    </row>
    <row r="68">
      <c r="A68" s="10" t="inlineStr">
        <is>
          <t>REQ-NFR-04</t>
        </is>
      </c>
      <c r="B68" s="10" t="inlineStr">
        <is>
          <t>Non-functional</t>
        </is>
      </c>
      <c r="C68" s="11" t="inlineStr">
        <is>
          <t>No data leaves the PC: no network calls, no external CDN, no telemetry.</t>
        </is>
      </c>
      <c r="D68" s="10" t="inlineStr">
        <is>
          <t>Must</t>
        </is>
      </c>
      <c r="E68" s="10" t="inlineStr">
        <is>
          <t>Derived</t>
        </is>
      </c>
      <c r="F68" s="10" t="inlineStr">
        <is>
          <t>4</t>
        </is>
      </c>
    </row>
    <row r="69">
      <c r="A69" s="8" t="inlineStr">
        <is>
          <t>REQ-NFR-05</t>
        </is>
      </c>
      <c r="B69" s="8" t="inlineStr">
        <is>
          <t>Non-functional</t>
        </is>
      </c>
      <c r="C69" s="9" t="inlineStr">
        <is>
          <t>Dates are handled unambiguously (ISO yyyy-mm-dd internally) regardless of Windows regional settings.</t>
        </is>
      </c>
      <c r="D69" s="8" t="inlineStr">
        <is>
          <t>Must</t>
        </is>
      </c>
      <c r="E69" s="8" t="inlineStr">
        <is>
          <t>Derived</t>
        </is>
      </c>
      <c r="F69" s="8" t="inlineStr">
        <is>
          <t>4</t>
        </is>
      </c>
    </row>
    <row r="71">
      <c r="A71" s="5" t="inlineStr">
        <is>
          <t>Requirement count by priority</t>
        </is>
      </c>
    </row>
    <row r="72" ht="28" customHeight="1">
      <c r="A72" s="7" t="inlineStr">
        <is>
          <t>Priority</t>
        </is>
      </c>
      <c r="B72" s="7" t="inlineStr">
        <is>
          <t>Count</t>
        </is>
      </c>
    </row>
    <row r="73">
      <c r="A73" s="8" t="inlineStr">
        <is>
          <t>Must</t>
        </is>
      </c>
      <c r="B73" s="8">
        <f>COUNTIF(D5:D69,"Must")</f>
        <v/>
      </c>
    </row>
    <row r="74">
      <c r="A74" s="10" t="inlineStr">
        <is>
          <t>Should</t>
        </is>
      </c>
      <c r="B74" s="10">
        <f>COUNTIF(D5:D69,"Should")</f>
        <v/>
      </c>
    </row>
    <row r="75">
      <c r="A75" s="8" t="inlineStr">
        <is>
          <t>Could</t>
        </is>
      </c>
      <c r="B75" s="8">
        <f>COUNTIF(D5:D69,"Could")</f>
        <v/>
      </c>
    </row>
    <row r="76">
      <c r="A76" s="10" t="inlineStr">
        <is>
          <t>Total</t>
        </is>
      </c>
      <c r="B76" s="10">
        <f>COUNTA(A5:A69)</f>
        <v/>
      </c>
    </row>
    <row r="78">
      <c r="A78" s="16" t="inlineStr">
        <is>
          <t>47 requirements at v0.1, 58 at v0.2, 61 at v0.3, 63 at v0.4 and v1.0. v1.1 adds 2 and rewords 3, as a change against the approved baseline.</t>
        </is>
      </c>
    </row>
    <row r="79">
      <c r="A79" s="16" t="inlineStr">
        <is>
          <t>'Source' = Requester (in the original request), a Q-number (answered at v0.11 review), 'Reviewer v0.11' (added by the reviewer directly), Derived (engineering consequence), or a Decision ID from 07_Architecture.</t>
        </is>
      </c>
    </row>
    <row r="80">
      <c r="A80" s="3" t="inlineStr">
        <is>
          <t>Legend</t>
        </is>
      </c>
    </row>
    <row r="81">
      <c r="A81" s="12" t="inlineStr">
        <is>
          <t>Green = new in v0.2, added from your review answers.</t>
        </is>
      </c>
    </row>
    <row r="82">
      <c r="A82" s="13" t="inlineStr">
        <is>
          <t>Orange = changed in v0.2 as a consequence of your review.</t>
        </is>
      </c>
    </row>
    <row r="83">
      <c r="A83" s="14" t="inlineStr">
        <is>
          <t>Yellow = still needs your input.</t>
        </is>
      </c>
    </row>
  </sheetData>
  <dataValidations count="1">
    <dataValidation sqref="D5:D6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2"/>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18"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49">
      <c r="A49" s="5" t="inlineStr">
        <is>
          <t>Sheet: ProjectPeriod  [was ProjectPeriodWeight]</t>
        </is>
      </c>
    </row>
    <row r="50" ht="28" customHeight="1">
      <c r="A50" s="7" t="inlineStr">
        <is>
          <t>Column</t>
        </is>
      </c>
      <c r="B50" s="7" t="inlineStr">
        <is>
          <t>Type</t>
        </is>
      </c>
      <c r="C50" s="7" t="inlineStr">
        <is>
          <t>Required</t>
        </is>
      </c>
      <c r="D50" s="7" t="inlineStr">
        <is>
          <t>Definition / rule</t>
        </is>
      </c>
      <c r="E50" s="7" t="inlineStr">
        <is>
          <t>REQ-ID</t>
        </is>
      </c>
    </row>
    <row r="51">
      <c r="A51" s="8" t="inlineStr">
        <is>
          <t>project_id</t>
        </is>
      </c>
      <c r="B51" s="8" t="inlineStr">
        <is>
          <t>Text</t>
        </is>
      </c>
      <c r="C51" s="8" t="inlineStr">
        <is>
          <t>Yes</t>
        </is>
      </c>
      <c r="D51" s="9" t="inlineStr">
        <is>
          <t>Foreign key to Project.</t>
        </is>
      </c>
      <c r="E51" s="8" t="inlineStr">
        <is>
          <t>REQ-PRJ-06</t>
        </is>
      </c>
    </row>
    <row r="52">
      <c r="A52" s="18" t="inlineStr">
        <is>
          <t>period_name</t>
        </is>
      </c>
      <c r="B52" s="18" t="inlineStr">
        <is>
          <t>List</t>
        </is>
      </c>
      <c r="C52" s="18" t="inlineStr">
        <is>
          <t>Yes</t>
        </is>
      </c>
      <c r="D52" s="17" t="inlineStr">
        <is>
          <t>From the period set for the project's TYPE - see the two sets below. A period name from the wrong set is rejected. NOT unique within a project: 'Conduct' occurs twice where an interim DB lock splits it.</t>
        </is>
      </c>
      <c r="E52" s="18" t="inlineStr">
        <is>
          <t>REQ-PRJ-12, REQ-CAL-11</t>
        </is>
      </c>
    </row>
    <row r="53">
      <c r="A53" s="20" t="inlineStr">
        <is>
          <t>period_seq</t>
        </is>
      </c>
      <c r="B53" s="20" t="inlineStr">
        <is>
          <t>Integer</t>
        </is>
      </c>
      <c r="C53" s="20" t="inlineStr">
        <is>
          <t>Yes</t>
        </is>
      </c>
      <c r="D53" s="19" t="inlineStr">
        <is>
          <t>Orders the periods along the timeline and tells the two 'Conduct' stretches apart. Unique within a project.</t>
        </is>
      </c>
      <c r="E53" s="20" t="inlineStr">
        <is>
          <t>REQ-CAL-11</t>
        </is>
      </c>
    </row>
    <row r="54">
      <c r="A54" s="18" t="inlineStr">
        <is>
          <t>period_start</t>
        </is>
      </c>
      <c r="B54" s="18" t="inlineStr">
        <is>
          <t>Date</t>
        </is>
      </c>
      <c r="C54" s="18" t="inlineStr">
        <is>
          <t>Yes</t>
        </is>
      </c>
      <c r="D54" s="17" t="inlineStr">
        <is>
          <t>Inclusive. For Clinical Trial, computed from milestones (sheet 05) and then editable. For Others, entered directly.</t>
        </is>
      </c>
      <c r="E54" s="18" t="inlineStr">
        <is>
          <t>REQ-CAL-09</t>
        </is>
      </c>
    </row>
    <row r="55">
      <c r="A55" s="18" t="inlineStr">
        <is>
          <t>period_end</t>
        </is>
      </c>
      <c r="B55" s="18" t="inlineStr">
        <is>
          <t>Date</t>
        </is>
      </c>
      <c r="C55" s="18" t="inlineStr">
        <is>
          <t>Yes</t>
        </is>
      </c>
      <c r="D55" s="17" t="inlineStr">
        <is>
          <t>Inclusive. Periods for one project must not overlap and must leave no gap (REQ-CAL-10).</t>
        </is>
      </c>
      <c r="E55" s="18" t="inlineStr">
        <is>
          <t>REQ-CAL-09</t>
        </is>
      </c>
    </row>
    <row r="56">
      <c r="A56" s="18" t="inlineStr">
        <is>
          <t>weight</t>
        </is>
      </c>
      <c r="B56" s="18" t="inlineStr">
        <is>
          <t>Decimal</t>
        </is>
      </c>
      <c r="C56" s="18" t="inlineStr">
        <is>
          <t>Yes</t>
        </is>
      </c>
      <c r="D56" s="17" t="inlineStr">
        <is>
          <t>Effort multiplier for this period. For a clinical trial, seeded from PeriodWeightStandard by clinical phase and then editable. For 'Others', entered by hand (Q-28). Values are data (Q-17), not fixed in this plan.</t>
        </is>
      </c>
      <c r="E56" s="18" t="inlineStr">
        <is>
          <t>REQ-PRJ-06</t>
        </is>
      </c>
    </row>
    <row r="58">
      <c r="A58" s="16" t="inlineStr">
        <is>
          <t>Period sets are type-specific (Q-18). The derivation itself is on sheet 05.</t>
        </is>
      </c>
    </row>
    <row r="59" ht="28" customHeight="1">
      <c r="A59" s="7" t="inlineStr">
        <is>
          <t>project_type</t>
        </is>
      </c>
      <c r="B59" s="7" t="inlineStr">
        <is>
          <t>Period set</t>
        </is>
      </c>
      <c r="C59" s="7" t="inlineStr">
        <is>
          <t>How boundaries are set</t>
        </is>
      </c>
    </row>
    <row r="60">
      <c r="A60" s="8" t="inlineStr">
        <is>
          <t>Clinical Trial</t>
        </is>
      </c>
      <c r="B60" s="9" t="inlineStr">
        <is>
          <t>Before-Start-up, Start-up, Conduct, Close-out (interim), Close-out (final), After Close-out (final)</t>
        </is>
      </c>
      <c r="C60" s="9" t="inlineStr">
        <is>
          <t>Computed from milestones plus month offsets. 'Conduct' may appear twice; 'Close-out (interim)' only with an interim DB lock; 'After Close-out (final)' only where inspection activity follows the final DB lock.</t>
        </is>
      </c>
    </row>
    <row r="61">
      <c r="A61" s="10" t="inlineStr">
        <is>
          <t>Others</t>
        </is>
      </c>
      <c r="B61" s="11" t="inlineStr">
        <is>
          <t>Planning, Develop, Close</t>
        </is>
      </c>
      <c r="C61" s="11" t="inlineStr">
        <is>
          <t>Entered directly - dates confirmed manual at Q-25, weights at Q-28. 'Others' projects are hand-entered throughout.</t>
        </is>
      </c>
    </row>
    <row r="63">
      <c r="A63" s="5" t="inlineStr">
        <is>
          <t>Sheet: PeriodWeightStandard</t>
        </is>
      </c>
    </row>
    <row r="64" ht="28" customHeight="1">
      <c r="A64" s="7" t="inlineStr">
        <is>
          <t>Column</t>
        </is>
      </c>
      <c r="B64" s="7" t="inlineStr">
        <is>
          <t>Type</t>
        </is>
      </c>
      <c r="C64" s="7" t="inlineStr">
        <is>
          <t>Required</t>
        </is>
      </c>
      <c r="D64" s="7" t="inlineStr">
        <is>
          <t>Definition / rule</t>
        </is>
      </c>
      <c r="E64" s="7" t="inlineStr">
        <is>
          <t>Basis</t>
        </is>
      </c>
    </row>
    <row r="65">
      <c r="A65" s="18" t="inlineStr">
        <is>
          <t>project_type</t>
        </is>
      </c>
      <c r="B65" s="18" t="inlineStr">
        <is>
          <t>List</t>
        </is>
      </c>
      <c r="C65" s="18" t="inlineStr">
        <is>
          <t>Yes</t>
        </is>
      </c>
      <c r="D65" s="17" t="inlineStr">
        <is>
          <t>Always 'Clinical Trial' at v1.0. 'Others' projects take manual weights (Q-28), so they need no standard row. The column stays so a standard set can be added later without a schema change.</t>
        </is>
      </c>
      <c r="E65" s="18" t="inlineStr">
        <is>
          <t>Q-28</t>
        </is>
      </c>
    </row>
    <row r="66">
      <c r="A66" s="18" t="inlineStr">
        <is>
          <t>clinical_phase</t>
        </is>
      </c>
      <c r="B66" s="18" t="inlineStr">
        <is>
          <t>List</t>
        </is>
      </c>
      <c r="C66" s="18" t="inlineStr">
        <is>
          <t>Yes</t>
        </is>
      </c>
      <c r="D66" s="17" t="inlineStr">
        <is>
          <t>The phase the standard applies to. This is the key that selects a clinical trial's weights.</t>
        </is>
      </c>
      <c r="E66" s="18" t="inlineStr">
        <is>
          <t>Q-26</t>
        </is>
      </c>
    </row>
    <row r="67">
      <c r="A67" s="8" t="inlineStr">
        <is>
          <t>period_name</t>
        </is>
      </c>
      <c r="B67" s="8" t="inlineStr">
        <is>
          <t>List</t>
        </is>
      </c>
      <c r="C67" s="8" t="inlineStr">
        <is>
          <t>Yes</t>
        </is>
      </c>
      <c r="D67" s="9" t="inlineStr">
        <is>
          <t>A period from that type's set.</t>
        </is>
      </c>
      <c r="E67" s="8" t="inlineStr">
        <is>
          <t>Q-04, Q-18</t>
        </is>
      </c>
    </row>
    <row r="68">
      <c r="A68" s="18" t="inlineStr">
        <is>
          <t>weight</t>
        </is>
      </c>
      <c r="B68" s="18" t="inlineStr">
        <is>
          <t>Decimal</t>
        </is>
      </c>
      <c r="C68" s="18" t="inlineStr">
        <is>
          <t>Yes</t>
        </is>
      </c>
      <c r="D68" s="17" t="inlineStr">
        <is>
          <t>Default multiplier. You fill these in the source workbook (Q-17); the plan fixes only where they live.</t>
        </is>
      </c>
      <c r="E68" s="18" t="inlineStr">
        <is>
          <t>Q-01</t>
        </is>
      </c>
    </row>
    <row r="70">
      <c r="A7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1">
      <c r="A71" s="5" t="inlineStr">
        <is>
          <t>Sheet: RoleFactor</t>
        </is>
      </c>
    </row>
    <row r="72" ht="28" customHeight="1">
      <c r="A72" s="7" t="inlineStr">
        <is>
          <t>Column</t>
        </is>
      </c>
      <c r="B72" s="7" t="inlineStr">
        <is>
          <t>Type</t>
        </is>
      </c>
      <c r="C72" s="7" t="inlineStr">
        <is>
          <t>Required</t>
        </is>
      </c>
      <c r="D72" s="7" t="inlineStr">
        <is>
          <t>Definition / rule</t>
        </is>
      </c>
      <c r="E72" s="7" t="inlineStr">
        <is>
          <t>Basis</t>
        </is>
      </c>
    </row>
    <row r="73">
      <c r="A73" s="20" t="inlineStr">
        <is>
          <t>project_type</t>
        </is>
      </c>
      <c r="B73" s="20" t="inlineStr">
        <is>
          <t>List</t>
        </is>
      </c>
      <c r="C73" s="20" t="inlineStr">
        <is>
          <t>Yes</t>
        </is>
      </c>
      <c r="D73" s="19" t="inlineStr">
        <is>
          <t>'Clinical Trial' or 'Others'. Roles differ by type, so the same role name cannot leak across types.</t>
        </is>
      </c>
      <c r="E73" s="20" t="inlineStr">
        <is>
          <t>Q-03</t>
        </is>
      </c>
    </row>
    <row r="74">
      <c r="A74" s="18" t="inlineStr">
        <is>
          <t>role_name</t>
        </is>
      </c>
      <c r="B74" s="18" t="inlineStr">
        <is>
          <t>Text</t>
        </is>
      </c>
      <c r="C74" s="18" t="inlineStr">
        <is>
          <t>Yes</t>
        </is>
      </c>
      <c r="D74" s="17" t="inlineStr">
        <is>
          <t>Clinical Trial: 'Project oversight', 'Lead data manager', 'Clinical Data Associator', 'Clinical Database Programmer', 'Data Analyst'. Others: 'Project lead', 'Main staff', 'Other staff'.</t>
        </is>
      </c>
      <c r="E74" s="18" t="inlineStr">
        <is>
          <t>Q-03</t>
        </is>
      </c>
    </row>
    <row r="75">
      <c r="A75" s="18" t="inlineStr">
        <is>
          <t>role_factor</t>
        </is>
      </c>
      <c r="B75" s="18" t="inlineStr">
        <is>
          <t>Decimal</t>
        </is>
      </c>
      <c r="C75" s="18" t="inlineStr">
        <is>
          <t>Yes</t>
        </is>
      </c>
      <c r="D75" s="17" t="inlineStr">
        <is>
          <t>Relative burden of the role, the same for everyone holding it. Values still to be supplied - see Q-17.</t>
        </is>
      </c>
      <c r="E75" s="18" t="inlineStr">
        <is>
          <t>Q-01</t>
        </is>
      </c>
    </row>
    <row r="76">
      <c r="A76" s="10" t="inlineStr">
        <is>
          <t>role_note</t>
        </is>
      </c>
      <c r="B76" s="10" t="inlineStr">
        <is>
          <t>Text</t>
        </is>
      </c>
      <c r="C76" s="10" t="inlineStr">
        <is>
          <t>No</t>
        </is>
      </c>
      <c r="D76" s="11" t="inlineStr">
        <is>
          <t>Basis for the factor.</t>
        </is>
      </c>
      <c r="E76" s="10" t="inlineStr">
        <is>
          <t>REQ-CAL-06</t>
        </is>
      </c>
    </row>
    <row r="78">
      <c r="A78" s="5" t="inlineStr">
        <is>
          <t>Sheet: Person</t>
        </is>
      </c>
    </row>
    <row r="79" ht="28" customHeight="1">
      <c r="A79" s="7" t="inlineStr">
        <is>
          <t>Column</t>
        </is>
      </c>
      <c r="B79" s="7" t="inlineStr">
        <is>
          <t>Type</t>
        </is>
      </c>
      <c r="C79" s="7" t="inlineStr">
        <is>
          <t>Required</t>
        </is>
      </c>
      <c r="D79" s="7" t="inlineStr">
        <is>
          <t>Definition / rule</t>
        </is>
      </c>
      <c r="E79" s="7" t="inlineStr">
        <is>
          <t>REQ-ID</t>
        </is>
      </c>
    </row>
    <row r="80">
      <c r="A80" s="8" t="inlineStr">
        <is>
          <t>person_id</t>
        </is>
      </c>
      <c r="B80" s="8" t="inlineStr">
        <is>
          <t>Text</t>
        </is>
      </c>
      <c r="C80" s="8" t="inlineStr">
        <is>
          <t>Yes</t>
        </is>
      </c>
      <c r="D80" s="9" t="inlineStr">
        <is>
          <t>Unique key, e.g. PSN-001.</t>
        </is>
      </c>
      <c r="E80" s="8" t="inlineStr">
        <is>
          <t>REQ-PSN-01</t>
        </is>
      </c>
    </row>
    <row r="81">
      <c r="A81" s="10" t="inlineStr">
        <is>
          <t>person_name</t>
        </is>
      </c>
      <c r="B81" s="10" t="inlineStr">
        <is>
          <t>Text</t>
        </is>
      </c>
      <c r="C81" s="10" t="inlineStr">
        <is>
          <t>Yes</t>
        </is>
      </c>
      <c r="D81" s="11" t="inlineStr">
        <is>
          <t>Display name.</t>
        </is>
      </c>
      <c r="E81" s="10" t="inlineStr">
        <is>
          <t>REQ-PSN-01</t>
        </is>
      </c>
    </row>
    <row r="82">
      <c r="A82" s="8" t="inlineStr">
        <is>
          <t>department</t>
        </is>
      </c>
      <c r="B82" s="8" t="inlineStr">
        <is>
          <t>Text</t>
        </is>
      </c>
      <c r="C82" s="8" t="inlineStr">
        <is>
          <t>No</t>
        </is>
      </c>
      <c r="D82" s="9" t="inlineStr">
        <is>
          <t>Grouping for the dashboard.</t>
        </is>
      </c>
      <c r="E82" s="8" t="inlineStr">
        <is>
          <t>REQ-PSN-06</t>
        </is>
      </c>
    </row>
    <row r="83">
      <c r="A83" s="10" t="inlineStr">
        <is>
          <t>primary_role</t>
        </is>
      </c>
      <c r="B83" s="10" t="inlineStr">
        <is>
          <t>Text</t>
        </is>
      </c>
      <c r="C83" s="10" t="inlineStr">
        <is>
          <t>No</t>
        </is>
      </c>
      <c r="D83" s="11" t="inlineStr">
        <is>
          <t>Usual role; an assignment can override it.</t>
        </is>
      </c>
      <c r="E83" s="10" t="inlineStr">
        <is>
          <t>REQ-PSN-03</t>
        </is>
      </c>
    </row>
    <row r="84">
      <c r="A84" s="18" t="inlineStr">
        <is>
          <t>capacity_fte</t>
        </is>
      </c>
      <c r="B84" s="18" t="inlineStr">
        <is>
          <t>Decimal</t>
        </is>
      </c>
      <c r="C84" s="18" t="inlineStr">
        <is>
          <t>No</t>
        </is>
      </c>
      <c r="D84" s="17" t="inlineStr">
        <is>
          <t>Available capacity in FTE, default 1.00 (= 160 h/month). Lower it for a part-timer.</t>
        </is>
      </c>
      <c r="E84" s="18" t="inlineStr">
        <is>
          <t>REQ-CAL-08</t>
        </is>
      </c>
    </row>
    <row r="85">
      <c r="A85" s="10" t="inlineStr">
        <is>
          <t>employment_start / employment_end</t>
        </is>
      </c>
      <c r="B85" s="10" t="inlineStr">
        <is>
          <t>Date</t>
        </is>
      </c>
      <c r="C85" s="10" t="inlineStr">
        <is>
          <t>No</t>
        </is>
      </c>
      <c r="D85" s="11" t="inlineStr">
        <is>
          <t>Bounds availability; blank end = open.</t>
        </is>
      </c>
      <c r="E85" s="10" t="inlineStr">
        <is>
          <t>REQ-PSN-04</t>
        </is>
      </c>
    </row>
    <row r="86">
      <c r="A86" s="8" t="inlineStr">
        <is>
          <t>note_1 .. note_5</t>
        </is>
      </c>
      <c r="B86" s="8" t="inlineStr">
        <is>
          <t>Text</t>
        </is>
      </c>
      <c r="C86" s="8" t="inlineStr">
        <is>
          <t>No</t>
        </is>
      </c>
      <c r="D86" s="9" t="inlineStr">
        <is>
          <t>Free extension columns.</t>
        </is>
      </c>
      <c r="E86" s="8" t="inlineStr">
        <is>
          <t>REQ-PSN-06</t>
        </is>
      </c>
    </row>
    <row r="88">
      <c r="A88" s="5" t="inlineStr">
        <is>
          <t>Sheet: Assignment</t>
        </is>
      </c>
    </row>
    <row r="89" ht="28" customHeight="1">
      <c r="A89" s="7" t="inlineStr">
        <is>
          <t>Column</t>
        </is>
      </c>
      <c r="B89" s="7" t="inlineStr">
        <is>
          <t>Type</t>
        </is>
      </c>
      <c r="C89" s="7" t="inlineStr">
        <is>
          <t>Required</t>
        </is>
      </c>
      <c r="D89" s="7" t="inlineStr">
        <is>
          <t>Definition / rule</t>
        </is>
      </c>
      <c r="E89" s="7" t="inlineStr">
        <is>
          <t>REQ-ID</t>
        </is>
      </c>
    </row>
    <row r="90">
      <c r="A90" s="8" t="inlineStr">
        <is>
          <t>assignment_id</t>
        </is>
      </c>
      <c r="B90" s="8" t="inlineStr">
        <is>
          <t>Text</t>
        </is>
      </c>
      <c r="C90" s="8" t="inlineStr">
        <is>
          <t>Yes</t>
        </is>
      </c>
      <c r="D90" s="9" t="inlineStr">
        <is>
          <t>Unique key. One row per person + project + role.</t>
        </is>
      </c>
      <c r="E90" s="8" t="inlineStr">
        <is>
          <t>REQ-PSN-07</t>
        </is>
      </c>
    </row>
    <row r="91">
      <c r="A91" s="10" t="inlineStr">
        <is>
          <t>person_id</t>
        </is>
      </c>
      <c r="B91" s="10" t="inlineStr">
        <is>
          <t>Text</t>
        </is>
      </c>
      <c r="C91" s="10" t="inlineStr">
        <is>
          <t>Yes</t>
        </is>
      </c>
      <c r="D91" s="11" t="inlineStr">
        <is>
          <t>Foreign key to Person.</t>
        </is>
      </c>
      <c r="E91" s="10" t="inlineStr">
        <is>
          <t>REQ-PSN-01</t>
        </is>
      </c>
    </row>
    <row r="92">
      <c r="A92" s="20" t="inlineStr">
        <is>
          <t>person_name</t>
        </is>
      </c>
      <c r="B92" s="20" t="inlineStr">
        <is>
          <t>Text</t>
        </is>
      </c>
      <c r="C92" s="20" t="inlineStr">
        <is>
          <t>No</t>
        </is>
      </c>
      <c r="D92" s="19" t="inlineStr">
        <is>
          <t>Display convenience added at v0.11. Not authoritative: checked against Person on import and refreshed from it.</t>
        </is>
      </c>
      <c r="E92" s="20" t="inlineStr">
        <is>
          <t>REQ-PSN-01</t>
        </is>
      </c>
    </row>
    <row r="93">
      <c r="A93" s="10" t="inlineStr">
        <is>
          <t>project_id</t>
        </is>
      </c>
      <c r="B93" s="10" t="inlineStr">
        <is>
          <t>Text</t>
        </is>
      </c>
      <c r="C93" s="10" t="inlineStr">
        <is>
          <t>Yes</t>
        </is>
      </c>
      <c r="D93" s="11" t="inlineStr">
        <is>
          <t>Foreign key to Project.</t>
        </is>
      </c>
      <c r="E93" s="10" t="inlineStr">
        <is>
          <t>REQ-PSN-02</t>
        </is>
      </c>
    </row>
    <row r="94">
      <c r="A94" s="18" t="inlineStr">
        <is>
          <t>role_name</t>
        </is>
      </c>
      <c r="B94" s="18" t="inlineStr">
        <is>
          <t>Text</t>
        </is>
      </c>
      <c r="C94" s="18" t="inlineStr">
        <is>
          <t>Yes</t>
        </is>
      </c>
      <c r="D94" s="17" t="inlineStr">
        <is>
          <t>Foreign key to RoleFactor, matched on (project's type, role_name). Several rows = several roles on one project.</t>
        </is>
      </c>
      <c r="E94" s="18" t="inlineStr">
        <is>
          <t>REQ-PSN-03</t>
        </is>
      </c>
    </row>
    <row r="95">
      <c r="A95" s="10" t="inlineStr">
        <is>
          <t>assign_start_date</t>
        </is>
      </c>
      <c r="B95" s="10" t="inlineStr">
        <is>
          <t>Date</t>
        </is>
      </c>
      <c r="C95" s="10" t="inlineStr">
        <is>
          <t>Yes</t>
        </is>
      </c>
      <c r="D95" s="11" t="inlineStr">
        <is>
          <t>Date the person joins the study.</t>
        </is>
      </c>
      <c r="E95" s="10" t="inlineStr">
        <is>
          <t>REQ-PSN-04</t>
        </is>
      </c>
    </row>
    <row r="96">
      <c r="A96" s="8" t="inlineStr">
        <is>
          <t>assign_end_date</t>
        </is>
      </c>
      <c r="B96" s="8" t="inlineStr">
        <is>
          <t>Date</t>
        </is>
      </c>
      <c r="C96" s="8" t="inlineStr">
        <is>
          <t>Yes</t>
        </is>
      </c>
      <c r="D96" s="9" t="inlineStr">
        <is>
          <t>Date the person leaves the study. Blank = runs to project end.</t>
        </is>
      </c>
      <c r="E96" s="8" t="inlineStr">
        <is>
          <t>REQ-PSN-04</t>
        </is>
      </c>
    </row>
    <row r="97">
      <c r="A97" s="18" t="inlineStr">
        <is>
          <t>person_weight</t>
        </is>
      </c>
      <c r="B97" s="18" t="inlineStr">
        <is>
          <t>Decimal</t>
        </is>
      </c>
      <c r="C97" s="18" t="inlineStr">
        <is>
          <t>Yes</t>
        </is>
      </c>
      <c r="D97" s="17" t="inlineStr">
        <is>
          <t>RENAMED from base_allocation. How much this person works on this project, e.g. 0.40. Q-01 folded the two former fields into this one.</t>
        </is>
      </c>
      <c r="E97" s="18" t="inlineStr">
        <is>
          <t>REQ-CAL-02</t>
        </is>
      </c>
    </row>
    <row r="98">
      <c r="A98" s="8" t="inlineStr">
        <is>
          <t>note_1 .. note_3</t>
        </is>
      </c>
      <c r="B98" s="8" t="inlineStr">
        <is>
          <t>Text</t>
        </is>
      </c>
      <c r="C98" s="8" t="inlineStr">
        <is>
          <t>No</t>
        </is>
      </c>
      <c r="D98" s="9" t="inlineStr">
        <is>
          <t>Free extension columns.</t>
        </is>
      </c>
      <c r="E98" s="8" t="inlineStr">
        <is>
          <t>REQ-PSN-06</t>
        </is>
      </c>
    </row>
    <row r="100">
      <c r="A100" s="5" t="inlineStr">
        <is>
          <t>Sheet: PersonPeriodWeight</t>
        </is>
      </c>
    </row>
    <row r="101" ht="28" customHeight="1">
      <c r="A101" s="7" t="inlineStr">
        <is>
          <t>Column</t>
        </is>
      </c>
      <c r="B101" s="7" t="inlineStr">
        <is>
          <t>Type</t>
        </is>
      </c>
      <c r="C101" s="7" t="inlineStr">
        <is>
          <t>Required</t>
        </is>
      </c>
      <c r="D101" s="7" t="inlineStr">
        <is>
          <t>Definition / rule</t>
        </is>
      </c>
      <c r="E101" s="7" t="inlineStr">
        <is>
          <t>REQ-ID</t>
        </is>
      </c>
    </row>
    <row r="102">
      <c r="A102" s="8" t="inlineStr">
        <is>
          <t>assignment_id</t>
        </is>
      </c>
      <c r="B102" s="8" t="inlineStr">
        <is>
          <t>Text</t>
        </is>
      </c>
      <c r="C102" s="8" t="inlineStr">
        <is>
          <t>Yes</t>
        </is>
      </c>
      <c r="D102" s="9" t="inlineStr">
        <is>
          <t>Foreign key to Assignment.</t>
        </is>
      </c>
      <c r="E102" s="8" t="inlineStr">
        <is>
          <t>REQ-PSN-05</t>
        </is>
      </c>
    </row>
    <row r="103">
      <c r="A103" s="10" t="inlineStr">
        <is>
          <t>period_start</t>
        </is>
      </c>
      <c r="B103" s="10" t="inlineStr">
        <is>
          <t>Date</t>
        </is>
      </c>
      <c r="C103" s="10" t="inlineStr">
        <is>
          <t>Yes</t>
        </is>
      </c>
      <c r="D103" s="11" t="inlineStr">
        <is>
          <t>Inclusive.</t>
        </is>
      </c>
      <c r="E103" s="10" t="inlineStr">
        <is>
          <t>REQ-PSN-05</t>
        </is>
      </c>
    </row>
    <row r="104">
      <c r="A104" s="8" t="inlineStr">
        <is>
          <t>period_end</t>
        </is>
      </c>
      <c r="B104" s="8" t="inlineStr">
        <is>
          <t>Date</t>
        </is>
      </c>
      <c r="C104" s="8" t="inlineStr">
        <is>
          <t>Yes</t>
        </is>
      </c>
      <c r="D104" s="9" t="inlineStr">
        <is>
          <t>Inclusive. Periods within one assignment must not overlap.</t>
        </is>
      </c>
      <c r="E104" s="8" t="inlineStr">
        <is>
          <t>REQ-PSN-05</t>
        </is>
      </c>
    </row>
    <row r="105">
      <c r="A105" s="18" t="inlineStr">
        <is>
          <t>weight_override</t>
        </is>
      </c>
      <c r="B105" s="18" t="inlineStr">
        <is>
          <t>Decimal</t>
        </is>
      </c>
      <c r="C105" s="18" t="inlineStr">
        <is>
          <t>Yes</t>
        </is>
      </c>
      <c r="D105" s="17" t="inlineStr">
        <is>
          <t>REPLACES person_weight for months inside this window - it no longer multiplies it. Where no row covers a month, person_weight applies unchanged.</t>
        </is>
      </c>
      <c r="E105" s="18" t="inlineStr">
        <is>
          <t>REQ-PSN-05</t>
        </is>
      </c>
    </row>
    <row r="106">
      <c r="A106" s="8" t="inlineStr">
        <is>
          <t>reason</t>
        </is>
      </c>
      <c r="B106" s="8" t="inlineStr">
        <is>
          <t>Text</t>
        </is>
      </c>
      <c r="C106" s="8" t="inlineStr">
        <is>
          <t>No</t>
        </is>
      </c>
      <c r="D106" s="9" t="inlineStr">
        <is>
          <t>Why the weight differs, e.g. 'part-time', 'covering start-up peak'.</t>
        </is>
      </c>
      <c r="E106" s="8" t="inlineStr">
        <is>
          <t>REQ-PSN-05</t>
        </is>
      </c>
    </row>
    <row r="108">
      <c r="A10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9">
      <c r="A109" s="5" t="inlineStr">
        <is>
          <t>Sheet: Config</t>
        </is>
      </c>
    </row>
    <row r="110" ht="28" customHeight="1">
      <c r="A110" s="7" t="inlineStr">
        <is>
          <t>parameter</t>
        </is>
      </c>
      <c r="B110" s="7" t="inlineStr">
        <is>
          <t>Meaning</t>
        </is>
      </c>
      <c r="C110" s="7" t="inlineStr">
        <is>
          <t>Default value</t>
        </is>
      </c>
      <c r="D110" s="7" t="inlineStr">
        <is>
          <t>REQ-ID</t>
        </is>
      </c>
    </row>
    <row r="111">
      <c r="A111" s="8" t="inlineStr">
        <is>
          <t>schema_version</t>
        </is>
      </c>
      <c r="B111" s="9" t="inlineStr">
        <is>
          <t>Version of this workbook structure; checked on import.</t>
        </is>
      </c>
      <c r="C111" s="8" t="inlineStr">
        <is>
          <t>1</t>
        </is>
      </c>
      <c r="D111" s="8" t="inlineStr">
        <is>
          <t>REQ-VC-02</t>
        </is>
      </c>
    </row>
    <row r="112">
      <c r="A112" s="20" t="inlineStr">
        <is>
          <t>fte_hours_per_month</t>
        </is>
      </c>
      <c r="B112" s="19" t="inlineStr">
        <is>
          <t>Hours equal to 1.00 FTE.</t>
        </is>
      </c>
      <c r="C112" s="20" t="inlineStr">
        <is>
          <t>160</t>
        </is>
      </c>
      <c r="D112" s="20" t="inlineStr">
        <is>
          <t>REQ-CAL-08</t>
        </is>
      </c>
    </row>
    <row r="113">
      <c r="A113" s="20" t="inlineStr">
        <is>
          <t>over_allocation_fte</t>
        </is>
      </c>
      <c r="B113" s="19" t="inlineStr">
        <is>
          <t>Person-month total above this is over-allocated.</t>
        </is>
      </c>
      <c r="C113" s="20" t="inlineStr">
        <is>
          <t>1.50</t>
        </is>
      </c>
      <c r="D113" s="20" t="inlineStr">
        <is>
          <t>REQ-CAL-04</t>
        </is>
      </c>
    </row>
    <row r="114">
      <c r="A114" s="20" t="inlineStr">
        <is>
          <t>under_allocation_fte</t>
        </is>
      </c>
      <c r="B114" s="19" t="inlineStr">
        <is>
          <t>Person-month total below this counts toward an under-allocated run.</t>
        </is>
      </c>
      <c r="C114" s="20" t="inlineStr">
        <is>
          <t>0.80</t>
        </is>
      </c>
      <c r="D114" s="20" t="inlineStr">
        <is>
          <t>REQ-CAL-07</t>
        </is>
      </c>
    </row>
    <row r="115">
      <c r="A115" s="20" t="inlineStr">
        <is>
          <t>under_allocation_min_months</t>
        </is>
      </c>
      <c r="B115" s="19" t="inlineStr">
        <is>
          <t>Consecutive months below the threshold before flagging.</t>
        </is>
      </c>
      <c r="C115" s="20" t="inlineStr">
        <is>
          <t>3</t>
        </is>
      </c>
      <c r="D115" s="20" t="inlineStr">
        <is>
          <t>REQ-CAL-07</t>
        </is>
      </c>
    </row>
    <row r="116">
      <c r="A116" s="18" t="inlineStr">
        <is>
          <t>default_horizon_months</t>
        </is>
      </c>
      <c r="B116" s="17" t="inlineStr">
        <is>
          <t>Months shown on opening.</t>
        </is>
      </c>
      <c r="C116" s="18" t="inlineStr">
        <is>
          <t>24</t>
        </is>
      </c>
      <c r="D116" s="18" t="inlineStr">
        <is>
          <t>REQ-CAL-01</t>
        </is>
      </c>
    </row>
    <row r="117">
      <c r="A117" s="18" t="inlineStr">
        <is>
          <t>capacity_unit</t>
        </is>
      </c>
      <c r="B117" s="17" t="inlineStr">
        <is>
          <t>Display unit: 'FTE' or 'percent'.</t>
        </is>
      </c>
      <c r="C117" s="18" t="inlineStr">
        <is>
          <t>FTE</t>
        </is>
      </c>
      <c r="D117" s="18" t="inlineStr">
        <is>
          <t>REQ-CAL-08</t>
        </is>
      </c>
    </row>
    <row r="119">
      <c r="A119" s="5" t="inlineStr">
        <is>
          <t>Sheet: Lists   [new]</t>
        </is>
      </c>
    </row>
    <row r="120">
      <c r="A120" s="6" t="inlineStr">
        <is>
          <t>Two columns - list_name, value - holding every data-driven dropdown: outsourcing_type, clinical_phase,</t>
        </is>
      </c>
    </row>
    <row r="121">
      <c r="A121" s="6" t="inlineStr">
        <is>
          <t>milestone_name, period_name, EDC_system, DataReviewSystem, RBQM_system, setup_party, project_status.</t>
        </is>
      </c>
    </row>
    <row r="122">
      <c r="A122" s="6" t="inlineStr">
        <is>
          <t>Adding a permitted value is a data edit, never a code change (REQ-CAL-06).</t>
        </is>
      </c>
    </row>
    <row r="124">
      <c r="A124" s="5" t="inlineStr">
        <is>
          <t>Referential rules checked on import</t>
        </is>
      </c>
    </row>
    <row r="125" ht="28" customHeight="1">
      <c r="A125" s="7" t="inlineStr">
        <is>
          <t>ID</t>
        </is>
      </c>
      <c r="B125" s="7" t="inlineStr">
        <is>
          <t>Rule</t>
        </is>
      </c>
      <c r="C125" s="7" t="inlineStr">
        <is>
          <t>On failure</t>
        </is>
      </c>
    </row>
    <row r="126">
      <c r="A126" s="8" t="inlineStr">
        <is>
          <t>V-01</t>
        </is>
      </c>
      <c r="B126" s="9" t="inlineStr">
        <is>
          <t>Every Assignment.project_id exists in Project.</t>
        </is>
      </c>
      <c r="C126" s="9" t="inlineStr">
        <is>
          <t>Error - row rejected, reported with its row number.</t>
        </is>
      </c>
    </row>
    <row r="127">
      <c r="A127" s="10" t="inlineStr">
        <is>
          <t>V-02</t>
        </is>
      </c>
      <c r="B127" s="11" t="inlineStr">
        <is>
          <t>Every Assignment.person_id exists in Person.</t>
        </is>
      </c>
      <c r="C127" s="11" t="inlineStr">
        <is>
          <t>Error - row rejected.</t>
        </is>
      </c>
    </row>
    <row r="128">
      <c r="A128" s="18" t="inlineStr">
        <is>
          <t>V-03</t>
        </is>
      </c>
      <c r="B128" s="17" t="inlineStr">
        <is>
          <t>Every Assignment.role_name exists in RoleFactor FOR THAT PROJECT'S TYPE.</t>
        </is>
      </c>
      <c r="C128" s="17" t="inlineStr">
        <is>
          <t>Error - row rejected. Was a warning in v0.1; roles are now type-specific, so a mismatch is a real error.</t>
        </is>
      </c>
    </row>
    <row r="129">
      <c r="A129" s="10" t="inlineStr">
        <is>
          <t>V-04</t>
        </is>
      </c>
      <c r="B129" s="11" t="inlineStr">
        <is>
          <t>project_category is present when project_type = 'Clinical Trial'.</t>
        </is>
      </c>
      <c r="C129" s="11" t="inlineStr">
        <is>
          <t>Warning - shown as blank in the dashboard.</t>
        </is>
      </c>
    </row>
    <row r="130">
      <c r="A130" s="8" t="inlineStr">
        <is>
          <t>V-05</t>
        </is>
      </c>
      <c r="B130" s="9" t="inlineStr">
        <is>
          <t>end_date is on or after start_date, for projects, assignments and all weight periods.</t>
        </is>
      </c>
      <c r="C130" s="9" t="inlineStr">
        <is>
          <t>Error - row rejected.</t>
        </is>
      </c>
    </row>
    <row r="131">
      <c r="A131" s="10" t="inlineStr">
        <is>
          <t>V-06</t>
        </is>
      </c>
      <c r="B131" s="11" t="inlineStr">
        <is>
          <t>Periods within one project, and within one assignment, do not overlap.</t>
        </is>
      </c>
      <c r="C131" s="11" t="inlineStr">
        <is>
          <t>Error - overlapping pair reported.</t>
        </is>
      </c>
    </row>
    <row r="132">
      <c r="A132" s="8" t="inlineStr">
        <is>
          <t>V-07</t>
        </is>
      </c>
      <c r="B132" s="9" t="inlineStr">
        <is>
          <t>Assignment dates fall inside the project's own start and end dates.</t>
        </is>
      </c>
      <c r="C132" s="9" t="inlineStr">
        <is>
          <t>Warning - kept, but listed for review.</t>
        </is>
      </c>
    </row>
    <row r="133">
      <c r="A133" s="10" t="inlineStr">
        <is>
          <t>V-08</t>
        </is>
      </c>
      <c r="B133" s="11" t="inlineStr">
        <is>
          <t>project_id, person_id and assignment_id are unique in their sheet.</t>
        </is>
      </c>
      <c r="C133" s="11" t="inlineStr">
        <is>
          <t>Error - duplicate rejected.</t>
        </is>
      </c>
    </row>
    <row r="134">
      <c r="A134" s="8" t="inlineStr">
        <is>
          <t>V-09</t>
        </is>
      </c>
      <c r="B134" s="9" t="inlineStr">
        <is>
          <t>schema_version in Config matches the version the application expects.</t>
        </is>
      </c>
      <c r="C134" s="9" t="inlineStr">
        <is>
          <t>Warning - proceeds, banner shown.</t>
        </is>
      </c>
    </row>
    <row r="135">
      <c r="A135" s="20" t="inlineStr">
        <is>
          <t>V-10</t>
        </is>
      </c>
      <c r="B135" s="19" t="inlineStr">
        <is>
          <t>Clinical-trial projects carry clinical_phase and the four *_setup values.</t>
        </is>
      </c>
      <c r="C135" s="19" t="inlineStr">
        <is>
          <t>Warning - the project still simulates; the gap is listed.</t>
        </is>
      </c>
    </row>
    <row r="136">
      <c r="A136" s="20" t="inlineStr">
        <is>
          <t>V-11</t>
        </is>
      </c>
      <c r="B136" s="19" t="inlineStr">
        <is>
          <t>Every list-typed value appears in the Lists sheet for its list.</t>
        </is>
      </c>
      <c r="C136" s="19" t="inlineStr">
        <is>
          <t>Warning - value kept, reported as unrecognised.</t>
        </is>
      </c>
    </row>
    <row r="137">
      <c r="A137" s="18" t="inlineStr">
        <is>
          <t>V-12</t>
        </is>
      </c>
      <c r="B137" s="17" t="inlineStr">
        <is>
          <t>A project's periods leave no gap and no overlap across its timeline. The full set need not be present - a period may be legitimately omitted (REQ-CAL-12).</t>
        </is>
      </c>
      <c r="C137" s="17" t="inlineStr">
        <is>
          <t>Warning - months with no period use weight 1.00 and are listed (REQ-CAL-10).</t>
        </is>
      </c>
    </row>
    <row r="138">
      <c r="A138" s="20" t="inlineStr">
        <is>
          <t>V-13</t>
        </is>
      </c>
      <c r="B138" s="19" t="inlineStr">
        <is>
          <t>Denormalised project_name / person_name match their master row.</t>
        </is>
      </c>
      <c r="C138" s="19" t="inlineStr">
        <is>
          <t>Warning - the master value wins and the copy is refreshed.</t>
        </is>
      </c>
    </row>
    <row r="139">
      <c r="A139" s="18" t="inlineStr">
        <is>
          <t>V-14</t>
        </is>
      </c>
      <c r="B139" s="17" t="inlineStr">
        <is>
          <t>A milestone date falls inside its project's start..end window, and the boundary milestones appear in chronological order. Repeated 'Inspection' rows are exempt from the uniqueness part of this check.</t>
        </is>
      </c>
      <c r="C139" s="17" t="inlineStr">
        <is>
          <t>Error for period-defining milestones - the derivation cannot run. Warning for markers.</t>
        </is>
      </c>
    </row>
    <row r="140">
      <c r="A140" s="20" t="inlineStr">
        <is>
          <t>V-15</t>
        </is>
      </c>
      <c r="B140" s="19" t="inlineStr">
        <is>
          <t>A period_name belongs to the period set of its project's type.</t>
        </is>
      </c>
      <c r="C140" s="19" t="inlineStr">
        <is>
          <t>Error - a 'Planning' period on a clinical trial is a category mistake, not a typo.</t>
        </is>
      </c>
    </row>
    <row r="141">
      <c r="A141" s="20" t="inlineStr">
        <is>
          <t>V-16</t>
        </is>
      </c>
      <c r="B141" s="19" t="inlineStr">
        <is>
          <t>A clinical trial carries the milestones the derivation needs: CTA submission, and at least one DB lock.</t>
        </is>
      </c>
      <c r="C141" s="19" t="inlineStr">
        <is>
          <t>Error - without them no period boundary can be computed.</t>
        </is>
      </c>
    </row>
    <row r="142">
      <c r="A142" s="20" t="inlineStr">
        <is>
          <t>V-18</t>
        </is>
      </c>
      <c r="B142" s="19" t="inlineStr">
        <is>
          <t>period_seq is unique within a project and orders the periods by date.</t>
        </is>
      </c>
      <c r="C142" s="19" t="inlineStr">
        <is>
          <t>Error - the two Conduct stretches cannot be told apart otherwise.</t>
        </is>
      </c>
    </row>
    <row r="143">
      <c r="A143" s="18" t="inlineStr">
        <is>
          <t>V-19</t>
        </is>
      </c>
      <c r="B143" s="17" t="inlineStr">
        <is>
          <t>A clinical trial carries a clinical_phase, and PeriodWeightStandard has rows for that phase. Not applied to 'Others' projects, whose weights are entered directly.</t>
        </is>
      </c>
      <c r="C143" s="17" t="inlineStr">
        <is>
          <t>Error - since Q-26 the phase selects the weights, so a missing phase leaves the project unweighted.</t>
        </is>
      </c>
    </row>
    <row r="144">
      <c r="A144" s="20" t="inlineStr">
        <is>
          <t>V-20</t>
        </is>
      </c>
      <c r="B144" s="19" t="inlineStr">
        <is>
          <t>A milestone other than 'Inspection' appears at most once per project.</t>
        </is>
      </c>
      <c r="C144" s="19" t="inlineStr">
        <is>
          <t>Warning - repeats are allowed but usually a data-entry slip outside Inspection.</t>
        </is>
      </c>
    </row>
    <row r="145">
      <c r="A145" s="20" t="inlineStr">
        <is>
          <t>V-21</t>
        </is>
      </c>
      <c r="B145" s="19" t="inlineStr">
        <is>
          <t>'Inspection' dates on or before the final DB lock are treated as markers, not as the start of period 7.</t>
        </is>
      </c>
      <c r="C145" s="19" t="inlineStr">
        <is>
          <t>Information - listed so the reader can see why an early inspection did not open a period.</t>
        </is>
      </c>
    </row>
    <row r="146">
      <c r="A146" s="20" t="inlineStr">
        <is>
          <t>V-17</t>
        </is>
      </c>
      <c r="B146" s="19" t="inlineStr">
        <is>
          <t>On editing an identifier, every referencing row is updated; on deleting a row, nothing may still reference it.</t>
        </is>
      </c>
      <c r="C146" s="19" t="inlineStr">
        <is>
          <t>Cascade after confirmation / deletion refused (REQ-IMP-10).</t>
        </is>
      </c>
    </row>
    <row r="148">
      <c r="A148" s="16" t="inlineStr">
        <is>
          <t>Import never stops at the first problem: it collects every finding and presents one report (REQ-IMP-02). Under REQ-IMP-09 the same rules run again on any value edited on screen.</t>
        </is>
      </c>
    </row>
    <row r="149">
      <c r="A149" s="3" t="inlineStr">
        <is>
          <t>Legend</t>
        </is>
      </c>
    </row>
    <row r="150">
      <c r="A150" s="12" t="inlineStr">
        <is>
          <t>Green = new in v0.2, added from your review answers.</t>
        </is>
      </c>
    </row>
    <row r="151">
      <c r="A151" s="13" t="inlineStr">
        <is>
          <t>Orange = changed in v0.2 as a consequence of your review.</t>
        </is>
      </c>
    </row>
    <row r="152">
      <c r="A152"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18" t="inlineStr">
        <is>
          <t>1</t>
        </is>
      </c>
      <c r="B42" s="18" t="inlineStr">
        <is>
          <t>Before-Start-up</t>
        </is>
      </c>
      <c r="C42" s="17" t="inlineStr">
        <is>
          <t>project start_date</t>
        </is>
      </c>
      <c r="D42" s="17" t="inlineStr">
        <is>
          <t>'Protocol (v1)' where recorded, otherwise the day before Start-up begins</t>
        </is>
      </c>
      <c r="E42" s="18" t="inlineStr">
        <is>
          <t>R-02</t>
        </is>
      </c>
    </row>
    <row r="43">
      <c r="A43" s="18" t="inlineStr">
        <is>
          <t>2</t>
        </is>
      </c>
      <c r="B43" s="18" t="inlineStr">
        <is>
          <t>Start-up</t>
        </is>
      </c>
      <c r="C43" s="17" t="inlineStr">
        <is>
          <t>day after 'Protocol (v1)' where recorded, otherwise one month before 'CTA submission'</t>
        </is>
      </c>
      <c r="D43" s="17" t="inlineStr">
        <is>
          <t>'First SIV' where recorded (or 'FPI'), otherwise start + 4 months - 1 day</t>
        </is>
      </c>
      <c r="E43" s="18"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18" t="inlineStr">
        <is>
          <t>6</t>
        </is>
      </c>
      <c r="B47" s="18" t="inlineStr">
        <is>
          <t>Close-out (final)</t>
        </is>
      </c>
      <c r="C47" s="17" t="inlineStr">
        <is>
          <t>3 months before 'final DB lock'</t>
        </is>
      </c>
      <c r="D47" s="17" t="inlineStr">
        <is>
          <t>day before period 7 begins; where there is no period 7, 'final DB lock' or project end_date if later</t>
        </is>
      </c>
      <c r="E47" s="18" t="inlineStr">
        <is>
          <t>R-02</t>
        </is>
      </c>
    </row>
    <row r="48">
      <c r="A48" s="20" t="inlineStr">
        <is>
          <t>7</t>
        </is>
      </c>
      <c r="B48" s="20" t="inlineStr">
        <is>
          <t>After Close-out (final)</t>
        </is>
      </c>
      <c r="C48" s="19" t="inlineStr">
        <is>
          <t>earliest 'Inspection' date that falls after the final DB lock</t>
        </is>
      </c>
      <c r="D48" s="19" t="inlineStr">
        <is>
          <t>latest 'Inspection' date, or project end_date if later</t>
        </is>
      </c>
      <c r="E48" s="20"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18" t="inlineStr">
        <is>
          <t>C-03</t>
        </is>
      </c>
      <c r="B91" s="17" t="inlineStr">
        <is>
          <t>A missing PersonPeriodWeight row means person_weight applies unchanged.</t>
        </is>
      </c>
      <c r="C91" s="17" t="inlineStr">
        <is>
          <t>Follows from the override semantics. No row is the normal case, not an exception.</t>
        </is>
      </c>
      <c r="D91" s="18" t="inlineStr">
        <is>
          <t>CONFIRMED</t>
        </is>
      </c>
    </row>
    <row r="92">
      <c r="A92" s="18" t="inlineStr">
        <is>
          <t>C-04</t>
        </is>
      </c>
      <c r="B92" s="17" t="inlineStr">
        <is>
          <t>Capacity is FTE. 1.00 FTE = 160 h/month.</t>
        </is>
      </c>
      <c r="C92" s="17" t="inlineStr">
        <is>
          <t>Confirmed at Q-08. Note the flag is NOT at 1.00 - over-allocation begins above 1.50.</t>
        </is>
      </c>
      <c r="D92" s="18" t="inlineStr">
        <is>
          <t>CONFIRMED</t>
        </is>
      </c>
    </row>
    <row r="93">
      <c r="A93" s="18" t="inlineStr">
        <is>
          <t>C-05</t>
        </is>
      </c>
      <c r="B93" s="17" t="inlineStr">
        <is>
          <t>The unit shown on screen is FTE, with hours available.</t>
        </is>
      </c>
      <c r="C93" s="17" t="inlineStr">
        <is>
          <t>Q-08 was expressed in FTE and hours, so FTE is now the default rather than percent.</t>
        </is>
      </c>
      <c r="D93" s="18" t="inlineStr">
        <is>
          <t>CONFIRMED</t>
        </is>
      </c>
    </row>
    <row r="94">
      <c r="A94" s="20" t="inlineStr">
        <is>
          <t>C-06</t>
        </is>
      </c>
      <c r="B94" s="19" t="inlineStr">
        <is>
          <t>Over- and under-allocation are judged on the person's total across all projects.</t>
        </is>
      </c>
      <c r="C94" s="19" t="inlineStr">
        <is>
          <t>The question 'is this person over-committed' is only meaningful across their whole workload.</t>
        </is>
      </c>
      <c r="D94" s="20" t="inlineStr">
        <is>
          <t>Confirm</t>
        </is>
      </c>
    </row>
    <row r="95">
      <c r="A95" s="20" t="inlineStr">
        <is>
          <t>C-07</t>
        </is>
      </c>
      <c r="B95" s="19" t="inlineStr">
        <is>
          <t>Period weights are seeded from the category standard, then editable per project.</t>
        </is>
      </c>
      <c r="C95" s="19" t="inlineStr">
        <is>
          <t>Q-01 ties weight to category; real projects still deviate. Seeding keeps them consistent without freezing them.</t>
        </is>
      </c>
      <c r="D95" s="20" t="inlineStr">
        <is>
          <t>Confirm</t>
        </is>
      </c>
    </row>
    <row r="96">
      <c r="A96" s="20" t="inlineStr">
        <is>
          <t>C-08</t>
        </is>
      </c>
      <c r="B96" s="19" t="inlineStr">
        <is>
          <t>A month is attributed to the period containing its first day.</t>
        </is>
      </c>
      <c r="C96" s="19" t="inlineStr">
        <is>
          <t>Avoids splitting a month across two weights. Simpler to explain and to check by hand.</t>
        </is>
      </c>
      <c r="D96" s="20" t="inlineStr">
        <is>
          <t>Confirm</t>
        </is>
      </c>
    </row>
    <row r="97">
      <c r="A97" s="20" t="inlineStr">
        <is>
          <t>C-09</t>
        </is>
      </c>
      <c r="B97" s="19" t="inlineStr">
        <is>
          <t>Editing an identifier cascades to every row referencing it; deleting a referenced row is refused.</t>
        </is>
      </c>
      <c r="C97" s="19" t="inlineStr">
        <is>
          <t>Q-20 asked for every field to be editable with rules preventing inconsistency. Cascading is what makes an editable ID safe - blocking the edit instead would make the field read-only in all but name.</t>
        </is>
      </c>
      <c r="D97" s="20" t="inlineStr">
        <is>
          <t>Confirm</t>
        </is>
      </c>
    </row>
    <row r="98">
      <c r="A98" s="20" t="inlineStr">
        <is>
          <t>C-10</t>
        </is>
      </c>
      <c r="B98" s="19" t="inlineStr">
        <is>
          <t>Period boundaries are recomputed whenever a milestone date changes, unless the period dates were edited by hand.</t>
        </is>
      </c>
      <c r="C98" s="19" t="inlineStr">
        <is>
          <t>Keeps derived dates true to the timeline - the frequent-change problem this tool exists for - without silently discarding a deliberate manual override.</t>
        </is>
      </c>
      <c r="D98" s="20" t="inlineStr">
        <is>
          <t>Confirm</t>
        </is>
      </c>
    </row>
    <row r="99">
      <c r="A99" s="20" t="inlineStr">
        <is>
          <t>C-11</t>
        </is>
      </c>
      <c r="B99" s="19" t="inlineStr">
        <is>
          <t>Derived boundaries are applied in sequence order, a later one overriding an earlier; a period squeezed to nothing is omitted.</t>
        </is>
      </c>
      <c r="C99" s="19" t="inlineStr">
        <is>
          <t>The only rule that keeps periods contiguous on every timeline, including the awkward ones. Verified against five cases on this sheet.</t>
        </is>
      </c>
      <c r="D99" s="20"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Pending you</t>
        </is>
      </c>
    </row>
    <row r="18">
      <c r="A18" s="10" t="inlineStr">
        <is>
          <t>1</t>
        </is>
      </c>
      <c r="B18" s="10" t="inlineStr">
        <is>
          <t>G1</t>
        </is>
      </c>
      <c r="C18" s="11" t="inlineStr">
        <is>
          <t>GATE 1 - development plan approved by Dan, 2026-08-01. Decisions C-06..C-11 confirmed.</t>
        </is>
      </c>
      <c r="D18" s="11" t="inlineStr">
        <is>
          <t>Approval recorded on 12_Review_Log</t>
        </is>
      </c>
      <c r="E18" s="10" t="inlineStr">
        <is>
          <t>Complete</t>
        </is>
      </c>
    </row>
    <row r="19">
      <c r="A19" s="8" t="inlineStr">
        <is>
          <t>2</t>
        </is>
      </c>
      <c r="B19" s="8" t="inlineStr">
        <is>
          <t>2.0</t>
        </is>
      </c>
      <c r="C19" s="9" t="inlineStr">
        <is>
          <t>Generate the source workbook template and a dummy data file for review.</t>
        </is>
      </c>
      <c r="D19" s="9" t="inlineStr">
        <is>
          <t>PRAP_SourceData_Template + _Dummy v1.1</t>
        </is>
      </c>
      <c r="E19" s="8" t="inlineStr">
        <is>
          <t>Complete - issued for review</t>
        </is>
      </c>
    </row>
    <row r="20">
      <c r="A20" s="10" t="inlineStr">
        <is>
          <t>2</t>
        </is>
      </c>
      <c r="B20" s="10" t="inlineStr">
        <is>
          <t>2.1</t>
        </is>
      </c>
      <c r="C20" s="11" t="inlineStr">
        <is>
          <t>Fix the source workbook schema: exact sheet names, column headers, types, value lists.</t>
        </is>
      </c>
      <c r="D20" s="11" t="inlineStr">
        <is>
          <t>Specification sheet 'Data schema'</t>
        </is>
      </c>
      <c r="E20" s="10" t="inlineStr">
        <is>
          <t>In progress</t>
        </is>
      </c>
    </row>
    <row r="21">
      <c r="A21" s="8" t="inlineStr">
        <is>
          <t>2</t>
        </is>
      </c>
      <c r="B21" s="8" t="inlineStr">
        <is>
          <t>2.2</t>
        </is>
      </c>
      <c r="C21" s="9" t="inlineStr">
        <is>
          <t>Specify the calculation engine as pseudocode plus the worked example as an acceptance test.</t>
        </is>
      </c>
      <c r="D21" s="9" t="inlineStr">
        <is>
          <t>Specification sheet 'Calculation'</t>
        </is>
      </c>
      <c r="E21" s="8" t="inlineStr">
        <is>
          <t>Not started</t>
        </is>
      </c>
    </row>
    <row r="22">
      <c r="A22" s="10" t="inlineStr">
        <is>
          <t>2</t>
        </is>
      </c>
      <c r="B22" s="10" t="inlineStr">
        <is>
          <t>2.3</t>
        </is>
      </c>
      <c r="C22" s="11" t="inlineStr">
        <is>
          <t>Specify period derivation per project type, and the over/under-allocation detection.</t>
        </is>
      </c>
      <c r="D22" s="11" t="inlineStr">
        <is>
          <t>Specification sheet 'Calculation'</t>
        </is>
      </c>
      <c r="E22" s="10" t="inlineStr">
        <is>
          <t>Not started</t>
        </is>
      </c>
    </row>
    <row r="23">
      <c r="A23" s="8" t="inlineStr">
        <is>
          <t>2</t>
        </is>
      </c>
      <c r="B23" s="8" t="inlineStr">
        <is>
          <t>2.4</t>
        </is>
      </c>
      <c r="C23" s="9" t="inlineStr">
        <is>
          <t>Specify import validation rules V-01..V-21 and the findings report.</t>
        </is>
      </c>
      <c r="D23" s="9" t="inlineStr">
        <is>
          <t>Specification sheet 'Validation'</t>
        </is>
      </c>
      <c r="E23" s="8" t="inlineStr">
        <is>
          <t>Not started</t>
        </is>
      </c>
    </row>
    <row r="24">
      <c r="A24" s="10" t="inlineStr">
        <is>
          <t>2</t>
        </is>
      </c>
      <c r="B24" s="10" t="inlineStr">
        <is>
          <t>2.5</t>
        </is>
      </c>
      <c r="C24" s="11" t="inlineStr">
        <is>
          <t>Specify each dashboard tab: every table, column, graph, filter and interaction.</t>
        </is>
      </c>
      <c r="D24" s="11" t="inlineStr">
        <is>
          <t>Specification sheet 'UI spec'</t>
        </is>
      </c>
      <c r="E24" s="10" t="inlineStr">
        <is>
          <t>Not started</t>
        </is>
      </c>
    </row>
    <row r="25">
      <c r="A25" s="8" t="inlineStr">
        <is>
          <t>2</t>
        </is>
      </c>
      <c r="B25" s="8" t="inlineStr">
        <is>
          <t>2.6</t>
        </is>
      </c>
      <c r="C25" s="9" t="inlineStr">
        <is>
          <t>Specify on-screen editing, the dirty-state model and export round-tripping.</t>
        </is>
      </c>
      <c r="D25" s="9" t="inlineStr">
        <is>
          <t>Specification sheet 'Editing &amp; IO'</t>
        </is>
      </c>
      <c r="E25" s="8" t="inlineStr">
        <is>
          <t>Not started</t>
        </is>
      </c>
    </row>
    <row r="26">
      <c r="A26" s="10" t="inlineStr">
        <is>
          <t>2</t>
        </is>
      </c>
      <c r="B26" s="10" t="inlineStr">
        <is>
          <t>2.7</t>
        </is>
      </c>
      <c r="C26" s="11" t="inlineStr">
        <is>
          <t>Specify the version/compatibility check.</t>
        </is>
      </c>
      <c r="D26" s="11" t="inlineStr">
        <is>
          <t>Specification sheet 'IO &amp; versioning'</t>
        </is>
      </c>
      <c r="E26" s="10" t="inlineStr">
        <is>
          <t>Not started</t>
        </is>
      </c>
    </row>
    <row r="27">
      <c r="A27" s="8" t="inlineStr">
        <is>
          <t>2</t>
        </is>
      </c>
      <c r="B27" s="8" t="inlineStr">
        <is>
          <t>2.8</t>
        </is>
      </c>
      <c r="C27" s="9" t="inlineStr">
        <is>
          <t>Build the requirement-to-specification traceability matrix.</t>
        </is>
      </c>
      <c r="D27" s="9" t="inlineStr">
        <is>
          <t>Specification sheet 'Traceability'</t>
        </is>
      </c>
      <c r="E27" s="8" t="inlineStr">
        <is>
          <t>Not started</t>
        </is>
      </c>
    </row>
    <row r="28">
      <c r="A28" s="10" t="inlineStr">
        <is>
          <t>2</t>
        </is>
      </c>
      <c r="B28" s="10" t="inlineStr">
        <is>
          <t>G2</t>
        </is>
      </c>
      <c r="C28" s="11" t="inlineStr">
        <is>
          <t>GATE 2 - programming specification approved.</t>
        </is>
      </c>
      <c r="D28" s="11" t="inlineStr">
        <is>
          <t>PRAP_Programming_Specification_v1.0.xlsx</t>
        </is>
      </c>
      <c r="E28" s="10" t="inlineStr">
        <is>
          <t>Not started</t>
        </is>
      </c>
    </row>
    <row r="29">
      <c r="A29" s="8" t="inlineStr">
        <is>
          <t>3</t>
        </is>
      </c>
      <c r="B29" s="8" t="inlineStr">
        <is>
          <t>3.1</t>
        </is>
      </c>
      <c r="C29" s="9" t="inlineStr">
        <is>
          <t>High-level UI design: tab structure, page regions, navigation. No code behind it.</t>
        </is>
      </c>
      <c r="D29" s="9" t="inlineStr">
        <is>
          <t>Prototype HTML (UI only)</t>
        </is>
      </c>
      <c r="E29" s="8" t="inlineStr">
        <is>
          <t>Not started</t>
        </is>
      </c>
    </row>
    <row r="30">
      <c r="A30" s="10" t="inlineStr">
        <is>
          <t>3</t>
        </is>
      </c>
      <c r="B30" s="10" t="inlineStr">
        <is>
          <t>3.2</t>
        </is>
      </c>
      <c r="C30" s="11" t="inlineStr">
        <is>
          <t>Requester reviews the high-level component design.</t>
        </is>
      </c>
      <c r="D30" s="11" t="inlineStr">
        <is>
          <t>Review comments</t>
        </is>
      </c>
      <c r="E30" s="10" t="inlineStr">
        <is>
          <t>Not started</t>
        </is>
      </c>
    </row>
    <row r="31">
      <c r="A31" s="8" t="inlineStr">
        <is>
          <t>3</t>
        </is>
      </c>
      <c r="B31" s="8" t="inlineStr">
        <is>
          <t>3.3</t>
        </is>
      </c>
      <c r="C31" s="9" t="inlineStr">
        <is>
          <t>Final UI design with clear per-component requirements.</t>
        </is>
      </c>
      <c r="D31" s="9" t="inlineStr">
        <is>
          <t>Prototype HTML v1.0 + component list</t>
        </is>
      </c>
      <c r="E31" s="8" t="inlineStr">
        <is>
          <t>Not started</t>
        </is>
      </c>
    </row>
    <row r="32">
      <c r="A32" s="10" t="inlineStr">
        <is>
          <t>3</t>
        </is>
      </c>
      <c r="B32" s="10" t="inlineStr">
        <is>
          <t>G3</t>
        </is>
      </c>
      <c r="C32" s="11" t="inlineStr">
        <is>
          <t>GATE 3 - final design and component list approved. Code generation starts only for approved components.</t>
        </is>
      </c>
      <c r="D32" s="11" t="inlineStr">
        <is>
          <t>Approved component list</t>
        </is>
      </c>
      <c r="E32" s="10" t="inlineStr">
        <is>
          <t>Not started</t>
        </is>
      </c>
    </row>
    <row r="33">
      <c r="A33" s="8" t="inlineStr">
        <is>
          <t>4</t>
        </is>
      </c>
      <c r="B33" s="8" t="inlineStr">
        <is>
          <t>4.1</t>
        </is>
      </c>
      <c r="C33" s="9" t="inlineStr">
        <is>
          <t>IO layer: workbook load, sheet/column mapping, export.</t>
        </is>
      </c>
      <c r="D33" s="9" t="inlineStr">
        <is>
          <t>Application code</t>
        </is>
      </c>
      <c r="E33" s="8" t="inlineStr">
        <is>
          <t>Not started</t>
        </is>
      </c>
    </row>
    <row r="34">
      <c r="A34" s="10" t="inlineStr">
        <is>
          <t>4</t>
        </is>
      </c>
      <c r="B34" s="10" t="inlineStr">
        <is>
          <t>4.2</t>
        </is>
      </c>
      <c r="C34" s="11" t="inlineStr">
        <is>
          <t>Validation layer: rules V-01..V-21 and the findings report.</t>
        </is>
      </c>
      <c r="D34" s="11" t="inlineStr">
        <is>
          <t>Application code</t>
        </is>
      </c>
      <c r="E34" s="10" t="inlineStr">
        <is>
          <t>Not started</t>
        </is>
      </c>
    </row>
    <row r="35">
      <c r="A35" s="8" t="inlineStr">
        <is>
          <t>4</t>
        </is>
      </c>
      <c r="B35" s="8" t="inlineStr">
        <is>
          <t>4.3</t>
        </is>
      </c>
      <c r="C35" s="9" t="inlineStr">
        <is>
          <t>Model layer, Lists and Config handling.</t>
        </is>
      </c>
      <c r="D35" s="9" t="inlineStr">
        <is>
          <t>Application code</t>
        </is>
      </c>
      <c r="E35" s="8" t="inlineStr">
        <is>
          <t>Not started</t>
        </is>
      </c>
    </row>
    <row r="36">
      <c r="A36" s="10" t="inlineStr">
        <is>
          <t>4</t>
        </is>
      </c>
      <c r="B36" s="10" t="inlineStr">
        <is>
          <t>4.4</t>
        </is>
      </c>
      <c r="C36" s="11" t="inlineStr">
        <is>
          <t>Edit buffer: on-screen editing, dirty state, per-edit validation.</t>
        </is>
      </c>
      <c r="D36" s="11" t="inlineStr">
        <is>
          <t>Application code</t>
        </is>
      </c>
      <c r="E36" s="10" t="inlineStr">
        <is>
          <t>Not started</t>
        </is>
      </c>
    </row>
    <row r="37">
      <c r="A37" s="8" t="inlineStr">
        <is>
          <t>4</t>
        </is>
      </c>
      <c r="B37" s="8" t="inlineStr">
        <is>
          <t>4.5</t>
        </is>
      </c>
      <c r="C37" s="9" t="inlineStr">
        <is>
          <t>Calculation engine, verified against the worked example.</t>
        </is>
      </c>
      <c r="D37" s="9" t="inlineStr">
        <is>
          <t>Application code + test evidence</t>
        </is>
      </c>
      <c r="E37" s="8" t="inlineStr">
        <is>
          <t>Not started</t>
        </is>
      </c>
    </row>
    <row r="38">
      <c r="A38" s="10" t="inlineStr">
        <is>
          <t>4</t>
        </is>
      </c>
      <c r="B38" s="10" t="inlineStr">
        <is>
          <t>4.6</t>
        </is>
      </c>
      <c r="C38" s="11" t="inlineStr">
        <is>
          <t>Overall tab: tables, graphs, filters, over/under-allocation flagging.</t>
        </is>
      </c>
      <c r="D38" s="11" t="inlineStr">
        <is>
          <t>Application code</t>
        </is>
      </c>
      <c r="E38" s="10" t="inlineStr">
        <is>
          <t>Not started</t>
        </is>
      </c>
    </row>
    <row r="39">
      <c r="A39" s="8" t="inlineStr">
        <is>
          <t>4</t>
        </is>
      </c>
      <c r="B39" s="8" t="inlineStr">
        <is>
          <t>4.7</t>
        </is>
      </c>
      <c r="C39" s="9" t="inlineStr">
        <is>
          <t>Source data (project) and Source data (person) tabs.</t>
        </is>
      </c>
      <c r="D39" s="9" t="inlineStr">
        <is>
          <t>Application code</t>
        </is>
      </c>
      <c r="E39" s="8" t="inlineStr">
        <is>
          <t>Not started</t>
        </is>
      </c>
    </row>
    <row r="40">
      <c r="A40" s="10" t="inlineStr">
        <is>
          <t>4</t>
        </is>
      </c>
      <c r="B40" s="10" t="inlineStr">
        <is>
          <t>4.8</t>
        </is>
      </c>
      <c r="C40" s="11" t="inlineStr">
        <is>
          <t>Blank source workbook template with value lists and example rows.</t>
        </is>
      </c>
      <c r="D40" s="11" t="inlineStr">
        <is>
          <t>PRAP_SourceData template</t>
        </is>
      </c>
      <c r="E40" s="10" t="inlineStr">
        <is>
          <t>Not started</t>
        </is>
      </c>
    </row>
    <row r="41">
      <c r="A41" s="8" t="inlineStr">
        <is>
          <t>4</t>
        </is>
      </c>
      <c r="B41" s="8" t="inlineStr">
        <is>
          <t>4.9</t>
        </is>
      </c>
      <c r="C41" s="9" t="inlineStr">
        <is>
          <t>Requester reviews output against real data; refinements folded in.</t>
        </is>
      </c>
      <c r="D41" s="9" t="inlineStr">
        <is>
          <t>Updated code</t>
        </is>
      </c>
      <c r="E41" s="8" t="inlineStr">
        <is>
          <t>Not started</t>
        </is>
      </c>
    </row>
    <row r="42">
      <c r="A42" s="10" t="inlineStr">
        <is>
          <t>4</t>
        </is>
      </c>
      <c r="B42" s="10" t="inlineStr">
        <is>
          <t>G4</t>
        </is>
      </c>
      <c r="C42" s="11" t="inlineStr">
        <is>
          <t>GATE 4 - application functionally complete.</t>
        </is>
      </c>
      <c r="D42" s="11" t="inlineStr">
        <is>
          <t>PRAP_Application_v0.9.html</t>
        </is>
      </c>
      <c r="E42" s="10" t="inlineStr">
        <is>
          <t>Not started</t>
        </is>
      </c>
    </row>
    <row r="43">
      <c r="A43" s="8" t="inlineStr">
        <is>
          <t>5</t>
        </is>
      </c>
      <c r="B43" s="8" t="inlineStr">
        <is>
          <t>5.1</t>
        </is>
      </c>
      <c r="C43" s="9" t="inlineStr">
        <is>
          <t>Full pass over the traceability matrix: every Must requirement demonstrated.</t>
        </is>
      </c>
      <c r="D43" s="9" t="inlineStr">
        <is>
          <t>Completed traceability matrix</t>
        </is>
      </c>
      <c r="E43" s="8" t="inlineStr">
        <is>
          <t>Not started</t>
        </is>
      </c>
    </row>
    <row r="44">
      <c r="A44" s="10" t="inlineStr">
        <is>
          <t>5</t>
        </is>
      </c>
      <c r="B44" s="10" t="inlineStr">
        <is>
          <t>5.2</t>
        </is>
      </c>
      <c r="C44" s="11" t="inlineStr">
        <is>
          <t>Test on a clean Windows PC in Edge and Chrome, offline.</t>
        </is>
      </c>
      <c r="D44" s="11" t="inlineStr">
        <is>
          <t>Test evidence</t>
        </is>
      </c>
      <c r="E44" s="10" t="inlineStr">
        <is>
          <t>Not started</t>
        </is>
      </c>
    </row>
    <row r="45">
      <c r="A45" s="8" t="inlineStr">
        <is>
          <t>5</t>
        </is>
      </c>
      <c r="B45" s="8" t="inlineStr">
        <is>
          <t>5.3</t>
        </is>
      </c>
      <c r="C45" s="9" t="inlineStr">
        <is>
          <t>Write the user guide: folder layout, how to load, how to maintain source data.</t>
        </is>
      </c>
      <c r="D45" s="9" t="inlineStr">
        <is>
          <t>User guide</t>
        </is>
      </c>
      <c r="E45" s="8" t="inlineStr">
        <is>
          <t>Not started</t>
        </is>
      </c>
    </row>
    <row r="46">
      <c r="A46" s="10" t="inlineStr">
        <is>
          <t>5</t>
        </is>
      </c>
      <c r="B46" s="10" t="inlineStr">
        <is>
          <t>5.4</t>
        </is>
      </c>
      <c r="C46" s="11" t="inlineStr">
        <is>
          <t>Final version alignment across plan, specification and application.</t>
        </is>
      </c>
      <c r="D46" s="11" t="inlineStr">
        <is>
          <t>Version alignment table (sheet 09)</t>
        </is>
      </c>
      <c r="E46" s="10" t="inlineStr">
        <is>
          <t>Not started</t>
        </is>
      </c>
    </row>
    <row r="47">
      <c r="A47" s="8" t="inlineStr">
        <is>
          <t>5</t>
        </is>
      </c>
      <c r="B47" s="8" t="inlineStr">
        <is>
          <t>G5</t>
        </is>
      </c>
      <c r="C47" s="9" t="inlineStr">
        <is>
          <t>GATE 5 - release.</t>
        </is>
      </c>
      <c r="D47" s="9" t="inlineStr">
        <is>
          <t>PRAP_Application_v1.0.html</t>
        </is>
      </c>
      <c r="E47" s="8" t="inlineStr">
        <is>
          <t>Not started</t>
        </is>
      </c>
    </row>
    <row r="49">
      <c r="A49" s="5" t="inlineStr">
        <is>
          <t>Progress</t>
        </is>
      </c>
    </row>
    <row r="50" ht="28" customHeight="1">
      <c r="A50" s="7" t="inlineStr">
        <is>
          <t>Measure</t>
        </is>
      </c>
      <c r="B50" s="7" t="inlineStr">
        <is>
          <t>Count</t>
        </is>
      </c>
    </row>
    <row r="51">
      <c r="A51" s="8" t="inlineStr">
        <is>
          <t>Tasks total</t>
        </is>
      </c>
      <c r="B51" s="8">
        <f>COUNTA(B5:B47)</f>
        <v/>
      </c>
    </row>
    <row r="52">
      <c r="A52" s="10" t="inlineStr">
        <is>
          <t>Complete</t>
        </is>
      </c>
      <c r="B52" s="10">
        <f>COUNTIF(E5:E47,"Complete")+COUNTIF(E5:E47,"Complete - issued for review")</f>
        <v/>
      </c>
    </row>
    <row r="53">
      <c r="A53" s="8" t="inlineStr">
        <is>
          <t>Awaiting the requester</t>
        </is>
      </c>
      <c r="B53" s="8">
        <f>COUNTIF(E5:E47,"Pending you")</f>
        <v/>
      </c>
    </row>
    <row r="54">
      <c r="A54" s="10" t="inlineStr">
        <is>
          <t>Not started</t>
        </is>
      </c>
      <c r="B54" s="10">
        <f>COUNTIF(E5:E47,"Not started")</f>
        <v/>
      </c>
    </row>
    <row r="56">
      <c r="A56" s="16" t="inlineStr">
        <is>
          <t>No duration estimates: the pace is set by review turnaround at each gate, not by build effort.</t>
        </is>
      </c>
    </row>
  </sheetData>
  <dataValidations count="1">
    <dataValidation sqref="E5:E47"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2026-07-31</t>
        </is>
      </c>
      <c r="F28" s="9" t="inlineStr">
        <is>
          <t>R-03 confirmed. Awaiting the approval signature.</t>
        </is>
      </c>
    </row>
    <row r="29">
      <c r="A29" s="10" t="inlineStr"/>
      <c r="B29" s="10" t="inlineStr"/>
      <c r="C29" s="10" t="inlineStr"/>
      <c r="D29" s="10" t="inlineStr"/>
      <c r="E29" s="10" t="inlineStr"/>
      <c r="F29" s="11" t="inlineStr"/>
    </row>
    <row r="31">
      <c r="A31" s="16" t="inlineStr">
        <is>
          <t>One row per release. Answers 'which specification produced this .html, and which source template does it expect?'.</t>
        </is>
      </c>
    </row>
    <row r="32">
      <c r="A32" s="5" t="inlineStr">
        <is>
          <t>Repository rules</t>
        </is>
      </c>
    </row>
    <row r="33" ht="28" customHeight="1">
      <c r="A33" s="7" t="inlineStr">
        <is>
          <t>Rule</t>
        </is>
      </c>
    </row>
    <row r="34">
      <c r="A34" s="9" t="inlineStr">
        <is>
          <t>All work is committed to branch claude/project-resource-assignment-app-1vjdzh.</t>
        </is>
      </c>
    </row>
    <row r="35">
      <c r="A35" s="11" t="inlineStr">
        <is>
          <t>Documents are generated from scripts in tools/ so their content is reviewable as a text diff, not only as a binary.</t>
        </is>
      </c>
    </row>
    <row r="36">
      <c r="A36" s="9" t="inlineStr">
        <is>
          <t>One commit per meaningful change, with a message naming the step and the affected REQ-IDs.</t>
        </is>
      </c>
    </row>
    <row r="37">
      <c r="A37" s="11" t="inlineStr">
        <is>
          <t>A released version is tagged, so any release can be reproduced exactly.</t>
        </is>
      </c>
    </row>
    <row r="38">
      <c r="A38"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three are applied and confirmed; the change needs its approval signature on sheet 12.</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20"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20"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20" t="inlineStr">
        <is>
          <t>CONFIRMED</t>
        </is>
      </c>
    </row>
    <row r="51">
      <c r="A51" s="16" t="inlineStr">
        <is>
          <t>All three are settled. Nothing on this sheet is open.</t>
        </is>
      </c>
    </row>
    <row r="53">
      <c r="A5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 The only outstanding item is the approval signature for the change against the v1.0 baseline.</t>
        </is>
      </c>
      <c r="F45" s="8" t="inlineStr">
        <is>
          <t>Closed</t>
        </is>
      </c>
    </row>
    <row r="47">
      <c r="A47" s="5" t="inlineStr">
        <is>
          <t>Disposition summary</t>
        </is>
      </c>
    </row>
    <row r="48" ht="28" customHeight="1">
      <c r="A48" s="7" t="inlineStr">
        <is>
          <t>Measure</t>
        </is>
      </c>
      <c r="B48" s="7" t="inlineStr">
        <is>
          <t>Count</t>
        </is>
      </c>
    </row>
    <row r="49">
      <c r="A49" s="8" t="inlineStr">
        <is>
          <t>Closed in v0.2</t>
        </is>
      </c>
      <c r="B49" s="8">
        <f>COUNTIF(F5:F45,"Closed")</f>
        <v/>
      </c>
    </row>
    <row r="50">
      <c r="A50" s="10" t="inlineStr">
        <is>
          <t>Open - awaiting your answer</t>
        </is>
      </c>
      <c r="B50" s="10">
        <f>COUNTIF(F5:F45,"Open")</f>
        <v/>
      </c>
    </row>
    <row r="51">
      <c r="A51" s="8" t="inlineStr">
        <is>
          <t>Total items</t>
        </is>
      </c>
      <c r="B51" s="8">
        <f>COUNTA(A5:A45)</f>
        <v/>
      </c>
    </row>
    <row r="53">
      <c r="A53" s="5" t="inlineStr">
        <is>
          <t>Approval - Gate 1</t>
        </is>
      </c>
    </row>
    <row r="54" ht="28" customHeight="1">
      <c r="A54" s="7" t="inlineStr">
        <is>
          <t>Document</t>
        </is>
      </c>
      <c r="B54" s="7" t="inlineStr">
        <is>
          <t>Approver</t>
        </is>
      </c>
      <c r="C54" s="7" t="inlineStr">
        <is>
          <t>Date</t>
        </is>
      </c>
      <c r="D54" s="7" t="inlineStr">
        <is>
          <t>Decision</t>
        </is>
      </c>
    </row>
    <row r="55">
      <c r="A55" s="20" t="inlineStr">
        <is>
          <t>PRAP Development Plan v1.0</t>
        </is>
      </c>
      <c r="B55" s="20" t="inlineStr">
        <is>
          <t>Dan</t>
        </is>
      </c>
      <c r="C55" s="20" t="inlineStr">
        <is>
          <t>2026-08-01</t>
        </is>
      </c>
      <c r="D55" s="19" t="inlineStr">
        <is>
          <t>APPROVED. Finalise plan v1.0 and proceed to Step 2, beginning with generation of the workbook template and a dummy data file for review.</t>
        </is>
      </c>
    </row>
    <row r="56">
      <c r="A56" s="10" t="inlineStr">
        <is>
          <t>PRAP Development Plan v1.2</t>
        </is>
      </c>
      <c r="B56" s="22" t="inlineStr"/>
      <c r="C56" s="22" t="inlineStr"/>
      <c r="D56" s="11" t="inlineStr">
        <is>
          <t>Pending your signature. Change against the v1.0 baseline: R-01, R-02 and R-03 all applied and confirmed. Nothing outstanding in the document itself.</t>
        </is>
      </c>
    </row>
    <row r="58">
      <c r="A58" s="16" t="inlineStr">
        <is>
          <t>GATE 1 PASSED at v1.0: the requirements on sheet 03 are baselined as the contract for Steps 2-5 and decisions C-06 to C-11 are confirmed. v1.1 is a change against that baseline and needs the second approval above before it supersedes v1.0. Step 2 continues in the meantime - the change affects the period derivation and the milestone list, both of which are data the application reads.</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2026-08-01T02:43:05Z</dcterms:created>
  <dcterms:modified xsi:type="dcterms:W3CDTF">2026-08-01T02:43:05Z</dcterms:modified>
</cp:coreProperties>
</file>