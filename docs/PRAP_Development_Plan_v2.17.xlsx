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v2.17</t>
        </is>
      </c>
    </row>
    <row r="7">
      <c r="A7" s="3" t="inlineStr">
        <is>
          <t>Status</t>
        </is>
      </c>
      <c r="B7" s="4" t="inlineStr">
        <is>
          <t>Baseline v2.0 + Step 4 progress. Application v1.5 - Gate 4 refinements rounds 1-5.</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5"/>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17" t="inlineStr">
        <is>
          <t>2.17</t>
        </is>
      </c>
      <c r="B21" s="17" t="inlineStr">
        <is>
          <t>2026-07-31</t>
        </is>
      </c>
      <c r="C21" s="17" t="inlineStr">
        <is>
          <t>Claude Code</t>
        </is>
      </c>
      <c r="D21" s="17" t="inlineStr">
        <is>
          <t>Pending</t>
        </is>
      </c>
      <c r="E21" s="18" t="inlineStr">
        <is>
          <t>Gate 4 round 16, application v1.15. A visual design pass over the whole interface, taking Apple's Human Interface Guidelines as the reference and applying them to a dense data tool. The stylesheet is rebuilt around TOKENS - one palette, one type scale, one radius scale, one motion curve - so that no value is chosen by eye at the point of use, which is what keeps a hundred small decisions consistent. Four changes carry most of the difference. (1) MATERIAL: white cards on a grey field, separated by soft shadow instead of by a 1px outline round every panel; dark mode inverts to lifted grey cards on near-black. (2) VIBRANCY: the two sticky bars are translucent and blurred, so content scrolling beneath stays legible as context - at an opacity that keeps their own labels readable over a chart, because blur alone is not enough when what is underneath is high-contrast. (3) The tab strip becomes a SEGMENTED CONTROL, and buttons take Apple's filled / tinted / plain hierarchy; the row actions that appear twice on every table row are furniture at rest and take colour only on hover, where blue means 'adds' and red means 'removes'. (4) COLOUR MEANS SOMETHING: blue is interactive, red is over the ceiling, amber is under the floor, everything else is a grey. Chart series colours are exempt, because there the colour IS the data, and they are unchanged. Contrast is now measured rather than judged: tools/test_contrast.py composites every text colour onto the surface it actually sits on and applies WCAG AA at the rendered size. The previous design had five colours below AA; this one has none. Two defects were found and fixed in passing: the drop zone still named template v1.6, and #editbar set display:flex from an id selector, which outranks the `hidden` attribute - so an empty edit bar showed before any workbook was loaded. No requirement, rule, calculation or schema changed, and every existing selector is retained.</t>
        </is>
      </c>
      <c r="F21" s="17" t="inlineStr">
        <is>
          <t>Issued for review</t>
        </is>
      </c>
    </row>
    <row r="22">
      <c r="A22" s="10" t="inlineStr">
        <is>
          <t>2.16</t>
        </is>
      </c>
      <c r="B22" s="10" t="inlineStr">
        <is>
          <t>2026-07-31</t>
        </is>
      </c>
      <c r="C22" s="10" t="inlineStr">
        <is>
          <t>Claude Code</t>
        </is>
      </c>
      <c r="D22" s="10" t="inlineStr">
        <is>
          <t>Pending</t>
        </is>
      </c>
      <c r="E22" s="11" t="inlineStr">
        <is>
          <t>Gate 4 round 15, application v1.14, template v1.7, dummy v1.9 and 10x10 v1.1. DERIVED columns in the source workbook are now distinguished from entry columns by more than a colour: their cells are LOCKED, and the column heading carries a note saying what the column is, that the lock has no password, and what a hand-typed value would actually do. A green fill is a convention the reader must have been told about, and the telling is on a README sheet they may never open; a lock is the file itself refusing the edit at the moment it is attempted. Every other cell on those sheets is explicitly UNLOCKED, and protection is set so that inserting, deleting and sorting rows all still work - only adding or removing COLUMNS is blocked, because the column set is the schema. There is no password: it is a guard rail, not security, and anyone who genuinely needs to paste a column can turn it off in two clicks. The application's EXPORT now writes the same locks and the same sheet protection, so the guard rail survives a round trip instead of disappearing the first time a file goes through PRAP. check_consistency.py now verifies all of it against the plan's own data model - which surfaced a documentation gap the change had to close: Milestone.project_name and Assignment.person_name were typed 'Text' in the data model although the application recomputes both on import and reports any disagreement as V-13. They are typed 'Derived' now, which is what they have always been. No requirement, rule, calculation or schema version changed.</t>
        </is>
      </c>
      <c r="F22" s="10" t="inlineStr">
        <is>
          <t>Superseded by v2.17</t>
        </is>
      </c>
    </row>
    <row r="23">
      <c r="A23" s="8" t="inlineStr">
        <is>
          <t>2.15</t>
        </is>
      </c>
      <c r="B23" s="8" t="inlineStr">
        <is>
          <t>2026-07-31</t>
        </is>
      </c>
      <c r="C23" s="8" t="inlineStr">
        <is>
          <t>Claude Code</t>
        </is>
      </c>
      <c r="D23" s="8" t="inlineStr">
        <is>
          <t>Pending</t>
        </is>
      </c>
      <c r="E23" s="9" t="inlineStr">
        <is>
          <t>Gate 4 round 14, application v1.13. (1) A LINE CHART of monthly resource now stands as the FIRST panel of every data tab - one coloured line per project on Overall and on the project tab, one per person on the person tab, each keeping the colour it already carries elsewhere. The stacked charts say what a month's total is MADE OF; they cannot say whether one series is rising or falling, because in a stack every band's baseline moves with the bands beneath it. Lines share one baseline, which is the whole reason to draw the same numbers a second way. Each line carries its total, mean and peak month, and is capped at the twelve largest by total because sixty lines on one axis is a texture, not a reading. On the person chart the over-allocation ceiling is marked, since there it applies to a single series' own value. (2) A design pass over every section. Summary tiles move to the TOP of the Overall tab: they are the headline figures and sat below a chart. Every panel now carries ONE header shape - title on the left, what the panel covers on the right - where scope had been stated three different ways: inside the caption, in a note under the table, or not at all, so the reader had to hunt for it in a different place in each section. Captions are bounded to a readable measure. Two long-standing chart faults were fixed on the way: a transparent stroke is not a PAINTED one, so the line hit strips needed pointer-events stated explicitly, and the visible stroke sits on top of them and had to be taken out of hit testing or it swallowed the pointer and offered no tip of its own. No requirement, rule, calculation or schema changed.</t>
        </is>
      </c>
      <c r="F23" s="8" t="inlineStr">
        <is>
          <t>Superseded by v2.16</t>
        </is>
      </c>
    </row>
    <row r="24">
      <c r="A24" s="10" t="inlineStr">
        <is>
          <t>2.14</t>
        </is>
      </c>
      <c r="B24" s="10" t="inlineStr">
        <is>
          <t>2026-07-31</t>
        </is>
      </c>
      <c r="C24" s="10" t="inlineStr">
        <is>
          <t>Claude Code</t>
        </is>
      </c>
      <c r="D24" s="10" t="inlineStr">
        <is>
          <t>Pending</t>
        </is>
      </c>
      <c r="E24" s="11" t="inlineStr">
        <is>
          <t>Gate 4 round 13, application v1.12. PersonPeriodWeight is treated as what the schema says it is - a CHILD of Assignment - so on the person tab it now follows the assignment SELECTED above it, exactly as Milestones and Periods follow the project selected above them. Clicking a row in Assignments selects it and the overrides table redraws to that assignment's windows and no others; a new override row is seeded with the selected assignment rather than the person's first, so it is filed under the project on screen. Scoping the table to the PERSON instead - which is what round 12 left it doing - listed every window that person carries across every project at once, a set of rows with nothing to do with each other. Both headings now name the person ('Assignments - Kim S. (PSN-001)'), and the overrides panel restates the assignment it belongs to above the table: identifier, project, role, dates and weight. One structural change was needed to make this safe: the overrides panel is rendered into its own element, because clicking a cell both selects the row and puts the caret in it, and redrawing the whole person panel would rebuild the Assignments table under the caret so the edit could never be typed. The project and person tables escape this by living outside the panel they drive; this table drives a panel beside it. No requirement, rule, calculation or schema changed.</t>
        </is>
      </c>
      <c r="F24" s="10" t="inlineStr">
        <is>
          <t>Issued for review</t>
        </is>
      </c>
    </row>
    <row r="25">
      <c r="A25" s="8" t="inlineStr">
        <is>
          <t>2.13</t>
        </is>
      </c>
      <c r="B25" s="8" t="inlineStr">
        <is>
          <t>2026-07-31</t>
        </is>
      </c>
      <c r="C25" s="8" t="inlineStr">
        <is>
          <t>Claude Code</t>
        </is>
      </c>
      <c r="D25" s="8" t="inlineStr">
        <is>
          <t>Pending</t>
        </is>
      </c>
      <c r="E25" s="9"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25" s="8" t="inlineStr">
        <is>
          <t>Superseded by v2.14</t>
        </is>
      </c>
    </row>
    <row r="26">
      <c r="A26" s="10" t="inlineStr">
        <is>
          <t>2.12</t>
        </is>
      </c>
      <c r="B26" s="10" t="inlineStr">
        <is>
          <t>2026-07-31</t>
        </is>
      </c>
      <c r="C26" s="10" t="inlineStr">
        <is>
          <t>Claude Code</t>
        </is>
      </c>
      <c r="D26" s="10" t="inlineStr">
        <is>
          <t>Pending</t>
        </is>
      </c>
      <c r="E26" s="11"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26" s="10" t="inlineStr">
        <is>
          <t>Superseded by v2.13</t>
        </is>
      </c>
    </row>
    <row r="27">
      <c r="A27" s="8" t="inlineStr">
        <is>
          <t>2.11</t>
        </is>
      </c>
      <c r="B27" s="8" t="inlineStr">
        <is>
          <t>2026-07-31</t>
        </is>
      </c>
      <c r="C27" s="8" t="inlineStr">
        <is>
          <t>Claude Code</t>
        </is>
      </c>
      <c r="D27" s="8" t="inlineStr">
        <is>
          <t>Pending</t>
        </is>
      </c>
      <c r="E27" s="9"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27" s="8" t="inlineStr">
        <is>
          <t>Issued for review</t>
        </is>
      </c>
    </row>
    <row r="28">
      <c r="A28" s="10" t="inlineStr">
        <is>
          <t>2.10</t>
        </is>
      </c>
      <c r="B28" s="10" t="inlineStr">
        <is>
          <t>2026-07-31</t>
        </is>
      </c>
      <c r="C28" s="10" t="inlineStr">
        <is>
          <t>Claude Code</t>
        </is>
      </c>
      <c r="D28" s="10" t="inlineStr">
        <is>
          <t>Pending</t>
        </is>
      </c>
      <c r="E28" s="11"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28" s="10" t="inlineStr">
        <is>
          <t>Superseded by v2.11</t>
        </is>
      </c>
    </row>
    <row r="29">
      <c r="A29" s="8" t="inlineStr">
        <is>
          <t>2.9</t>
        </is>
      </c>
      <c r="B29" s="8" t="inlineStr">
        <is>
          <t>2026-07-31</t>
        </is>
      </c>
      <c r="C29" s="8" t="inlineStr">
        <is>
          <t>Claude Code</t>
        </is>
      </c>
      <c r="D29" s="8" t="inlineStr">
        <is>
          <t>Pending</t>
        </is>
      </c>
      <c r="E29" s="9"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29" s="8" t="inlineStr">
        <is>
          <t>Superseded by v2.10</t>
        </is>
      </c>
    </row>
    <row r="30">
      <c r="A30" s="10" t="inlineStr">
        <is>
          <t>2.8</t>
        </is>
      </c>
      <c r="B30" s="10" t="inlineStr">
        <is>
          <t>2026-07-31</t>
        </is>
      </c>
      <c r="C30" s="10" t="inlineStr">
        <is>
          <t>Claude Code</t>
        </is>
      </c>
      <c r="D30" s="10" t="inlineStr">
        <is>
          <t>Pending</t>
        </is>
      </c>
      <c r="E30" s="11"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30" s="10" t="inlineStr">
        <is>
          <t>Superseded by v2.9</t>
        </is>
      </c>
    </row>
    <row r="31">
      <c r="A31" s="8" t="inlineStr">
        <is>
          <t>2.7</t>
        </is>
      </c>
      <c r="B31" s="8" t="inlineStr">
        <is>
          <t>2026-07-31</t>
        </is>
      </c>
      <c r="C31" s="8" t="inlineStr">
        <is>
          <t>Claude Code</t>
        </is>
      </c>
      <c r="D31" s="8" t="inlineStr">
        <is>
          <t>Pending</t>
        </is>
      </c>
      <c r="E31" s="9"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31" s="8" t="inlineStr">
        <is>
          <t>Superseded by v2.8</t>
        </is>
      </c>
    </row>
    <row r="32">
      <c r="A32" s="10" t="inlineStr">
        <is>
          <t>2.6</t>
        </is>
      </c>
      <c r="B32" s="10" t="inlineStr">
        <is>
          <t>2026-07-31</t>
        </is>
      </c>
      <c r="C32" s="10" t="inlineStr">
        <is>
          <t>Claude Code</t>
        </is>
      </c>
      <c r="D32" s="10" t="inlineStr">
        <is>
          <t>Pending</t>
        </is>
      </c>
      <c r="E32" s="11"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32" s="10" t="inlineStr">
        <is>
          <t>Superseded by v2.7</t>
        </is>
      </c>
    </row>
    <row r="33">
      <c r="A33" s="8" t="inlineStr">
        <is>
          <t>2.5</t>
        </is>
      </c>
      <c r="B33" s="8" t="inlineStr">
        <is>
          <t>2026-07-31</t>
        </is>
      </c>
      <c r="C33" s="8" t="inlineStr">
        <is>
          <t>Claude Code</t>
        </is>
      </c>
      <c r="D33" s="8" t="inlineStr">
        <is>
          <t>Pending</t>
        </is>
      </c>
      <c r="E33" s="9"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33" s="8" t="inlineStr">
        <is>
          <t>Issued for review</t>
        </is>
      </c>
    </row>
    <row r="34">
      <c r="A34" s="10" t="inlineStr">
        <is>
          <t>2.4</t>
        </is>
      </c>
      <c r="B34" s="10" t="inlineStr">
        <is>
          <t>2026-07-31</t>
        </is>
      </c>
      <c r="C34" s="10" t="inlineStr">
        <is>
          <t>Claude Code</t>
        </is>
      </c>
      <c r="D34" s="10" t="inlineStr">
        <is>
          <t>Pending</t>
        </is>
      </c>
      <c r="E34" s="11"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34" s="10" t="inlineStr">
        <is>
          <t>Issued for review</t>
        </is>
      </c>
    </row>
    <row r="35">
      <c r="A35" s="8" t="inlineStr">
        <is>
          <t>2.3</t>
        </is>
      </c>
      <c r="B35" s="8" t="inlineStr">
        <is>
          <t>2026-07-31</t>
        </is>
      </c>
      <c r="C35" s="8" t="inlineStr">
        <is>
          <t>Claude Code</t>
        </is>
      </c>
      <c r="D35" s="8" t="inlineStr">
        <is>
          <t>Pending</t>
        </is>
      </c>
      <c r="E35" s="9"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35" s="8" t="inlineStr">
        <is>
          <t>Issued for review</t>
        </is>
      </c>
    </row>
    <row r="36">
      <c r="A36" s="10" t="inlineStr">
        <is>
          <t>2.2</t>
        </is>
      </c>
      <c r="B36" s="10" t="inlineStr">
        <is>
          <t>2026-07-31</t>
        </is>
      </c>
      <c r="C36" s="10" t="inlineStr">
        <is>
          <t>Claude Code</t>
        </is>
      </c>
      <c r="D36" s="10" t="inlineStr">
        <is>
          <t>Pending</t>
        </is>
      </c>
      <c r="E36" s="11"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36" s="10" t="inlineStr">
        <is>
          <t>Issued for review</t>
        </is>
      </c>
    </row>
    <row r="37">
      <c r="A37" s="8" t="inlineStr">
        <is>
          <t>2.1</t>
        </is>
      </c>
      <c r="B37" s="8" t="inlineStr">
        <is>
          <t>2026-07-31</t>
        </is>
      </c>
      <c r="C37" s="8" t="inlineStr">
        <is>
          <t>Claude Code</t>
        </is>
      </c>
      <c r="D37" s="8" t="inlineStr">
        <is>
          <t>Pending</t>
        </is>
      </c>
      <c r="E37" s="9"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37" s="8" t="inlineStr">
        <is>
          <t>Issued for review</t>
        </is>
      </c>
    </row>
    <row r="38">
      <c r="A38" s="10" t="inlineStr">
        <is>
          <t>2.0</t>
        </is>
      </c>
      <c r="B38" s="10" t="inlineStr">
        <is>
          <t>2026-08-02</t>
        </is>
      </c>
      <c r="C38" s="10" t="inlineStr">
        <is>
          <t>Claude Code</t>
        </is>
      </c>
      <c r="D38" s="10" t="inlineStr">
        <is>
          <t>Dan</t>
        </is>
      </c>
      <c r="E38" s="11"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38" s="10" t="inlineStr">
        <is>
          <t>APPROVED 2026-08-02 by Dan - BASELINE</t>
        </is>
      </c>
    </row>
    <row r="39">
      <c r="A39" s="8" t="inlineStr">
        <is>
          <t>1.10</t>
        </is>
      </c>
      <c r="B39" s="8" t="inlineStr">
        <is>
          <t>2026-07-31</t>
        </is>
      </c>
      <c r="C39" s="8" t="inlineStr">
        <is>
          <t>Claude Code</t>
        </is>
      </c>
      <c r="D39" s="8" t="inlineStr">
        <is>
          <t>Pending</t>
        </is>
      </c>
      <c r="E39" s="9"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39" s="8" t="inlineStr">
        <is>
          <t>Issued for approval</t>
        </is>
      </c>
    </row>
    <row r="40">
      <c r="A40" s="10" t="inlineStr">
        <is>
          <t>1.9</t>
        </is>
      </c>
      <c r="B40" s="10" t="inlineStr">
        <is>
          <t>2026-07-31</t>
        </is>
      </c>
      <c r="C40" s="10" t="inlineStr">
        <is>
          <t>Claude Code</t>
        </is>
      </c>
      <c r="D40" s="10" t="inlineStr">
        <is>
          <t>Pending</t>
        </is>
      </c>
      <c r="E40" s="11"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40" s="10" t="inlineStr">
        <is>
          <t>Issued for approval</t>
        </is>
      </c>
    </row>
    <row r="41">
      <c r="A41" s="8" t="inlineStr">
        <is>
          <t>1.8</t>
        </is>
      </c>
      <c r="B41" s="8" t="inlineStr">
        <is>
          <t>2026-07-31</t>
        </is>
      </c>
      <c r="C41" s="8" t="inlineStr">
        <is>
          <t>Claude Code</t>
        </is>
      </c>
      <c r="D41" s="8" t="inlineStr">
        <is>
          <t>Pending</t>
        </is>
      </c>
      <c r="E41" s="9"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41" s="8" t="inlineStr">
        <is>
          <t>Superseded by v1.9</t>
        </is>
      </c>
    </row>
    <row r="42">
      <c r="A42" s="10" t="inlineStr">
        <is>
          <t>1.7</t>
        </is>
      </c>
      <c r="B42" s="10" t="inlineStr">
        <is>
          <t>2026-07-31</t>
        </is>
      </c>
      <c r="C42" s="10" t="inlineStr">
        <is>
          <t>Claude Code</t>
        </is>
      </c>
      <c r="D42" s="10" t="inlineStr">
        <is>
          <t>Pending</t>
        </is>
      </c>
      <c r="E42" s="11"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42" s="10" t="inlineStr">
        <is>
          <t>Superseded by v1.8</t>
        </is>
      </c>
    </row>
    <row r="43">
      <c r="A43" s="8" t="inlineStr">
        <is>
          <t>1.6</t>
        </is>
      </c>
      <c r="B43" s="8" t="inlineStr">
        <is>
          <t>2026-07-31</t>
        </is>
      </c>
      <c r="C43" s="8" t="inlineStr">
        <is>
          <t>Claude Code</t>
        </is>
      </c>
      <c r="D43" s="8" t="inlineStr">
        <is>
          <t>Pending</t>
        </is>
      </c>
      <c r="E43" s="9"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43" s="8" t="inlineStr">
        <is>
          <t>Issued for approval</t>
        </is>
      </c>
    </row>
    <row r="45">
      <c r="A45"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8"/>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20" t="inlineStr">
        <is>
          <t>Must</t>
        </is>
      </c>
      <c r="E18" s="20" t="inlineStr">
        <is>
          <t>Q-18, Q-23, R-02, R-11</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x person weight x fraction of the month covered. There is no separate base allocation. The role factor is selected by project type, clinical phase, the period the month falls in, and the role - so a role's burden can vary across the life of a project.</t>
        </is>
      </c>
      <c r="D31" s="20" t="inlineStr">
        <is>
          <t>Must</t>
        </is>
      </c>
      <c r="E31" s="20" t="inlineStr">
        <is>
          <t>Q-01, R-10</t>
        </is>
      </c>
      <c r="F31" s="20" t="inlineStr">
        <is>
          <t>2,4</t>
        </is>
      </c>
    </row>
    <row r="32">
      <c r="A32" s="10" t="inlineStr">
        <is>
          <t>REQ-CAL-03</t>
        </is>
      </c>
      <c r="B32" s="10" t="inlineStr">
        <is>
          <t>Calculation</t>
        </is>
      </c>
      <c r="C32" s="11" t="inlineStr">
        <is>
          <t>Project monthly load is the sum of its assignments; person monthly load is the sum across all their projects.</t>
        </is>
      </c>
      <c r="D32" s="10" t="inlineStr">
        <is>
          <t>Must</t>
        </is>
      </c>
      <c r="E32" s="10" t="inlineStr">
        <is>
          <t>Requester</t>
        </is>
      </c>
      <c r="F32" s="10" t="inlineStr">
        <is>
          <t>4</t>
        </is>
      </c>
    </row>
    <row r="33">
      <c r="A33" s="20" t="inlineStr">
        <is>
          <t>REQ-CAL-04</t>
        </is>
      </c>
      <c r="B33" s="20" t="inlineStr">
        <is>
          <t>Calculation</t>
        </is>
      </c>
      <c r="C33" s="19" t="inlineStr">
        <is>
          <t>A person-month whose total exceeds the over-allocation threshold (default 1.50 FTE) is flagged as over-allocated. The threshold is absolute, not scaled by capacity (S2-01).</t>
        </is>
      </c>
      <c r="D33" s="20" t="inlineStr">
        <is>
          <t>Must</t>
        </is>
      </c>
      <c r="E33" s="20" t="inlineStr">
        <is>
          <t>Q-08, S2-01</t>
        </is>
      </c>
      <c r="F33" s="20" t="inlineStr">
        <is>
          <t>4</t>
        </is>
      </c>
    </row>
    <row r="34">
      <c r="A34" s="20" t="inlineStr">
        <is>
          <t>REQ-CAL-05</t>
        </is>
      </c>
      <c r="B34" s="20" t="inlineStr">
        <is>
          <t>Calculation</t>
        </is>
      </c>
      <c r="C34" s="19" t="inlineStr">
        <is>
          <t>A partial first or last month is pro-rated by calendar days worked, not counted as a whole month.</t>
        </is>
      </c>
      <c r="D34" s="20" t="inlineStr">
        <is>
          <t>Must</t>
        </is>
      </c>
      <c r="E34" s="20" t="inlineStr">
        <is>
          <t>Q-02</t>
        </is>
      </c>
      <c r="F34" s="20" t="inlineStr">
        <is>
          <t>4</t>
        </is>
      </c>
    </row>
    <row r="35">
      <c r="A35" s="8" t="inlineStr">
        <is>
          <t>REQ-CAL-06</t>
        </is>
      </c>
      <c r="B35" s="8" t="inlineStr">
        <is>
          <t>Calculation</t>
        </is>
      </c>
      <c r="C35" s="9" t="inlineStr">
        <is>
          <t>All weights, factors and thresholds are data, held in the source workbook, never hardcoded in the program.</t>
        </is>
      </c>
      <c r="D35" s="8" t="inlineStr">
        <is>
          <t>Must</t>
        </is>
      </c>
      <c r="E35" s="8" t="inlineStr">
        <is>
          <t>Derived</t>
        </is>
      </c>
      <c r="F35" s="8" t="inlineStr">
        <is>
          <t>4</t>
        </is>
      </c>
    </row>
    <row r="36">
      <c r="A36" s="20" t="inlineStr">
        <is>
          <t>REQ-CAL-07</t>
        </is>
      </c>
      <c r="B36" s="20" t="inlineStr">
        <is>
          <t>Calculation</t>
        </is>
      </c>
      <c r="C36" s="19" t="inlineStr">
        <is>
          <t>A person whose monthly total stays below the under-allocation threshold (default 0.60 FTE) for three or more consecutive months is flagged as under-allocated, with the run's start and length reported. The threshold is absolute, not scaled by capacity.</t>
        </is>
      </c>
      <c r="D36" s="20" t="inlineStr">
        <is>
          <t>Must</t>
        </is>
      </c>
      <c r="E36" s="20" t="inlineStr">
        <is>
          <t>Q-08, S2-01, S2-05</t>
        </is>
      </c>
      <c r="F36" s="20" t="inlineStr">
        <is>
          <t>4</t>
        </is>
      </c>
    </row>
    <row r="37">
      <c r="A37" s="17" t="inlineStr">
        <is>
          <t>REQ-CAL-08</t>
        </is>
      </c>
      <c r="B37" s="17" t="inlineStr">
        <is>
          <t>Calculation</t>
        </is>
      </c>
      <c r="C37" s="18" t="inlineStr">
        <is>
          <t>Load is expressed in FTE, where 1.00 FTE = 160 hours per month (8 h/day x 5 days/week x 20 days/month). Hours are shown alongside FTE where useful.</t>
        </is>
      </c>
      <c r="D37" s="17" t="inlineStr">
        <is>
          <t>Must</t>
        </is>
      </c>
      <c r="E37" s="17" t="inlineStr">
        <is>
          <t>Q-08</t>
        </is>
      </c>
      <c r="F37" s="17" t="inlineStr">
        <is>
          <t>4</t>
        </is>
      </c>
    </row>
    <row r="38">
      <c r="A38" s="20" t="inlineStr">
        <is>
          <t>REQ-CAL-09</t>
        </is>
      </c>
      <c r="B38" s="20" t="inlineStr">
        <is>
          <t>Calculation</t>
        </is>
      </c>
      <c r="C38"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38" s="20" t="inlineStr">
        <is>
          <t>Must</t>
        </is>
      </c>
      <c r="E38" s="20" t="inlineStr">
        <is>
          <t>Q-16, Q-22, Q-23, Q-25</t>
        </is>
      </c>
      <c r="F38" s="20" t="inlineStr">
        <is>
          <t>2,4</t>
        </is>
      </c>
    </row>
    <row r="39">
      <c r="A39" s="17" t="inlineStr">
        <is>
          <t>REQ-CAL-10</t>
        </is>
      </c>
      <c r="B39" s="17" t="inlineStr">
        <is>
          <t>Calculation</t>
        </is>
      </c>
      <c r="C39" s="18" t="inlineStr">
        <is>
          <t>Every month of a project's timeline falls in exactly one period. A month left uncovered by the derivation is reported and carries weight 1.00 rather than being dropped from the simulation.</t>
        </is>
      </c>
      <c r="D39" s="17" t="inlineStr">
        <is>
          <t>Must</t>
        </is>
      </c>
      <c r="E39" s="17" t="inlineStr">
        <is>
          <t>Derived from Q-16</t>
        </is>
      </c>
      <c r="F39" s="17" t="inlineStr">
        <is>
          <t>2,4</t>
        </is>
      </c>
    </row>
    <row r="40">
      <c r="A40" s="20" t="inlineStr">
        <is>
          <t>REQ-CAL-11</t>
        </is>
      </c>
      <c r="B40" s="20" t="inlineStr">
        <is>
          <t>Calculation</t>
        </is>
      </c>
      <c r="C40" s="19"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40" s="20" t="inlineStr">
        <is>
          <t>Must</t>
        </is>
      </c>
      <c r="E40" s="20" t="inlineStr">
        <is>
          <t>Q-23, R-11</t>
        </is>
      </c>
      <c r="F40" s="20" t="inlineStr">
        <is>
          <t>2,4</t>
        </is>
      </c>
    </row>
    <row r="41">
      <c r="A41" s="17" t="inlineStr">
        <is>
          <t>REQ-CAL-13</t>
        </is>
      </c>
      <c r="B41" s="17" t="inlineStr">
        <is>
          <t>Calculation</t>
        </is>
      </c>
      <c r="C41" s="18" t="inlineStr">
        <is>
          <t>Where a period boundary has both a milestone and a month-offset definition, a recorded milestone date wins. The offset is the fallback for a project that does not carry that milestone.</t>
        </is>
      </c>
      <c r="D41" s="17" t="inlineStr">
        <is>
          <t>Must</t>
        </is>
      </c>
      <c r="E41" s="17" t="inlineStr">
        <is>
          <t>R-02</t>
        </is>
      </c>
      <c r="F41" s="17" t="inlineStr">
        <is>
          <t>2,4</t>
        </is>
      </c>
    </row>
    <row r="42">
      <c r="A42" s="17" t="inlineStr">
        <is>
          <t>REQ-CAL-12</t>
        </is>
      </c>
      <c r="B42" s="17" t="inlineStr">
        <is>
          <t>Calculation</t>
        </is>
      </c>
      <c r="C42" s="18" t="inlineStr">
        <is>
          <t>Where a timeline squeezes a derived period to zero or negative length, that period is omitted and the omission reported. Boundaries are applied in order so the periods always stay contiguous.</t>
        </is>
      </c>
      <c r="D42" s="17" t="inlineStr">
        <is>
          <t>Must</t>
        </is>
      </c>
      <c r="E42" s="17" t="inlineStr">
        <is>
          <t>Derived from Q-22, Q-23</t>
        </is>
      </c>
      <c r="F42" s="17" t="inlineStr">
        <is>
          <t>2,4</t>
        </is>
      </c>
    </row>
    <row r="43">
      <c r="A43" s="8" t="inlineStr">
        <is>
          <t>REQ-DSH-01</t>
        </is>
      </c>
      <c r="B43" s="8" t="inlineStr">
        <is>
          <t>Dashboard</t>
        </is>
      </c>
      <c r="C43" s="9" t="inlineStr">
        <is>
          <t>Tab 'Overall' shows monthly resource simulation per project and per person as tables.</t>
        </is>
      </c>
      <c r="D43" s="8" t="inlineStr">
        <is>
          <t>Must</t>
        </is>
      </c>
      <c r="E43" s="8" t="inlineStr">
        <is>
          <t>Requester</t>
        </is>
      </c>
      <c r="F43" s="8" t="inlineStr">
        <is>
          <t>3,4</t>
        </is>
      </c>
    </row>
    <row r="44">
      <c r="A44" s="10" t="inlineStr">
        <is>
          <t>REQ-DSH-02</t>
        </is>
      </c>
      <c r="B44" s="10" t="inlineStr">
        <is>
          <t>Dashboard</t>
        </is>
      </c>
      <c r="C44" s="11" t="inlineStr">
        <is>
          <t>Tab 'Overall' shows appropriate graphs of the same simulation.</t>
        </is>
      </c>
      <c r="D44" s="10" t="inlineStr">
        <is>
          <t>Must</t>
        </is>
      </c>
      <c r="E44" s="10" t="inlineStr">
        <is>
          <t>Requester</t>
        </is>
      </c>
      <c r="F44" s="10" t="inlineStr">
        <is>
          <t>3,4</t>
        </is>
      </c>
    </row>
    <row r="45">
      <c r="A45" s="8" t="inlineStr">
        <is>
          <t>REQ-DSH-03</t>
        </is>
      </c>
      <c r="B45" s="8" t="inlineStr">
        <is>
          <t>Dashboard</t>
        </is>
      </c>
      <c r="C45" s="9" t="inlineStr">
        <is>
          <t>Tab 'Source data (project)' shows project information as a table.</t>
        </is>
      </c>
      <c r="D45" s="8" t="inlineStr">
        <is>
          <t>Must</t>
        </is>
      </c>
      <c r="E45" s="8" t="inlineStr">
        <is>
          <t>Requester</t>
        </is>
      </c>
      <c r="F45" s="8" t="inlineStr">
        <is>
          <t>3,4</t>
        </is>
      </c>
    </row>
    <row r="46">
      <c r="A46" s="10" t="inlineStr">
        <is>
          <t>REQ-DSH-04</t>
        </is>
      </c>
      <c r="B46" s="10" t="inlineStr">
        <is>
          <t>Dashboard</t>
        </is>
      </c>
      <c r="C46" s="11" t="inlineStr">
        <is>
          <t>Tab 'Source data (person)' shows person information as a table.</t>
        </is>
      </c>
      <c r="D46" s="10" t="inlineStr">
        <is>
          <t>Must</t>
        </is>
      </c>
      <c r="E46" s="10" t="inlineStr">
        <is>
          <t>Requester</t>
        </is>
      </c>
      <c r="F46" s="10" t="inlineStr">
        <is>
          <t>3,4</t>
        </is>
      </c>
    </row>
    <row r="47">
      <c r="A47" s="20" t="inlineStr">
        <is>
          <t>REQ-DSH-05</t>
        </is>
      </c>
      <c r="B47" s="20" t="inlineStr">
        <is>
          <t>Dashboard</t>
        </is>
      </c>
      <c r="C47" s="19" t="inlineStr">
        <is>
          <t>One filter set drives every tab: date horizon, project type, clinical phase, project, person, role and department, with a single action to clear them all. The display unit is a setting, not a filter - it changes how figures are written, not which are shown.</t>
        </is>
      </c>
      <c r="D47" s="20" t="inlineStr">
        <is>
          <t>Should</t>
        </is>
      </c>
      <c r="E47" s="20" t="inlineStr">
        <is>
          <t>Derived / O-03</t>
        </is>
      </c>
      <c r="F47" s="20" t="inlineStr">
        <is>
          <t>3,4</t>
        </is>
      </c>
    </row>
    <row r="48">
      <c r="A48" s="10" t="inlineStr">
        <is>
          <t>REQ-DSH-06</t>
        </is>
      </c>
      <c r="B48" s="10" t="inlineStr">
        <is>
          <t>Dashboard</t>
        </is>
      </c>
      <c r="C48" s="11" t="inlineStr">
        <is>
          <t>Any table on screen can be exported to Excel.</t>
        </is>
      </c>
      <c r="D48" s="10" t="inlineStr">
        <is>
          <t>Should</t>
        </is>
      </c>
      <c r="E48" s="10" t="inlineStr">
        <is>
          <t>Derived</t>
        </is>
      </c>
      <c r="F48" s="10" t="inlineStr">
        <is>
          <t>4</t>
        </is>
      </c>
    </row>
    <row r="49">
      <c r="A49" s="17" t="inlineStr">
        <is>
          <t>REQ-DSH-07</t>
        </is>
      </c>
      <c r="B49" s="17" t="inlineStr">
        <is>
          <t>Dashboard</t>
        </is>
      </c>
      <c r="C49" s="18" t="inlineStr">
        <is>
          <t>The horizon control offers 24 months by default and a one-click expansion to cover the latest project end date across all projects.</t>
        </is>
      </c>
      <c r="D49" s="17" t="inlineStr">
        <is>
          <t>Must</t>
        </is>
      </c>
      <c r="E49" s="17" t="inlineStr">
        <is>
          <t>Q-11</t>
        </is>
      </c>
      <c r="F49" s="17" t="inlineStr">
        <is>
          <t>3,4</t>
        </is>
      </c>
    </row>
    <row r="50">
      <c r="A50" s="17" t="inlineStr">
        <is>
          <t>REQ-DSH-08</t>
        </is>
      </c>
      <c r="B50" s="17" t="inlineStr">
        <is>
          <t>Dashboard</t>
        </is>
      </c>
      <c r="C50" s="18" t="inlineStr">
        <is>
          <t>Over-allocated and under-allocated person-months are distinguishable at a glance, and both are counted in the summary tiles.</t>
        </is>
      </c>
      <c r="D50" s="17" t="inlineStr">
        <is>
          <t>Must</t>
        </is>
      </c>
      <c r="E50" s="17" t="inlineStr">
        <is>
          <t>Q-08</t>
        </is>
      </c>
      <c r="F50" s="17" t="inlineStr">
        <is>
          <t>3,4</t>
        </is>
      </c>
    </row>
    <row r="51">
      <c r="A51" s="17" t="inlineStr">
        <is>
          <t>REQ-DSH-09</t>
        </is>
      </c>
      <c r="B51" s="17" t="inlineStr">
        <is>
          <t>Dashboard</t>
        </is>
      </c>
      <c r="C51" s="18" t="inlineStr">
        <is>
          <t>At the target volume a table taller than the viewport renders only the visible rows, and the per-person chart shows an aggregate or a ranked subset rather than one bar per person. A thousand bars is not a chart.</t>
        </is>
      </c>
      <c r="D51" s="17" t="inlineStr">
        <is>
          <t>Must</t>
        </is>
      </c>
      <c r="E51" s="17" t="inlineStr">
        <is>
          <t>S2-06</t>
        </is>
      </c>
      <c r="F51" s="17" t="inlineStr">
        <is>
          <t>3,4</t>
        </is>
      </c>
    </row>
    <row r="52">
      <c r="A52" s="20" t="inlineStr">
        <is>
          <t>REQ-DSH-10</t>
        </is>
      </c>
      <c r="B52" s="20" t="inlineStr">
        <is>
          <t>Dashboard</t>
        </is>
      </c>
      <c r="C52" s="19"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52" s="20" t="inlineStr">
        <is>
          <t>Must</t>
        </is>
      </c>
      <c r="E52" s="20" t="inlineStr">
        <is>
          <t>S2-04, R-11</t>
        </is>
      </c>
      <c r="F52" s="20" t="inlineStr">
        <is>
          <t>3,4</t>
        </is>
      </c>
    </row>
    <row r="53">
      <c r="A53" s="17" t="inlineStr">
        <is>
          <t>REQ-DSH-12</t>
        </is>
      </c>
      <c r="B53" s="17" t="inlineStr">
        <is>
          <t>Dashboard</t>
        </is>
      </c>
      <c r="C53"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53" s="17" t="inlineStr">
        <is>
          <t>Should</t>
        </is>
      </c>
      <c r="E53" s="17" t="inlineStr">
        <is>
          <t>Reviewer v0.7</t>
        </is>
      </c>
      <c r="F53" s="17" t="inlineStr">
        <is>
          <t>3,4</t>
        </is>
      </c>
    </row>
    <row r="54">
      <c r="A54" s="17" t="inlineStr">
        <is>
          <t>REQ-DSH-11</t>
        </is>
      </c>
      <c r="B54" s="17" t="inlineStr">
        <is>
          <t>Dashboard</t>
        </is>
      </c>
      <c r="C54" s="18" t="inlineStr">
        <is>
          <t>The standing assumptions the simulation multiplies by - standard period weights, role factors, configuration and value lists - are presented on their own tab, so a reader can see what every figure was derived from without opening the workbook.</t>
        </is>
      </c>
      <c r="D54" s="17" t="inlineStr">
        <is>
          <t>Must</t>
        </is>
      </c>
      <c r="E54" s="17" t="inlineStr">
        <is>
          <t>G-07</t>
        </is>
      </c>
      <c r="F54" s="17" t="inlineStr">
        <is>
          <t>3,4</t>
        </is>
      </c>
    </row>
    <row r="55">
      <c r="A55" s="20" t="inlineStr">
        <is>
          <t>REQ-IMP-01</t>
        </is>
      </c>
      <c r="B55" s="20" t="inlineStr">
        <is>
          <t>Import/Export</t>
        </is>
      </c>
      <c r="C55" s="19" t="inlineStr">
        <is>
          <t>The user loads the source workbook through a file picker or drag-and-drop, chosen because a local HTML page cannot open a file from disk unaided.</t>
        </is>
      </c>
      <c r="D55" s="20" t="inlineStr">
        <is>
          <t>Must</t>
        </is>
      </c>
      <c r="E55" s="20" t="inlineStr">
        <is>
          <t>Decision D-01</t>
        </is>
      </c>
      <c r="F55" s="20" t="inlineStr">
        <is>
          <t>4</t>
        </is>
      </c>
    </row>
    <row r="56">
      <c r="A56" s="10" t="inlineStr">
        <is>
          <t>REQ-IMP-02</t>
        </is>
      </c>
      <c r="B56" s="10" t="inlineStr">
        <is>
          <t>Import/Export</t>
        </is>
      </c>
      <c r="C56" s="11" t="inlineStr">
        <is>
          <t>Loading validates the workbook and reports every problem found - missing sheet, missing column, bad date, unknown project reference - without stopping at the first one.</t>
        </is>
      </c>
      <c r="D56" s="10" t="inlineStr">
        <is>
          <t>Must</t>
        </is>
      </c>
      <c r="E56" s="10" t="inlineStr">
        <is>
          <t>Derived</t>
        </is>
      </c>
      <c r="F56" s="10" t="inlineStr">
        <is>
          <t>4</t>
        </is>
      </c>
    </row>
    <row r="57">
      <c r="A57" s="20" t="inlineStr">
        <is>
          <t>REQ-IMP-03</t>
        </is>
      </c>
      <c r="B57" s="20" t="inlineStr">
        <is>
          <t>Import/Export</t>
        </is>
      </c>
      <c r="C57" s="19" t="inlineStr">
        <is>
          <t>A blank source workbook template with correct sheet names, headers, value lists and one example row is delivered with the application.</t>
        </is>
      </c>
      <c r="D57" s="20" t="inlineStr">
        <is>
          <t>Must</t>
        </is>
      </c>
      <c r="E57" s="20" t="inlineStr">
        <is>
          <t>Derived</t>
        </is>
      </c>
      <c r="F57" s="20" t="inlineStr">
        <is>
          <t>4</t>
        </is>
      </c>
    </row>
    <row r="58">
      <c r="A58" s="10" t="inlineStr">
        <is>
          <t>REQ-IMP-04</t>
        </is>
      </c>
      <c r="B58" s="10" t="inlineStr">
        <is>
          <t>Import/Export</t>
        </is>
      </c>
      <c r="C58" s="11" t="inlineStr">
        <is>
          <t>The user can export current data back to .xlsx, preserving the template layout so the export can be re-imported.</t>
        </is>
      </c>
      <c r="D58" s="10" t="inlineStr">
        <is>
          <t>Must</t>
        </is>
      </c>
      <c r="E58" s="10" t="inlineStr">
        <is>
          <t>Derived</t>
        </is>
      </c>
      <c r="F58" s="10" t="inlineStr">
        <is>
          <t>4</t>
        </is>
      </c>
    </row>
    <row r="59">
      <c r="A59" s="20" t="inlineStr">
        <is>
          <t>REQ-IMP-05</t>
        </is>
      </c>
      <c r="B59" s="20" t="inlineStr">
        <is>
          <t>Import/Export</t>
        </is>
      </c>
      <c r="C59" s="19" t="inlineStr">
        <is>
          <t>The application records which file was loaded and when, and shows it on screen with its time zone - a bare timestamp is ambiguous to anyone reading it from another country.</t>
        </is>
      </c>
      <c r="D59" s="20" t="inlineStr">
        <is>
          <t>Should</t>
        </is>
      </c>
      <c r="E59" s="20" t="inlineStr">
        <is>
          <t>Derived / G-02</t>
        </is>
      </c>
      <c r="F59" s="20" t="inlineStr">
        <is>
          <t>4</t>
        </is>
      </c>
    </row>
    <row r="60">
      <c r="A60" s="10" t="inlineStr">
        <is>
          <t>REQ-IMP-06</t>
        </is>
      </c>
      <c r="B60" s="10" t="inlineStr">
        <is>
          <t>Import/Export</t>
        </is>
      </c>
      <c r="C60" s="11" t="inlineStr">
        <is>
          <t>Loaded data may be cached in the browser so re-opening the page does not force a re-import; the cache never replaces the workbook as the record.</t>
        </is>
      </c>
      <c r="D60" s="10" t="inlineStr">
        <is>
          <t>Could</t>
        </is>
      </c>
      <c r="E60" s="10" t="inlineStr">
        <is>
          <t>Derived</t>
        </is>
      </c>
      <c r="F60" s="10" t="inlineStr">
        <is>
          <t>4</t>
        </is>
      </c>
    </row>
    <row r="61">
      <c r="A61" s="17" t="inlineStr">
        <is>
          <t>REQ-IMP-07</t>
        </is>
      </c>
      <c r="B61" s="17" t="inlineStr">
        <is>
          <t>Import/Export</t>
        </is>
      </c>
      <c r="C61" s="18" t="inlineStr">
        <is>
          <t>After import, the application lets the user update the data on screen, and those updates are carried into the file produced on export.</t>
        </is>
      </c>
      <c r="D61" s="17" t="inlineStr">
        <is>
          <t>Must</t>
        </is>
      </c>
      <c r="E61" s="17" t="inlineStr">
        <is>
          <t>Reviewer v0.11</t>
        </is>
      </c>
      <c r="F61" s="17" t="inlineStr">
        <is>
          <t>4</t>
        </is>
      </c>
    </row>
    <row r="62">
      <c r="A62" s="17" t="inlineStr">
        <is>
          <t>REQ-IMP-08</t>
        </is>
      </c>
      <c r="B62" s="17" t="inlineStr">
        <is>
          <t>Import/Export</t>
        </is>
      </c>
      <c r="C62" s="18" t="inlineStr">
        <is>
          <t>Unsaved edits are visible as such, and the user is warned before any action that would discard them (closing the page, loading another file).</t>
        </is>
      </c>
      <c r="D62" s="17" t="inlineStr">
        <is>
          <t>Must</t>
        </is>
      </c>
      <c r="E62" s="17" t="inlineStr">
        <is>
          <t>Derived from REQ-IMP-07</t>
        </is>
      </c>
      <c r="F62" s="17" t="inlineStr">
        <is>
          <t>4</t>
        </is>
      </c>
    </row>
    <row r="63">
      <c r="A63" s="20" t="inlineStr">
        <is>
          <t>REQ-IMP-09</t>
        </is>
      </c>
      <c r="B63" s="20" t="inlineStr">
        <is>
          <t>Import/Export</t>
        </is>
      </c>
      <c r="C63" s="19" t="inlineStr">
        <is>
          <t>Every field is editable, including identifiers. An on-screen edit is re-validated against the same rules as an imported value, so editing cannot introduce data the import would have rejected.</t>
        </is>
      </c>
      <c r="D63" s="20" t="inlineStr">
        <is>
          <t>Must</t>
        </is>
      </c>
      <c r="E63" s="20" t="inlineStr">
        <is>
          <t>Q-20</t>
        </is>
      </c>
      <c r="F63" s="20" t="inlineStr">
        <is>
          <t>4</t>
        </is>
      </c>
    </row>
    <row r="64">
      <c r="A64" s="17" t="inlineStr">
        <is>
          <t>REQ-IMP-10</t>
        </is>
      </c>
      <c r="B64" s="17" t="inlineStr">
        <is>
          <t>Import/Export</t>
        </is>
      </c>
      <c r="C64" s="18" t="inlineStr">
        <is>
          <t>Editing an identifier that other sheets reference cascades to every referencing row, after showing how many rows will change. Deleting a referenced row is refused, naming what still points at it.</t>
        </is>
      </c>
      <c r="D64" s="17" t="inlineStr">
        <is>
          <t>Must</t>
        </is>
      </c>
      <c r="E64" s="17" t="inlineStr">
        <is>
          <t>Q-20</t>
        </is>
      </c>
      <c r="F64" s="17" t="inlineStr">
        <is>
          <t>4</t>
        </is>
      </c>
    </row>
    <row r="65">
      <c r="A65" s="17" t="inlineStr">
        <is>
          <t>REQ-IMP-11</t>
        </is>
      </c>
      <c r="B65" s="17" t="inlineStr">
        <is>
          <t>Import/Export</t>
        </is>
      </c>
      <c r="C65" s="18" t="inlineStr">
        <is>
          <t>A new row can be inserted into any editable table, positioned immediately below the row the user acts on rather than appended at the end, and validated on entry like any other edit.</t>
        </is>
      </c>
      <c r="D65" s="17" t="inlineStr">
        <is>
          <t>Must</t>
        </is>
      </c>
      <c r="E65" s="17" t="inlineStr">
        <is>
          <t>P-01, S-01</t>
        </is>
      </c>
      <c r="F65" s="17" t="inlineStr">
        <is>
          <t>4</t>
        </is>
      </c>
    </row>
    <row r="66">
      <c r="A66" s="10" t="inlineStr">
        <is>
          <t>REQ-VC-01</t>
        </is>
      </c>
      <c r="B66" s="10" t="inlineStr">
        <is>
          <t>Version control</t>
        </is>
      </c>
      <c r="C66" s="11" t="inlineStr">
        <is>
          <t>Development plan, programming specification and output files are version-controlled together and their versions are cross-referenced.</t>
        </is>
      </c>
      <c r="D66" s="10" t="inlineStr">
        <is>
          <t>Must</t>
        </is>
      </c>
      <c r="E66" s="10" t="inlineStr">
        <is>
          <t>Requester</t>
        </is>
      </c>
      <c r="F66" s="10" t="inlineStr">
        <is>
          <t>1-5</t>
        </is>
      </c>
    </row>
    <row r="67">
      <c r="A67" s="8" t="inlineStr">
        <is>
          <t>REQ-VC-02</t>
        </is>
      </c>
      <c r="B67" s="8" t="inlineStr">
        <is>
          <t>Version control</t>
        </is>
      </c>
      <c r="C67" s="9" t="inlineStr">
        <is>
          <t>The application displays its own version, and the version of the source data schema it expects.</t>
        </is>
      </c>
      <c r="D67" s="8" t="inlineStr">
        <is>
          <t>Must</t>
        </is>
      </c>
      <c r="E67" s="8" t="inlineStr">
        <is>
          <t>Requester</t>
        </is>
      </c>
      <c r="F67" s="8" t="inlineStr">
        <is>
          <t>4</t>
        </is>
      </c>
    </row>
    <row r="68">
      <c r="A68" s="10" t="inlineStr">
        <is>
          <t>REQ-VC-03</t>
        </is>
      </c>
      <c r="B68" s="10" t="inlineStr">
        <is>
          <t>Version control</t>
        </is>
      </c>
      <c r="C68" s="11" t="inlineStr">
        <is>
          <t>Loading a source file whose schema version is newer or older than the application expects produces a clear warning.</t>
        </is>
      </c>
      <c r="D68" s="10" t="inlineStr">
        <is>
          <t>Should</t>
        </is>
      </c>
      <c r="E68" s="10" t="inlineStr">
        <is>
          <t>Derived</t>
        </is>
      </c>
      <c r="F68" s="10" t="inlineStr">
        <is>
          <t>4</t>
        </is>
      </c>
    </row>
    <row r="69">
      <c r="A69" s="8" t="inlineStr">
        <is>
          <t>REQ-VC-04</t>
        </is>
      </c>
      <c r="B69" s="8" t="inlineStr">
        <is>
          <t>Version control</t>
        </is>
      </c>
      <c r="C69" s="9" t="inlineStr">
        <is>
          <t>Every document re-issue adds a version-history row stating what changed and why.</t>
        </is>
      </c>
      <c r="D69" s="8" t="inlineStr">
        <is>
          <t>Must</t>
        </is>
      </c>
      <c r="E69" s="8" t="inlineStr">
        <is>
          <t>Requester</t>
        </is>
      </c>
      <c r="F69" s="8" t="inlineStr">
        <is>
          <t>1-5</t>
        </is>
      </c>
    </row>
    <row r="70">
      <c r="A70" s="10" t="inlineStr">
        <is>
          <t>REQ-NFR-01</t>
        </is>
      </c>
      <c r="B70" s="10" t="inlineStr">
        <is>
          <t>Non-functional</t>
        </is>
      </c>
      <c r="C70" s="11" t="inlineStr">
        <is>
          <t>The application is built so later requirements can be added without restructuring: parsing, calculation and presentation are separated.</t>
        </is>
      </c>
      <c r="D70" s="10" t="inlineStr">
        <is>
          <t>Must</t>
        </is>
      </c>
      <c r="E70" s="10" t="inlineStr">
        <is>
          <t>Requester</t>
        </is>
      </c>
      <c r="F70" s="10" t="inlineStr">
        <is>
          <t>4</t>
        </is>
      </c>
    </row>
    <row r="71">
      <c r="A71" s="8" t="inlineStr">
        <is>
          <t>REQ-NFR-02</t>
        </is>
      </c>
      <c r="B71" s="8" t="inlineStr">
        <is>
          <t>Non-functional</t>
        </is>
      </c>
      <c r="C71" s="9" t="inlineStr">
        <is>
          <t>Works in Microsoft Edge and Google Chrome on Windows 10/11, offline.</t>
        </is>
      </c>
      <c r="D71" s="8" t="inlineStr">
        <is>
          <t>Must</t>
        </is>
      </c>
      <c r="E71" s="8" t="inlineStr">
        <is>
          <t>Q-05</t>
        </is>
      </c>
      <c r="F71" s="8" t="inlineStr">
        <is>
          <t>4</t>
        </is>
      </c>
    </row>
    <row r="72">
      <c r="A72" s="20" t="inlineStr">
        <is>
          <t>REQ-NFR-03</t>
        </is>
      </c>
      <c r="B72" s="20" t="inlineStr">
        <is>
          <t>Non-functional</t>
        </is>
      </c>
      <c r="C72" s="19" t="inlineStr">
        <is>
          <t>Handles 100 projects and 1,000 people, with the assignments that implies (order 8,000) over a 60-month horizon. Tables of that height are virtualised and the per-person chart aggregates rather than drawing a bar each - see REQ-DSH-09.</t>
        </is>
      </c>
      <c r="D72" s="20" t="inlineStr">
        <is>
          <t>Must</t>
        </is>
      </c>
      <c r="E72" s="20" t="inlineStr">
        <is>
          <t>S2-06</t>
        </is>
      </c>
      <c r="F72" s="20" t="inlineStr">
        <is>
          <t>4</t>
        </is>
      </c>
    </row>
    <row r="73">
      <c r="A73" s="8" t="inlineStr">
        <is>
          <t>REQ-NFR-04</t>
        </is>
      </c>
      <c r="B73" s="8" t="inlineStr">
        <is>
          <t>Non-functional</t>
        </is>
      </c>
      <c r="C73" s="9" t="inlineStr">
        <is>
          <t>No data leaves the PC: no network calls, no external CDN, no telemetry.</t>
        </is>
      </c>
      <c r="D73" s="8" t="inlineStr">
        <is>
          <t>Must</t>
        </is>
      </c>
      <c r="E73" s="8" t="inlineStr">
        <is>
          <t>Derived</t>
        </is>
      </c>
      <c r="F73" s="8" t="inlineStr">
        <is>
          <t>4</t>
        </is>
      </c>
    </row>
    <row r="74">
      <c r="A74" s="10" t="inlineStr">
        <is>
          <t>REQ-NFR-05</t>
        </is>
      </c>
      <c r="B74" s="10" t="inlineStr">
        <is>
          <t>Non-functional</t>
        </is>
      </c>
      <c r="C74" s="11" t="inlineStr">
        <is>
          <t>Dates are handled unambiguously (ISO yyyy-mm-dd internally) regardless of Windows regional settings.</t>
        </is>
      </c>
      <c r="D74" s="10" t="inlineStr">
        <is>
          <t>Must</t>
        </is>
      </c>
      <c r="E74" s="10" t="inlineStr">
        <is>
          <t>Derived</t>
        </is>
      </c>
      <c r="F74" s="10" t="inlineStr">
        <is>
          <t>4</t>
        </is>
      </c>
    </row>
    <row r="76">
      <c r="A76" s="5" t="inlineStr">
        <is>
          <t>Requirement count by priority</t>
        </is>
      </c>
    </row>
    <row r="77" ht="28" customHeight="1">
      <c r="A77" s="7" t="inlineStr">
        <is>
          <t>Priority</t>
        </is>
      </c>
      <c r="B77" s="7" t="inlineStr">
        <is>
          <t>Count</t>
        </is>
      </c>
    </row>
    <row r="78">
      <c r="A78" s="8" t="inlineStr">
        <is>
          <t>Must</t>
        </is>
      </c>
      <c r="B78" s="8">
        <f>COUNTIF(D5:D74,"Must")</f>
        <v/>
      </c>
    </row>
    <row r="79">
      <c r="A79" s="10" t="inlineStr">
        <is>
          <t>Should</t>
        </is>
      </c>
      <c r="B79" s="10">
        <f>COUNTIF(D5:D74,"Should")</f>
        <v/>
      </c>
    </row>
    <row r="80">
      <c r="A80" s="8" t="inlineStr">
        <is>
          <t>Could</t>
        </is>
      </c>
      <c r="B80" s="8">
        <f>COUNTIF(D5:D74,"Could")</f>
        <v/>
      </c>
    </row>
    <row r="81">
      <c r="A81" s="10" t="inlineStr">
        <is>
          <t>Total</t>
        </is>
      </c>
      <c r="B81" s="10">
        <f>COUNTA(A5:A74)</f>
        <v/>
      </c>
    </row>
    <row r="83">
      <c r="A83" s="16" t="inlineStr">
        <is>
          <t>47 requirements at v0.1, 58 at v0.2, 61 at v0.3, 63 at v0.4 and v1.0. v1.1 adds 2 and rewords 3, as a change against the approved baseline.</t>
        </is>
      </c>
    </row>
    <row r="84">
      <c r="A84" s="16" t="inlineStr">
        <is>
          <t>'Source' = Requester (in the original request), a Q-number (answered at v0.11 review), 'Reviewer v0.11' (added by the reviewer directly), Derived (engineering consequence), or a Decision ID from 07_Architecture.</t>
        </is>
      </c>
    </row>
    <row r="85">
      <c r="A85" s="3" t="inlineStr">
        <is>
          <t>Legend</t>
        </is>
      </c>
    </row>
    <row r="86">
      <c r="A86" s="12" t="inlineStr">
        <is>
          <t>Green = new in v0.2, added from your review answers.</t>
        </is>
      </c>
    </row>
    <row r="87">
      <c r="A87" s="13" t="inlineStr">
        <is>
          <t>Orange = changed in v0.2 as a consequence of your review.</t>
        </is>
      </c>
    </row>
    <row r="88">
      <c r="A88" s="14" t="inlineStr">
        <is>
          <t>Yellow = still needs your input.</t>
        </is>
      </c>
    </row>
  </sheetData>
  <dataValidations count="1">
    <dataValidation sqref="D5:D74"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4"/>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7" t="inlineStr">
        <is>
          <t>PeriodWeightStandard</t>
        </is>
      </c>
      <c r="B9" s="18" t="inlineStr">
        <is>
          <t>Default weight per project category x period. Seeds ProjectPeriod.</t>
        </is>
      </c>
      <c r="C9" s="17" t="inlineStr">
        <is>
          <t>Reference</t>
        </is>
      </c>
    </row>
    <row r="10">
      <c r="A10" s="20" t="inlineStr">
        <is>
          <t>RoleFactor</t>
        </is>
      </c>
      <c r="B10" s="19" t="inlineStr">
        <is>
          <t>Role burden factor, per project type, clinical phase and period.</t>
        </is>
      </c>
      <c r="C10" s="20"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Lists</t>
        </is>
      </c>
      <c r="B14" s="18" t="inlineStr">
        <is>
          <t>Value lists for every data-driven dropdown, so lists change without code.</t>
        </is>
      </c>
      <c r="C14" s="17" t="inlineStr">
        <is>
          <t>Reference</t>
        </is>
      </c>
    </row>
    <row r="15">
      <c r="A15" s="10" t="inlineStr">
        <is>
          <t>Config</t>
        </is>
      </c>
      <c r="B15" s="11" t="inlineStr">
        <is>
          <t>Parameters: schema version, thresholds, horizon, FTE hours.</t>
        </is>
      </c>
      <c r="C15" s="10" t="inlineStr">
        <is>
          <t>Reference</t>
        </is>
      </c>
    </row>
    <row r="17">
      <c r="A17" s="5" t="inlineStr">
        <is>
          <t>Sheet: Project</t>
        </is>
      </c>
    </row>
    <row r="18" ht="28" customHeight="1">
      <c r="A18" s="7" t="inlineStr">
        <is>
          <t>Column</t>
        </is>
      </c>
      <c r="B18" s="7" t="inlineStr">
        <is>
          <t>Type</t>
        </is>
      </c>
      <c r="C18" s="7" t="inlineStr">
        <is>
          <t>Required</t>
        </is>
      </c>
      <c r="D18" s="7" t="inlineStr">
        <is>
          <t>Definition / rule</t>
        </is>
      </c>
      <c r="E18" s="7" t="inlineStr">
        <is>
          <t>REQ-ID</t>
        </is>
      </c>
    </row>
    <row r="19">
      <c r="A19" s="8" t="inlineStr">
        <is>
          <t>project_id</t>
        </is>
      </c>
      <c r="B19" s="8" t="inlineStr">
        <is>
          <t>Text</t>
        </is>
      </c>
      <c r="C19" s="8" t="inlineStr">
        <is>
          <t>Yes</t>
        </is>
      </c>
      <c r="D19" s="9" t="inlineStr">
        <is>
          <t>Unique key, e.g. PRJ-001. Referenced by every other sheet.</t>
        </is>
      </c>
      <c r="E19" s="8" t="inlineStr">
        <is>
          <t>REQ-PRJ-03</t>
        </is>
      </c>
    </row>
    <row r="20">
      <c r="A20" s="10" t="inlineStr">
        <is>
          <t>project_name</t>
        </is>
      </c>
      <c r="B20" s="10" t="inlineStr">
        <is>
          <t>Text</t>
        </is>
      </c>
      <c r="C20" s="10" t="inlineStr">
        <is>
          <t>Yes</t>
        </is>
      </c>
      <c r="D20" s="11" t="inlineStr">
        <is>
          <t>Unique display name.</t>
        </is>
      </c>
      <c r="E20" s="10" t="inlineStr">
        <is>
          <t>REQ-PRJ-03</t>
        </is>
      </c>
    </row>
    <row r="21">
      <c r="A21" s="20" t="inlineStr">
        <is>
          <t>project_type</t>
        </is>
      </c>
      <c r="B21" s="20" t="inlineStr">
        <is>
          <t>List</t>
        </is>
      </c>
      <c r="C21" s="20" t="inlineStr">
        <is>
          <t>Yes</t>
        </is>
      </c>
      <c r="D21" s="19" t="inlineStr">
        <is>
          <t>'NewDrug CT', 'Biosimilar CT' or 'Others'. The first two are clinical trials.</t>
        </is>
      </c>
      <c r="E21" s="20" t="inlineStr">
        <is>
          <t>REQ-PRJ-01</t>
        </is>
      </c>
    </row>
    <row r="22">
      <c r="A22" s="10" t="inlineStr">
        <is>
          <t>project_category</t>
        </is>
      </c>
      <c r="B22" s="10" t="inlineStr">
        <is>
          <t>Text</t>
        </is>
      </c>
      <c r="C22" s="10" t="inlineStr">
        <is>
          <t>Conditional</t>
        </is>
      </c>
      <c r="D22" s="11" t="inlineStr">
        <is>
          <t>Product name. Required for either clinical trial type.</t>
        </is>
      </c>
      <c r="E22" s="10" t="inlineStr">
        <is>
          <t>REQ-PRJ-02</t>
        </is>
      </c>
    </row>
    <row r="23">
      <c r="A23" s="17" t="inlineStr">
        <is>
          <t>clinical_phase</t>
        </is>
      </c>
      <c r="B23" s="17" t="inlineStr">
        <is>
          <t>List</t>
        </is>
      </c>
      <c r="C23" s="17" t="inlineStr">
        <is>
          <t>Conditional</t>
        </is>
      </c>
      <c r="D23" s="18" t="inlineStr">
        <is>
          <t>'Phase 1' / 'Phase 2' / 'Phase 3' / 'Phase 4'. Required for either clinical trial type.</t>
        </is>
      </c>
      <c r="E23" s="17" t="inlineStr">
        <is>
          <t>REQ-PRJ-09</t>
        </is>
      </c>
    </row>
    <row r="24">
      <c r="A24" s="20" t="inlineStr">
        <is>
          <t>outsourcing_type</t>
        </is>
      </c>
      <c r="B24" s="20" t="inlineStr">
        <is>
          <t>List</t>
        </is>
      </c>
      <c r="C24" s="20" t="inlineStr">
        <is>
          <t>Yes</t>
        </is>
      </c>
      <c r="D24" s="19" t="inlineStr">
        <is>
          <t>'Full outsourcing' / 'Partial outsourcing' / 'Full In-house'. Three values, fixed at Q-14.</t>
        </is>
      </c>
      <c r="E24" s="20" t="inlineStr">
        <is>
          <t>REQ-PRJ-04</t>
        </is>
      </c>
    </row>
    <row r="25">
      <c r="A25" s="17" t="inlineStr">
        <is>
          <t>EDC_setup</t>
        </is>
      </c>
      <c r="B25" s="17" t="inlineStr">
        <is>
          <t>List</t>
        </is>
      </c>
      <c r="C25" s="17" t="inlineStr">
        <is>
          <t>Conditional</t>
        </is>
      </c>
      <c r="D25" s="18" t="inlineStr">
        <is>
          <t>Who sets up the EDC system. 'by CRO' / 'by SB'. Required for either clinical trial type.</t>
        </is>
      </c>
      <c r="E25" s="17" t="inlineStr">
        <is>
          <t>REQ-PRJ-10</t>
        </is>
      </c>
    </row>
    <row r="26">
      <c r="A26" s="17" t="inlineStr">
        <is>
          <t>DataReviewSystem_setup</t>
        </is>
      </c>
      <c r="B26" s="17" t="inlineStr">
        <is>
          <t>List</t>
        </is>
      </c>
      <c r="C26" s="17" t="inlineStr">
        <is>
          <t>Conditional</t>
        </is>
      </c>
      <c r="D26" s="18" t="inlineStr">
        <is>
          <t>Who sets up the data review system. 'by CRO' / 'by SB'.</t>
        </is>
      </c>
      <c r="E26" s="17" t="inlineStr">
        <is>
          <t>REQ-PRJ-10</t>
        </is>
      </c>
    </row>
    <row r="27">
      <c r="A27" s="17" t="inlineStr">
        <is>
          <t>RBQM_setup</t>
        </is>
      </c>
      <c r="B27" s="17" t="inlineStr">
        <is>
          <t>List</t>
        </is>
      </c>
      <c r="C27" s="17" t="inlineStr">
        <is>
          <t>Conditional</t>
        </is>
      </c>
      <c r="D27" s="18" t="inlineStr">
        <is>
          <t>Who sets up the RBQM system. 'by CRO' / 'by SB'.</t>
        </is>
      </c>
      <c r="E27" s="17" t="inlineStr">
        <is>
          <t>REQ-PRJ-10</t>
        </is>
      </c>
    </row>
    <row r="28">
      <c r="A28" s="17" t="inlineStr">
        <is>
          <t>DM_conduct</t>
        </is>
      </c>
      <c r="B28" s="17" t="inlineStr">
        <is>
          <t>List</t>
        </is>
      </c>
      <c r="C28" s="17" t="inlineStr">
        <is>
          <t>Conditional</t>
        </is>
      </c>
      <c r="D28" s="18" t="inlineStr">
        <is>
          <t>Who reviews the clinical trial data. 'by CRO' / 'by SB'.</t>
        </is>
      </c>
      <c r="E28" s="17" t="inlineStr">
        <is>
          <t>REQ-PRJ-10</t>
        </is>
      </c>
    </row>
    <row r="29">
      <c r="A29" s="17" t="inlineStr">
        <is>
          <t>EDC_system</t>
        </is>
      </c>
      <c r="B29" s="17" t="inlineStr">
        <is>
          <t>List</t>
        </is>
      </c>
      <c r="C29" s="17" t="inlineStr">
        <is>
          <t>Conditional</t>
        </is>
      </c>
      <c r="D29" s="18" t="inlineStr">
        <is>
          <t>EDC system name, e.g. 'Veeva EDC' / 'Rave' / 'eSOURCE'. Data-driven list.</t>
        </is>
      </c>
      <c r="E29" s="17" t="inlineStr">
        <is>
          <t>REQ-PRJ-11</t>
        </is>
      </c>
    </row>
    <row r="30">
      <c r="A30" s="17" t="inlineStr">
        <is>
          <t>DataReviewSystem</t>
        </is>
      </c>
      <c r="B30" s="17" t="inlineStr">
        <is>
          <t>List</t>
        </is>
      </c>
      <c r="C30" s="17" t="inlineStr">
        <is>
          <t>Conditional</t>
        </is>
      </c>
      <c r="D30" s="18" t="inlineStr">
        <is>
          <t>e.g. 'Veeva DQS' / 'Medidata CDS' / 'No system (manual)'. Data-driven list.</t>
        </is>
      </c>
      <c r="E30" s="17" t="inlineStr">
        <is>
          <t>REQ-PRJ-11</t>
        </is>
      </c>
    </row>
    <row r="31">
      <c r="A31" s="17" t="inlineStr">
        <is>
          <t>RBQM_system</t>
        </is>
      </c>
      <c r="B31" s="17" t="inlineStr">
        <is>
          <t>List</t>
        </is>
      </c>
      <c r="C31" s="17" t="inlineStr">
        <is>
          <t>Conditional</t>
        </is>
      </c>
      <c r="D31" s="18" t="inlineStr">
        <is>
          <t>e.g. 'CluePoints' / 'Medidata CDS' / 'No system (manual)'. Data-driven list.</t>
        </is>
      </c>
      <c r="E31" s="17" t="inlineStr">
        <is>
          <t>REQ-PRJ-11</t>
        </is>
      </c>
    </row>
    <row r="32">
      <c r="A32" s="10" t="inlineStr">
        <is>
          <t>planned_member_count</t>
        </is>
      </c>
      <c r="B32" s="10" t="inlineStr">
        <is>
          <t>Integer</t>
        </is>
      </c>
      <c r="C32" s="10" t="inlineStr">
        <is>
          <t>No</t>
        </is>
      </c>
      <c r="D32" s="11" t="inlineStr">
        <is>
          <t>Planned number of project members; compared against actual assignments.</t>
        </is>
      </c>
      <c r="E32" s="10" t="inlineStr">
        <is>
          <t>REQ-PRJ-04</t>
        </is>
      </c>
    </row>
    <row r="33">
      <c r="A33" s="8" t="inlineStr">
        <is>
          <t>start_date</t>
        </is>
      </c>
      <c r="B33" s="8" t="inlineStr">
        <is>
          <t>Date</t>
        </is>
      </c>
      <c r="C33" s="8" t="inlineStr">
        <is>
          <t>Yes</t>
        </is>
      </c>
      <c r="D33" s="9" t="inlineStr">
        <is>
          <t>Project start.</t>
        </is>
      </c>
      <c r="E33" s="8" t="inlineStr">
        <is>
          <t>REQ-PRJ-05</t>
        </is>
      </c>
    </row>
    <row r="34">
      <c r="A34" s="10" t="inlineStr">
        <is>
          <t>end_date</t>
        </is>
      </c>
      <c r="B34" s="10" t="inlineStr">
        <is>
          <t>Date</t>
        </is>
      </c>
      <c r="C34" s="10" t="inlineStr">
        <is>
          <t>Yes</t>
        </is>
      </c>
      <c r="D34" s="11" t="inlineStr">
        <is>
          <t>Planned project end.</t>
        </is>
      </c>
      <c r="E34" s="10" t="inlineStr">
        <is>
          <t>REQ-PRJ-05</t>
        </is>
      </c>
    </row>
    <row r="35">
      <c r="A35" s="8" t="inlineStr">
        <is>
          <t>total_period_months</t>
        </is>
      </c>
      <c r="B35" s="8" t="inlineStr">
        <is>
          <t>Derived</t>
        </is>
      </c>
      <c r="C35" s="8" t="inlineStr">
        <is>
          <t>-</t>
        </is>
      </c>
      <c r="D35" s="9" t="inlineStr">
        <is>
          <t>Calculated from start_date and end_date; not entered by hand.</t>
        </is>
      </c>
      <c r="E35" s="8" t="inlineStr">
        <is>
          <t>REQ-PRJ-08</t>
        </is>
      </c>
    </row>
    <row r="36">
      <c r="A36" s="10" t="inlineStr">
        <is>
          <t>status</t>
        </is>
      </c>
      <c r="B36" s="10" t="inlineStr">
        <is>
          <t>List</t>
        </is>
      </c>
      <c r="C36" s="10" t="inlineStr">
        <is>
          <t>No</t>
        </is>
      </c>
      <c r="D36" s="11" t="inlineStr">
        <is>
          <t>Planned / Active / On hold / Completed. Drives default dashboard filtering.</t>
        </is>
      </c>
      <c r="E36" s="10" t="inlineStr">
        <is>
          <t>REQ-PRJ-07</t>
        </is>
      </c>
    </row>
    <row r="37">
      <c r="A37" s="8" t="inlineStr">
        <is>
          <t>note_1 .. note_5</t>
        </is>
      </c>
      <c r="B37" s="8" t="inlineStr">
        <is>
          <t>Text</t>
        </is>
      </c>
      <c r="C37" s="8" t="inlineStr">
        <is>
          <t>No</t>
        </is>
      </c>
      <c r="D37" s="9" t="inlineStr">
        <is>
          <t>Free extension columns.</t>
        </is>
      </c>
      <c r="E37" s="8" t="inlineStr">
        <is>
          <t>REQ-PRJ-07</t>
        </is>
      </c>
    </row>
    <row r="39">
      <c r="A39" s="16" t="inlineStr">
        <is>
          <t>system_prepared_by is dropped at v0.3 (Q-19): the four *_setup columns replace it with more detail.</t>
        </is>
      </c>
    </row>
    <row r="40">
      <c r="A40" s="5" t="inlineStr">
        <is>
          <t>Sheet: Milestone</t>
        </is>
      </c>
    </row>
    <row r="41" ht="28" customHeight="1">
      <c r="A41" s="7" t="inlineStr">
        <is>
          <t>Column</t>
        </is>
      </c>
      <c r="B41" s="7" t="inlineStr">
        <is>
          <t>Type</t>
        </is>
      </c>
      <c r="C41" s="7" t="inlineStr">
        <is>
          <t>Required</t>
        </is>
      </c>
      <c r="D41" s="7" t="inlineStr">
        <is>
          <t>Definition / rule</t>
        </is>
      </c>
      <c r="E41" s="7" t="inlineStr">
        <is>
          <t>REQ-ID</t>
        </is>
      </c>
    </row>
    <row r="42">
      <c r="A42" s="8" t="inlineStr">
        <is>
          <t>project_id</t>
        </is>
      </c>
      <c r="B42" s="8" t="inlineStr">
        <is>
          <t>Text</t>
        </is>
      </c>
      <c r="C42" s="8" t="inlineStr">
        <is>
          <t>Yes</t>
        </is>
      </c>
      <c r="D42" s="9" t="inlineStr">
        <is>
          <t>Foreign key to Project.</t>
        </is>
      </c>
      <c r="E42" s="8" t="inlineStr">
        <is>
          <t>REQ-PRJ-05</t>
        </is>
      </c>
    </row>
    <row r="43">
      <c r="A43" s="10" t="inlineStr">
        <is>
          <t>project_name</t>
        </is>
      </c>
      <c r="B43" s="10" t="inlineStr">
        <is>
          <t>Derived</t>
        </is>
      </c>
      <c r="C43" s="10" t="inlineStr">
        <is>
          <t>No</t>
        </is>
      </c>
      <c r="D43" s="11" t="inlineStr">
        <is>
          <t>DERIVED - looked up from Project on import and refreshed from it, so a mismatch cannot corrupt the link. Locked in the template; a value typed here is discarded and the disagreement reported as V-13.</t>
        </is>
      </c>
      <c r="E43" s="10" t="inlineStr">
        <is>
          <t>REQ-PRJ-05</t>
        </is>
      </c>
    </row>
    <row r="44">
      <c r="A44" s="20" t="inlineStr">
        <is>
          <t>milestone_name</t>
        </is>
      </c>
      <c r="B44" s="20" t="inlineStr">
        <is>
          <t>List</t>
        </is>
      </c>
      <c r="C44" s="20" t="inlineStr">
        <is>
          <t>Yes</t>
        </is>
      </c>
      <c r="D44"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4" s="20" t="inlineStr">
        <is>
          <t>REQ-PRJ-05, REQ-PRJ-13</t>
        </is>
      </c>
    </row>
    <row r="45">
      <c r="A45" s="10" t="inlineStr">
        <is>
          <t>milestone_date</t>
        </is>
      </c>
      <c r="B45" s="10" t="inlineStr">
        <is>
          <t>Date</t>
        </is>
      </c>
      <c r="C45" s="10" t="inlineStr">
        <is>
          <t>Yes</t>
        </is>
      </c>
      <c r="D45" s="11" t="inlineStr">
        <is>
          <t>Planned date.</t>
        </is>
      </c>
      <c r="E45" s="10" t="inlineStr">
        <is>
          <t>REQ-PRJ-05</t>
        </is>
      </c>
    </row>
    <row r="46">
      <c r="A46" s="8" t="inlineStr">
        <is>
          <t>milestone_seq</t>
        </is>
      </c>
      <c r="B46" s="8" t="inlineStr">
        <is>
          <t>Integer</t>
        </is>
      </c>
      <c r="C46" s="8" t="inlineStr">
        <is>
          <t>No</t>
        </is>
      </c>
      <c r="D46" s="9" t="inlineStr">
        <is>
          <t>Display order on the timeline.</t>
        </is>
      </c>
      <c r="E46" s="8" t="inlineStr">
        <is>
          <t>REQ-PRJ-05</t>
        </is>
      </c>
    </row>
    <row r="47">
      <c r="A47" s="17" t="inlineStr">
        <is>
          <t>note_1</t>
        </is>
      </c>
      <c r="B47" s="17" t="inlineStr">
        <is>
          <t>Text</t>
        </is>
      </c>
      <c r="C47" s="17" t="inlineStr">
        <is>
          <t>No</t>
        </is>
      </c>
      <c r="D47" s="18" t="inlineStr">
        <is>
          <t>Free extension column.</t>
        </is>
      </c>
      <c r="E47" s="17" t="inlineStr">
        <is>
          <t>REQ-PRJ-07</t>
        </is>
      </c>
    </row>
    <row r="49">
      <c r="A49"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0">
      <c r="A50" s="5" t="inlineStr">
        <is>
          <t>Sheet: ProjectPeriod  [was ProjectPeriodWeight]</t>
        </is>
      </c>
    </row>
    <row r="51" ht="28" customHeight="1">
      <c r="A51" s="7" t="inlineStr">
        <is>
          <t>Column</t>
        </is>
      </c>
      <c r="B51" s="7" t="inlineStr">
        <is>
          <t>Type</t>
        </is>
      </c>
      <c r="C51" s="7" t="inlineStr">
        <is>
          <t>Required</t>
        </is>
      </c>
      <c r="D51" s="7" t="inlineStr">
        <is>
          <t>Definition / rule</t>
        </is>
      </c>
      <c r="E51" s="7" t="inlineStr">
        <is>
          <t>REQ-ID</t>
        </is>
      </c>
    </row>
    <row r="52">
      <c r="A52" s="8" t="inlineStr">
        <is>
          <t>project_id</t>
        </is>
      </c>
      <c r="B52" s="8" t="inlineStr">
        <is>
          <t>Text</t>
        </is>
      </c>
      <c r="C52" s="8" t="inlineStr">
        <is>
          <t>Yes</t>
        </is>
      </c>
      <c r="D52" s="9" t="inlineStr">
        <is>
          <t>Foreign key to Project.</t>
        </is>
      </c>
      <c r="E52" s="8" t="inlineStr">
        <is>
          <t>REQ-PRJ-06</t>
        </is>
      </c>
    </row>
    <row r="53">
      <c r="A53" s="20" t="inlineStr">
        <is>
          <t>period_name</t>
        </is>
      </c>
      <c r="B53" s="20" t="inlineStr">
        <is>
          <t>List</t>
        </is>
      </c>
      <c r="C53" s="20" t="inlineStr">
        <is>
          <t>Yes</t>
        </is>
      </c>
      <c r="D53" s="19" t="inlineStr">
        <is>
          <t>From the period set for the project's TYPE - see the two sets below. A period name from the wrong set is rejected. UNIQUE within a project since R-11, so (project_id, period_name) is the key.</t>
        </is>
      </c>
      <c r="E53" s="20" t="inlineStr">
        <is>
          <t>REQ-PRJ-12, REQ-CAL-11, R-11</t>
        </is>
      </c>
    </row>
    <row r="54">
      <c r="A54" s="20" t="inlineStr">
        <is>
          <t>period_seq</t>
        </is>
      </c>
      <c r="B54" s="20" t="inlineStr">
        <is>
          <t>Integer</t>
        </is>
      </c>
      <c r="C54" s="20" t="inlineStr">
        <is>
          <t>Yes</t>
        </is>
      </c>
      <c r="D54" s="19" t="inlineStr">
        <is>
          <t>Orders the periods along the timeline. Unique within a project. No longer part of the key - it carries order, not identity (R-11).</t>
        </is>
      </c>
      <c r="E54" s="20" t="inlineStr">
        <is>
          <t>REQ-CAL-11</t>
        </is>
      </c>
    </row>
    <row r="55">
      <c r="A55" s="20" t="inlineStr">
        <is>
          <t>period_start</t>
        </is>
      </c>
      <c r="B55" s="20" t="inlineStr">
        <is>
          <t>Date</t>
        </is>
      </c>
      <c r="C55" s="20" t="inlineStr">
        <is>
          <t>Yes</t>
        </is>
      </c>
      <c r="D55" s="19" t="inlineStr">
        <is>
          <t>Inclusive. For Clinical Trial, computed from milestones (sheet 05) and then editable. For Others, entered directly.</t>
        </is>
      </c>
      <c r="E55" s="20" t="inlineStr">
        <is>
          <t>REQ-CAL-09</t>
        </is>
      </c>
    </row>
    <row r="56">
      <c r="A56" s="20" t="inlineStr">
        <is>
          <t>period_end</t>
        </is>
      </c>
      <c r="B56" s="20" t="inlineStr">
        <is>
          <t>Date</t>
        </is>
      </c>
      <c r="C56" s="20" t="inlineStr">
        <is>
          <t>Yes</t>
        </is>
      </c>
      <c r="D56" s="19" t="inlineStr">
        <is>
          <t>Inclusive. Periods for one project must not overlap and must leave no gap (REQ-CAL-10).</t>
        </is>
      </c>
      <c r="E56" s="20" t="inlineStr">
        <is>
          <t>REQ-CAL-09</t>
        </is>
      </c>
    </row>
    <row r="57">
      <c r="A57" s="20" t="inlineStr">
        <is>
          <t>weight</t>
        </is>
      </c>
      <c r="B57" s="20" t="inlineStr">
        <is>
          <t>Decimal</t>
        </is>
      </c>
      <c r="C57" s="20" t="inlineStr">
        <is>
          <t>Yes</t>
        </is>
      </c>
      <c r="D57" s="19" t="inlineStr">
        <is>
          <t>Effort multiplier for this period. For a clinical trial, seeded from PeriodWeightStandard by clinical phase and then editable. For 'Others', entered by hand (Q-28). Values are data (Q-17), not fixed in this plan.</t>
        </is>
      </c>
      <c r="E57" s="20" t="inlineStr">
        <is>
          <t>REQ-PRJ-06</t>
        </is>
      </c>
    </row>
    <row r="58">
      <c r="A58" s="17" t="inlineStr">
        <is>
          <t>note_1</t>
        </is>
      </c>
      <c r="B58" s="17" t="inlineStr">
        <is>
          <t>Text</t>
        </is>
      </c>
      <c r="C58" s="17" t="inlineStr">
        <is>
          <t>No</t>
        </is>
      </c>
      <c r="D58" s="18" t="inlineStr">
        <is>
          <t>Free extension column, e.g. why a derived date was overridden.</t>
        </is>
      </c>
      <c r="E58" s="17" t="inlineStr">
        <is>
          <t>REQ-PRJ-07</t>
        </is>
      </c>
    </row>
    <row r="60">
      <c r="A60" s="16" t="inlineStr">
        <is>
          <t>Period sets are type-specific (Q-18). The derivation itself is on sheet 05.</t>
        </is>
      </c>
    </row>
    <row r="61" ht="28" customHeight="1">
      <c r="A61" s="7" t="inlineStr">
        <is>
          <t>project_type</t>
        </is>
      </c>
      <c r="B61" s="7" t="inlineStr">
        <is>
          <t>Period set</t>
        </is>
      </c>
      <c r="C61" s="7" t="inlineStr">
        <is>
          <t>How boundaries are set</t>
        </is>
      </c>
    </row>
    <row r="62">
      <c r="A62" s="20" t="inlineStr">
        <is>
          <t>NewDrug CT / Biosimilar CT</t>
        </is>
      </c>
      <c r="B62" s="19" t="inlineStr">
        <is>
          <t>Before-Start-up, Start-up, Conduct (interim), Close-out (interim), Conduct (final), Close-out (final), After Close-out (final)</t>
        </is>
      </c>
      <c r="C62" s="19" t="inlineStr">
        <is>
          <t>Seven names, in timeline order. Both trial types share one period set and one derivation; they differ in their WEIGHTS, not their shape. A trial with no interim DB lock simply omits 'Conduct (interim)' and 'Close-out (interim)'.</t>
        </is>
      </c>
    </row>
    <row r="63">
      <c r="A63" s="10" t="inlineStr">
        <is>
          <t>Others</t>
        </is>
      </c>
      <c r="B63" s="11" t="inlineStr">
        <is>
          <t>Planning, Develop, Close</t>
        </is>
      </c>
      <c r="C63" s="11" t="inlineStr">
        <is>
          <t>Entered directly - dates confirmed manual at Q-25, weights at Q-28. 'Others' projects are hand-entered throughout.</t>
        </is>
      </c>
    </row>
    <row r="65">
      <c r="A65" s="5" t="inlineStr">
        <is>
          <t>Sheet: PeriodWeightStandard</t>
        </is>
      </c>
    </row>
    <row r="66" ht="28" customHeight="1">
      <c r="A66" s="7" t="inlineStr">
        <is>
          <t>Column</t>
        </is>
      </c>
      <c r="B66" s="7" t="inlineStr">
        <is>
          <t>Type</t>
        </is>
      </c>
      <c r="C66" s="7" t="inlineStr">
        <is>
          <t>Required</t>
        </is>
      </c>
      <c r="D66" s="7" t="inlineStr">
        <is>
          <t>Definition / rule</t>
        </is>
      </c>
      <c r="E66" s="7" t="inlineStr">
        <is>
          <t>Basis</t>
        </is>
      </c>
    </row>
    <row r="67">
      <c r="A67" s="20" t="inlineStr">
        <is>
          <t>project_type</t>
        </is>
      </c>
      <c r="B67" s="20" t="inlineStr">
        <is>
          <t>List</t>
        </is>
      </c>
      <c r="C67" s="20" t="inlineStr">
        <is>
          <t>Yes</t>
        </is>
      </c>
      <c r="D67" s="19" t="inlineStr">
        <is>
          <t>'NewDrug CT' or 'Biosimilar CT'. Part of the key: a biosimilar trial at a given phase is not the same workload as a new-drug trial at that phase. 'Others' take manual weights (Q-28).</t>
        </is>
      </c>
      <c r="E67" s="20" t="inlineStr">
        <is>
          <t>R-05</t>
        </is>
      </c>
    </row>
    <row r="68">
      <c r="A68" s="20" t="inlineStr">
        <is>
          <t>clinical_phase</t>
        </is>
      </c>
      <c r="B68" s="20" t="inlineStr">
        <is>
          <t>List</t>
        </is>
      </c>
      <c r="C68" s="20" t="inlineStr">
        <is>
          <t>Yes</t>
        </is>
      </c>
      <c r="D68" s="19" t="inlineStr">
        <is>
          <t>The phase the standard applies to. This is the key that selects a clinical trial's weights.</t>
        </is>
      </c>
      <c r="E68" s="20" t="inlineStr">
        <is>
          <t>Q-26</t>
        </is>
      </c>
    </row>
    <row r="69">
      <c r="A69" s="8" t="inlineStr">
        <is>
          <t>period_name</t>
        </is>
      </c>
      <c r="B69" s="8" t="inlineStr">
        <is>
          <t>List</t>
        </is>
      </c>
      <c r="C69" s="8" t="inlineStr">
        <is>
          <t>Yes</t>
        </is>
      </c>
      <c r="D69" s="9" t="inlineStr">
        <is>
          <t>A period from that type's set.</t>
        </is>
      </c>
      <c r="E69" s="8" t="inlineStr">
        <is>
          <t>Q-04, Q-18</t>
        </is>
      </c>
    </row>
    <row r="70">
      <c r="A70" s="20" t="inlineStr">
        <is>
          <t>weight</t>
        </is>
      </c>
      <c r="B70" s="20" t="inlineStr">
        <is>
          <t>Decimal</t>
        </is>
      </c>
      <c r="C70" s="20" t="inlineStr">
        <is>
          <t>Yes</t>
        </is>
      </c>
      <c r="D70" s="19" t="inlineStr">
        <is>
          <t>Default multiplier. You fill these in the source workbook (Q-17); the plan fixes only where they live.</t>
        </is>
      </c>
      <c r="E70" s="20" t="inlineStr">
        <is>
          <t>Q-01</t>
        </is>
      </c>
    </row>
    <row r="71">
      <c r="A71" s="17" t="inlineStr">
        <is>
          <t>note_1</t>
        </is>
      </c>
      <c r="B71" s="17" t="inlineStr">
        <is>
          <t>Text</t>
        </is>
      </c>
      <c r="C71" s="17" t="inlineStr">
        <is>
          <t>No</t>
        </is>
      </c>
      <c r="D71" s="18" t="inlineStr">
        <is>
          <t>Free extension column, e.g. the basis for the weight.</t>
        </is>
      </c>
      <c r="E71" s="17" t="inlineStr">
        <is>
          <t>Q-01</t>
        </is>
      </c>
    </row>
    <row r="73">
      <c r="A73"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74">
      <c r="A74" s="5" t="inlineStr">
        <is>
          <t>Sheet: RoleFactor   [key extended at R-10]</t>
        </is>
      </c>
    </row>
    <row r="75" ht="28" customHeight="1">
      <c r="A75" s="7" t="inlineStr">
        <is>
          <t>Column</t>
        </is>
      </c>
      <c r="B75" s="7" t="inlineStr">
        <is>
          <t>Type</t>
        </is>
      </c>
      <c r="C75" s="7" t="inlineStr">
        <is>
          <t>Required</t>
        </is>
      </c>
      <c r="D75" s="7" t="inlineStr">
        <is>
          <t>Definition / rule</t>
        </is>
      </c>
      <c r="E75" s="7" t="inlineStr">
        <is>
          <t>Basis</t>
        </is>
      </c>
    </row>
    <row r="76">
      <c r="A76" s="8" t="inlineStr">
        <is>
          <t>project_type</t>
        </is>
      </c>
      <c r="B76" s="8" t="inlineStr">
        <is>
          <t>List</t>
        </is>
      </c>
      <c r="C76" s="8" t="inlineStr">
        <is>
          <t>Yes</t>
        </is>
      </c>
      <c r="D76" s="9" t="inlineStr">
        <is>
          <t>'NewDrug CT', 'Biosimilar CT' or 'Others'. Roles are keyed by type, so a factor can differ between the two trial types.</t>
        </is>
      </c>
      <c r="E76" s="8" t="inlineStr">
        <is>
          <t>Q-03, R-05</t>
        </is>
      </c>
    </row>
    <row r="77">
      <c r="A77" s="17" t="inlineStr">
        <is>
          <t>clinical_phase</t>
        </is>
      </c>
      <c r="B77" s="17" t="inlineStr">
        <is>
          <t>List</t>
        </is>
      </c>
      <c r="C77" s="17" t="inlineStr">
        <is>
          <t>Trials only</t>
        </is>
      </c>
      <c r="D77" s="18" t="inlineStr">
        <is>
          <t>The phase this factor applies to. EMPTY on 'Others' rows, which carry no phase.</t>
        </is>
      </c>
      <c r="E77" s="17" t="inlineStr">
        <is>
          <t>R-10</t>
        </is>
      </c>
    </row>
    <row r="78">
      <c r="A78" s="20" t="inlineStr">
        <is>
          <t>period_name</t>
        </is>
      </c>
      <c r="B78" s="20" t="inlineStr">
        <is>
          <t>Text</t>
        </is>
      </c>
      <c r="C78" s="20" t="inlineStr">
        <is>
          <t>Yes</t>
        </is>
      </c>
      <c r="D78" s="19" t="inlineStr">
        <is>
          <t>The period this factor applies to. One of the seven clinical periods, or one of the three 'Others' periods, matching the project_type.</t>
        </is>
      </c>
      <c r="E78" s="20" t="inlineStr">
        <is>
          <t>R-10, R-11</t>
        </is>
      </c>
    </row>
    <row r="79">
      <c r="A79" s="10" t="inlineStr">
        <is>
          <t>role_name</t>
        </is>
      </c>
      <c r="B79" s="10" t="inlineStr">
        <is>
          <t>Text</t>
        </is>
      </c>
      <c r="C79" s="10" t="inlineStr">
        <is>
          <t>Yes</t>
        </is>
      </c>
      <c r="D79" s="11" t="inlineStr">
        <is>
          <t>Clinical Trial: 'Project oversight', 'Lead data manager', 'Clinical Data Associator', 'Clinical Database Programmer', 'Data Analyst'. Others: 'Project lead', 'Main staff', 'Other staff'.</t>
        </is>
      </c>
      <c r="E79" s="10" t="inlineStr">
        <is>
          <t>Q-03</t>
        </is>
      </c>
    </row>
    <row r="80">
      <c r="A80" s="20" t="inlineStr">
        <is>
          <t>role_factor</t>
        </is>
      </c>
      <c r="B80" s="20" t="inlineStr">
        <is>
          <t>Decimal</t>
        </is>
      </c>
      <c r="C80" s="20" t="inlineStr">
        <is>
          <t>Yes</t>
        </is>
      </c>
      <c r="D80" s="19"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0" s="20" t="inlineStr">
        <is>
          <t>Q-01, R-10</t>
        </is>
      </c>
    </row>
    <row r="81">
      <c r="A81" s="10" t="inlineStr">
        <is>
          <t>role_note</t>
        </is>
      </c>
      <c r="B81" s="10" t="inlineStr">
        <is>
          <t>Text</t>
        </is>
      </c>
      <c r="C81" s="10" t="inlineStr">
        <is>
          <t>No</t>
        </is>
      </c>
      <c r="D81" s="11" t="inlineStr">
        <is>
          <t>Basis for the factor.</t>
        </is>
      </c>
      <c r="E81" s="10" t="inlineStr">
        <is>
          <t>REQ-CAL-06</t>
        </is>
      </c>
    </row>
    <row r="83">
      <c r="A83" s="16" t="inlineStr">
        <is>
          <t>The key is now (project_type, clinical_phase, period_name, role_name), which makes this the largest sheet in the workbook: 2 types x 4 phases x 6 periods x 5 roles = 240 rows, plus 9 for 'Others'. That is the cost of the change and it falls on whoever maintains the file.</t>
        </is>
      </c>
    </row>
    <row r="85">
      <c r="A85" s="16" t="inlineStr">
        <is>
          <t>NOTE A CONSEQUENCE. PeriodWeightStandard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PeriodWeightStandard, once; doing it in RoleFactor means five edits and double-counts the next time the period weight moves.</t>
        </is>
      </c>
    </row>
    <row r="86">
      <c r="A86" s="5" t="inlineStr">
        <is>
          <t>Sheet: Person</t>
        </is>
      </c>
    </row>
    <row r="87" ht="28" customHeight="1">
      <c r="A87" s="7" t="inlineStr">
        <is>
          <t>Column</t>
        </is>
      </c>
      <c r="B87" s="7" t="inlineStr">
        <is>
          <t>Type</t>
        </is>
      </c>
      <c r="C87" s="7" t="inlineStr">
        <is>
          <t>Required</t>
        </is>
      </c>
      <c r="D87" s="7" t="inlineStr">
        <is>
          <t>Definition / rule</t>
        </is>
      </c>
      <c r="E87" s="7" t="inlineStr">
        <is>
          <t>REQ-ID</t>
        </is>
      </c>
    </row>
    <row r="88">
      <c r="A88" s="8" t="inlineStr">
        <is>
          <t>person_id</t>
        </is>
      </c>
      <c r="B88" s="8" t="inlineStr">
        <is>
          <t>Text</t>
        </is>
      </c>
      <c r="C88" s="8" t="inlineStr">
        <is>
          <t>Yes</t>
        </is>
      </c>
      <c r="D88" s="9" t="inlineStr">
        <is>
          <t>Unique key, e.g. PSN-001.</t>
        </is>
      </c>
      <c r="E88" s="8" t="inlineStr">
        <is>
          <t>REQ-PSN-01</t>
        </is>
      </c>
    </row>
    <row r="89">
      <c r="A89" s="10" t="inlineStr">
        <is>
          <t>person_name</t>
        </is>
      </c>
      <c r="B89" s="10" t="inlineStr">
        <is>
          <t>Text</t>
        </is>
      </c>
      <c r="C89" s="10" t="inlineStr">
        <is>
          <t>Yes</t>
        </is>
      </c>
      <c r="D89" s="11" t="inlineStr">
        <is>
          <t>Display name.</t>
        </is>
      </c>
      <c r="E89" s="10" t="inlineStr">
        <is>
          <t>REQ-PSN-01</t>
        </is>
      </c>
    </row>
    <row r="90">
      <c r="A90" s="8" t="inlineStr">
        <is>
          <t>department</t>
        </is>
      </c>
      <c r="B90" s="8" t="inlineStr">
        <is>
          <t>Text</t>
        </is>
      </c>
      <c r="C90" s="8" t="inlineStr">
        <is>
          <t>No</t>
        </is>
      </c>
      <c r="D90" s="9" t="inlineStr">
        <is>
          <t>Grouping for the dashboard.</t>
        </is>
      </c>
      <c r="E90" s="8" t="inlineStr">
        <is>
          <t>REQ-PSN-06</t>
        </is>
      </c>
    </row>
    <row r="91">
      <c r="A91" s="10" t="inlineStr">
        <is>
          <t>primary_role</t>
        </is>
      </c>
      <c r="B91" s="10" t="inlineStr">
        <is>
          <t>Text</t>
        </is>
      </c>
      <c r="C91" s="10" t="inlineStr">
        <is>
          <t>No</t>
        </is>
      </c>
      <c r="D91" s="11" t="inlineStr">
        <is>
          <t>Usual role; an assignment can override it.</t>
        </is>
      </c>
      <c r="E91" s="10" t="inlineStr">
        <is>
          <t>REQ-PSN-03</t>
        </is>
      </c>
    </row>
    <row r="92">
      <c r="A92" s="20" t="inlineStr">
        <is>
          <t>capacity_fte</t>
        </is>
      </c>
      <c r="B92" s="20" t="inlineStr">
        <is>
          <t>Decimal</t>
        </is>
      </c>
      <c r="C92" s="20" t="inlineStr">
        <is>
          <t>No</t>
        </is>
      </c>
      <c r="D92" s="19" t="inlineStr">
        <is>
          <t>Available capacity in FTE, default 1.00 (= 160 h/month). Lower it for a part-timer.</t>
        </is>
      </c>
      <c r="E92" s="20" t="inlineStr">
        <is>
          <t>REQ-CAL-08</t>
        </is>
      </c>
    </row>
    <row r="93">
      <c r="A93" s="10" t="inlineStr">
        <is>
          <t>employment_start / employment_end</t>
        </is>
      </c>
      <c r="B93" s="10" t="inlineStr">
        <is>
          <t>Date</t>
        </is>
      </c>
      <c r="C93" s="10" t="inlineStr">
        <is>
          <t>No</t>
        </is>
      </c>
      <c r="D93" s="11" t="inlineStr">
        <is>
          <t>Bounds availability; blank end = open.</t>
        </is>
      </c>
      <c r="E93" s="10" t="inlineStr">
        <is>
          <t>REQ-PSN-04</t>
        </is>
      </c>
    </row>
    <row r="94">
      <c r="A94" s="8" t="inlineStr">
        <is>
          <t>note_1 .. note_5</t>
        </is>
      </c>
      <c r="B94" s="8" t="inlineStr">
        <is>
          <t>Text</t>
        </is>
      </c>
      <c r="C94" s="8" t="inlineStr">
        <is>
          <t>No</t>
        </is>
      </c>
      <c r="D94" s="9" t="inlineStr">
        <is>
          <t>Free extension columns.</t>
        </is>
      </c>
      <c r="E94" s="8" t="inlineStr">
        <is>
          <t>REQ-PSN-06</t>
        </is>
      </c>
    </row>
    <row r="96">
      <c r="A96" s="5" t="inlineStr">
        <is>
          <t>Sheet: Assignment</t>
        </is>
      </c>
    </row>
    <row r="97" ht="28" customHeight="1">
      <c r="A97" s="7" t="inlineStr">
        <is>
          <t>Column</t>
        </is>
      </c>
      <c r="B97" s="7" t="inlineStr">
        <is>
          <t>Type</t>
        </is>
      </c>
      <c r="C97" s="7" t="inlineStr">
        <is>
          <t>Required</t>
        </is>
      </c>
      <c r="D97" s="7" t="inlineStr">
        <is>
          <t>Definition / rule</t>
        </is>
      </c>
      <c r="E97" s="7" t="inlineStr">
        <is>
          <t>REQ-ID</t>
        </is>
      </c>
    </row>
    <row r="98">
      <c r="A98" s="8" t="inlineStr">
        <is>
          <t>assignment_id</t>
        </is>
      </c>
      <c r="B98" s="8" t="inlineStr">
        <is>
          <t>Text</t>
        </is>
      </c>
      <c r="C98" s="8" t="inlineStr">
        <is>
          <t>Yes</t>
        </is>
      </c>
      <c r="D98" s="9" t="inlineStr">
        <is>
          <t>Unique key. One row per person + project + role.</t>
        </is>
      </c>
      <c r="E98" s="8" t="inlineStr">
        <is>
          <t>REQ-PSN-07</t>
        </is>
      </c>
    </row>
    <row r="99">
      <c r="A99" s="10" t="inlineStr">
        <is>
          <t>person_id</t>
        </is>
      </c>
      <c r="B99" s="10" t="inlineStr">
        <is>
          <t>Text</t>
        </is>
      </c>
      <c r="C99" s="10" t="inlineStr">
        <is>
          <t>Yes</t>
        </is>
      </c>
      <c r="D99" s="11" t="inlineStr">
        <is>
          <t>Foreign key to Person.</t>
        </is>
      </c>
      <c r="E99" s="10" t="inlineStr">
        <is>
          <t>REQ-PSN-01</t>
        </is>
      </c>
    </row>
    <row r="100">
      <c r="A100" s="8" t="inlineStr">
        <is>
          <t>person_name</t>
        </is>
      </c>
      <c r="B100" s="8" t="inlineStr">
        <is>
          <t>Derived</t>
        </is>
      </c>
      <c r="C100" s="8" t="inlineStr">
        <is>
          <t>No</t>
        </is>
      </c>
      <c r="D100" s="9" t="inlineStr">
        <is>
          <t>DERIVED - looked up from Person on import and refreshed from it. Locked in the template; a value typed here is discarded and the disagreement reported as V-13.</t>
        </is>
      </c>
      <c r="E100" s="8" t="inlineStr">
        <is>
          <t>REQ-PSN-01</t>
        </is>
      </c>
    </row>
    <row r="101">
      <c r="A101" s="10" t="inlineStr">
        <is>
          <t>project_id</t>
        </is>
      </c>
      <c r="B101" s="10" t="inlineStr">
        <is>
          <t>Text</t>
        </is>
      </c>
      <c r="C101" s="10" t="inlineStr">
        <is>
          <t>Yes</t>
        </is>
      </c>
      <c r="D101" s="11" t="inlineStr">
        <is>
          <t>Foreign key to Project.</t>
        </is>
      </c>
      <c r="E101" s="10" t="inlineStr">
        <is>
          <t>REQ-PSN-02</t>
        </is>
      </c>
    </row>
    <row r="102">
      <c r="A102" s="20" t="inlineStr">
        <is>
          <t>role_name</t>
        </is>
      </c>
      <c r="B102" s="20" t="inlineStr">
        <is>
          <t>Text</t>
        </is>
      </c>
      <c r="C102" s="20" t="inlineStr">
        <is>
          <t>Yes</t>
        </is>
      </c>
      <c r="D102" s="19" t="inlineStr">
        <is>
          <t>Foreign key to RoleFactor, matched on (project's type, role_name); the phase and period are supplied by the project and the month being calculated. Several rows = several roles on one project.</t>
        </is>
      </c>
      <c r="E102" s="20" t="inlineStr">
        <is>
          <t>REQ-PSN-03</t>
        </is>
      </c>
    </row>
    <row r="103">
      <c r="A103" s="10" t="inlineStr">
        <is>
          <t>assign_start_date</t>
        </is>
      </c>
      <c r="B103" s="10" t="inlineStr">
        <is>
          <t>Date</t>
        </is>
      </c>
      <c r="C103" s="10" t="inlineStr">
        <is>
          <t>Yes</t>
        </is>
      </c>
      <c r="D103" s="11" t="inlineStr">
        <is>
          <t>Date the person joins the study.</t>
        </is>
      </c>
      <c r="E103" s="10" t="inlineStr">
        <is>
          <t>REQ-PSN-04</t>
        </is>
      </c>
    </row>
    <row r="104">
      <c r="A104" s="8" t="inlineStr">
        <is>
          <t>assign_end_date</t>
        </is>
      </c>
      <c r="B104" s="8" t="inlineStr">
        <is>
          <t>Date</t>
        </is>
      </c>
      <c r="C104" s="8" t="inlineStr">
        <is>
          <t>Yes</t>
        </is>
      </c>
      <c r="D104" s="9" t="inlineStr">
        <is>
          <t>Date the person leaves the study. Blank = runs to project end.</t>
        </is>
      </c>
      <c r="E104" s="8" t="inlineStr">
        <is>
          <t>REQ-PSN-04</t>
        </is>
      </c>
    </row>
    <row r="105">
      <c r="A105" s="20" t="inlineStr">
        <is>
          <t>person_weight</t>
        </is>
      </c>
      <c r="B105" s="20" t="inlineStr">
        <is>
          <t>Decimal</t>
        </is>
      </c>
      <c r="C105" s="20" t="inlineStr">
        <is>
          <t>Yes</t>
        </is>
      </c>
      <c r="D105" s="19" t="inlineStr">
        <is>
          <t>RENAMED from base_allocation. How much this person works on this project, e.g. 0.40. Q-01 folded the two former fields into this one.</t>
        </is>
      </c>
      <c r="E105" s="20" t="inlineStr">
        <is>
          <t>REQ-CAL-02</t>
        </is>
      </c>
    </row>
    <row r="106">
      <c r="A106" s="8" t="inlineStr">
        <is>
          <t>note_1 .. note_3</t>
        </is>
      </c>
      <c r="B106" s="8" t="inlineStr">
        <is>
          <t>Text</t>
        </is>
      </c>
      <c r="C106" s="8" t="inlineStr">
        <is>
          <t>No</t>
        </is>
      </c>
      <c r="D106" s="9" t="inlineStr">
        <is>
          <t>Free extension columns.</t>
        </is>
      </c>
      <c r="E106" s="8" t="inlineStr">
        <is>
          <t>REQ-PSN-06</t>
        </is>
      </c>
    </row>
    <row r="108">
      <c r="A108" s="5" t="inlineStr">
        <is>
          <t>Sheet: PersonPeriodWeight</t>
        </is>
      </c>
    </row>
    <row r="109" ht="28" customHeight="1">
      <c r="A109" s="7" t="inlineStr">
        <is>
          <t>Column</t>
        </is>
      </c>
      <c r="B109" s="7" t="inlineStr">
        <is>
          <t>Type</t>
        </is>
      </c>
      <c r="C109" s="7" t="inlineStr">
        <is>
          <t>Required</t>
        </is>
      </c>
      <c r="D109" s="7" t="inlineStr">
        <is>
          <t>Definition / rule</t>
        </is>
      </c>
      <c r="E109" s="7" t="inlineStr">
        <is>
          <t>REQ-ID</t>
        </is>
      </c>
    </row>
    <row r="110">
      <c r="A110" s="8" t="inlineStr">
        <is>
          <t>assignment_id</t>
        </is>
      </c>
      <c r="B110" s="8" t="inlineStr">
        <is>
          <t>Text</t>
        </is>
      </c>
      <c r="C110" s="8" t="inlineStr">
        <is>
          <t>Yes</t>
        </is>
      </c>
      <c r="D110" s="9" t="inlineStr">
        <is>
          <t>Foreign key to Assignment.</t>
        </is>
      </c>
      <c r="E110" s="8" t="inlineStr">
        <is>
          <t>REQ-PSN-05</t>
        </is>
      </c>
    </row>
    <row r="111">
      <c r="A111" s="10" t="inlineStr">
        <is>
          <t>period_start</t>
        </is>
      </c>
      <c r="B111" s="10" t="inlineStr">
        <is>
          <t>Date</t>
        </is>
      </c>
      <c r="C111" s="10" t="inlineStr">
        <is>
          <t>Yes</t>
        </is>
      </c>
      <c r="D111" s="11" t="inlineStr">
        <is>
          <t>Inclusive. Part of the key: one assignment may carry SEVERAL non-overlapping windows, so assignment_id alone does not identify a row.</t>
        </is>
      </c>
      <c r="E111" s="10" t="inlineStr">
        <is>
          <t>REQ-PSN-05</t>
        </is>
      </c>
    </row>
    <row r="112">
      <c r="A112" s="8" t="inlineStr">
        <is>
          <t>period_end</t>
        </is>
      </c>
      <c r="B112" s="8" t="inlineStr">
        <is>
          <t>Date</t>
        </is>
      </c>
      <c r="C112" s="8" t="inlineStr">
        <is>
          <t>Yes</t>
        </is>
      </c>
      <c r="D112" s="9" t="inlineStr">
        <is>
          <t>Inclusive. Periods within one assignment must not overlap.</t>
        </is>
      </c>
      <c r="E112" s="8" t="inlineStr">
        <is>
          <t>REQ-PSN-05</t>
        </is>
      </c>
    </row>
    <row r="113">
      <c r="A113" s="20" t="inlineStr">
        <is>
          <t>weight_override</t>
        </is>
      </c>
      <c r="B113" s="20" t="inlineStr">
        <is>
          <t>Decimal</t>
        </is>
      </c>
      <c r="C113" s="20" t="inlineStr">
        <is>
          <t>Yes</t>
        </is>
      </c>
      <c r="D113" s="19" t="inlineStr">
        <is>
          <t>REPLACES person_weight for months inside this window - it no longer multiplies it. Where no row covers a month, person_weight applies unchanged.</t>
        </is>
      </c>
      <c r="E113" s="20" t="inlineStr">
        <is>
          <t>REQ-PSN-05</t>
        </is>
      </c>
    </row>
    <row r="114">
      <c r="A114" s="8" t="inlineStr">
        <is>
          <t>reason</t>
        </is>
      </c>
      <c r="B114" s="8" t="inlineStr">
        <is>
          <t>Text</t>
        </is>
      </c>
      <c r="C114" s="8" t="inlineStr">
        <is>
          <t>No</t>
        </is>
      </c>
      <c r="D114" s="9" t="inlineStr">
        <is>
          <t>Why the weight differs, e.g. 'part-time', 'covering start-up peak'.</t>
        </is>
      </c>
      <c r="E114" s="8" t="inlineStr">
        <is>
          <t>REQ-PSN-05</t>
        </is>
      </c>
    </row>
    <row r="116">
      <c r="A116"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17">
      <c r="A117" s="5" t="inlineStr">
        <is>
          <t>Sheet: Config</t>
        </is>
      </c>
    </row>
    <row r="118" ht="28" customHeight="1">
      <c r="A118" s="7" t="inlineStr">
        <is>
          <t>parameter</t>
        </is>
      </c>
      <c r="B118" s="7" t="inlineStr">
        <is>
          <t>Meaning</t>
        </is>
      </c>
      <c r="C118" s="7" t="inlineStr">
        <is>
          <t>Default value</t>
        </is>
      </c>
      <c r="D118" s="7" t="inlineStr">
        <is>
          <t>REQ-ID</t>
        </is>
      </c>
    </row>
    <row r="119">
      <c r="A119" s="20" t="inlineStr">
        <is>
          <t>schema_version</t>
        </is>
      </c>
      <c r="B119" s="19" t="inlineStr">
        <is>
          <t>Version of this workbook structure; checked on import. Steps to 3 at v1.4, 4 at v1.7, 5 at v1.8.</t>
        </is>
      </c>
      <c r="C119" s="20" t="inlineStr">
        <is>
          <t>5</t>
        </is>
      </c>
      <c r="D119" s="20" t="inlineStr">
        <is>
          <t>REQ-VC-02</t>
        </is>
      </c>
    </row>
    <row r="120">
      <c r="A120" s="17" t="inlineStr">
        <is>
          <t>fte_hours_per_month</t>
        </is>
      </c>
      <c r="B120" s="18" t="inlineStr">
        <is>
          <t>Hours equal to 1.00 FTE.</t>
        </is>
      </c>
      <c r="C120" s="17" t="inlineStr">
        <is>
          <t>160</t>
        </is>
      </c>
      <c r="D120" s="17" t="inlineStr">
        <is>
          <t>REQ-CAL-08</t>
        </is>
      </c>
    </row>
    <row r="121">
      <c r="A121" s="17" t="inlineStr">
        <is>
          <t>over_allocation_fte</t>
        </is>
      </c>
      <c r="B121" s="18" t="inlineStr">
        <is>
          <t>Person-month total above this is over-allocated.</t>
        </is>
      </c>
      <c r="C121" s="17" t="inlineStr">
        <is>
          <t>1.50</t>
        </is>
      </c>
      <c r="D121" s="17" t="inlineStr">
        <is>
          <t>REQ-CAL-04</t>
        </is>
      </c>
    </row>
    <row r="122">
      <c r="A122" s="20" t="inlineStr">
        <is>
          <t>under_allocation_fte</t>
        </is>
      </c>
      <c r="B122" s="19" t="inlineStr">
        <is>
          <t>Person-month total below this counts toward an under-allocated run. Absolute, not scaled by capacity.</t>
        </is>
      </c>
      <c r="C122" s="20" t="inlineStr">
        <is>
          <t>0.60</t>
        </is>
      </c>
      <c r="D122" s="20" t="inlineStr">
        <is>
          <t>REQ-CAL-07</t>
        </is>
      </c>
    </row>
    <row r="123">
      <c r="A123" s="17" t="inlineStr">
        <is>
          <t>under_allocation_min_months</t>
        </is>
      </c>
      <c r="B123" s="18" t="inlineStr">
        <is>
          <t>Consecutive months below the threshold before flagging.</t>
        </is>
      </c>
      <c r="C123" s="17" t="inlineStr">
        <is>
          <t>3</t>
        </is>
      </c>
      <c r="D123" s="17" t="inlineStr">
        <is>
          <t>REQ-CAL-07</t>
        </is>
      </c>
    </row>
    <row r="124">
      <c r="A124" s="20" t="inlineStr">
        <is>
          <t>default_horizon_months</t>
        </is>
      </c>
      <c r="B124" s="19" t="inlineStr">
        <is>
          <t>Months shown on opening.</t>
        </is>
      </c>
      <c r="C124" s="20" t="inlineStr">
        <is>
          <t>24</t>
        </is>
      </c>
      <c r="D124" s="20" t="inlineStr">
        <is>
          <t>REQ-CAL-01</t>
        </is>
      </c>
    </row>
    <row r="125">
      <c r="A125" s="20" t="inlineStr">
        <is>
          <t>capacity_unit</t>
        </is>
      </c>
      <c r="B125" s="19" t="inlineStr">
        <is>
          <t>Display unit: 'FTE' or 'percent'.</t>
        </is>
      </c>
      <c r="C125" s="20" t="inlineStr">
        <is>
          <t>FTE</t>
        </is>
      </c>
      <c r="D125" s="20" t="inlineStr">
        <is>
          <t>REQ-CAL-08</t>
        </is>
      </c>
    </row>
    <row r="127">
      <c r="A127" s="5" t="inlineStr">
        <is>
          <t>Sheet: Lists   [new]</t>
        </is>
      </c>
    </row>
    <row r="128">
      <c r="A128" s="6" t="inlineStr">
        <is>
          <t>Two columns - list_name, value - holding every data-driven dropdown: outsourcing_type, clinical_phase,</t>
        </is>
      </c>
    </row>
    <row r="129">
      <c r="A129" s="6" t="inlineStr">
        <is>
          <t>milestone_name, period_name, EDC_system, DataReviewSystem, RBQM_system, setup_party, project_status.</t>
        </is>
      </c>
    </row>
    <row r="130">
      <c r="A130" s="6" t="inlineStr">
        <is>
          <t>Adding a permitted value is a data edit, never a code change (REQ-CAL-06). A third column, note_1,</t>
        </is>
      </c>
    </row>
    <row r="131">
      <c r="A131" s="6" t="inlineStr">
        <is>
          <t>carries free text about a value - when it was added, or what it means.</t>
        </is>
      </c>
    </row>
    <row r="133">
      <c r="A133" s="5" t="inlineStr">
        <is>
          <t>Referential rules checked on import</t>
        </is>
      </c>
    </row>
    <row r="134" ht="28" customHeight="1">
      <c r="A134" s="7" t="inlineStr">
        <is>
          <t>ID</t>
        </is>
      </c>
      <c r="B134" s="7" t="inlineStr">
        <is>
          <t>Rule</t>
        </is>
      </c>
      <c r="C134" s="7" t="inlineStr">
        <is>
          <t>On failure</t>
        </is>
      </c>
    </row>
    <row r="135">
      <c r="A135" s="8" t="inlineStr">
        <is>
          <t>V-01</t>
        </is>
      </c>
      <c r="B135" s="9" t="inlineStr">
        <is>
          <t>Every Assignment.project_id exists in Project.</t>
        </is>
      </c>
      <c r="C135" s="9" t="inlineStr">
        <is>
          <t>Error - row rejected, reported with its row number.</t>
        </is>
      </c>
    </row>
    <row r="136">
      <c r="A136" s="10" t="inlineStr">
        <is>
          <t>V-02</t>
        </is>
      </c>
      <c r="B136" s="11" t="inlineStr">
        <is>
          <t>Every Assignment.person_id exists in Person.</t>
        </is>
      </c>
      <c r="C136" s="11" t="inlineStr">
        <is>
          <t>Error - row rejected.</t>
        </is>
      </c>
    </row>
    <row r="137">
      <c r="A137" s="20" t="inlineStr">
        <is>
          <t>V-03</t>
        </is>
      </c>
      <c r="B137" s="19" t="inlineStr">
        <is>
          <t>Every Assignment.role_name appears in RoleFactor for that project's type.</t>
        </is>
      </c>
      <c r="C137" s="19" t="inlineStr">
        <is>
          <t>Error - row rejected. Was a warning in v0.1; roles are now type-specific, so a mismatch is a real error.</t>
        </is>
      </c>
    </row>
    <row r="138">
      <c r="A138" s="17" t="inlineStr">
        <is>
          <t>V-24</t>
        </is>
      </c>
      <c r="B138" s="18" t="inlineStr">
        <is>
          <t>Every PersonPeriodWeight.assignment_id exists in Assignment, and (assignment_id, period_start) is unique.</t>
        </is>
      </c>
      <c r="C138" s="18" t="inlineStr">
        <is>
          <t>Error - an override on an assignment that does not exist is silently ignored, so the weight the user typed never applies and nothing says so.</t>
        </is>
      </c>
    </row>
    <row r="139">
      <c r="A139" s="17" t="inlineStr">
        <is>
          <t>V-23</t>
        </is>
      </c>
      <c r="B139" s="18" t="inlineStr">
        <is>
          <t>For every (project_type, clinical_phase, period_name, role_name) an assignment can actually reach, a RoleFactor row exists.</t>
        </is>
      </c>
      <c r="C139" s="18" t="inlineStr">
        <is>
          <t>Error - a factor missing for ONE period of a project silently drops that stretch to 1.00, which is a wrong number rather than an obvious gap. Checked against the periods each assignment spans, not against the whole cross-product.</t>
        </is>
      </c>
    </row>
    <row r="140">
      <c r="A140" s="10" t="inlineStr">
        <is>
          <t>V-04</t>
        </is>
      </c>
      <c r="B140" s="11" t="inlineStr">
        <is>
          <t>project_category is present for either clinical trial type.</t>
        </is>
      </c>
      <c r="C140" s="11" t="inlineStr">
        <is>
          <t>Warning - shown as blank in the dashboard.</t>
        </is>
      </c>
    </row>
    <row r="141">
      <c r="A141" s="8" t="inlineStr">
        <is>
          <t>V-05</t>
        </is>
      </c>
      <c r="B141" s="9" t="inlineStr">
        <is>
          <t>end_date is on or after start_date, for projects, assignments and all weight periods.</t>
        </is>
      </c>
      <c r="C141" s="9" t="inlineStr">
        <is>
          <t>Error - row rejected.</t>
        </is>
      </c>
    </row>
    <row r="142">
      <c r="A142" s="20" t="inlineStr">
        <is>
          <t>V-06</t>
        </is>
      </c>
      <c r="B142" s="19" t="inlineStr">
        <is>
          <t>Periods within one project, and override windows within one assignment, do not overlap.</t>
        </is>
      </c>
      <c r="C142" s="19" t="inlineStr">
        <is>
          <t>Error - overlapping pair reported. The assignment half was specified from v1.0 but not implemented until R-12; an overlap there makes the applied weight depend on row order.</t>
        </is>
      </c>
    </row>
    <row r="143">
      <c r="A143" s="8" t="inlineStr">
        <is>
          <t>V-07</t>
        </is>
      </c>
      <c r="B143" s="9" t="inlineStr">
        <is>
          <t>Assignment dates fall inside the project's own start and end dates.</t>
        </is>
      </c>
      <c r="C143" s="9" t="inlineStr">
        <is>
          <t>Warning - kept, but listed for review.</t>
        </is>
      </c>
    </row>
    <row r="144">
      <c r="A144" s="10" t="inlineStr">
        <is>
          <t>V-08</t>
        </is>
      </c>
      <c r="B144" s="11" t="inlineStr">
        <is>
          <t>project_id, person_id and assignment_id are unique in their sheet.</t>
        </is>
      </c>
      <c r="C144" s="11" t="inlineStr">
        <is>
          <t>Error - duplicate rejected.</t>
        </is>
      </c>
    </row>
    <row r="145">
      <c r="A145" s="8" t="inlineStr">
        <is>
          <t>V-09</t>
        </is>
      </c>
      <c r="B145" s="9" t="inlineStr">
        <is>
          <t>schema_version in Config matches the version the application expects.</t>
        </is>
      </c>
      <c r="C145" s="9" t="inlineStr">
        <is>
          <t>Warning - proceeds, banner shown.</t>
        </is>
      </c>
    </row>
    <row r="146">
      <c r="A146" s="17" t="inlineStr">
        <is>
          <t>V-10</t>
        </is>
      </c>
      <c r="B146" s="18" t="inlineStr">
        <is>
          <t>Clinical-trial projects carry clinical_phase and the four *_setup values.</t>
        </is>
      </c>
      <c r="C146" s="18" t="inlineStr">
        <is>
          <t>Warning - the project still simulates; the gap is listed.</t>
        </is>
      </c>
    </row>
    <row r="147">
      <c r="A147" s="17" t="inlineStr">
        <is>
          <t>V-11</t>
        </is>
      </c>
      <c r="B147" s="18" t="inlineStr">
        <is>
          <t>Every list-typed value appears in the Lists sheet for its list.</t>
        </is>
      </c>
      <c r="C147" s="18" t="inlineStr">
        <is>
          <t>Warning - value kept, reported as unrecognised.</t>
        </is>
      </c>
    </row>
    <row r="148">
      <c r="A148" s="20" t="inlineStr">
        <is>
          <t>V-12</t>
        </is>
      </c>
      <c r="B148" s="19" t="inlineStr">
        <is>
          <t>A project's periods leave no gap and no overlap across its timeline. The full set need not be present - a period may be legitimately omitted (REQ-CAL-12).</t>
        </is>
      </c>
      <c r="C148" s="19" t="inlineStr">
        <is>
          <t>Warning - months with no period use weight 1.00 and are listed (REQ-CAL-10).</t>
        </is>
      </c>
    </row>
    <row r="149">
      <c r="A149" s="17" t="inlineStr">
        <is>
          <t>V-13</t>
        </is>
      </c>
      <c r="B149" s="18" t="inlineStr">
        <is>
          <t>Denormalised project_name / person_name match their master row.</t>
        </is>
      </c>
      <c r="C149" s="18" t="inlineStr">
        <is>
          <t>Warning - the master value wins and the copy is refreshed.</t>
        </is>
      </c>
    </row>
    <row r="150">
      <c r="A150" s="20" t="inlineStr">
        <is>
          <t>V-14</t>
        </is>
      </c>
      <c r="B150" s="19" t="inlineStr">
        <is>
          <t>A milestone date falls inside its project's start..end window, and the boundary milestones appear in chronological order. Repeated 'Inspection' rows are exempt from the uniqueness part of this check.</t>
        </is>
      </c>
      <c r="C150" s="19" t="inlineStr">
        <is>
          <t>Error for period-defining milestones - the derivation cannot run. Warning for markers.</t>
        </is>
      </c>
    </row>
    <row r="151">
      <c r="A151" s="17" t="inlineStr">
        <is>
          <t>V-15</t>
        </is>
      </c>
      <c r="B151" s="18" t="inlineStr">
        <is>
          <t>A period_name belongs to the period set of its project's type.</t>
        </is>
      </c>
      <c r="C151" s="18" t="inlineStr">
        <is>
          <t>Error - a 'Planning' period on a clinical trial is a category mistake, not a typo.</t>
        </is>
      </c>
    </row>
    <row r="152">
      <c r="A152" s="17" t="inlineStr">
        <is>
          <t>V-16</t>
        </is>
      </c>
      <c r="B152" s="18" t="inlineStr">
        <is>
          <t>A clinical trial carries the milestones the derivation needs: CTA submission, and at least one DB lock.</t>
        </is>
      </c>
      <c r="C152" s="18" t="inlineStr">
        <is>
          <t>Error - without them no period boundary can be computed.</t>
        </is>
      </c>
    </row>
    <row r="153">
      <c r="A153" s="20" t="inlineStr">
        <is>
          <t>V-18</t>
        </is>
      </c>
      <c r="B153" s="19" t="inlineStr">
        <is>
          <t>Within a project, period_name is unique, and period_seq is unique.</t>
        </is>
      </c>
      <c r="C153" s="19" t="inlineStr">
        <is>
          <t>Error - since R-11 the key is (project_id, period_name), so a repeated name is a duplicate key rather than a legitimate second stretch. period_seq stays unique because it carries the order.</t>
        </is>
      </c>
    </row>
    <row r="154">
      <c r="A154" s="20" t="inlineStr">
        <is>
          <t>V-19</t>
        </is>
      </c>
      <c r="B154" s="19" t="inlineStr">
        <is>
          <t>A clinical trial carries a clinical_phase, and PeriodWeightStandard has rows for that phase. Not applied to 'Others' projects, whose weights are entered directly.</t>
        </is>
      </c>
      <c r="C154" s="19" t="inlineStr">
        <is>
          <t>Error - since Q-26 the phase selects the weights, so a missing phase leaves the project unweighted.</t>
        </is>
      </c>
    </row>
    <row r="155">
      <c r="A155" s="17" t="inlineStr">
        <is>
          <t>V-20</t>
        </is>
      </c>
      <c r="B155" s="18" t="inlineStr">
        <is>
          <t>A milestone other than 'Inspection' appears at most once per project.</t>
        </is>
      </c>
      <c r="C155" s="18" t="inlineStr">
        <is>
          <t>Warning - repeats are allowed but usually a data-entry slip outside Inspection.</t>
        </is>
      </c>
    </row>
    <row r="156">
      <c r="A156" s="17" t="inlineStr">
        <is>
          <t>V-21</t>
        </is>
      </c>
      <c r="B156" s="18" t="inlineStr">
        <is>
          <t>'Inspection' dates on or before the final DB lock are treated as markers, not as the start of period 7.</t>
        </is>
      </c>
      <c r="C156" s="18" t="inlineStr">
        <is>
          <t>Information - listed so the reader can see why an early inspection did not open a period.</t>
        </is>
      </c>
    </row>
    <row r="157">
      <c r="A157" s="17" t="inlineStr">
        <is>
          <t>V-22</t>
        </is>
      </c>
      <c r="B157" s="18" t="inlineStr">
        <is>
          <t>No person carries a capacity_fte below the under-allocation floor.</t>
        </is>
      </c>
      <c r="C157" s="18" t="inlineStr">
        <is>
          <t>Warning - such a person can never clear the floor however fully they are booked, so the flag would be permanent and meaningless.</t>
        </is>
      </c>
    </row>
    <row r="158">
      <c r="A158" s="17" t="inlineStr">
        <is>
          <t>V-17</t>
        </is>
      </c>
      <c r="B158" s="18" t="inlineStr">
        <is>
          <t>On editing an identifier, every referencing row is updated; on deleting a row, nothing may still reference it.</t>
        </is>
      </c>
      <c r="C158" s="18" t="inlineStr">
        <is>
          <t>Cascade after confirmation / deletion refused (REQ-IMP-10).</t>
        </is>
      </c>
    </row>
    <row r="160">
      <c r="A160" s="16" t="inlineStr">
        <is>
          <t>Import never stops at the first problem: it collects every finding and presents one report (REQ-IMP-02). Under REQ-IMP-09 the same rules run again on any value edited on screen.</t>
        </is>
      </c>
    </row>
    <row r="161">
      <c r="A161" s="3" t="inlineStr">
        <is>
          <t>Legend</t>
        </is>
      </c>
    </row>
    <row r="162">
      <c r="A162" s="12" t="inlineStr">
        <is>
          <t>Green = new in v0.2, added from your review answers.</t>
        </is>
      </c>
    </row>
    <row r="163">
      <c r="A163" s="13" t="inlineStr">
        <is>
          <t>Orange = changed in v0.2 as a consequence of your review.</t>
        </is>
      </c>
    </row>
    <row r="164">
      <c r="A164"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20" t="inlineStr">
        <is>
          <t>Over-allocation flag</t>
        </is>
      </c>
      <c r="B30" s="19" t="inlineStr">
        <is>
          <t>Person-month total &gt; over_allocation_fte (1.50).</t>
        </is>
      </c>
      <c r="C30" s="19" t="inlineStr">
        <is>
          <t>Red cell + count in summary tiles</t>
        </is>
      </c>
      <c r="D30" s="20"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20" t="inlineStr">
        <is>
          <t>1</t>
        </is>
      </c>
      <c r="B44" s="20" t="inlineStr">
        <is>
          <t>Before-Start-up</t>
        </is>
      </c>
      <c r="C44" s="19" t="inlineStr">
        <is>
          <t>project start_date</t>
        </is>
      </c>
      <c r="D44" s="19" t="inlineStr">
        <is>
          <t>'Protocol (v1)' where recorded, otherwise the day before Start-up begins</t>
        </is>
      </c>
      <c r="E44" s="20" t="inlineStr">
        <is>
          <t>R-02</t>
        </is>
      </c>
    </row>
    <row r="45">
      <c r="A45" s="20" t="inlineStr">
        <is>
          <t>2</t>
        </is>
      </c>
      <c r="B45" s="20" t="inlineStr">
        <is>
          <t>Start-up</t>
        </is>
      </c>
      <c r="C45" s="19" t="inlineStr">
        <is>
          <t>day after 'Protocol (v1)' where recorded, otherwise one month before 'CTA submission'</t>
        </is>
      </c>
      <c r="D45" s="19" t="inlineStr">
        <is>
          <t>'First SIV' where recorded (or 'FPI'), otherwise start + 4 months - 1 day</t>
        </is>
      </c>
      <c r="E45" s="20" t="inlineStr">
        <is>
          <t>R-02</t>
        </is>
      </c>
    </row>
    <row r="46">
      <c r="A46" s="20" t="inlineStr">
        <is>
          <t>3</t>
        </is>
      </c>
      <c r="B46" s="20" t="inlineStr">
        <is>
          <t>Conduct (interim)</t>
        </is>
      </c>
      <c r="C46" s="19" t="inlineStr">
        <is>
          <t>day after Start-up ends</t>
        </is>
      </c>
      <c r="D46" s="19" t="inlineStr">
        <is>
          <t>day before Close-out (interim) begins</t>
        </is>
      </c>
      <c r="E46" s="20"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20" t="inlineStr">
        <is>
          <t>5</t>
        </is>
      </c>
      <c r="B48" s="20" t="inlineStr">
        <is>
          <t>Conduct (final)</t>
        </is>
      </c>
      <c r="C48" s="19" t="inlineStr">
        <is>
          <t>day after 'interim DB lock'</t>
        </is>
      </c>
      <c r="D48" s="19" t="inlineStr">
        <is>
          <t>day before Close-out (final) begins</t>
        </is>
      </c>
      <c r="E48" s="20" t="inlineStr">
        <is>
          <t>Q-23, R-11</t>
        </is>
      </c>
    </row>
    <row r="49">
      <c r="A49" s="20" t="inlineStr">
        <is>
          <t>6</t>
        </is>
      </c>
      <c r="B49" s="20" t="inlineStr">
        <is>
          <t>Close-out (final)</t>
        </is>
      </c>
      <c r="C49" s="19" t="inlineStr">
        <is>
          <t>3 months before 'final DB lock'</t>
        </is>
      </c>
      <c r="D49" s="19" t="inlineStr">
        <is>
          <t>day before period 7 begins; where there is no period 7, 'final DB lock' or project end_date if later</t>
        </is>
      </c>
      <c r="E49" s="20"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20" t="inlineStr">
        <is>
          <t>C-03</t>
        </is>
      </c>
      <c r="B95" s="19" t="inlineStr">
        <is>
          <t>A missing PersonPeriodWeight row means person_weight applies unchanged.</t>
        </is>
      </c>
      <c r="C95" s="19" t="inlineStr">
        <is>
          <t>Follows from the override semantics. No row is the normal case, not an exception.</t>
        </is>
      </c>
      <c r="D95" s="20" t="inlineStr">
        <is>
          <t>CONFIRMED</t>
        </is>
      </c>
    </row>
    <row r="96">
      <c r="A96" s="20" t="inlineStr">
        <is>
          <t>C-04</t>
        </is>
      </c>
      <c r="B96" s="19" t="inlineStr">
        <is>
          <t>Capacity is FTE. 1.00 FTE = 160 h/month.</t>
        </is>
      </c>
      <c r="C96" s="19" t="inlineStr">
        <is>
          <t>Confirmed at Q-08. Note the flag is NOT at 1.00 - over-allocation begins above 1.50.</t>
        </is>
      </c>
      <c r="D96" s="20" t="inlineStr">
        <is>
          <t>CONFIRMED</t>
        </is>
      </c>
    </row>
    <row r="97">
      <c r="A97" s="20" t="inlineStr">
        <is>
          <t>C-05</t>
        </is>
      </c>
      <c r="B97" s="19" t="inlineStr">
        <is>
          <t>The unit shown on screen is FTE, with hours available.</t>
        </is>
      </c>
      <c r="C97" s="19" t="inlineStr">
        <is>
          <t>Q-08 was expressed in FTE and hours, so FTE is now the default rather than percent.</t>
        </is>
      </c>
      <c r="D97" s="20"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PRAP_SourceData_Template_v1.6.xlsx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1-16 applied (app v1.15);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64"/>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t>
        </is>
      </c>
    </row>
    <row r="51">
      <c r="A51" s="10" t="inlineStr">
        <is>
          <t>v2.14</t>
        </is>
      </c>
      <c r="B51" s="10" t="inlineStr">
        <is>
          <t>v1.0</t>
        </is>
      </c>
      <c r="C51" s="10" t="inlineStr">
        <is>
          <t>application v1.12</t>
        </is>
      </c>
      <c r="D51" s="10" t="inlineStr">
        <is>
          <t>5</t>
        </is>
      </c>
      <c r="E51" s="10" t="inlineStr">
        <is>
          <t>2026-07-31</t>
        </is>
      </c>
      <c r="F51" s="11" t="inlineStr">
        <is>
          <t>Gate 4 round 13: weight overrides follow the selected assignment.</t>
        </is>
      </c>
    </row>
    <row r="52">
      <c r="A52" s="8" t="inlineStr">
        <is>
          <t>v2.15</t>
        </is>
      </c>
      <c r="B52" s="8" t="inlineStr">
        <is>
          <t>v1.0</t>
        </is>
      </c>
      <c r="C52" s="8" t="inlineStr">
        <is>
          <t>application v1.13</t>
        </is>
      </c>
      <c r="D52" s="8" t="inlineStr">
        <is>
          <t>5</t>
        </is>
      </c>
      <c r="E52" s="8" t="inlineStr">
        <is>
          <t>2026-07-31</t>
        </is>
      </c>
      <c r="F52" s="9" t="inlineStr">
        <is>
          <t>Gate 4 round 14: monthly trend line charts, and one header shape for every panel.</t>
        </is>
      </c>
    </row>
    <row r="53">
      <c r="A53" s="10" t="inlineStr">
        <is>
          <t>v2.16</t>
        </is>
      </c>
      <c r="B53" s="10" t="inlineStr">
        <is>
          <t>v1.0</t>
        </is>
      </c>
      <c r="C53" s="10" t="inlineStr">
        <is>
          <t>application v1.14</t>
        </is>
      </c>
      <c r="D53" s="10" t="inlineStr">
        <is>
          <t>5</t>
        </is>
      </c>
      <c r="E53" s="10" t="inlineStr">
        <is>
          <t>2026-07-31</t>
        </is>
      </c>
      <c r="F53" s="11" t="inlineStr">
        <is>
          <t>Gate 4 round 15: derived columns locked in the workbook, template v1.7.</t>
        </is>
      </c>
    </row>
    <row r="54">
      <c r="A54" s="8" t="inlineStr">
        <is>
          <t>v2.17</t>
        </is>
      </c>
      <c r="B54" s="8" t="inlineStr">
        <is>
          <t>v1.0</t>
        </is>
      </c>
      <c r="C54" s="8" t="inlineStr">
        <is>
          <t>application v1.15</t>
        </is>
      </c>
      <c r="D54" s="8" t="inlineStr">
        <is>
          <t>5</t>
        </is>
      </c>
      <c r="E54" s="8" t="inlineStr">
        <is>
          <t>2026-07-31</t>
        </is>
      </c>
      <c r="F54" s="9" t="inlineStr">
        <is>
          <t>Gate 4 round 16: visual design pass; contrast measured, not judged. 4.9 continues.</t>
        </is>
      </c>
    </row>
    <row r="55">
      <c r="A55" s="10" t="inlineStr"/>
      <c r="B55" s="10" t="inlineStr"/>
      <c r="C55" s="10" t="inlineStr"/>
      <c r="D55" s="10" t="inlineStr"/>
      <c r="E55" s="10" t="inlineStr"/>
      <c r="F55" s="11" t="inlineStr"/>
    </row>
    <row r="57">
      <c r="A57" s="16" t="inlineStr">
        <is>
          <t>One row per release. Answers 'which specification produced this .html, and which source template does it expect?'.</t>
        </is>
      </c>
    </row>
    <row r="58">
      <c r="A58" s="5" t="inlineStr">
        <is>
          <t>Repository rules</t>
        </is>
      </c>
    </row>
    <row r="59" ht="28" customHeight="1">
      <c r="A59" s="7" t="inlineStr">
        <is>
          <t>Rule</t>
        </is>
      </c>
    </row>
    <row r="60">
      <c r="A60" s="9" t="inlineStr">
        <is>
          <t>All work is committed to branch claude/project-resource-assignment-app-1vjdzh.</t>
        </is>
      </c>
    </row>
    <row r="61">
      <c r="A61" s="11" t="inlineStr">
        <is>
          <t>Documents are generated from scripts in tools/ so their content is reviewable as a text diff, not only as a binary.</t>
        </is>
      </c>
    </row>
    <row r="62">
      <c r="A62" s="9" t="inlineStr">
        <is>
          <t>One commit per meaningful change, with a message naming the step and the affected REQ-IDs.</t>
        </is>
      </c>
    </row>
    <row r="63">
      <c r="A63" s="11" t="inlineStr">
        <is>
          <t>A released version is tagged, so any release can be reproduced exactly.</t>
        </is>
      </c>
    </row>
    <row r="64">
      <c r="A64"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seven names for either clinical trial type, three for 'Others'. No name repeats within a project.</t>
        </is>
      </c>
      <c r="C27" s="20" t="inlineStr">
        <is>
          <t>CONFIRMED Q-18, Q-23; revised at R-11</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R-13</t>
        </is>
      </c>
      <c r="B50" s="10" t="inlineStr">
        <is>
          <t>UI</t>
        </is>
      </c>
      <c r="C50" s="11" t="inlineStr">
        <is>
          <t>Two requests at the component-list v0.7 review: highlight the interim and final DB lock milestones in red, and add a project utilisation graph to the 'Source data (project)' tab.</t>
        </is>
      </c>
      <c r="D5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0" s="17" t="inlineStr">
        <is>
          <t>Applied</t>
        </is>
      </c>
    </row>
    <row r="51">
      <c r="A51" s="8" t="inlineStr">
        <is>
          <t>R-12</t>
        </is>
      </c>
      <c r="B51" s="8" t="inlineStr">
        <is>
          <t>Validation</t>
        </is>
      </c>
      <c r="C51" s="9" t="inlineStr">
        <is>
          <t>Raised as a question about the PersonPeriodWeight key - why is period_start needed when assignment_id looks unique?</t>
        </is>
      </c>
      <c r="D5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1" s="17" t="inlineStr">
        <is>
          <t>Applied</t>
        </is>
      </c>
    </row>
    <row r="52">
      <c r="A52" s="10" t="inlineStr">
        <is>
          <t>R-11</t>
        </is>
      </c>
      <c r="B52" s="10" t="inlineStr">
        <is>
          <t>Data model</t>
        </is>
      </c>
      <c r="C52" s="11" t="inlineStr">
        <is>
          <t>Name the two conduct stretches apart - 'Conduct (interim)' before an interim DB lock, 'Conduct (final)' after it or where there is no interim lock - and key ProjectPeriod on (project_id, period_name).</t>
        </is>
      </c>
      <c r="D5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2" s="17" t="inlineStr">
        <is>
          <t>Applied</t>
        </is>
      </c>
    </row>
    <row r="53">
      <c r="A53" s="8" t="inlineStr">
        <is>
          <t>R-10</t>
        </is>
      </c>
      <c r="B53" s="8" t="inlineStr">
        <is>
          <t>Data model</t>
        </is>
      </c>
      <c r="C53" s="9" t="inlineStr">
        <is>
          <t>The role factor must be given by role AND project type AND clinical phase AND period, not by role and type alone.</t>
        </is>
      </c>
      <c r="D5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3" s="17" t="inlineStr">
        <is>
          <t>Applied</t>
        </is>
      </c>
    </row>
    <row r="54">
      <c r="A54" s="10" t="inlineStr">
        <is>
          <t>R-09</t>
        </is>
      </c>
      <c r="B54" s="10" t="inlineStr">
        <is>
          <t>UI</t>
        </is>
      </c>
      <c r="C5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4" s="17" t="inlineStr">
        <is>
          <t>Applied</t>
        </is>
      </c>
    </row>
    <row r="55">
      <c r="A55" s="8" t="inlineStr">
        <is>
          <t>R-08</t>
        </is>
      </c>
      <c r="B55" s="8" t="inlineStr">
        <is>
          <t>UI</t>
        </is>
      </c>
      <c r="C55" s="9" t="inlineStr">
        <is>
          <t>The two 'Conduct' stretches of a project must be distinguishable on screen (S2-04).</t>
        </is>
      </c>
      <c r="D55" s="9" t="inlineStr">
        <is>
          <t>Applied as REQ-DSH-10. A display rule, not a data change: period_name stays 'Conduct' in the workbook and the screen shows it with its sequence, 'Conduct (1)' and 'Conduct (2)'. Changing the stored name would have broken the weight lookup and V-15.</t>
        </is>
      </c>
      <c r="E55" s="17" t="inlineStr">
        <is>
          <t>Applied</t>
        </is>
      </c>
    </row>
    <row r="56">
      <c r="A56" s="10" t="inlineStr">
        <is>
          <t>R-07</t>
        </is>
      </c>
      <c r="B56" s="10" t="inlineStr">
        <is>
          <t>Calculation</t>
        </is>
      </c>
      <c r="C56" s="11" t="inlineStr">
        <is>
          <t>Thresholds stay ABSOLUTE, not relative to capacity_fte (S2-01), and the under-allocation floor moves to 0.60 FTE (S2-05).</t>
        </is>
      </c>
      <c r="D5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6" s="17" t="inlineStr">
        <is>
          <t>Applied</t>
        </is>
      </c>
    </row>
    <row r="57">
      <c r="A57" s="8" t="inlineStr">
        <is>
          <t>R-06</t>
        </is>
      </c>
      <c r="B57" s="8" t="inlineStr">
        <is>
          <t>Non-functional</t>
        </is>
      </c>
      <c r="C57" s="9" t="inlineStr">
        <is>
          <t>Re-baseline REQ-NFR-03 to 100 projects and 1,000 people (S2-06).</t>
        </is>
      </c>
      <c r="D57" s="9"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7" s="17" t="inlineStr">
        <is>
          <t>Applied</t>
        </is>
      </c>
    </row>
    <row r="58">
      <c r="A58" s="10" t="inlineStr">
        <is>
          <t>R-05</t>
        </is>
      </c>
      <c r="B58" s="10" t="inlineStr">
        <is>
          <t>Data model</t>
        </is>
      </c>
      <c r="C58" s="11" t="inlineStr">
        <is>
          <t>Split project_type: 'Clinical Trial' becomes 'NewDrug CT' and 'Biosimilar CT'; every clinical trial is one or the other.</t>
        </is>
      </c>
      <c r="D5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8" s="17" t="inlineStr">
        <is>
          <t>Applied</t>
        </is>
      </c>
    </row>
    <row r="59">
      <c r="A59" s="8" t="inlineStr">
        <is>
          <t>R-04</t>
        </is>
      </c>
      <c r="B59" s="8" t="inlineStr">
        <is>
          <t>Data model</t>
        </is>
      </c>
      <c r="C59" s="9" t="inlineStr">
        <is>
          <t>Add at least one free-text note column to every sheet of the source workbook.</t>
        </is>
      </c>
      <c r="D5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9" s="17" t="inlineStr">
        <is>
          <t>Applied</t>
        </is>
      </c>
    </row>
    <row r="61">
      <c r="A61" s="16" t="inlineStr">
        <is>
          <t>All four are settled. Nothing on this sheet is open, and the plan is final.</t>
        </is>
      </c>
    </row>
    <row r="63">
      <c r="A6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2026-08-06T14:50:28Z</dcterms:created>
  <dcterms:modified xsi:type="dcterms:W3CDTF">2026-08-06T14:50:28Z</dcterms:modified>
</cp:coreProperties>
</file>