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6" fillId="3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6" fillId="5" borderId="1" pivotButton="0" quotePrefix="0" xfId="0"/>
    <xf numFmtId="0" fontId="0" fillId="5" borderId="0" pivotButton="0" quotePrefix="0" xfId="0"/>
    <xf numFmtId="0" fontId="2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3.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roles and their relative burden, per project type.</t>
        </is>
      </c>
    </row>
    <row r="17">
      <c r="A17" s="4" t="inlineStr">
        <is>
          <t xml:space="preserve">   Person                one row per person.</t>
        </is>
      </c>
    </row>
    <row r="18">
      <c r="A18" s="4" t="inlineStr">
        <is>
          <t xml:space="preserve">   Assignment            one row per person + project + role.</t>
        </is>
      </c>
    </row>
    <row r="19">
      <c r="A19" s="4" t="inlineStr">
        <is>
          <t xml:space="preserve">   PersonPeriodWeight    optional windows where a person's weight differs.</t>
        </is>
      </c>
    </row>
    <row r="20">
      <c r="A20" s="4" t="inlineStr">
        <is>
          <t xml:space="preserve">   Lists                 permitted values for every dropdown.</t>
        </is>
      </c>
    </row>
    <row r="21">
      <c r="A21" s="4" t="inlineStr">
        <is>
          <t xml:space="preserve">   Config                thresholds and settings.</t>
        </is>
      </c>
    </row>
    <row r="22">
      <c r="A22" s="2" t="inlineStr"/>
    </row>
    <row r="23">
      <c r="A23" s="3" t="inlineStr">
        <is>
          <t>FREE-TEXT NOTES</t>
        </is>
      </c>
    </row>
    <row r="24">
      <c r="A24" s="4" t="inlineStr">
        <is>
          <t xml:space="preserve">   Every sheet carries at least one free-text column, so anything worth recording has a home:</t>
        </is>
      </c>
    </row>
    <row r="25">
      <c r="A25" s="4" t="inlineStr">
        <is>
          <t xml:space="preserve">      Project               note_1 .. note_5</t>
        </is>
      </c>
    </row>
    <row r="26">
      <c r="A26" s="4" t="inlineStr">
        <is>
          <t xml:space="preserve">      Milestone             note_1</t>
        </is>
      </c>
    </row>
    <row r="27">
      <c r="A27" s="4" t="inlineStr">
        <is>
          <t xml:space="preserve">      ProjectPeriod         note_1</t>
        </is>
      </c>
    </row>
    <row r="28">
      <c r="A28" s="4" t="inlineStr">
        <is>
          <t xml:space="preserve">      PeriodWeightStandard  note_1</t>
        </is>
      </c>
    </row>
    <row r="29">
      <c r="A29" s="4" t="inlineStr">
        <is>
          <t xml:space="preserve">      RoleFactor            role_note</t>
        </is>
      </c>
    </row>
    <row r="30">
      <c r="A30" s="4" t="inlineStr">
        <is>
          <t xml:space="preserve">      Person                note_1 .. note_5</t>
        </is>
      </c>
    </row>
    <row r="31">
      <c r="A31" s="4" t="inlineStr">
        <is>
          <t xml:space="preserve">      Assignment            note_1 .. note_3</t>
        </is>
      </c>
    </row>
    <row r="32">
      <c r="A32" s="4" t="inlineStr">
        <is>
          <t xml:space="preserve">      PersonPeriodWeight    reason</t>
        </is>
      </c>
    </row>
    <row r="33">
      <c r="A33" s="4" t="inlineStr">
        <is>
          <t xml:space="preserve">      Lists                 note_1</t>
        </is>
      </c>
    </row>
    <row r="34">
      <c r="A34" s="4" t="inlineStr">
        <is>
          <t xml:space="preserve">      Config                note</t>
        </is>
      </c>
    </row>
    <row r="35">
      <c r="A35" s="4" t="inlineStr">
        <is>
          <t xml:space="preserve">   Nothing in a note column affects the calculation. They are carried through import and export</t>
        </is>
      </c>
    </row>
    <row r="36">
      <c r="A36" s="4" t="inlineStr">
        <is>
          <t xml:space="preserve">   unchanged, so they survive a round trip.</t>
        </is>
      </c>
    </row>
    <row r="37">
      <c r="A37" s="2" t="inlineStr"/>
    </row>
    <row r="38">
      <c r="A38" s="3" t="inlineStr">
        <is>
          <t>HOW THE CALCULATION USES THIS</t>
        </is>
      </c>
    </row>
    <row r="39">
      <c r="A39" s="4" t="inlineStr">
        <is>
          <t xml:space="preserve">   monthly load = project period weight  x  role factor  x  person weight  x  month coverage</t>
        </is>
      </c>
    </row>
    <row r="40">
      <c r="A40" s="4" t="inlineStr">
        <is>
          <t xml:space="preserve">   The result is FTE, where 1.00 FTE = 160 hours per month.</t>
        </is>
      </c>
    </row>
    <row r="41">
      <c r="A41" s="4" t="inlineStr">
        <is>
          <t xml:space="preserve">   Over-allocated:  a person's monthly total above 1.50 FTE.</t>
        </is>
      </c>
    </row>
    <row r="42">
      <c r="A42" s="4" t="inlineStr">
        <is>
          <t xml:space="preserve">   Under-allocated: below 0.80 FTE for three or more consecutive months.</t>
        </is>
      </c>
    </row>
    <row r="43">
      <c r="A43" s="2" t="inlineStr"/>
    </row>
    <row r="44">
      <c r="A44" s="3" t="inlineStr">
        <is>
          <t>PERIODS</t>
        </is>
      </c>
    </row>
    <row r="45">
      <c r="A45" s="4" t="inlineStr">
        <is>
          <t xml:space="preserve">   Clinical trial periods are derived from the milestone dates:</t>
        </is>
      </c>
    </row>
    <row r="46">
      <c r="A46" s="4" t="inlineStr">
        <is>
          <t xml:space="preserve">      Before-Start-up      project start, to the day before Start-up</t>
        </is>
      </c>
    </row>
    <row r="47">
      <c r="A47" s="4" t="inlineStr">
        <is>
          <t xml:space="preserve">      Start-up             one month before CTA submission, lasting four months</t>
        </is>
      </c>
    </row>
    <row r="48">
      <c r="A48" s="4" t="inlineStr">
        <is>
          <t xml:space="preserve">      Conduct              from the end of Start-up to the day before the next close-out</t>
        </is>
      </c>
    </row>
    <row r="49">
      <c r="A49" s="4" t="inlineStr">
        <is>
          <t xml:space="preserve">      Close-out (interim)  three months before the interim DB lock, to that lock</t>
        </is>
      </c>
    </row>
    <row r="50">
      <c r="A50" s="4" t="inlineStr">
        <is>
          <t xml:space="preserve">      Conduct  (again)     from the interim DB lock to the day before Close-out (final)</t>
        </is>
      </c>
    </row>
    <row r="51">
      <c r="A51" s="4" t="inlineStr">
        <is>
          <t xml:space="preserve">      Close-out (final)    three months before the final DB lock, to that lock</t>
        </is>
      </c>
    </row>
    <row r="52">
      <c r="A52" s="4" t="inlineStr">
        <is>
          <t xml:space="preserve">      After Close-out (final)  the inspection activity that follows the final DB lock</t>
        </is>
      </c>
    </row>
    <row r="53">
      <c r="A53" s="2" t="inlineStr"/>
    </row>
    <row r="54">
      <c r="A54" s="4" t="inlineStr">
        <is>
          <t xml:space="preserve">   Where 'Protocol (v1)' is recorded, Before-Start-up ends on it and Start-up begins the day after.</t>
        </is>
      </c>
    </row>
    <row r="55">
      <c r="A55" s="4" t="inlineStr">
        <is>
          <t xml:space="preserve">   Where 'First SIV' (or 'FPI') is recorded, Start-up ends on it instead of running a fixed four</t>
        </is>
      </c>
    </row>
    <row r="56">
      <c r="A56" s="4" t="inlineStr">
        <is>
          <t xml:space="preserve">   months. A recorded milestone always beats the month-offset fallback.</t>
        </is>
      </c>
    </row>
    <row r="57">
      <c r="A57" s="2" t="inlineStr"/>
    </row>
    <row r="58">
      <c r="A58" s="4" t="inlineStr">
        <is>
          <t xml:space="preserve">   'Conduct' therefore appears TWICE where a trial has an interim DB lock. period_seq keeps</t>
        </is>
      </c>
    </row>
    <row r="59">
      <c r="A59" s="4" t="inlineStr">
        <is>
          <t xml:space="preserve">   the two apart. A period squeezed to nothing by a tight timeline is simply omitted.</t>
        </is>
      </c>
    </row>
    <row r="60">
      <c r="A60" s="2" t="inlineStr"/>
    </row>
    <row r="61">
      <c r="A61" s="4" t="inlineStr">
        <is>
          <t xml:space="preserve">   'Inspection' is the one milestone that may be recorded SEVERAL TIMES for a project. Only</t>
        </is>
      </c>
    </row>
    <row r="62">
      <c r="A62" s="4" t="inlineStr">
        <is>
          <t xml:space="preserve">   inspections dated AFTER the final DB lock open the last period; an earlier one stays a marker.</t>
        </is>
      </c>
    </row>
    <row r="63">
      <c r="A63" s="2" t="inlineStr"/>
    </row>
    <row r="64">
      <c r="A64" s="4" t="inlineStr">
        <is>
          <t xml:space="preserve">   'Others' projects have no milestones. Their period dates and weights are both typed in.</t>
        </is>
      </c>
    </row>
    <row r="65">
      <c r="A65" s="2" t="inlineStr"/>
    </row>
    <row r="66">
      <c r="A66" s="3" t="inlineStr">
        <is>
          <t>ADDING A PERMITTED VALUE</t>
        </is>
      </c>
    </row>
    <row r="67">
      <c r="A67" s="4" t="inlineStr">
        <is>
          <t xml:space="preserve">   Insert a row inside that list's block on the Lists sheet, so the block stays contiguous -</t>
        </is>
      </c>
    </row>
    <row r="68">
      <c r="A68" s="4" t="inlineStr">
        <is>
          <t xml:space="preserve">   the dropdowns read a range, not a scattered set of rows.</t>
        </is>
      </c>
    </row>
    <row r="69">
      <c r="A69" s="2" t="inlineStr"/>
    </row>
    <row r="70">
      <c r="A70" s="3" t="inlineStr">
        <is>
          <t>BEFORE YOU USE THIS FILE</t>
        </is>
      </c>
    </row>
    <row r="71">
      <c r="A71" s="4" t="inlineStr">
        <is>
          <t xml:space="preserve">   1. Delete the grey example row from every sheet.</t>
        </is>
      </c>
    </row>
    <row r="72">
      <c r="A72" s="4" t="inlineStr">
        <is>
          <t xml:space="preserve">   2. Fill in the yellow columns: PeriodWeightStandard.weight and RoleFactor.role_factor.</t>
        </is>
      </c>
    </row>
    <row r="73">
      <c r="A73" s="4" t="inlineStr">
        <is>
          <t xml:space="preserve">      Nothing simulates correctly until those are set.</t>
        </is>
      </c>
    </row>
    <row r="74">
      <c r="A74" s="4" t="inlineStr">
        <is>
          <t xml:space="preserve">   3. Enter your projects, people and assignments.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Veeva EDC</t>
        </is>
      </c>
      <c r="L2" s="7" t="inlineStr">
        <is>
          <t>Veeva DQS</t>
        </is>
      </c>
      <c r="M2" s="7" t="inlineStr">
        <is>
          <t>CluePoints</t>
        </is>
      </c>
      <c r="N2" s="7" t="n">
        <v>5</v>
      </c>
      <c r="O2" s="8" t="n">
        <v>45931</v>
      </c>
      <c r="P2" s="8" t="n">
        <v>46568</v>
      </c>
      <c r="Q2" s="7">
        <f>IF(OR($O2="",$P2=""),"",(YEAR($P2)-YEAR($O2))*12+MONTH($P2)-MONTH($O2)+1)</f>
        <v/>
      </c>
      <c r="R2" s="7" t="inlineStr">
        <is>
          <t>Active</t>
        </is>
      </c>
      <c r="S2" s="7" t="inlineStr">
        <is>
          <t>example row - delete before use</t>
        </is>
      </c>
      <c r="T2" s="7" t="n"/>
      <c r="U2" s="7" t="n"/>
      <c r="V2" s="7" t="n"/>
      <c r="W2" s="7" t="n"/>
    </row>
    <row r="3">
      <c r="O3" s="9" t="n"/>
      <c r="P3" s="9" t="n"/>
    </row>
  </sheetData>
  <dataValidations count="11">
    <dataValidation sqref="C2:C400" showDropDown="0" showInputMessage="0" showErrorMessage="0" allowBlank="1" type="list">
      <formula1>Lists!$B$2:$B$4</formula1>
    </dataValidation>
    <dataValidation sqref="E2:E400" showDropDown="0" showInputMessage="0" showErrorMessage="0" allowBlank="1" type="list">
      <formula1>Lists!$B$5:$B$8</formula1>
    </dataValidation>
    <dataValidation sqref="F2:F400" showDropDown="0" showInputMessage="0" showErrorMessage="0" allowBlank="1" type="list">
      <formula1>Lists!$B$9:$B$11</formula1>
    </dataValidation>
    <dataValidation sqref="G2:G400" showDropDown="0" showInputMessage="0" showErrorMessage="0" allowBlank="1" type="list">
      <formula1>Lists!$B$12:$B$13</formula1>
    </dataValidation>
    <dataValidation sqref="H2:H400" showDropDown="0" showInputMessage="0" showErrorMessage="0" allowBlank="1" type="list">
      <formula1>Lists!$B$12:$B$13</formula1>
    </dataValidation>
    <dataValidation sqref="I2:I400" showDropDown="0" showInputMessage="0" showErrorMessage="0" allowBlank="1" type="list">
      <formula1>Lists!$B$12:$B$13</formula1>
    </dataValidation>
    <dataValidation sqref="J2:J400" showDropDown="0" showInputMessage="0" showErrorMessage="0" allowBlank="1" type="list">
      <formula1>Lists!$B$12:$B$13</formula1>
    </dataValidation>
    <dataValidation sqref="K2:K400" showDropDown="0" showInputMessage="0" showErrorMessage="0" allowBlank="1" type="list">
      <formula1>Lists!$B$14:$B$16</formula1>
    </dataValidation>
    <dataValidation sqref="L2:L400" showDropDown="0" showInputMessage="0" showErrorMessage="0" allowBlank="1" type="list">
      <formula1>Lists!$B$17:$B$19</formula1>
    </dataValidation>
    <dataValidation sqref="M2:M400" showDropDown="0" showInputMessage="0" showErrorMessage="0" allowBlank="1" type="list">
      <formula1>Lists!$B$20:$B$22</formula1>
    </dataValidation>
    <dataValidation sqref="R2:R400" showDropDown="0" showInputMessage="0" showErrorMessage="0" allowBlank="1" type="list">
      <formula1>Lists!$B$23:$B$26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D3" s="9" t="n"/>
    </row>
  </sheetData>
  <dataValidations count="1">
    <dataValidation sqref="C2:C400" showDropDown="0" showInputMessage="0" showErrorMessage="0" allowBlank="1" type="list">
      <formula1>Lists!$B$27:$B$36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6" t="inlineStr">
        <is>
          <t>PRJ-001</t>
        </is>
      </c>
      <c r="B2" s="7" t="inlineStr">
        <is>
          <t>Start-up</t>
        </is>
      </c>
      <c r="C2" s="6" t="n">
        <v>2</v>
      </c>
      <c r="D2" s="8" t="n">
        <v>46006</v>
      </c>
      <c r="E2" s="8" t="n">
        <v>46126</v>
      </c>
      <c r="F2" s="7" t="n">
        <v>1.3</v>
      </c>
      <c r="G2" s="7" t="inlineStr">
        <is>
          <t>example row - delete before use</t>
        </is>
      </c>
    </row>
    <row r="3">
      <c r="D3" s="9" t="n"/>
      <c r="E3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7" t="inlineStr">
        <is>
          <t>NewDrug CT</t>
        </is>
      </c>
      <c r="B2" s="6" t="inlineStr">
        <is>
          <t>Phase 1</t>
        </is>
      </c>
      <c r="C2" s="6" t="inlineStr">
        <is>
          <t>Start-up</t>
        </is>
      </c>
      <c r="D2" s="10" t="n"/>
      <c r="E2" s="7" t="inlineStr">
        <is>
          <t>example row - delete before use</t>
        </is>
      </c>
    </row>
    <row r="3">
      <c r="D3" s="11" t="n"/>
    </row>
  </sheetData>
  <dataValidations count="3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  <dataValidation sqref="C2:C400" showDropDown="0" showInputMessage="0" showErrorMessage="0" allowBlank="1" type="list">
      <formula1>Lists!$B$37:$B$42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5" customWidth="1" min="4" max="4"/>
  </cols>
  <sheetData>
    <row r="1" ht="30" customHeight="1">
      <c r="A1" s="5" t="inlineStr">
        <is>
          <t>project_type</t>
        </is>
      </c>
      <c r="B1" s="5" t="inlineStr">
        <is>
          <t>role_name</t>
        </is>
      </c>
      <c r="C1" s="5" t="inlineStr">
        <is>
          <t>role_factor</t>
        </is>
      </c>
      <c r="D1" s="5" t="inlineStr">
        <is>
          <t>role_note</t>
        </is>
      </c>
    </row>
    <row r="2">
      <c r="A2" s="6" t="inlineStr">
        <is>
          <t>NewDrug CT</t>
        </is>
      </c>
      <c r="B2" s="6" t="inlineStr">
        <is>
          <t>Lead data manager</t>
        </is>
      </c>
      <c r="C2" s="10" t="n"/>
      <c r="D2" s="7" t="inlineStr">
        <is>
          <t>example row - delete before use</t>
        </is>
      </c>
    </row>
    <row r="3">
      <c r="C3" s="11" t="n"/>
    </row>
  </sheetData>
  <dataValidations count="1">
    <dataValidation sqref="A2:A400" showDropDown="0" showInputMessage="0" showErrorMessage="0" allowBlank="1" type="list">
      <formula1>Lists!$B$2:$B$4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Data Management</t>
        </is>
      </c>
      <c r="D2" s="7" t="inlineStr">
        <is>
          <t>Lead data manager</t>
        </is>
      </c>
      <c r="E2" s="7" t="n">
        <v>1</v>
      </c>
      <c r="F2" s="8" t="n"/>
      <c r="G2" s="8" t="n"/>
      <c r="H2" s="7" t="inlineStr">
        <is>
          <t>example row - delete before use</t>
        </is>
      </c>
      <c r="I2" s="7" t="n"/>
      <c r="J2" s="7" t="n"/>
      <c r="K2" s="7" t="n"/>
      <c r="L2" s="7" t="n"/>
    </row>
    <row r="3">
      <c r="F3" s="9" t="n"/>
      <c r="G3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example row - delete before use</t>
        </is>
      </c>
      <c r="J2" s="7" t="n"/>
      <c r="K2" s="7" t="n"/>
    </row>
    <row r="3">
      <c r="F3" s="9" t="n"/>
      <c r="G3" s="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ASG-001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B3" s="9" t="n"/>
      <c r="C3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2" t="inlineStr">
        <is>
          <t>project_type</t>
        </is>
      </c>
      <c r="B2" s="13" t="inlineStr">
        <is>
          <t>NewDrug CT</t>
        </is>
      </c>
      <c r="C2" s="13" t="n"/>
    </row>
    <row r="3">
      <c r="A3" s="12" t="inlineStr">
        <is>
          <t>project_type</t>
        </is>
      </c>
      <c r="B3" s="13" t="inlineStr">
        <is>
          <t>Biosimilar CT</t>
        </is>
      </c>
      <c r="C3" s="13" t="n"/>
    </row>
    <row r="4">
      <c r="A4" s="12" t="inlineStr">
        <is>
          <t>project_type</t>
        </is>
      </c>
      <c r="B4" s="13" t="inlineStr">
        <is>
          <t>Others</t>
        </is>
      </c>
      <c r="C4" s="13" t="n"/>
    </row>
    <row r="5">
      <c r="A5" s="12" t="inlineStr">
        <is>
          <t>clinical_phase</t>
        </is>
      </c>
      <c r="B5" s="13" t="inlineStr">
        <is>
          <t>Phase 1</t>
        </is>
      </c>
      <c r="C5" s="13" t="n"/>
    </row>
    <row r="6">
      <c r="A6" s="12" t="inlineStr">
        <is>
          <t>clinical_phase</t>
        </is>
      </c>
      <c r="B6" s="13" t="inlineStr">
        <is>
          <t>Phase 2</t>
        </is>
      </c>
      <c r="C6" s="13" t="n"/>
    </row>
    <row r="7">
      <c r="A7" s="12" t="inlineStr">
        <is>
          <t>clinical_phase</t>
        </is>
      </c>
      <c r="B7" s="13" t="inlineStr">
        <is>
          <t>Phase 3</t>
        </is>
      </c>
      <c r="C7" s="13" t="n"/>
    </row>
    <row r="8">
      <c r="A8" s="12" t="inlineStr">
        <is>
          <t>clinical_phase</t>
        </is>
      </c>
      <c r="B8" s="13" t="inlineStr">
        <is>
          <t>Phase 4</t>
        </is>
      </c>
      <c r="C8" s="13" t="n"/>
    </row>
    <row r="9">
      <c r="A9" s="12" t="inlineStr">
        <is>
          <t>outsourcing_type</t>
        </is>
      </c>
      <c r="B9" s="13" t="inlineStr">
        <is>
          <t>Full outsourcing</t>
        </is>
      </c>
      <c r="C9" s="13" t="n"/>
    </row>
    <row r="10">
      <c r="A10" s="12" t="inlineStr">
        <is>
          <t>outsourcing_type</t>
        </is>
      </c>
      <c r="B10" s="13" t="inlineStr">
        <is>
          <t>Partial outsourcing</t>
        </is>
      </c>
      <c r="C10" s="13" t="n"/>
    </row>
    <row r="11">
      <c r="A11" s="12" t="inlineStr">
        <is>
          <t>outsourcing_type</t>
        </is>
      </c>
      <c r="B11" s="13" t="inlineStr">
        <is>
          <t>Full In-house</t>
        </is>
      </c>
      <c r="C11" s="13" t="n"/>
    </row>
    <row r="12">
      <c r="A12" s="12" t="inlineStr">
        <is>
          <t>setup_party</t>
        </is>
      </c>
      <c r="B12" s="13" t="inlineStr">
        <is>
          <t>by CRO</t>
        </is>
      </c>
      <c r="C12" s="13" t="n"/>
    </row>
    <row r="13">
      <c r="A13" s="12" t="inlineStr">
        <is>
          <t>setup_party</t>
        </is>
      </c>
      <c r="B13" s="13" t="inlineStr">
        <is>
          <t>by SB</t>
        </is>
      </c>
      <c r="C13" s="13" t="n"/>
    </row>
    <row r="14">
      <c r="A14" s="12" t="inlineStr">
        <is>
          <t>EDC_system</t>
        </is>
      </c>
      <c r="B14" s="13" t="inlineStr">
        <is>
          <t>Veeva EDC</t>
        </is>
      </c>
      <c r="C14" s="13" t="n"/>
    </row>
    <row r="15">
      <c r="A15" s="12" t="inlineStr">
        <is>
          <t>EDC_system</t>
        </is>
      </c>
      <c r="B15" s="13" t="inlineStr">
        <is>
          <t>Rave</t>
        </is>
      </c>
      <c r="C15" s="13" t="n"/>
    </row>
    <row r="16">
      <c r="A16" s="12" t="inlineStr">
        <is>
          <t>EDC_system</t>
        </is>
      </c>
      <c r="B16" s="13" t="inlineStr">
        <is>
          <t>eSOURCE</t>
        </is>
      </c>
      <c r="C16" s="13" t="n"/>
    </row>
    <row r="17">
      <c r="A17" s="12" t="inlineStr">
        <is>
          <t>DataReviewSystem</t>
        </is>
      </c>
      <c r="B17" s="13" t="inlineStr">
        <is>
          <t>Veeva DQS</t>
        </is>
      </c>
      <c r="C17" s="13" t="n"/>
    </row>
    <row r="18">
      <c r="A18" s="12" t="inlineStr">
        <is>
          <t>DataReviewSystem</t>
        </is>
      </c>
      <c r="B18" s="13" t="inlineStr">
        <is>
          <t>Medidata CDS</t>
        </is>
      </c>
      <c r="C18" s="13" t="n"/>
    </row>
    <row r="19">
      <c r="A19" s="12" t="inlineStr">
        <is>
          <t>DataReviewSystem</t>
        </is>
      </c>
      <c r="B19" s="13" t="inlineStr">
        <is>
          <t>No system (manual)</t>
        </is>
      </c>
      <c r="C19" s="13" t="n"/>
    </row>
    <row r="20">
      <c r="A20" s="12" t="inlineStr">
        <is>
          <t>RBQM_system</t>
        </is>
      </c>
      <c r="B20" s="13" t="inlineStr">
        <is>
          <t>CluePoints</t>
        </is>
      </c>
      <c r="C20" s="13" t="n"/>
    </row>
    <row r="21">
      <c r="A21" s="12" t="inlineStr">
        <is>
          <t>RBQM_system</t>
        </is>
      </c>
      <c r="B21" s="13" t="inlineStr">
        <is>
          <t>Medidata CDS</t>
        </is>
      </c>
      <c r="C21" s="13" t="n"/>
    </row>
    <row r="22">
      <c r="A22" s="12" t="inlineStr">
        <is>
          <t>RBQM_system</t>
        </is>
      </c>
      <c r="B22" s="13" t="inlineStr">
        <is>
          <t>No system (manual)</t>
        </is>
      </c>
      <c r="C22" s="13" t="n"/>
    </row>
    <row r="23">
      <c r="A23" s="12" t="inlineStr">
        <is>
          <t>project_status</t>
        </is>
      </c>
      <c r="B23" s="13" t="inlineStr">
        <is>
          <t>Planned</t>
        </is>
      </c>
      <c r="C23" s="13" t="n"/>
    </row>
    <row r="24">
      <c r="A24" s="12" t="inlineStr">
        <is>
          <t>project_status</t>
        </is>
      </c>
      <c r="B24" s="13" t="inlineStr">
        <is>
          <t>Active</t>
        </is>
      </c>
      <c r="C24" s="13" t="n"/>
    </row>
    <row r="25">
      <c r="A25" s="12" t="inlineStr">
        <is>
          <t>project_status</t>
        </is>
      </c>
      <c r="B25" s="13" t="inlineStr">
        <is>
          <t>On hold</t>
        </is>
      </c>
      <c r="C25" s="13" t="n"/>
    </row>
    <row r="26">
      <c r="A26" s="12" t="inlineStr">
        <is>
          <t>project_status</t>
        </is>
      </c>
      <c r="B26" s="13" t="inlineStr">
        <is>
          <t>Completed</t>
        </is>
      </c>
      <c r="C26" s="13" t="n"/>
    </row>
    <row r="27">
      <c r="A27" s="12" t="inlineStr">
        <is>
          <t>milestone_name</t>
        </is>
      </c>
      <c r="B27" s="13" t="inlineStr">
        <is>
          <t>Protocol (v1)</t>
        </is>
      </c>
      <c r="C27" s="13" t="n"/>
    </row>
    <row r="28">
      <c r="A28" s="12" t="inlineStr">
        <is>
          <t>milestone_name</t>
        </is>
      </c>
      <c r="B28" s="13" t="inlineStr">
        <is>
          <t>CTA submission</t>
        </is>
      </c>
      <c r="C28" s="13" t="n"/>
    </row>
    <row r="29">
      <c r="A29" s="12" t="inlineStr">
        <is>
          <t>milestone_name</t>
        </is>
      </c>
      <c r="B29" s="13" t="inlineStr">
        <is>
          <t>FPI</t>
        </is>
      </c>
      <c r="C29" s="13" t="n"/>
    </row>
    <row r="30">
      <c r="A30" s="12" t="inlineStr">
        <is>
          <t>milestone_name</t>
        </is>
      </c>
      <c r="B30" s="13" t="inlineStr">
        <is>
          <t>First SIV</t>
        </is>
      </c>
      <c r="C30" s="13" t="n"/>
    </row>
    <row r="31">
      <c r="A31" s="12" t="inlineStr">
        <is>
          <t>milestone_name</t>
        </is>
      </c>
      <c r="B31" s="13" t="inlineStr">
        <is>
          <t>LPI</t>
        </is>
      </c>
      <c r="C31" s="13" t="n"/>
    </row>
    <row r="32">
      <c r="A32" s="12" t="inlineStr">
        <is>
          <t>milestone_name</t>
        </is>
      </c>
      <c r="B32" s="13" t="inlineStr">
        <is>
          <t>interim DB lock cut-off</t>
        </is>
      </c>
      <c r="C32" s="13" t="n"/>
    </row>
    <row r="33">
      <c r="A33" s="12" t="inlineStr">
        <is>
          <t>milestone_name</t>
        </is>
      </c>
      <c r="B33" s="13" t="inlineStr">
        <is>
          <t>interim DB lock</t>
        </is>
      </c>
      <c r="C33" s="13" t="n"/>
    </row>
    <row r="34">
      <c r="A34" s="12" t="inlineStr">
        <is>
          <t>milestone_name</t>
        </is>
      </c>
      <c r="B34" s="13" t="inlineStr">
        <is>
          <t>final DB lock cut-off</t>
        </is>
      </c>
      <c r="C34" s="13" t="n"/>
    </row>
    <row r="35">
      <c r="A35" s="12" t="inlineStr">
        <is>
          <t>milestone_name</t>
        </is>
      </c>
      <c r="B35" s="13" t="inlineStr">
        <is>
          <t>final DB lock</t>
        </is>
      </c>
      <c r="C35" s="13" t="n"/>
    </row>
    <row r="36">
      <c r="A36" s="12" t="inlineStr">
        <is>
          <t>milestone_name</t>
        </is>
      </c>
      <c r="B36" s="13" t="inlineStr">
        <is>
          <t>Inspection</t>
        </is>
      </c>
      <c r="C36" s="13" t="n"/>
    </row>
    <row r="37">
      <c r="A37" s="12" t="inlineStr">
        <is>
          <t>period_name_clinical</t>
        </is>
      </c>
      <c r="B37" s="13" t="inlineStr">
        <is>
          <t>Before-Start-up</t>
        </is>
      </c>
      <c r="C37" s="13" t="n"/>
    </row>
    <row r="38">
      <c r="A38" s="12" t="inlineStr">
        <is>
          <t>period_name_clinical</t>
        </is>
      </c>
      <c r="B38" s="13" t="inlineStr">
        <is>
          <t>Start-up</t>
        </is>
      </c>
      <c r="C38" s="13" t="n"/>
    </row>
    <row r="39">
      <c r="A39" s="12" t="inlineStr">
        <is>
          <t>period_name_clinical</t>
        </is>
      </c>
      <c r="B39" s="13" t="inlineStr">
        <is>
          <t>Conduct</t>
        </is>
      </c>
      <c r="C39" s="13" t="n"/>
    </row>
    <row r="40">
      <c r="A40" s="12" t="inlineStr">
        <is>
          <t>period_name_clinical</t>
        </is>
      </c>
      <c r="B40" s="13" t="inlineStr">
        <is>
          <t>Close-out (interim)</t>
        </is>
      </c>
      <c r="C40" s="13" t="n"/>
    </row>
    <row r="41">
      <c r="A41" s="12" t="inlineStr">
        <is>
          <t>period_name_clinical</t>
        </is>
      </c>
      <c r="B41" s="13" t="inlineStr">
        <is>
          <t>Close-out (final)</t>
        </is>
      </c>
      <c r="C41" s="13" t="n"/>
    </row>
    <row r="42">
      <c r="A42" s="12" t="inlineStr">
        <is>
          <t>period_name_clinical</t>
        </is>
      </c>
      <c r="B42" s="13" t="inlineStr">
        <is>
          <t>After Close-out (final)</t>
        </is>
      </c>
      <c r="C42" s="13" t="n"/>
    </row>
    <row r="43">
      <c r="A43" s="12" t="inlineStr">
        <is>
          <t>period_name_others</t>
        </is>
      </c>
      <c r="B43" s="13" t="inlineStr">
        <is>
          <t>Planning</t>
        </is>
      </c>
      <c r="C43" s="13" t="n"/>
    </row>
    <row r="44">
      <c r="A44" s="12" t="inlineStr">
        <is>
          <t>period_name_others</t>
        </is>
      </c>
      <c r="B44" s="13" t="inlineStr">
        <is>
          <t>Develop</t>
        </is>
      </c>
      <c r="C44" s="13" t="n"/>
    </row>
    <row r="45">
      <c r="A45" s="12" t="inlineStr">
        <is>
          <t>period_name_others</t>
        </is>
      </c>
      <c r="B45" s="13" t="inlineStr">
        <is>
          <t>Close</t>
        </is>
      </c>
      <c r="C45" s="13" t="n"/>
    </row>
    <row r="46">
      <c r="A46" s="12" t="inlineStr">
        <is>
          <t>role_clinical</t>
        </is>
      </c>
      <c r="B46" s="13" t="inlineStr">
        <is>
          <t>Project oversight</t>
        </is>
      </c>
      <c r="C46" s="13" t="n"/>
    </row>
    <row r="47">
      <c r="A47" s="12" t="inlineStr">
        <is>
          <t>role_clinical</t>
        </is>
      </c>
      <c r="B47" s="13" t="inlineStr">
        <is>
          <t>Lead data manager</t>
        </is>
      </c>
      <c r="C47" s="13" t="n"/>
    </row>
    <row r="48">
      <c r="A48" s="12" t="inlineStr">
        <is>
          <t>role_clinical</t>
        </is>
      </c>
      <c r="B48" s="13" t="inlineStr">
        <is>
          <t>Clinical Data Associator</t>
        </is>
      </c>
      <c r="C48" s="13" t="n"/>
    </row>
    <row r="49">
      <c r="A49" s="12" t="inlineStr">
        <is>
          <t>role_clinical</t>
        </is>
      </c>
      <c r="B49" s="13" t="inlineStr">
        <is>
          <t>Clinical Database Programmer</t>
        </is>
      </c>
      <c r="C49" s="13" t="n"/>
    </row>
    <row r="50">
      <c r="A50" s="12" t="inlineStr">
        <is>
          <t>role_clinical</t>
        </is>
      </c>
      <c r="B50" s="13" t="inlineStr">
        <is>
          <t>Data Analyst</t>
        </is>
      </c>
      <c r="C50" s="13" t="n"/>
    </row>
    <row r="51">
      <c r="A51" s="12" t="inlineStr">
        <is>
          <t>role_others</t>
        </is>
      </c>
      <c r="B51" s="13" t="inlineStr">
        <is>
          <t>Project lead</t>
        </is>
      </c>
      <c r="C51" s="13" t="n"/>
    </row>
    <row r="52">
      <c r="A52" s="12" t="inlineStr">
        <is>
          <t>role_others</t>
        </is>
      </c>
      <c r="B52" s="13" t="inlineStr">
        <is>
          <t>Main staff</t>
        </is>
      </c>
      <c r="C52" s="13" t="n"/>
    </row>
    <row r="53">
      <c r="A53" s="12" t="inlineStr">
        <is>
          <t>role_others</t>
        </is>
      </c>
      <c r="B53" s="13" t="inlineStr">
        <is>
          <t>Other staff</t>
        </is>
      </c>
      <c r="C53" s="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2" t="inlineStr">
        <is>
          <t>schema_version</t>
        </is>
      </c>
      <c r="B2" s="13" t="n">
        <v>3</v>
      </c>
      <c r="C2" s="13" t="inlineStr">
        <is>
          <t>Structure version of this workbook. The application warns on a mismatch.</t>
        </is>
      </c>
    </row>
    <row r="3">
      <c r="A3" s="12" t="inlineStr">
        <is>
          <t>fte_hours_per_month</t>
        </is>
      </c>
      <c r="B3" s="13" t="n">
        <v>160</v>
      </c>
      <c r="C3" s="13" t="inlineStr">
        <is>
          <t>Hours equal to 1.00 FTE: 8 h/day x 5 days/week x 20 days/month.</t>
        </is>
      </c>
    </row>
    <row r="4">
      <c r="A4" s="12" t="inlineStr">
        <is>
          <t>over_allocation_fte</t>
        </is>
      </c>
      <c r="B4" s="13" t="n">
        <v>1.5</v>
      </c>
      <c r="C4" s="13" t="inlineStr">
        <is>
          <t>A person-month total above this is flagged as over-allocated. Absolute, not scaled by capacity (S2-01).</t>
        </is>
      </c>
    </row>
    <row r="5">
      <c r="A5" s="12" t="inlineStr">
        <is>
          <t>under_allocation_fte</t>
        </is>
      </c>
      <c r="B5" s="13" t="n">
        <v>0.6</v>
      </c>
      <c r="C5" s="13" t="inlineStr">
        <is>
          <t>A person-month total below this counts toward an under-allocated run. Absolute, not scaled by capacity (S2-01).</t>
        </is>
      </c>
    </row>
    <row r="6">
      <c r="A6" s="12" t="inlineStr">
        <is>
          <t>under_allocation_min_months</t>
        </is>
      </c>
      <c r="B6" s="13" t="n">
        <v>3</v>
      </c>
      <c r="C6" s="13" t="inlineStr">
        <is>
          <t>Consecutive months below the threshold before a run is flagged.</t>
        </is>
      </c>
    </row>
    <row r="7">
      <c r="A7" s="12" t="inlineStr">
        <is>
          <t>default_horizon_months</t>
        </is>
      </c>
      <c r="B7" s="13" t="n">
        <v>24</v>
      </c>
      <c r="C7" s="13" t="inlineStr">
        <is>
          <t>Months shown when the dashboard opens.</t>
        </is>
      </c>
    </row>
    <row r="8">
      <c r="A8" s="12" t="inlineStr">
        <is>
          <t>capacity_unit</t>
        </is>
      </c>
      <c r="B8" s="13" t="inlineStr">
        <is>
          <t>FTE</t>
        </is>
      </c>
      <c r="C8" s="13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2026-08-01T13:55:52Z</dcterms:created>
  <dcterms:modified xsi:type="dcterms:W3CDTF">2026-08-01T13:55:52Z</dcterms:modified>
</cp:coreProperties>
</file>