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5.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relative burden of each role, per project type, clinical phase</t>
        </is>
      </c>
    </row>
    <row r="17">
      <c r="A17" s="4" t="inlineStr">
        <is>
          <t xml:space="preserve">                         and period. Leave clinical_phase empty on the 'Others' rows.</t>
        </is>
      </c>
    </row>
    <row r="18">
      <c r="A18" s="4" t="inlineStr">
        <is>
          <t xml:space="preserve">   Person                one row per person.</t>
        </is>
      </c>
    </row>
    <row r="19">
      <c r="A19" s="4" t="inlineStr">
        <is>
          <t xml:space="preserve">   Assignment            one row per person + project + role.</t>
        </is>
      </c>
    </row>
    <row r="20">
      <c r="A20" s="4" t="inlineStr">
        <is>
          <t xml:space="preserve">   PersonPeriodWeight    optional windows where a person's weight differs.</t>
        </is>
      </c>
    </row>
    <row r="21">
      <c r="A21" s="4" t="inlineStr">
        <is>
          <t xml:space="preserve">   Lists                 permitted values for every dropdown.</t>
        </is>
      </c>
    </row>
    <row r="22">
      <c r="A22" s="4" t="inlineStr">
        <is>
          <t xml:space="preserve">   Config                thresholds and settings.</t>
        </is>
      </c>
    </row>
    <row r="23">
      <c r="A23" s="2" t="inlineStr"/>
    </row>
    <row r="24">
      <c r="A24" s="3" t="inlineStr">
        <is>
          <t>FREE-TEXT NOTES</t>
        </is>
      </c>
    </row>
    <row r="25">
      <c r="A25" s="4" t="inlineStr">
        <is>
          <t xml:space="preserve">   Every sheet carries at least one free-text column, so anything worth recording has a home:</t>
        </is>
      </c>
    </row>
    <row r="26">
      <c r="A26" s="4" t="inlineStr">
        <is>
          <t xml:space="preserve">      Project               note_1 .. note_5</t>
        </is>
      </c>
    </row>
    <row r="27">
      <c r="A27" s="4" t="inlineStr">
        <is>
          <t xml:space="preserve">      Milestone             note_1</t>
        </is>
      </c>
    </row>
    <row r="28">
      <c r="A28" s="4" t="inlineStr">
        <is>
          <t xml:space="preserve">      ProjectPeriod         note_1</t>
        </is>
      </c>
    </row>
    <row r="29">
      <c r="A29" s="4" t="inlineStr">
        <is>
          <t xml:space="preserve">      PeriodWeightStandard  note_1</t>
        </is>
      </c>
    </row>
    <row r="30">
      <c r="A30" s="4" t="inlineStr">
        <is>
          <t xml:space="preserve">      RoleFactor            role_note</t>
        </is>
      </c>
    </row>
    <row r="31">
      <c r="A31" s="4" t="inlineStr">
        <is>
          <t xml:space="preserve">      Person                note_1 .. note_5</t>
        </is>
      </c>
    </row>
    <row r="32">
      <c r="A32" s="4" t="inlineStr">
        <is>
          <t xml:space="preserve">      Assignment            note_1 .. note_3</t>
        </is>
      </c>
    </row>
    <row r="33">
      <c r="A33" s="4" t="inlineStr">
        <is>
          <t xml:space="preserve">      PersonPeriodWeight    reason</t>
        </is>
      </c>
    </row>
    <row r="34">
      <c r="A34" s="4" t="inlineStr">
        <is>
          <t xml:space="preserve">      Lists                 note_1</t>
        </is>
      </c>
    </row>
    <row r="35">
      <c r="A35" s="4" t="inlineStr">
        <is>
          <t xml:space="preserve">      Config                note</t>
        </is>
      </c>
    </row>
    <row r="36">
      <c r="A36" s="4" t="inlineStr">
        <is>
          <t xml:space="preserve">   Nothing in a note column affects the calculation. They are carried through import and export</t>
        </is>
      </c>
    </row>
    <row r="37">
      <c r="A37" s="4" t="inlineStr">
        <is>
          <t xml:space="preserve">   unchanged, so they survive a round trip.</t>
        </is>
      </c>
    </row>
    <row r="38">
      <c r="A38" s="2" t="inlineStr"/>
    </row>
    <row r="39">
      <c r="A39" s="3" t="inlineStr">
        <is>
          <t>HOW THE CALCULATION USES THIS</t>
        </is>
      </c>
    </row>
    <row r="40">
      <c r="A40" s="4" t="inlineStr">
        <is>
          <t xml:space="preserve">   monthly load = project period weight  x  role factor  x  person weight  x  month coverage</t>
        </is>
      </c>
    </row>
    <row r="41">
      <c r="A41" s="4" t="inlineStr">
        <is>
          <t xml:space="preserve">   The result is FTE, where 1.00 FTE = 160 hours per month.</t>
        </is>
      </c>
    </row>
    <row r="42">
      <c r="A42" s="4" t="inlineStr">
        <is>
          <t xml:space="preserve">   Over-allocated:  a person's monthly total above 1.50 FTE.</t>
        </is>
      </c>
    </row>
    <row r="43">
      <c r="A43" s="4" t="inlineStr">
        <is>
          <t xml:space="preserve">   Under-allocated: below 0.80 FTE for three or more consecutive months.</t>
        </is>
      </c>
    </row>
    <row r="44">
      <c r="A44" s="2" t="inlineStr"/>
    </row>
    <row r="45">
      <c r="A45" s="3" t="inlineStr">
        <is>
          <t>PERIODS</t>
        </is>
      </c>
    </row>
    <row r="46">
      <c r="A46" s="4" t="inlineStr">
        <is>
          <t xml:space="preserve">   Clinical trial periods are derived from the milestone dates:</t>
        </is>
      </c>
    </row>
    <row r="47">
      <c r="A47" s="4" t="inlineStr">
        <is>
          <t xml:space="preserve">      Before-Start-up      project start, to the day before Start-up</t>
        </is>
      </c>
    </row>
    <row r="48">
      <c r="A48" s="4" t="inlineStr">
        <is>
          <t xml:space="preserve">      Start-up             one month before CTA submission, lasting four months</t>
        </is>
      </c>
    </row>
    <row r="49">
      <c r="A49" s="4" t="inlineStr">
        <is>
          <t xml:space="preserve">      Conduct              from the end of Start-up to the day before the next close-out</t>
        </is>
      </c>
    </row>
    <row r="50">
      <c r="A50" s="4" t="inlineStr">
        <is>
          <t xml:space="preserve">      Close-out (interim)  three months before the interim DB lock, to that lock</t>
        </is>
      </c>
    </row>
    <row r="51">
      <c r="A51" s="4" t="inlineStr">
        <is>
          <t xml:space="preserve">      Conduct  (again)     from the interim DB lock to the day before Close-out (final)</t>
        </is>
      </c>
    </row>
    <row r="52">
      <c r="A52" s="4" t="inlineStr">
        <is>
          <t xml:space="preserve">      Close-out (final)    three months before the final DB lock, to that lock</t>
        </is>
      </c>
    </row>
    <row r="53">
      <c r="A53" s="4" t="inlineStr">
        <is>
          <t xml:space="preserve">      After Close-out (final)  the inspection activity that follows the final DB lock</t>
        </is>
      </c>
    </row>
    <row r="54">
      <c r="A54" s="2" t="inlineStr"/>
    </row>
    <row r="55">
      <c r="A55" s="4" t="inlineStr">
        <is>
          <t xml:space="preserve">   Where 'Protocol (v1)' is recorded, Before-Start-up ends on it and Start-up begins the day after.</t>
        </is>
      </c>
    </row>
    <row r="56">
      <c r="A56" s="4" t="inlineStr">
        <is>
          <t xml:space="preserve">   Where 'First SIV' (or 'FPI') is recorded, Start-up ends on it instead of running a fixed four</t>
        </is>
      </c>
    </row>
    <row r="57">
      <c r="A57" s="4" t="inlineStr">
        <is>
          <t xml:space="preserve">   months. A recorded milestone always beats the month-offset fallback.</t>
        </is>
      </c>
    </row>
    <row r="58">
      <c r="A58" s="2" t="inlineStr"/>
    </row>
    <row r="59">
      <c r="A59" s="4" t="inlineStr">
        <is>
          <t xml:space="preserve">   'Conduct' therefore appears TWICE where a trial has an interim DB lock. period_seq keeps</t>
        </is>
      </c>
    </row>
    <row r="60">
      <c r="A60" s="4" t="inlineStr">
        <is>
          <t xml:space="preserve">   the two apart. A period squeezed to nothing by a tight timeline is simply omitted.</t>
        </is>
      </c>
    </row>
    <row r="61">
      <c r="A61" s="2" t="inlineStr"/>
    </row>
    <row r="62">
      <c r="A62" s="4" t="inlineStr">
        <is>
          <t xml:space="preserve">   'Inspection' is the one milestone that may be recorded SEVERAL TIMES for a project. Only</t>
        </is>
      </c>
    </row>
    <row r="63">
      <c r="A63" s="4" t="inlineStr">
        <is>
          <t xml:space="preserve">   inspections dated AFTER the final DB lock open the last period; an earlier one stays a marker.</t>
        </is>
      </c>
    </row>
    <row r="64">
      <c r="A64" s="2" t="inlineStr"/>
    </row>
    <row r="65">
      <c r="A65" s="4" t="inlineStr">
        <is>
          <t xml:space="preserve">   'Others' projects have no milestones. Their period dates and weights are both typed in.</t>
        </is>
      </c>
    </row>
    <row r="66">
      <c r="A66" s="2" t="inlineStr"/>
    </row>
    <row r="67">
      <c r="A67" s="3" t="inlineStr">
        <is>
          <t>ADDING A PERMITTED VALUE</t>
        </is>
      </c>
    </row>
    <row r="68">
      <c r="A68" s="4" t="inlineStr">
        <is>
          <t xml:space="preserve">   Insert a row inside that list's block on the Lists sheet, so the block stays contiguous -</t>
        </is>
      </c>
    </row>
    <row r="69">
      <c r="A69" s="4" t="inlineStr">
        <is>
          <t xml:space="preserve">   the dropdowns read a range, not a scattered set of rows.</t>
        </is>
      </c>
    </row>
    <row r="70">
      <c r="A70" s="2" t="inlineStr"/>
    </row>
    <row r="71">
      <c r="A71" s="3" t="inlineStr">
        <is>
          <t>WHAT IS IN THIS FILE</t>
        </is>
      </c>
    </row>
    <row r="72">
      <c r="A72" s="4" t="inlineStr">
        <is>
          <t xml:space="preserve">   62 projects   50 clinical trials (PRJ-001..050) + 12 'Others' (PRJ-051..062)</t>
        </is>
      </c>
    </row>
    <row r="73">
      <c r="A73" s="4" t="inlineStr">
        <is>
          <t xml:space="preserve">   20 people     PSN-001..020, including two part-timers (PSN-004 at 0.80,</t>
        </is>
      </c>
    </row>
    <row r="74">
      <c r="A74" s="4" t="inlineStr">
        <is>
          <t xml:space="preserve">                 PSN-020 at 0.60 capacity)</t>
        </is>
      </c>
    </row>
    <row r="75">
      <c r="A75" s="4" t="inlineStr">
        <is>
          <t xml:space="preserve">   289 assignments, 372 milestones, 308 periods, spanning 73 months</t>
        </is>
      </c>
    </row>
    <row r="76">
      <c r="A76" s="4" t="inlineStr">
        <is>
          <t xml:space="preserve">   Trials are spread evenly across Phase 1-4 and staggered from 2025 to 2031.</t>
        </is>
      </c>
    </row>
    <row r="77">
      <c r="A77" s="2" t="inlineStr"/>
    </row>
    <row r="78">
      <c r="A78" s="3" t="inlineStr">
        <is>
          <t>WHAT IT DEMONSTRATES</t>
        </is>
      </c>
    </row>
    <row r="79">
      <c r="A79" s="4" t="inlineStr">
        <is>
          <t xml:space="preserve">   - 30 trials carry an interim DB lock, so each has TWO 'Conduct' stretches and two</t>
        </is>
      </c>
    </row>
    <row r="80">
      <c r="A80" s="4" t="inlineStr">
        <is>
          <t xml:space="preserve">     close-out periods. The other 20 run Conduct once.</t>
        </is>
      </c>
    </row>
    <row r="81">
      <c r="A81" s="4" t="inlineStr">
        <is>
          <t xml:space="preserve">   - 12 trials record an 'Inspection' after the final DB lock and so carry the seventh</t>
        </is>
      </c>
    </row>
    <row r="82">
      <c r="A82" s="4" t="inlineStr">
        <is>
          <t xml:space="preserve">     period, 'After Close-out (final)'.</t>
        </is>
      </c>
    </row>
    <row r="83">
      <c r="A83" s="4" t="inlineStr">
        <is>
          <t xml:space="preserve">   - The 12 'Others' projects have hand-entered periods and no milestones.</t>
        </is>
      </c>
    </row>
    <row r="84">
      <c r="A84" s="4" t="inlineStr">
        <is>
          <t xml:space="preserve">   - PSN-001 is pushed above the 1.50 FTE ceiling for a stretch in 2026-27.</t>
        </is>
      </c>
    </row>
    <row r="85">
      <c r="A85" s="4" t="inlineStr">
        <is>
          <t xml:space="preserve">   - PSN-020 is a part-timer (0.60 FTE) carrying one light assignment, so an under-allocation run</t>
        </is>
      </c>
    </row>
    <row r="86">
      <c r="A86" s="4" t="inlineStr">
        <is>
          <t xml:space="preserve">     is raised. With the floor now at 0.60 (S2-05) they CAN clear it, but only at full</t>
        </is>
      </c>
    </row>
    <row r="87">
      <c r="A87" s="4" t="inlineStr">
        <is>
          <t xml:space="preserve">     utilisation - V-22 warns if anyone is recorded below the floor and so could never clear it.</t>
        </is>
      </c>
    </row>
    <row r="88">
      <c r="A88" s="4" t="inlineStr">
        <is>
          <t xml:space="preserve">   - Two assignments carry PersonPeriodWeight overrides.</t>
        </is>
      </c>
    </row>
    <row r="89">
      <c r="A89" s="2" t="inlineStr"/>
    </row>
    <row r="90">
      <c r="A90" s="4" t="inlineStr">
        <is>
          <t xml:space="preserve">   Typical load is around 0.93 FTE per person-month (median). Months at the very start</t>
        </is>
      </c>
    </row>
    <row r="91">
      <c r="A91" s="4" t="inlineStr">
        <is>
          <t xml:space="preserve">   and end of the 73-month span are naturally light, since few projects overlap there.</t>
        </is>
      </c>
    </row>
    <row r="92">
      <c r="A92" s="2" t="inlineStr"/>
    </row>
    <row r="93">
      <c r="A93" s="4" t="inlineStr">
        <is>
          <t xml:space="preserve">   The weights and role factors here are ILLUSTRATIVE, so the numbers can be exercised.</t>
        </is>
      </c>
    </row>
    <row r="94">
      <c r="A94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CRO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Rave</t>
        </is>
      </c>
      <c r="L2" s="7" t="inlineStr">
        <is>
          <t>Medidata CDS</t>
        </is>
      </c>
      <c r="M2" s="7" t="inlineStr">
        <is>
          <t>Medidata CDS</t>
        </is>
      </c>
      <c r="N2" s="7" t="n">
        <v>7</v>
      </c>
      <c r="O2" s="8" t="n">
        <v>46722</v>
      </c>
      <c r="P2" s="8" t="n">
        <v>47634</v>
      </c>
      <c r="Q2" s="7">
        <f>IF(OR($O2="",$P2=""),"",(YEAR($P2)-YEAR($O2))*12+MONTH($P2)-MONTH($O2)+1)</f>
        <v/>
      </c>
      <c r="R2" s="7" t="inlineStr">
        <is>
          <t>Active</t>
        </is>
      </c>
      <c r="S2" s="7" t="n"/>
      <c r="T2" s="7" t="n"/>
      <c r="U2" s="7" t="n"/>
      <c r="V2" s="7" t="n"/>
      <c r="W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NewDrug CT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Full In-house</t>
        </is>
      </c>
      <c r="G3" s="7" t="inlineStr">
        <is>
          <t>by CRO</t>
        </is>
      </c>
      <c r="H3" s="7" t="inlineStr">
        <is>
          <t>by SB</t>
        </is>
      </c>
      <c r="I3" s="7" t="inlineStr">
        <is>
          <t>by CRO</t>
        </is>
      </c>
      <c r="J3" s="7" t="inlineStr">
        <is>
          <t>by SB</t>
        </is>
      </c>
      <c r="K3" s="7" t="inlineStr">
        <is>
          <t>eSOURCE</t>
        </is>
      </c>
      <c r="L3" s="7" t="inlineStr">
        <is>
          <t>No system (manual)</t>
        </is>
      </c>
      <c r="M3" s="7" t="inlineStr">
        <is>
          <t>No system (manual)</t>
        </is>
      </c>
      <c r="N3" s="7" t="n">
        <v>8</v>
      </c>
      <c r="O3" s="8" t="n">
        <v>45931</v>
      </c>
      <c r="P3" s="8" t="n">
        <v>46477</v>
      </c>
      <c r="Q3" s="7">
        <f>IF(OR($O3="",$P3=""),"",(YEAR($P3)-YEAR($O3))*12+MONTH($P3)-MONTH($O3)+1)</f>
        <v/>
      </c>
      <c r="R3" s="7" t="inlineStr">
        <is>
          <t>Active</t>
        </is>
      </c>
      <c r="S3" s="7" t="n"/>
      <c r="T3" s="7" t="n"/>
      <c r="U3" s="7" t="n"/>
      <c r="V3" s="7" t="n"/>
      <c r="W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Biosimilar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 outsourcing</t>
        </is>
      </c>
      <c r="G4" s="7" t="inlineStr">
        <is>
          <t>by SB</t>
        </is>
      </c>
      <c r="H4" s="7" t="inlineStr">
        <is>
          <t>by CRO</t>
        </is>
      </c>
      <c r="I4" s="7" t="inlineStr">
        <is>
          <t>by SB</t>
        </is>
      </c>
      <c r="J4" s="7" t="inlineStr">
        <is>
          <t>by CRO</t>
        </is>
      </c>
      <c r="K4" s="7" t="inlineStr">
        <is>
          <t>Veeva EDC</t>
        </is>
      </c>
      <c r="L4" s="7" t="inlineStr">
        <is>
          <t>Veeva DQS</t>
        </is>
      </c>
      <c r="M4" s="7" t="inlineStr">
        <is>
          <t>CluePoints</t>
        </is>
      </c>
      <c r="N4" s="7" t="n">
        <v>4</v>
      </c>
      <c r="O4" s="8" t="n">
        <v>46082</v>
      </c>
      <c r="P4" s="8" t="n">
        <v>46996</v>
      </c>
      <c r="Q4" s="7">
        <f>IF(OR($O4="",$P4=""),"",(YEAR($P4)-YEAR($O4))*12+MONTH($P4)-MONTH($O4)+1)</f>
        <v/>
      </c>
      <c r="R4" s="7" t="inlineStr">
        <is>
          <t>Active</t>
        </is>
      </c>
      <c r="S4" s="7" t="n"/>
      <c r="T4" s="7" t="n"/>
      <c r="U4" s="7" t="n"/>
      <c r="V4" s="7" t="n"/>
      <c r="W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NewDrug CT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Partial outsourcing</t>
        </is>
      </c>
      <c r="G5" s="7" t="inlineStr">
        <is>
          <t>by CRO</t>
        </is>
      </c>
      <c r="H5" s="7" t="inlineStr">
        <is>
          <t>by SB</t>
        </is>
      </c>
      <c r="I5" s="7" t="inlineStr">
        <is>
          <t>by CRO</t>
        </is>
      </c>
      <c r="J5" s="7" t="inlineStr">
        <is>
          <t>by SB</t>
        </is>
      </c>
      <c r="K5" s="7" t="inlineStr">
        <is>
          <t>Rave</t>
        </is>
      </c>
      <c r="L5" s="7" t="inlineStr">
        <is>
          <t>Medidata CDS</t>
        </is>
      </c>
      <c r="M5" s="7" t="inlineStr">
        <is>
          <t>Medidata CDS</t>
        </is>
      </c>
      <c r="N5" s="7" t="n">
        <v>7</v>
      </c>
      <c r="O5" s="8" t="n">
        <v>46357</v>
      </c>
      <c r="P5" s="8" t="n">
        <v>46904</v>
      </c>
      <c r="Q5" s="7">
        <f>IF(OR($O5="",$P5=""),"",(YEAR($P5)-YEAR($O5))*12+MONTH($P5)-MONTH($O5)+1)</f>
        <v/>
      </c>
      <c r="R5" s="7" t="inlineStr">
        <is>
          <t>On hold</t>
        </is>
      </c>
      <c r="S5" s="7" t="n"/>
      <c r="T5" s="7" t="n"/>
      <c r="U5" s="7" t="n"/>
      <c r="V5" s="7" t="n"/>
      <c r="W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NewDrug CT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Full In-house</t>
        </is>
      </c>
      <c r="G6" s="7" t="inlineStr">
        <is>
          <t>by SB</t>
        </is>
      </c>
      <c r="H6" s="7" t="inlineStr">
        <is>
          <t>by CRO</t>
        </is>
      </c>
      <c r="I6" s="7" t="inlineStr">
        <is>
          <t>by SB</t>
        </is>
      </c>
      <c r="J6" s="7" t="inlineStr">
        <is>
          <t>by CRO</t>
        </is>
      </c>
      <c r="K6" s="7" t="inlineStr">
        <is>
          <t>eSOURCE</t>
        </is>
      </c>
      <c r="L6" s="7" t="inlineStr">
        <is>
          <t>No system (manual)</t>
        </is>
      </c>
      <c r="M6" s="7" t="inlineStr">
        <is>
          <t>No system (manual)</t>
        </is>
      </c>
      <c r="N6" s="7" t="n">
        <v>7</v>
      </c>
      <c r="O6" s="8" t="n">
        <v>45778</v>
      </c>
      <c r="P6" s="8" t="n">
        <v>46507</v>
      </c>
      <c r="Q6" s="7">
        <f>IF(OR($O6="",$P6=""),"",(YEAR($P6)-YEAR($O6))*12+MONTH($P6)-MONTH($O6)+1)</f>
        <v/>
      </c>
      <c r="R6" s="7" t="inlineStr">
        <is>
          <t>Completed</t>
        </is>
      </c>
      <c r="S6" s="7" t="n"/>
      <c r="T6" s="7" t="n"/>
      <c r="U6" s="7" t="n"/>
      <c r="V6" s="7" t="n"/>
      <c r="W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Biosimilar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 outsourcing</t>
        </is>
      </c>
      <c r="G7" s="7" t="inlineStr">
        <is>
          <t>by CRO</t>
        </is>
      </c>
      <c r="H7" s="7" t="inlineStr">
        <is>
          <t>by SB</t>
        </is>
      </c>
      <c r="I7" s="7" t="inlineStr">
        <is>
          <t>by CRO</t>
        </is>
      </c>
      <c r="J7" s="7" t="inlineStr">
        <is>
          <t>by SB</t>
        </is>
      </c>
      <c r="K7" s="7" t="inlineStr">
        <is>
          <t>Veeva EDC</t>
        </is>
      </c>
      <c r="L7" s="7" t="inlineStr">
        <is>
          <t>Veeva DQS</t>
        </is>
      </c>
      <c r="M7" s="7" t="inlineStr">
        <is>
          <t>CluePoints</t>
        </is>
      </c>
      <c r="N7" s="7" t="n">
        <v>7</v>
      </c>
      <c r="O7" s="8" t="n">
        <v>46508</v>
      </c>
      <c r="P7" s="8" t="n">
        <v>47238</v>
      </c>
      <c r="Q7" s="7">
        <f>IF(OR($O7="",$P7=""),"",(YEAR($P7)-YEAR($O7))*12+MONTH($P7)-MONTH($O7)+1)</f>
        <v/>
      </c>
      <c r="R7" s="7" t="inlineStr">
        <is>
          <t>Planned</t>
        </is>
      </c>
      <c r="S7" s="7" t="n"/>
      <c r="T7" s="7" t="n"/>
      <c r="U7" s="7" t="n"/>
      <c r="V7" s="7" t="n"/>
      <c r="W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NewDrug CT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Partial outsourcing</t>
        </is>
      </c>
      <c r="G8" s="7" t="inlineStr">
        <is>
          <t>by SB</t>
        </is>
      </c>
      <c r="H8" s="7" t="inlineStr">
        <is>
          <t>by CRO</t>
        </is>
      </c>
      <c r="I8" s="7" t="inlineStr">
        <is>
          <t>by SB</t>
        </is>
      </c>
      <c r="J8" s="7" t="inlineStr">
        <is>
          <t>by CRO</t>
        </is>
      </c>
      <c r="K8" s="7" t="inlineStr">
        <is>
          <t>Rave</t>
        </is>
      </c>
      <c r="L8" s="7" t="inlineStr">
        <is>
          <t>Medidata CDS</t>
        </is>
      </c>
      <c r="M8" s="7" t="inlineStr">
        <is>
          <t>Medidata CDS</t>
        </is>
      </c>
      <c r="N8" s="7" t="n">
        <v>7</v>
      </c>
      <c r="O8" s="8" t="n">
        <v>46692</v>
      </c>
      <c r="P8" s="8" t="n">
        <v>47603</v>
      </c>
      <c r="Q8" s="7">
        <f>IF(OR($O8="",$P8=""),"",(YEAR($P8)-YEAR($O8))*12+MONTH($P8)-MONTH($O8)+1)</f>
        <v/>
      </c>
      <c r="R8" s="7" t="inlineStr">
        <is>
          <t>Active</t>
        </is>
      </c>
      <c r="S8" s="7" t="n"/>
      <c r="T8" s="7" t="n"/>
      <c r="U8" s="7" t="n"/>
      <c r="V8" s="7" t="n"/>
      <c r="W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NewDrug CT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Full In-house</t>
        </is>
      </c>
      <c r="G9" s="7" t="inlineStr">
        <is>
          <t>by CRO</t>
        </is>
      </c>
      <c r="H9" s="7" t="inlineStr">
        <is>
          <t>by SB</t>
        </is>
      </c>
      <c r="I9" s="7" t="inlineStr">
        <is>
          <t>by CRO</t>
        </is>
      </c>
      <c r="J9" s="7" t="inlineStr">
        <is>
          <t>by SB</t>
        </is>
      </c>
      <c r="K9" s="7" t="inlineStr">
        <is>
          <t>eSOURCE</t>
        </is>
      </c>
      <c r="L9" s="7" t="inlineStr">
        <is>
          <t>No system (manual)</t>
        </is>
      </c>
      <c r="M9" s="7" t="inlineStr">
        <is>
          <t>No system (manual)</t>
        </is>
      </c>
      <c r="N9" s="7" t="n">
        <v>8</v>
      </c>
      <c r="O9" s="8" t="n">
        <v>46327</v>
      </c>
      <c r="P9" s="8" t="n">
        <v>47057</v>
      </c>
      <c r="Q9" s="7">
        <f>IF(OR($O9="",$P9=""),"",(YEAR($P9)-YEAR($O9))*12+MONTH($P9)-MONTH($O9)+1)</f>
        <v/>
      </c>
      <c r="R9" s="7" t="inlineStr">
        <is>
          <t>Active</t>
        </is>
      </c>
      <c r="S9" s="7" t="n"/>
      <c r="T9" s="7" t="n"/>
      <c r="U9" s="7" t="n"/>
      <c r="V9" s="7" t="n"/>
      <c r="W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Biosimilar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 outsourcing</t>
        </is>
      </c>
      <c r="G10" s="7" t="inlineStr">
        <is>
          <t>by SB</t>
        </is>
      </c>
      <c r="H10" s="7" t="inlineStr">
        <is>
          <t>by CRO</t>
        </is>
      </c>
      <c r="I10" s="7" t="inlineStr">
        <is>
          <t>by SB</t>
        </is>
      </c>
      <c r="J10" s="7" t="inlineStr">
        <is>
          <t>by CRO</t>
        </is>
      </c>
      <c r="K10" s="7" t="inlineStr">
        <is>
          <t>Veeva EDC</t>
        </is>
      </c>
      <c r="L10" s="7" t="inlineStr">
        <is>
          <t>Veeva DQS</t>
        </is>
      </c>
      <c r="M10" s="7" t="inlineStr">
        <is>
          <t>CluePoints</t>
        </is>
      </c>
      <c r="N10" s="7" t="n">
        <v>3</v>
      </c>
      <c r="O10" s="8" t="n">
        <v>46113</v>
      </c>
      <c r="P10" s="8" t="n">
        <v>46843</v>
      </c>
      <c r="Q10" s="7">
        <f>IF(OR($O10="",$P10=""),"",(YEAR($P10)-YEAR($O10))*12+MONTH($P10)-MONTH($O10)+1)</f>
        <v/>
      </c>
      <c r="R10" s="7" t="inlineStr">
        <is>
          <t>Active</t>
        </is>
      </c>
      <c r="S10" s="7" t="n"/>
      <c r="T10" s="7" t="n"/>
      <c r="U10" s="7" t="n"/>
      <c r="V10" s="7" t="n"/>
      <c r="W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NewDrug CT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Partial outsourcing</t>
        </is>
      </c>
      <c r="G11" s="7" t="inlineStr">
        <is>
          <t>by CRO</t>
        </is>
      </c>
      <c r="H11" s="7" t="inlineStr">
        <is>
          <t>by SB</t>
        </is>
      </c>
      <c r="I11" s="7" t="inlineStr">
        <is>
          <t>by CRO</t>
        </is>
      </c>
      <c r="J11" s="7" t="inlineStr">
        <is>
          <t>by SB</t>
        </is>
      </c>
      <c r="K11" s="7" t="inlineStr">
        <is>
          <t>Rave</t>
        </is>
      </c>
      <c r="L11" s="7" t="inlineStr">
        <is>
          <t>Medidata CDS</t>
        </is>
      </c>
      <c r="M11" s="7" t="inlineStr">
        <is>
          <t>Medidata CDS</t>
        </is>
      </c>
      <c r="N11" s="7" t="n">
        <v>7</v>
      </c>
      <c r="O11" s="8" t="n">
        <v>46266</v>
      </c>
      <c r="P11" s="8" t="n">
        <v>46996</v>
      </c>
      <c r="Q11" s="7">
        <f>IF(OR($O11="",$P11=""),"",(YEAR($P11)-YEAR($O11))*12+MONTH($P11)-MONTH($O11)+1)</f>
        <v/>
      </c>
      <c r="R11" s="7" t="inlineStr">
        <is>
          <t>On hold</t>
        </is>
      </c>
      <c r="S11" s="7" t="n"/>
      <c r="T11" s="7" t="n"/>
      <c r="U11" s="7" t="n"/>
      <c r="V11" s="7" t="n"/>
      <c r="W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NewDrug CT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Full In-house</t>
        </is>
      </c>
      <c r="G12" s="7" t="inlineStr">
        <is>
          <t>by SB</t>
        </is>
      </c>
      <c r="H12" s="7" t="inlineStr">
        <is>
          <t>by CRO</t>
        </is>
      </c>
      <c r="I12" s="7" t="inlineStr">
        <is>
          <t>by SB</t>
        </is>
      </c>
      <c r="J12" s="7" t="inlineStr">
        <is>
          <t>by CRO</t>
        </is>
      </c>
      <c r="K12" s="7" t="inlineStr">
        <is>
          <t>eSOURCE</t>
        </is>
      </c>
      <c r="L12" s="7" t="inlineStr">
        <is>
          <t>No system (manual)</t>
        </is>
      </c>
      <c r="M12" s="7" t="inlineStr">
        <is>
          <t>No system (manual)</t>
        </is>
      </c>
      <c r="N12" s="7" t="n">
        <v>6</v>
      </c>
      <c r="O12" s="8" t="n">
        <v>46082</v>
      </c>
      <c r="P12" s="8" t="n">
        <v>46630</v>
      </c>
      <c r="Q12" s="7">
        <f>IF(OR($O12="",$P12=""),"",(YEAR($P12)-YEAR($O12))*12+MONTH($P12)-MONTH($O12)+1)</f>
        <v/>
      </c>
      <c r="R12" s="7" t="inlineStr">
        <is>
          <t>Completed</t>
        </is>
      </c>
      <c r="S12" s="7" t="n"/>
      <c r="T12" s="7" t="n"/>
      <c r="U12" s="7" t="n"/>
      <c r="V12" s="7" t="n"/>
      <c r="W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Biosimilar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 outsourcing</t>
        </is>
      </c>
      <c r="G13" s="7" t="inlineStr">
        <is>
          <t>by CRO</t>
        </is>
      </c>
      <c r="H13" s="7" t="inlineStr">
        <is>
          <t>by SB</t>
        </is>
      </c>
      <c r="I13" s="7" t="inlineStr">
        <is>
          <t>by CRO</t>
        </is>
      </c>
      <c r="J13" s="7" t="inlineStr">
        <is>
          <t>by SB</t>
        </is>
      </c>
      <c r="K13" s="7" t="inlineStr">
        <is>
          <t>Veeva EDC</t>
        </is>
      </c>
      <c r="L13" s="7" t="inlineStr">
        <is>
          <t>Veeva DQS</t>
        </is>
      </c>
      <c r="M13" s="7" t="inlineStr">
        <is>
          <t>CluePoints</t>
        </is>
      </c>
      <c r="N13" s="7" t="n">
        <v>3</v>
      </c>
      <c r="O13" s="8" t="n">
        <v>46722</v>
      </c>
      <c r="P13" s="8" t="n">
        <v>47817</v>
      </c>
      <c r="Q13" s="7">
        <f>IF(OR($O13="",$P13=""),"",(YEAR($P13)-YEAR($O13))*12+MONTH($P13)-MONTH($O13)+1)</f>
        <v/>
      </c>
      <c r="R13" s="7" t="inlineStr">
        <is>
          <t>Planned</t>
        </is>
      </c>
      <c r="S13" s="7" t="n"/>
      <c r="T13" s="7" t="n"/>
      <c r="U13" s="7" t="n"/>
      <c r="V13" s="7" t="n"/>
      <c r="W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NewDrug CT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Partial outsourcing</t>
        </is>
      </c>
      <c r="G14" s="7" t="inlineStr">
        <is>
          <t>by SB</t>
        </is>
      </c>
      <c r="H14" s="7" t="inlineStr">
        <is>
          <t>by CRO</t>
        </is>
      </c>
      <c r="I14" s="7" t="inlineStr">
        <is>
          <t>by SB</t>
        </is>
      </c>
      <c r="J14" s="7" t="inlineStr">
        <is>
          <t>by CRO</t>
        </is>
      </c>
      <c r="K14" s="7" t="inlineStr">
        <is>
          <t>Rave</t>
        </is>
      </c>
      <c r="L14" s="7" t="inlineStr">
        <is>
          <t>Medidata CDS</t>
        </is>
      </c>
      <c r="M14" s="7" t="inlineStr">
        <is>
          <t>Medidata CDS</t>
        </is>
      </c>
      <c r="N14" s="7" t="n">
        <v>6</v>
      </c>
      <c r="O14" s="8" t="n">
        <v>45962</v>
      </c>
      <c r="P14" s="8" t="n">
        <v>46507</v>
      </c>
      <c r="Q14" s="7">
        <f>IF(OR($O14="",$P14=""),"",(YEAR($P14)-YEAR($O14))*12+MONTH($P14)-MONTH($O14)+1)</f>
        <v/>
      </c>
      <c r="R14" s="7" t="inlineStr">
        <is>
          <t>Active</t>
        </is>
      </c>
      <c r="S14" s="7" t="n"/>
      <c r="T14" s="7" t="n"/>
      <c r="U14" s="7" t="n"/>
      <c r="V14" s="7" t="n"/>
      <c r="W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NewDrug CT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Full In-house</t>
        </is>
      </c>
      <c r="G15" s="7" t="inlineStr">
        <is>
          <t>by CRO</t>
        </is>
      </c>
      <c r="H15" s="7" t="inlineStr">
        <is>
          <t>by SB</t>
        </is>
      </c>
      <c r="I15" s="7" t="inlineStr">
        <is>
          <t>by CRO</t>
        </is>
      </c>
      <c r="J15" s="7" t="inlineStr">
        <is>
          <t>by SB</t>
        </is>
      </c>
      <c r="K15" s="7" t="inlineStr">
        <is>
          <t>eSOURCE</t>
        </is>
      </c>
      <c r="L15" s="7" t="inlineStr">
        <is>
          <t>No system (manual)</t>
        </is>
      </c>
      <c r="M15" s="7" t="inlineStr">
        <is>
          <t>No system (manual)</t>
        </is>
      </c>
      <c r="N15" s="7" t="n">
        <v>5</v>
      </c>
      <c r="O15" s="8" t="n">
        <v>46174</v>
      </c>
      <c r="P15" s="8" t="n">
        <v>46721</v>
      </c>
      <c r="Q15" s="7">
        <f>IF(OR($O15="",$P15=""),"",(YEAR($P15)-YEAR($O15))*12+MONTH($P15)-MONTH($O15)+1)</f>
        <v/>
      </c>
      <c r="R15" s="7" t="inlineStr">
        <is>
          <t>Active</t>
        </is>
      </c>
      <c r="S15" s="7" t="n"/>
      <c r="T15" s="7" t="n"/>
      <c r="U15" s="7" t="n"/>
      <c r="V15" s="7" t="n"/>
      <c r="W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Biosimilar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 outsourcing</t>
        </is>
      </c>
      <c r="G16" s="7" t="inlineStr">
        <is>
          <t>by SB</t>
        </is>
      </c>
      <c r="H16" s="7" t="inlineStr">
        <is>
          <t>by CRO</t>
        </is>
      </c>
      <c r="I16" s="7" t="inlineStr">
        <is>
          <t>by SB</t>
        </is>
      </c>
      <c r="J16" s="7" t="inlineStr">
        <is>
          <t>by CRO</t>
        </is>
      </c>
      <c r="K16" s="7" t="inlineStr">
        <is>
          <t>Veeva EDC</t>
        </is>
      </c>
      <c r="L16" s="7" t="inlineStr">
        <is>
          <t>Veeva DQS</t>
        </is>
      </c>
      <c r="M16" s="7" t="inlineStr">
        <is>
          <t>CluePoints</t>
        </is>
      </c>
      <c r="N16" s="7" t="n">
        <v>6</v>
      </c>
      <c r="O16" s="8" t="n">
        <v>46569</v>
      </c>
      <c r="P16" s="8" t="n">
        <v>47664</v>
      </c>
      <c r="Q16" s="7">
        <f>IF(OR($O16="",$P16=""),"",(YEAR($P16)-YEAR($O16))*12+MONTH($P16)-MONTH($O16)+1)</f>
        <v/>
      </c>
      <c r="R16" s="7" t="inlineStr">
        <is>
          <t>Active</t>
        </is>
      </c>
      <c r="S16" s="7" t="n"/>
      <c r="T16" s="7" t="n"/>
      <c r="U16" s="7" t="n"/>
      <c r="V16" s="7" t="n"/>
      <c r="W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NewDrug CT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Partial outsourcing</t>
        </is>
      </c>
      <c r="G17" s="7" t="inlineStr">
        <is>
          <t>by CRO</t>
        </is>
      </c>
      <c r="H17" s="7" t="inlineStr">
        <is>
          <t>by SB</t>
        </is>
      </c>
      <c r="I17" s="7" t="inlineStr">
        <is>
          <t>by CRO</t>
        </is>
      </c>
      <c r="J17" s="7" t="inlineStr">
        <is>
          <t>by SB</t>
        </is>
      </c>
      <c r="K17" s="7" t="inlineStr">
        <is>
          <t>Rave</t>
        </is>
      </c>
      <c r="L17" s="7" t="inlineStr">
        <is>
          <t>Medidata CDS</t>
        </is>
      </c>
      <c r="M17" s="7" t="inlineStr">
        <is>
          <t>Medidata CDS</t>
        </is>
      </c>
      <c r="N17" s="7" t="n">
        <v>6</v>
      </c>
      <c r="O17" s="8" t="n">
        <v>46235</v>
      </c>
      <c r="P17" s="8" t="n">
        <v>46783</v>
      </c>
      <c r="Q17" s="7">
        <f>IF(OR($O17="",$P17=""),"",(YEAR($P17)-YEAR($O17))*12+MONTH($P17)-MONTH($O17)+1)</f>
        <v/>
      </c>
      <c r="R17" s="7" t="inlineStr">
        <is>
          <t>On hold</t>
        </is>
      </c>
      <c r="S17" s="7" t="n"/>
      <c r="T17" s="7" t="n"/>
      <c r="U17" s="7" t="n"/>
      <c r="V17" s="7" t="n"/>
      <c r="W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NewDrug CT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Full In-house</t>
        </is>
      </c>
      <c r="G18" s="7" t="inlineStr">
        <is>
          <t>by SB</t>
        </is>
      </c>
      <c r="H18" s="7" t="inlineStr">
        <is>
          <t>by CRO</t>
        </is>
      </c>
      <c r="I18" s="7" t="inlineStr">
        <is>
          <t>by SB</t>
        </is>
      </c>
      <c r="J18" s="7" t="inlineStr">
        <is>
          <t>by CRO</t>
        </is>
      </c>
      <c r="K18" s="7" t="inlineStr">
        <is>
          <t>eSOURCE</t>
        </is>
      </c>
      <c r="L18" s="7" t="inlineStr">
        <is>
          <t>No system (manual)</t>
        </is>
      </c>
      <c r="M18" s="7" t="inlineStr">
        <is>
          <t>No system (manual)</t>
        </is>
      </c>
      <c r="N18" s="7" t="n">
        <v>3</v>
      </c>
      <c r="O18" s="8" t="n">
        <v>46813</v>
      </c>
      <c r="P18" s="8" t="n">
        <v>47907</v>
      </c>
      <c r="Q18" s="7">
        <f>IF(OR($O18="",$P18=""),"",(YEAR($P18)-YEAR($O18))*12+MONTH($P18)-MONTH($O18)+1)</f>
        <v/>
      </c>
      <c r="R18" s="7" t="inlineStr">
        <is>
          <t>Completed</t>
        </is>
      </c>
      <c r="S18" s="7" t="n"/>
      <c r="T18" s="7" t="n"/>
      <c r="U18" s="7" t="n"/>
      <c r="V18" s="7" t="n"/>
      <c r="W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Biosimilar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 outsourcing</t>
        </is>
      </c>
      <c r="G19" s="7" t="inlineStr">
        <is>
          <t>by CRO</t>
        </is>
      </c>
      <c r="H19" s="7" t="inlineStr">
        <is>
          <t>by SB</t>
        </is>
      </c>
      <c r="I19" s="7" t="inlineStr">
        <is>
          <t>by CRO</t>
        </is>
      </c>
      <c r="J19" s="7" t="inlineStr">
        <is>
          <t>by SB</t>
        </is>
      </c>
      <c r="K19" s="7" t="inlineStr">
        <is>
          <t>Veeva EDC</t>
        </is>
      </c>
      <c r="L19" s="7" t="inlineStr">
        <is>
          <t>Veeva DQS</t>
        </is>
      </c>
      <c r="M19" s="7" t="inlineStr">
        <is>
          <t>CluePoints</t>
        </is>
      </c>
      <c r="N19" s="7" t="n">
        <v>6</v>
      </c>
      <c r="O19" s="8" t="n">
        <v>45962</v>
      </c>
      <c r="P19" s="8" t="n">
        <v>46873</v>
      </c>
      <c r="Q19" s="7">
        <f>IF(OR($O19="",$P19=""),"",(YEAR($P19)-YEAR($O19))*12+MONTH($P19)-MONTH($O19)+1)</f>
        <v/>
      </c>
      <c r="R19" s="7" t="inlineStr">
        <is>
          <t>Planned</t>
        </is>
      </c>
      <c r="S19" s="7" t="n"/>
      <c r="T19" s="7" t="n"/>
      <c r="U19" s="7" t="n"/>
      <c r="V19" s="7" t="n"/>
      <c r="W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NewDrug CT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Partial outsourcing</t>
        </is>
      </c>
      <c r="G20" s="7" t="inlineStr">
        <is>
          <t>by SB</t>
        </is>
      </c>
      <c r="H20" s="7" t="inlineStr">
        <is>
          <t>by CRO</t>
        </is>
      </c>
      <c r="I20" s="7" t="inlineStr">
        <is>
          <t>by SB</t>
        </is>
      </c>
      <c r="J20" s="7" t="inlineStr">
        <is>
          <t>by CRO</t>
        </is>
      </c>
      <c r="K20" s="7" t="inlineStr">
        <is>
          <t>Rave</t>
        </is>
      </c>
      <c r="L20" s="7" t="inlineStr">
        <is>
          <t>Medidata CDS</t>
        </is>
      </c>
      <c r="M20" s="7" t="inlineStr">
        <is>
          <t>Medidata CDS</t>
        </is>
      </c>
      <c r="N20" s="7" t="n">
        <v>7</v>
      </c>
      <c r="O20" s="8" t="n">
        <v>46082</v>
      </c>
      <c r="P20" s="8" t="n">
        <v>47361</v>
      </c>
      <c r="Q20" s="7">
        <f>IF(OR($O20="",$P20=""),"",(YEAR($P20)-YEAR($O20))*12+MONTH($P20)-MONTH($O20)+1)</f>
        <v/>
      </c>
      <c r="R20" s="7" t="inlineStr">
        <is>
          <t>Active</t>
        </is>
      </c>
      <c r="S20" s="7" t="n"/>
      <c r="T20" s="7" t="n"/>
      <c r="U20" s="7" t="n"/>
      <c r="V20" s="7" t="n"/>
      <c r="W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NewDrug CT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Full In-house</t>
        </is>
      </c>
      <c r="G21" s="7" t="inlineStr">
        <is>
          <t>by CRO</t>
        </is>
      </c>
      <c r="H21" s="7" t="inlineStr">
        <is>
          <t>by SB</t>
        </is>
      </c>
      <c r="I21" s="7" t="inlineStr">
        <is>
          <t>by CRO</t>
        </is>
      </c>
      <c r="J21" s="7" t="inlineStr">
        <is>
          <t>by SB</t>
        </is>
      </c>
      <c r="K21" s="7" t="inlineStr">
        <is>
          <t>eSOURCE</t>
        </is>
      </c>
      <c r="L21" s="7" t="inlineStr">
        <is>
          <t>No system (manual)</t>
        </is>
      </c>
      <c r="M21" s="7" t="inlineStr">
        <is>
          <t>No system (manual)</t>
        </is>
      </c>
      <c r="N21" s="7" t="n">
        <v>3</v>
      </c>
      <c r="O21" s="8" t="n">
        <v>45809</v>
      </c>
      <c r="P21" s="8" t="n">
        <v>47087</v>
      </c>
      <c r="Q21" s="7">
        <f>IF(OR($O21="",$P21=""),"",(YEAR($P21)-YEAR($O21))*12+MONTH($P21)-MONTH($O21)+1)</f>
        <v/>
      </c>
      <c r="R21" s="7" t="inlineStr">
        <is>
          <t>Active</t>
        </is>
      </c>
      <c r="S21" s="7" t="n"/>
      <c r="T21" s="7" t="n"/>
      <c r="U21" s="7" t="n"/>
      <c r="V21" s="7" t="n"/>
      <c r="W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Biosimilar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 outsourcing</t>
        </is>
      </c>
      <c r="G22" s="7" t="inlineStr">
        <is>
          <t>by SB</t>
        </is>
      </c>
      <c r="H22" s="7" t="inlineStr">
        <is>
          <t>by CRO</t>
        </is>
      </c>
      <c r="I22" s="7" t="inlineStr">
        <is>
          <t>by SB</t>
        </is>
      </c>
      <c r="J22" s="7" t="inlineStr">
        <is>
          <t>by CRO</t>
        </is>
      </c>
      <c r="K22" s="7" t="inlineStr">
        <is>
          <t>Veeva EDC</t>
        </is>
      </c>
      <c r="L22" s="7" t="inlineStr">
        <is>
          <t>Veeva DQS</t>
        </is>
      </c>
      <c r="M22" s="7" t="inlineStr">
        <is>
          <t>CluePoints</t>
        </is>
      </c>
      <c r="N22" s="7" t="n">
        <v>5</v>
      </c>
      <c r="O22" s="8" t="n">
        <v>45901</v>
      </c>
      <c r="P22" s="8" t="n">
        <v>46446</v>
      </c>
      <c r="Q22" s="7">
        <f>IF(OR($O22="",$P22=""),"",(YEAR($P22)-YEAR($O22))*12+MONTH($P22)-MONTH($O22)+1)</f>
        <v/>
      </c>
      <c r="R22" s="7" t="inlineStr">
        <is>
          <t>Active</t>
        </is>
      </c>
      <c r="S22" s="7" t="n"/>
      <c r="T22" s="7" t="n"/>
      <c r="U22" s="7" t="n"/>
      <c r="V22" s="7" t="n"/>
      <c r="W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NewDrug CT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Partial outsourcing</t>
        </is>
      </c>
      <c r="G23" s="7" t="inlineStr">
        <is>
          <t>by CRO</t>
        </is>
      </c>
      <c r="H23" s="7" t="inlineStr">
        <is>
          <t>by SB</t>
        </is>
      </c>
      <c r="I23" s="7" t="inlineStr">
        <is>
          <t>by CRO</t>
        </is>
      </c>
      <c r="J23" s="7" t="inlineStr">
        <is>
          <t>by SB</t>
        </is>
      </c>
      <c r="K23" s="7" t="inlineStr">
        <is>
          <t>Rave</t>
        </is>
      </c>
      <c r="L23" s="7" t="inlineStr">
        <is>
          <t>Medidata CDS</t>
        </is>
      </c>
      <c r="M23" s="7" t="inlineStr">
        <is>
          <t>Medidata CDS</t>
        </is>
      </c>
      <c r="N23" s="7" t="n">
        <v>6</v>
      </c>
      <c r="O23" s="8" t="n">
        <v>46054</v>
      </c>
      <c r="P23" s="8" t="n">
        <v>46783</v>
      </c>
      <c r="Q23" s="7">
        <f>IF(OR($O23="",$P23=""),"",(YEAR($P23)-YEAR($O23))*12+MONTH($P23)-MONTH($O23)+1)</f>
        <v/>
      </c>
      <c r="R23" s="7" t="inlineStr">
        <is>
          <t>On hold</t>
        </is>
      </c>
      <c r="S23" s="7" t="n"/>
      <c r="T23" s="7" t="n"/>
      <c r="U23" s="7" t="n"/>
      <c r="V23" s="7" t="n"/>
      <c r="W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NewDrug CT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Full In-house</t>
        </is>
      </c>
      <c r="G24" s="7" t="inlineStr">
        <is>
          <t>by SB</t>
        </is>
      </c>
      <c r="H24" s="7" t="inlineStr">
        <is>
          <t>by CRO</t>
        </is>
      </c>
      <c r="I24" s="7" t="inlineStr">
        <is>
          <t>by SB</t>
        </is>
      </c>
      <c r="J24" s="7" t="inlineStr">
        <is>
          <t>by CRO</t>
        </is>
      </c>
      <c r="K24" s="7" t="inlineStr">
        <is>
          <t>eSOURCE</t>
        </is>
      </c>
      <c r="L24" s="7" t="inlineStr">
        <is>
          <t>No system (manual)</t>
        </is>
      </c>
      <c r="M24" s="7" t="inlineStr">
        <is>
          <t>No system (manual)</t>
        </is>
      </c>
      <c r="N24" s="7" t="n">
        <v>5</v>
      </c>
      <c r="O24" s="8" t="n">
        <v>46357</v>
      </c>
      <c r="P24" s="8" t="n">
        <v>46904</v>
      </c>
      <c r="Q24" s="7">
        <f>IF(OR($O24="",$P24=""),"",(YEAR($P24)-YEAR($O24))*12+MONTH($P24)-MONTH($O24)+1)</f>
        <v/>
      </c>
      <c r="R24" s="7" t="inlineStr">
        <is>
          <t>Completed</t>
        </is>
      </c>
      <c r="S24" s="7" t="n"/>
      <c r="T24" s="7" t="n"/>
      <c r="U24" s="7" t="n"/>
      <c r="V24" s="7" t="n"/>
      <c r="W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Biosimilar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 outsourcing</t>
        </is>
      </c>
      <c r="G25" s="7" t="inlineStr">
        <is>
          <t>by CRO</t>
        </is>
      </c>
      <c r="H25" s="7" t="inlineStr">
        <is>
          <t>by SB</t>
        </is>
      </c>
      <c r="I25" s="7" t="inlineStr">
        <is>
          <t>by CRO</t>
        </is>
      </c>
      <c r="J25" s="7" t="inlineStr">
        <is>
          <t>by SB</t>
        </is>
      </c>
      <c r="K25" s="7" t="inlineStr">
        <is>
          <t>Veeva EDC</t>
        </is>
      </c>
      <c r="L25" s="7" t="inlineStr">
        <is>
          <t>Veeva DQS</t>
        </is>
      </c>
      <c r="M25" s="7" t="inlineStr">
        <is>
          <t>CluePoints</t>
        </is>
      </c>
      <c r="N25" s="7" t="n">
        <v>7</v>
      </c>
      <c r="O25" s="8" t="n">
        <v>45992</v>
      </c>
      <c r="P25" s="8" t="n">
        <v>46904</v>
      </c>
      <c r="Q25" s="7">
        <f>IF(OR($O25="",$P25=""),"",(YEAR($P25)-YEAR($O25))*12+MONTH($P25)-MONTH($O25)+1)</f>
        <v/>
      </c>
      <c r="R25" s="7" t="inlineStr">
        <is>
          <t>Planned</t>
        </is>
      </c>
      <c r="S25" s="7" t="n"/>
      <c r="T25" s="7" t="n"/>
      <c r="U25" s="7" t="n"/>
      <c r="V25" s="7" t="n"/>
      <c r="W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NewDrug CT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Partial outsourcing</t>
        </is>
      </c>
      <c r="G26" s="7" t="inlineStr">
        <is>
          <t>by SB</t>
        </is>
      </c>
      <c r="H26" s="7" t="inlineStr">
        <is>
          <t>by CRO</t>
        </is>
      </c>
      <c r="I26" s="7" t="inlineStr">
        <is>
          <t>by SB</t>
        </is>
      </c>
      <c r="J26" s="7" t="inlineStr">
        <is>
          <t>by CRO</t>
        </is>
      </c>
      <c r="K26" s="7" t="inlineStr">
        <is>
          <t>Rave</t>
        </is>
      </c>
      <c r="L26" s="7" t="inlineStr">
        <is>
          <t>Medidata CDS</t>
        </is>
      </c>
      <c r="M26" s="7" t="inlineStr">
        <is>
          <t>Medidata CDS</t>
        </is>
      </c>
      <c r="N26" s="7" t="n">
        <v>7</v>
      </c>
      <c r="O26" s="8" t="n">
        <v>46661</v>
      </c>
      <c r="P26" s="8" t="n">
        <v>47573</v>
      </c>
      <c r="Q26" s="7">
        <f>IF(OR($O26="",$P26=""),"",(YEAR($P26)-YEAR($O26))*12+MONTH($P26)-MONTH($O26)+1)</f>
        <v/>
      </c>
      <c r="R26" s="7" t="inlineStr">
        <is>
          <t>Active</t>
        </is>
      </c>
      <c r="S26" s="7" t="n"/>
      <c r="T26" s="7" t="n"/>
      <c r="U26" s="7" t="n"/>
      <c r="V26" s="7" t="n"/>
      <c r="W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NewDrug CT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Full In-house</t>
        </is>
      </c>
      <c r="G27" s="7" t="inlineStr">
        <is>
          <t>by CRO</t>
        </is>
      </c>
      <c r="H27" s="7" t="inlineStr">
        <is>
          <t>by SB</t>
        </is>
      </c>
      <c r="I27" s="7" t="inlineStr">
        <is>
          <t>by CRO</t>
        </is>
      </c>
      <c r="J27" s="7" t="inlineStr">
        <is>
          <t>by SB</t>
        </is>
      </c>
      <c r="K27" s="7" t="inlineStr">
        <is>
          <t>eSOURCE</t>
        </is>
      </c>
      <c r="L27" s="7" t="inlineStr">
        <is>
          <t>No system (manual)</t>
        </is>
      </c>
      <c r="M27" s="7" t="inlineStr">
        <is>
          <t>No system (manual)</t>
        </is>
      </c>
      <c r="N27" s="7" t="n">
        <v>4</v>
      </c>
      <c r="O27" s="8" t="n">
        <v>46447</v>
      </c>
      <c r="P27" s="8" t="n">
        <v>47542</v>
      </c>
      <c r="Q27" s="7">
        <f>IF(OR($O27="",$P27=""),"",(YEAR($P27)-YEAR($O27))*12+MONTH($P27)-MONTH($O27)+1)</f>
        <v/>
      </c>
      <c r="R27" s="7" t="inlineStr">
        <is>
          <t>Active</t>
        </is>
      </c>
      <c r="S27" s="7" t="n"/>
      <c r="T27" s="7" t="n"/>
      <c r="U27" s="7" t="n"/>
      <c r="V27" s="7" t="n"/>
      <c r="W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Biosimilar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 outsourcing</t>
        </is>
      </c>
      <c r="G28" s="7" t="inlineStr">
        <is>
          <t>by SB</t>
        </is>
      </c>
      <c r="H28" s="7" t="inlineStr">
        <is>
          <t>by CRO</t>
        </is>
      </c>
      <c r="I28" s="7" t="inlineStr">
        <is>
          <t>by SB</t>
        </is>
      </c>
      <c r="J28" s="7" t="inlineStr">
        <is>
          <t>by CRO</t>
        </is>
      </c>
      <c r="K28" s="7" t="inlineStr">
        <is>
          <t>Veeva EDC</t>
        </is>
      </c>
      <c r="L28" s="7" t="inlineStr">
        <is>
          <t>Veeva DQS</t>
        </is>
      </c>
      <c r="M28" s="7" t="inlineStr">
        <is>
          <t>CluePoints</t>
        </is>
      </c>
      <c r="N28" s="7" t="n">
        <v>8</v>
      </c>
      <c r="O28" s="8" t="n">
        <v>46569</v>
      </c>
      <c r="P28" s="8" t="n">
        <v>47483</v>
      </c>
      <c r="Q28" s="7">
        <f>IF(OR($O28="",$P28=""),"",(YEAR($P28)-YEAR($O28))*12+MONTH($P28)-MONTH($O28)+1)</f>
        <v/>
      </c>
      <c r="R28" s="7" t="inlineStr">
        <is>
          <t>Active</t>
        </is>
      </c>
      <c r="S28" s="7" t="n"/>
      <c r="T28" s="7" t="n"/>
      <c r="U28" s="7" t="n"/>
      <c r="V28" s="7" t="n"/>
      <c r="W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NewDrug CT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Partial outsourcing</t>
        </is>
      </c>
      <c r="G29" s="7" t="inlineStr">
        <is>
          <t>by CRO</t>
        </is>
      </c>
      <c r="H29" s="7" t="inlineStr">
        <is>
          <t>by SB</t>
        </is>
      </c>
      <c r="I29" s="7" t="inlineStr">
        <is>
          <t>by CRO</t>
        </is>
      </c>
      <c r="J29" s="7" t="inlineStr">
        <is>
          <t>by SB</t>
        </is>
      </c>
      <c r="K29" s="7" t="inlineStr">
        <is>
          <t>Rave</t>
        </is>
      </c>
      <c r="L29" s="7" t="inlineStr">
        <is>
          <t>Medidata CDS</t>
        </is>
      </c>
      <c r="M29" s="7" t="inlineStr">
        <is>
          <t>Medidata CDS</t>
        </is>
      </c>
      <c r="N29" s="7" t="n">
        <v>4</v>
      </c>
      <c r="O29" s="8" t="n">
        <v>45992</v>
      </c>
      <c r="P29" s="8" t="n">
        <v>47269</v>
      </c>
      <c r="Q29" s="7">
        <f>IF(OR($O29="",$P29=""),"",(YEAR($P29)-YEAR($O29))*12+MONTH($P29)-MONTH($O29)+1)</f>
        <v/>
      </c>
      <c r="R29" s="7" t="inlineStr">
        <is>
          <t>On hold</t>
        </is>
      </c>
      <c r="S29" s="7" t="n"/>
      <c r="T29" s="7" t="n"/>
      <c r="U29" s="7" t="n"/>
      <c r="V29" s="7" t="n"/>
      <c r="W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NewDrug CT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Full In-house</t>
        </is>
      </c>
      <c r="G30" s="7" t="inlineStr">
        <is>
          <t>by SB</t>
        </is>
      </c>
      <c r="H30" s="7" t="inlineStr">
        <is>
          <t>by CRO</t>
        </is>
      </c>
      <c r="I30" s="7" t="inlineStr">
        <is>
          <t>by SB</t>
        </is>
      </c>
      <c r="J30" s="7" t="inlineStr">
        <is>
          <t>by CRO</t>
        </is>
      </c>
      <c r="K30" s="7" t="inlineStr">
        <is>
          <t>eSOURCE</t>
        </is>
      </c>
      <c r="L30" s="7" t="inlineStr">
        <is>
          <t>No system (manual)</t>
        </is>
      </c>
      <c r="M30" s="7" t="inlineStr">
        <is>
          <t>No system (manual)</t>
        </is>
      </c>
      <c r="N30" s="7" t="n">
        <v>5</v>
      </c>
      <c r="O30" s="8" t="n">
        <v>46569</v>
      </c>
      <c r="P30" s="8" t="n">
        <v>47664</v>
      </c>
      <c r="Q30" s="7">
        <f>IF(OR($O30="",$P30=""),"",(YEAR($P30)-YEAR($O30))*12+MONTH($P30)-MONTH($O30)+1)</f>
        <v/>
      </c>
      <c r="R30" s="7" t="inlineStr">
        <is>
          <t>Completed</t>
        </is>
      </c>
      <c r="S30" s="7" t="n"/>
      <c r="T30" s="7" t="n"/>
      <c r="U30" s="7" t="n"/>
      <c r="V30" s="7" t="n"/>
      <c r="W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Biosimilar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 outsourcing</t>
        </is>
      </c>
      <c r="G31" s="7" t="inlineStr">
        <is>
          <t>by CRO</t>
        </is>
      </c>
      <c r="H31" s="7" t="inlineStr">
        <is>
          <t>by SB</t>
        </is>
      </c>
      <c r="I31" s="7" t="inlineStr">
        <is>
          <t>by CRO</t>
        </is>
      </c>
      <c r="J31" s="7" t="inlineStr">
        <is>
          <t>by SB</t>
        </is>
      </c>
      <c r="K31" s="7" t="inlineStr">
        <is>
          <t>Veeva EDC</t>
        </is>
      </c>
      <c r="L31" s="7" t="inlineStr">
        <is>
          <t>Veeva DQS</t>
        </is>
      </c>
      <c r="M31" s="7" t="inlineStr">
        <is>
          <t>CluePoints</t>
        </is>
      </c>
      <c r="N31" s="7" t="n">
        <v>4</v>
      </c>
      <c r="O31" s="8" t="n">
        <v>45901</v>
      </c>
      <c r="P31" s="8" t="n">
        <v>46630</v>
      </c>
      <c r="Q31" s="7">
        <f>IF(OR($O31="",$P31=""),"",(YEAR($P31)-YEAR($O31))*12+MONTH($P31)-MONTH($O31)+1)</f>
        <v/>
      </c>
      <c r="R31" s="7" t="inlineStr">
        <is>
          <t>Planned</t>
        </is>
      </c>
      <c r="S31" s="7" t="n"/>
      <c r="T31" s="7" t="n"/>
      <c r="U31" s="7" t="n"/>
      <c r="V31" s="7" t="n"/>
      <c r="W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NewDrug CT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Partial outsourcing</t>
        </is>
      </c>
      <c r="G32" s="7" t="inlineStr">
        <is>
          <t>by SB</t>
        </is>
      </c>
      <c r="H32" s="7" t="inlineStr">
        <is>
          <t>by CRO</t>
        </is>
      </c>
      <c r="I32" s="7" t="inlineStr">
        <is>
          <t>by SB</t>
        </is>
      </c>
      <c r="J32" s="7" t="inlineStr">
        <is>
          <t>by CRO</t>
        </is>
      </c>
      <c r="K32" s="7" t="inlineStr">
        <is>
          <t>Rave</t>
        </is>
      </c>
      <c r="L32" s="7" t="inlineStr">
        <is>
          <t>Medidata CDS</t>
        </is>
      </c>
      <c r="M32" s="7" t="inlineStr">
        <is>
          <t>Medidata CDS</t>
        </is>
      </c>
      <c r="N32" s="7" t="n">
        <v>4</v>
      </c>
      <c r="O32" s="8" t="n">
        <v>46478</v>
      </c>
      <c r="P32" s="8" t="n">
        <v>47208</v>
      </c>
      <c r="Q32" s="7">
        <f>IF(OR($O32="",$P32=""),"",(YEAR($P32)-YEAR($O32))*12+MONTH($P32)-MONTH($O32)+1)</f>
        <v/>
      </c>
      <c r="R32" s="7" t="inlineStr">
        <is>
          <t>Active</t>
        </is>
      </c>
      <c r="S32" s="7" t="n"/>
      <c r="T32" s="7" t="n"/>
      <c r="U32" s="7" t="n"/>
      <c r="V32" s="7" t="n"/>
      <c r="W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NewDrug CT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Full In-house</t>
        </is>
      </c>
      <c r="G33" s="7" t="inlineStr">
        <is>
          <t>by CRO</t>
        </is>
      </c>
      <c r="H33" s="7" t="inlineStr">
        <is>
          <t>by SB</t>
        </is>
      </c>
      <c r="I33" s="7" t="inlineStr">
        <is>
          <t>by CRO</t>
        </is>
      </c>
      <c r="J33" s="7" t="inlineStr">
        <is>
          <t>by SB</t>
        </is>
      </c>
      <c r="K33" s="7" t="inlineStr">
        <is>
          <t>eSOURCE</t>
        </is>
      </c>
      <c r="L33" s="7" t="inlineStr">
        <is>
          <t>No system (manual)</t>
        </is>
      </c>
      <c r="M33" s="7" t="inlineStr">
        <is>
          <t>No system (manual)</t>
        </is>
      </c>
      <c r="N33" s="7" t="n">
        <v>3</v>
      </c>
      <c r="O33" s="8" t="n">
        <v>46874</v>
      </c>
      <c r="P33" s="8" t="n">
        <v>47422</v>
      </c>
      <c r="Q33" s="7">
        <f>IF(OR($O33="",$P33=""),"",(YEAR($P33)-YEAR($O33))*12+MONTH($P33)-MONTH($O33)+1)</f>
        <v/>
      </c>
      <c r="R33" s="7" t="inlineStr">
        <is>
          <t>Active</t>
        </is>
      </c>
      <c r="S33" s="7" t="n"/>
      <c r="T33" s="7" t="n"/>
      <c r="U33" s="7" t="n"/>
      <c r="V33" s="7" t="n"/>
      <c r="W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Biosimilar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 outsourcing</t>
        </is>
      </c>
      <c r="G34" s="7" t="inlineStr">
        <is>
          <t>by SB</t>
        </is>
      </c>
      <c r="H34" s="7" t="inlineStr">
        <is>
          <t>by CRO</t>
        </is>
      </c>
      <c r="I34" s="7" t="inlineStr">
        <is>
          <t>by SB</t>
        </is>
      </c>
      <c r="J34" s="7" t="inlineStr">
        <is>
          <t>by CRO</t>
        </is>
      </c>
      <c r="K34" s="7" t="inlineStr">
        <is>
          <t>Veeva EDC</t>
        </is>
      </c>
      <c r="L34" s="7" t="inlineStr">
        <is>
          <t>Veeva DQS</t>
        </is>
      </c>
      <c r="M34" s="7" t="inlineStr">
        <is>
          <t>CluePoints</t>
        </is>
      </c>
      <c r="N34" s="7" t="n">
        <v>5</v>
      </c>
      <c r="O34" s="8" t="n">
        <v>46419</v>
      </c>
      <c r="P34" s="8" t="n">
        <v>46965</v>
      </c>
      <c r="Q34" s="7">
        <f>IF(OR($O34="",$P34=""),"",(YEAR($P34)-YEAR($O34))*12+MONTH($P34)-MONTH($O34)+1)</f>
        <v/>
      </c>
      <c r="R34" s="7" t="inlineStr">
        <is>
          <t>Active</t>
        </is>
      </c>
      <c r="S34" s="7" t="n"/>
      <c r="T34" s="7" t="n"/>
      <c r="U34" s="7" t="n"/>
      <c r="V34" s="7" t="n"/>
      <c r="W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NewDrug CT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Partial outsourcing</t>
        </is>
      </c>
      <c r="G35" s="7" t="inlineStr">
        <is>
          <t>by CRO</t>
        </is>
      </c>
      <c r="H35" s="7" t="inlineStr">
        <is>
          <t>by SB</t>
        </is>
      </c>
      <c r="I35" s="7" t="inlineStr">
        <is>
          <t>by CRO</t>
        </is>
      </c>
      <c r="J35" s="7" t="inlineStr">
        <is>
          <t>by SB</t>
        </is>
      </c>
      <c r="K35" s="7" t="inlineStr">
        <is>
          <t>Rave</t>
        </is>
      </c>
      <c r="L35" s="7" t="inlineStr">
        <is>
          <t>Medidata CDS</t>
        </is>
      </c>
      <c r="M35" s="7" t="inlineStr">
        <is>
          <t>Medidata CDS</t>
        </is>
      </c>
      <c r="N35" s="7" t="n">
        <v>6</v>
      </c>
      <c r="O35" s="8" t="n">
        <v>46661</v>
      </c>
      <c r="P35" s="8" t="n">
        <v>47756</v>
      </c>
      <c r="Q35" s="7">
        <f>IF(OR($O35="",$P35=""),"",(YEAR($P35)-YEAR($O35))*12+MONTH($P35)-MONTH($O35)+1)</f>
        <v/>
      </c>
      <c r="R35" s="7" t="inlineStr">
        <is>
          <t>On hold</t>
        </is>
      </c>
      <c r="S35" s="7" t="n"/>
      <c r="T35" s="7" t="n"/>
      <c r="U35" s="7" t="n"/>
      <c r="V35" s="7" t="n"/>
      <c r="W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NewDrug CT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Full In-house</t>
        </is>
      </c>
      <c r="G36" s="7" t="inlineStr">
        <is>
          <t>by SB</t>
        </is>
      </c>
      <c r="H36" s="7" t="inlineStr">
        <is>
          <t>by CRO</t>
        </is>
      </c>
      <c r="I36" s="7" t="inlineStr">
        <is>
          <t>by SB</t>
        </is>
      </c>
      <c r="J36" s="7" t="inlineStr">
        <is>
          <t>by CRO</t>
        </is>
      </c>
      <c r="K36" s="7" t="inlineStr">
        <is>
          <t>eSOURCE</t>
        </is>
      </c>
      <c r="L36" s="7" t="inlineStr">
        <is>
          <t>No system (manual)</t>
        </is>
      </c>
      <c r="M36" s="7" t="inlineStr">
        <is>
          <t>No system (manual)</t>
        </is>
      </c>
      <c r="N36" s="7" t="n">
        <v>4</v>
      </c>
      <c r="O36" s="8" t="n">
        <v>45658</v>
      </c>
      <c r="P36" s="8" t="n">
        <v>46934</v>
      </c>
      <c r="Q36" s="7">
        <f>IF(OR($O36="",$P36=""),"",(YEAR($P36)-YEAR($O36))*12+MONTH($P36)-MONTH($O36)+1)</f>
        <v/>
      </c>
      <c r="R36" s="7" t="inlineStr">
        <is>
          <t>Completed</t>
        </is>
      </c>
      <c r="S36" s="7" t="n"/>
      <c r="T36" s="7" t="n"/>
      <c r="U36" s="7" t="n"/>
      <c r="V36" s="7" t="n"/>
      <c r="W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Biosimilar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 outsourcing</t>
        </is>
      </c>
      <c r="G37" s="7" t="inlineStr">
        <is>
          <t>by CRO</t>
        </is>
      </c>
      <c r="H37" s="7" t="inlineStr">
        <is>
          <t>by SB</t>
        </is>
      </c>
      <c r="I37" s="7" t="inlineStr">
        <is>
          <t>by CRO</t>
        </is>
      </c>
      <c r="J37" s="7" t="inlineStr">
        <is>
          <t>by SB</t>
        </is>
      </c>
      <c r="K37" s="7" t="inlineStr">
        <is>
          <t>Veeva EDC</t>
        </is>
      </c>
      <c r="L37" s="7" t="inlineStr">
        <is>
          <t>Veeva DQS</t>
        </is>
      </c>
      <c r="M37" s="7" t="inlineStr">
        <is>
          <t>CluePoints</t>
        </is>
      </c>
      <c r="N37" s="7" t="n">
        <v>5</v>
      </c>
      <c r="O37" s="8" t="n">
        <v>45931</v>
      </c>
      <c r="P37" s="8" t="n">
        <v>46843</v>
      </c>
      <c r="Q37" s="7">
        <f>IF(OR($O37="",$P37=""),"",(YEAR($P37)-YEAR($O37))*12+MONTH($P37)-MONTH($O37)+1)</f>
        <v/>
      </c>
      <c r="R37" s="7" t="inlineStr">
        <is>
          <t>Planned</t>
        </is>
      </c>
      <c r="S37" s="7" t="n"/>
      <c r="T37" s="7" t="n"/>
      <c r="U37" s="7" t="n"/>
      <c r="V37" s="7" t="n"/>
      <c r="W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NewDrug CT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Partial outsourcing</t>
        </is>
      </c>
      <c r="G38" s="7" t="inlineStr">
        <is>
          <t>by SB</t>
        </is>
      </c>
      <c r="H38" s="7" t="inlineStr">
        <is>
          <t>by CRO</t>
        </is>
      </c>
      <c r="I38" s="7" t="inlineStr">
        <is>
          <t>by SB</t>
        </is>
      </c>
      <c r="J38" s="7" t="inlineStr">
        <is>
          <t>by CRO</t>
        </is>
      </c>
      <c r="K38" s="7" t="inlineStr">
        <is>
          <t>Rave</t>
        </is>
      </c>
      <c r="L38" s="7" t="inlineStr">
        <is>
          <t>Medidata CDS</t>
        </is>
      </c>
      <c r="M38" s="7" t="inlineStr">
        <is>
          <t>Medidata CDS</t>
        </is>
      </c>
      <c r="N38" s="7" t="n">
        <v>7</v>
      </c>
      <c r="O38" s="8" t="n">
        <v>46054</v>
      </c>
      <c r="P38" s="8" t="n">
        <v>46965</v>
      </c>
      <c r="Q38" s="7">
        <f>IF(OR($O38="",$P38=""),"",(YEAR($P38)-YEAR($O38))*12+MONTH($P38)-MONTH($O38)+1)</f>
        <v/>
      </c>
      <c r="R38" s="7" t="inlineStr">
        <is>
          <t>Active</t>
        </is>
      </c>
      <c r="S38" s="7" t="n"/>
      <c r="T38" s="7" t="n"/>
      <c r="U38" s="7" t="n"/>
      <c r="V38" s="7" t="n"/>
      <c r="W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NewDrug CT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Full In-house</t>
        </is>
      </c>
      <c r="G39" s="7" t="inlineStr">
        <is>
          <t>by CRO</t>
        </is>
      </c>
      <c r="H39" s="7" t="inlineStr">
        <is>
          <t>by SB</t>
        </is>
      </c>
      <c r="I39" s="7" t="inlineStr">
        <is>
          <t>by CRO</t>
        </is>
      </c>
      <c r="J39" s="7" t="inlineStr">
        <is>
          <t>by SB</t>
        </is>
      </c>
      <c r="K39" s="7" t="inlineStr">
        <is>
          <t>eSOURCE</t>
        </is>
      </c>
      <c r="L39" s="7" t="inlineStr">
        <is>
          <t>No system (manual)</t>
        </is>
      </c>
      <c r="M39" s="7" t="inlineStr">
        <is>
          <t>No system (manual)</t>
        </is>
      </c>
      <c r="N39" s="7" t="n">
        <v>6</v>
      </c>
      <c r="O39" s="8" t="n">
        <v>45962</v>
      </c>
      <c r="P39" s="8" t="n">
        <v>47057</v>
      </c>
      <c r="Q39" s="7">
        <f>IF(OR($O39="",$P39=""),"",(YEAR($P39)-YEAR($O39))*12+MONTH($P39)-MONTH($O39)+1)</f>
        <v/>
      </c>
      <c r="R39" s="7" t="inlineStr">
        <is>
          <t>Active</t>
        </is>
      </c>
      <c r="S39" s="7" t="n"/>
      <c r="T39" s="7" t="n"/>
      <c r="U39" s="7" t="n"/>
      <c r="V39" s="7" t="n"/>
      <c r="W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Biosimilar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 outsourcing</t>
        </is>
      </c>
      <c r="G40" s="7" t="inlineStr">
        <is>
          <t>by SB</t>
        </is>
      </c>
      <c r="H40" s="7" t="inlineStr">
        <is>
          <t>by CRO</t>
        </is>
      </c>
      <c r="I40" s="7" t="inlineStr">
        <is>
          <t>by SB</t>
        </is>
      </c>
      <c r="J40" s="7" t="inlineStr">
        <is>
          <t>by CRO</t>
        </is>
      </c>
      <c r="K40" s="7" t="inlineStr">
        <is>
          <t>Veeva EDC</t>
        </is>
      </c>
      <c r="L40" s="7" t="inlineStr">
        <is>
          <t>Veeva DQS</t>
        </is>
      </c>
      <c r="M40" s="7" t="inlineStr">
        <is>
          <t>CluePoints</t>
        </is>
      </c>
      <c r="N40" s="7" t="n">
        <v>6</v>
      </c>
      <c r="O40" s="8" t="n">
        <v>46266</v>
      </c>
      <c r="P40" s="8" t="n">
        <v>47542</v>
      </c>
      <c r="Q40" s="7">
        <f>IF(OR($O40="",$P40=""),"",(YEAR($P40)-YEAR($O40))*12+MONTH($P40)-MONTH($O40)+1)</f>
        <v/>
      </c>
      <c r="R40" s="7" t="inlineStr">
        <is>
          <t>Active</t>
        </is>
      </c>
      <c r="S40" s="7" t="n"/>
      <c r="T40" s="7" t="n"/>
      <c r="U40" s="7" t="n"/>
      <c r="V40" s="7" t="n"/>
      <c r="W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NewDrug CT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Partial outsourcing</t>
        </is>
      </c>
      <c r="G41" s="7" t="inlineStr">
        <is>
          <t>by CRO</t>
        </is>
      </c>
      <c r="H41" s="7" t="inlineStr">
        <is>
          <t>by SB</t>
        </is>
      </c>
      <c r="I41" s="7" t="inlineStr">
        <is>
          <t>by CRO</t>
        </is>
      </c>
      <c r="J41" s="7" t="inlineStr">
        <is>
          <t>by SB</t>
        </is>
      </c>
      <c r="K41" s="7" t="inlineStr">
        <is>
          <t>Rave</t>
        </is>
      </c>
      <c r="L41" s="7" t="inlineStr">
        <is>
          <t>Medidata CDS</t>
        </is>
      </c>
      <c r="M41" s="7" t="inlineStr">
        <is>
          <t>Medidata CDS</t>
        </is>
      </c>
      <c r="N41" s="7" t="n">
        <v>6</v>
      </c>
      <c r="O41" s="8" t="n">
        <v>45870</v>
      </c>
      <c r="P41" s="8" t="n">
        <v>46418</v>
      </c>
      <c r="Q41" s="7">
        <f>IF(OR($O41="",$P41=""),"",(YEAR($P41)-YEAR($O41))*12+MONTH($P41)-MONTH($O41)+1)</f>
        <v/>
      </c>
      <c r="R41" s="7" t="inlineStr">
        <is>
          <t>On hold</t>
        </is>
      </c>
      <c r="S41" s="7" t="n"/>
      <c r="T41" s="7" t="n"/>
      <c r="U41" s="7" t="n"/>
      <c r="V41" s="7" t="n"/>
      <c r="W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NewDrug CT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Full In-house</t>
        </is>
      </c>
      <c r="G42" s="7" t="inlineStr">
        <is>
          <t>by SB</t>
        </is>
      </c>
      <c r="H42" s="7" t="inlineStr">
        <is>
          <t>by CRO</t>
        </is>
      </c>
      <c r="I42" s="7" t="inlineStr">
        <is>
          <t>by SB</t>
        </is>
      </c>
      <c r="J42" s="7" t="inlineStr">
        <is>
          <t>by CRO</t>
        </is>
      </c>
      <c r="K42" s="7" t="inlineStr">
        <is>
          <t>eSOURCE</t>
        </is>
      </c>
      <c r="L42" s="7" t="inlineStr">
        <is>
          <t>No system (manual)</t>
        </is>
      </c>
      <c r="M42" s="7" t="inlineStr">
        <is>
          <t>No system (manual)</t>
        </is>
      </c>
      <c r="N42" s="7" t="n">
        <v>8</v>
      </c>
      <c r="O42" s="8" t="n">
        <v>46388</v>
      </c>
      <c r="P42" s="8" t="n">
        <v>47664</v>
      </c>
      <c r="Q42" s="7">
        <f>IF(OR($O42="",$P42=""),"",(YEAR($P42)-YEAR($O42))*12+MONTH($P42)-MONTH($O42)+1)</f>
        <v/>
      </c>
      <c r="R42" s="7" t="inlineStr">
        <is>
          <t>Completed</t>
        </is>
      </c>
      <c r="S42" s="7" t="n"/>
      <c r="T42" s="7" t="n"/>
      <c r="U42" s="7" t="n"/>
      <c r="V42" s="7" t="n"/>
      <c r="W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Biosimilar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 outsourcing</t>
        </is>
      </c>
      <c r="G43" s="7" t="inlineStr">
        <is>
          <t>by CRO</t>
        </is>
      </c>
      <c r="H43" s="7" t="inlineStr">
        <is>
          <t>by SB</t>
        </is>
      </c>
      <c r="I43" s="7" t="inlineStr">
        <is>
          <t>by CRO</t>
        </is>
      </c>
      <c r="J43" s="7" t="inlineStr">
        <is>
          <t>by SB</t>
        </is>
      </c>
      <c r="K43" s="7" t="inlineStr">
        <is>
          <t>Veeva EDC</t>
        </is>
      </c>
      <c r="L43" s="7" t="inlineStr">
        <is>
          <t>Veeva DQS</t>
        </is>
      </c>
      <c r="M43" s="7" t="inlineStr">
        <is>
          <t>CluePoints</t>
        </is>
      </c>
      <c r="N43" s="7" t="n">
        <v>6</v>
      </c>
      <c r="O43" s="8" t="n">
        <v>46478</v>
      </c>
      <c r="P43" s="8" t="n">
        <v>47391</v>
      </c>
      <c r="Q43" s="7">
        <f>IF(OR($O43="",$P43=""),"",(YEAR($P43)-YEAR($O43))*12+MONTH($P43)-MONTH($O43)+1)</f>
        <v/>
      </c>
      <c r="R43" s="7" t="inlineStr">
        <is>
          <t>Planned</t>
        </is>
      </c>
      <c r="S43" s="7" t="n"/>
      <c r="T43" s="7" t="n"/>
      <c r="U43" s="7" t="n"/>
      <c r="V43" s="7" t="n"/>
      <c r="W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NewDrug CT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Partial outsourcing</t>
        </is>
      </c>
      <c r="G44" s="7" t="inlineStr">
        <is>
          <t>by SB</t>
        </is>
      </c>
      <c r="H44" s="7" t="inlineStr">
        <is>
          <t>by CRO</t>
        </is>
      </c>
      <c r="I44" s="7" t="inlineStr">
        <is>
          <t>by SB</t>
        </is>
      </c>
      <c r="J44" s="7" t="inlineStr">
        <is>
          <t>by CRO</t>
        </is>
      </c>
      <c r="K44" s="7" t="inlineStr">
        <is>
          <t>Rave</t>
        </is>
      </c>
      <c r="L44" s="7" t="inlineStr">
        <is>
          <t>Medidata CDS</t>
        </is>
      </c>
      <c r="M44" s="7" t="inlineStr">
        <is>
          <t>Medidata CDS</t>
        </is>
      </c>
      <c r="N44" s="7" t="n">
        <v>7</v>
      </c>
      <c r="O44" s="8" t="n">
        <v>46569</v>
      </c>
      <c r="P44" s="8" t="n">
        <v>47664</v>
      </c>
      <c r="Q44" s="7">
        <f>IF(OR($O44="",$P44=""),"",(YEAR($P44)-YEAR($O44))*12+MONTH($P44)-MONTH($O44)+1)</f>
        <v/>
      </c>
      <c r="R44" s="7" t="inlineStr">
        <is>
          <t>Active</t>
        </is>
      </c>
      <c r="S44" s="7" t="n"/>
      <c r="T44" s="7" t="n"/>
      <c r="U44" s="7" t="n"/>
      <c r="V44" s="7" t="n"/>
      <c r="W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NewDrug CT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Full In-house</t>
        </is>
      </c>
      <c r="G45" s="7" t="inlineStr">
        <is>
          <t>by CRO</t>
        </is>
      </c>
      <c r="H45" s="7" t="inlineStr">
        <is>
          <t>by SB</t>
        </is>
      </c>
      <c r="I45" s="7" t="inlineStr">
        <is>
          <t>by CRO</t>
        </is>
      </c>
      <c r="J45" s="7" t="inlineStr">
        <is>
          <t>by SB</t>
        </is>
      </c>
      <c r="K45" s="7" t="inlineStr">
        <is>
          <t>eSOURCE</t>
        </is>
      </c>
      <c r="L45" s="7" t="inlineStr">
        <is>
          <t>No system (manual)</t>
        </is>
      </c>
      <c r="M45" s="7" t="inlineStr">
        <is>
          <t>No system (manual)</t>
        </is>
      </c>
      <c r="N45" s="7" t="n">
        <v>4</v>
      </c>
      <c r="O45" s="8" t="n">
        <v>45992</v>
      </c>
      <c r="P45" s="8" t="n">
        <v>46538</v>
      </c>
      <c r="Q45" s="7">
        <f>IF(OR($O45="",$P45=""),"",(YEAR($P45)-YEAR($O45))*12+MONTH($P45)-MONTH($O45)+1)</f>
        <v/>
      </c>
      <c r="R45" s="7" t="inlineStr">
        <is>
          <t>Active</t>
        </is>
      </c>
      <c r="S45" s="7" t="n"/>
      <c r="T45" s="7" t="n"/>
      <c r="U45" s="7" t="n"/>
      <c r="V45" s="7" t="n"/>
      <c r="W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Biosimilar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 outsourcing</t>
        </is>
      </c>
      <c r="G46" s="7" t="inlineStr">
        <is>
          <t>by SB</t>
        </is>
      </c>
      <c r="H46" s="7" t="inlineStr">
        <is>
          <t>by CRO</t>
        </is>
      </c>
      <c r="I46" s="7" t="inlineStr">
        <is>
          <t>by SB</t>
        </is>
      </c>
      <c r="J46" s="7" t="inlineStr">
        <is>
          <t>by CRO</t>
        </is>
      </c>
      <c r="K46" s="7" t="inlineStr">
        <is>
          <t>Veeva EDC</t>
        </is>
      </c>
      <c r="L46" s="7" t="inlineStr">
        <is>
          <t>Veeva DQS</t>
        </is>
      </c>
      <c r="M46" s="7" t="inlineStr">
        <is>
          <t>CluePoints</t>
        </is>
      </c>
      <c r="N46" s="7" t="n">
        <v>5</v>
      </c>
      <c r="O46" s="8" t="n">
        <v>46082</v>
      </c>
      <c r="P46" s="8" t="n">
        <v>46630</v>
      </c>
      <c r="Q46" s="7">
        <f>IF(OR($O46="",$P46=""),"",(YEAR($P46)-YEAR($O46))*12+MONTH($P46)-MONTH($O46)+1)</f>
        <v/>
      </c>
      <c r="R46" s="7" t="inlineStr">
        <is>
          <t>Active</t>
        </is>
      </c>
      <c r="S46" s="7" t="n"/>
      <c r="T46" s="7" t="n"/>
      <c r="U46" s="7" t="n"/>
      <c r="V46" s="7" t="n"/>
      <c r="W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NewDrug CT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Partial outsourcing</t>
        </is>
      </c>
      <c r="G47" s="7" t="inlineStr">
        <is>
          <t>by CRO</t>
        </is>
      </c>
      <c r="H47" s="7" t="inlineStr">
        <is>
          <t>by SB</t>
        </is>
      </c>
      <c r="I47" s="7" t="inlineStr">
        <is>
          <t>by CRO</t>
        </is>
      </c>
      <c r="J47" s="7" t="inlineStr">
        <is>
          <t>by SB</t>
        </is>
      </c>
      <c r="K47" s="7" t="inlineStr">
        <is>
          <t>Rave</t>
        </is>
      </c>
      <c r="L47" s="7" t="inlineStr">
        <is>
          <t>Medidata CDS</t>
        </is>
      </c>
      <c r="M47" s="7" t="inlineStr">
        <is>
          <t>Medidata CDS</t>
        </is>
      </c>
      <c r="N47" s="7" t="n">
        <v>7</v>
      </c>
      <c r="O47" s="8" t="n">
        <v>46143</v>
      </c>
      <c r="P47" s="8" t="n">
        <v>47057</v>
      </c>
      <c r="Q47" s="7">
        <f>IF(OR($O47="",$P47=""),"",(YEAR($P47)-YEAR($O47))*12+MONTH($P47)-MONTH($O47)+1)</f>
        <v/>
      </c>
      <c r="R47" s="7" t="inlineStr">
        <is>
          <t>On hold</t>
        </is>
      </c>
      <c r="S47" s="7" t="n"/>
      <c r="T47" s="7" t="n"/>
      <c r="U47" s="7" t="n"/>
      <c r="V47" s="7" t="n"/>
      <c r="W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NewDrug CT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Full In-house</t>
        </is>
      </c>
      <c r="G48" s="7" t="inlineStr">
        <is>
          <t>by SB</t>
        </is>
      </c>
      <c r="H48" s="7" t="inlineStr">
        <is>
          <t>by CRO</t>
        </is>
      </c>
      <c r="I48" s="7" t="inlineStr">
        <is>
          <t>by SB</t>
        </is>
      </c>
      <c r="J48" s="7" t="inlineStr">
        <is>
          <t>by CRO</t>
        </is>
      </c>
      <c r="K48" s="7" t="inlineStr">
        <is>
          <t>eSOURCE</t>
        </is>
      </c>
      <c r="L48" s="7" t="inlineStr">
        <is>
          <t>No system (manual)</t>
        </is>
      </c>
      <c r="M48" s="7" t="inlineStr">
        <is>
          <t>No system (manual)</t>
        </is>
      </c>
      <c r="N48" s="7" t="n">
        <v>6</v>
      </c>
      <c r="O48" s="8" t="n">
        <v>46357</v>
      </c>
      <c r="P48" s="8" t="n">
        <v>47452</v>
      </c>
      <c r="Q48" s="7">
        <f>IF(OR($O48="",$P48=""),"",(YEAR($P48)-YEAR($O48))*12+MONTH($P48)-MONTH($O48)+1)</f>
        <v/>
      </c>
      <c r="R48" s="7" t="inlineStr">
        <is>
          <t>Completed</t>
        </is>
      </c>
      <c r="S48" s="7" t="n"/>
      <c r="T48" s="7" t="n"/>
      <c r="U48" s="7" t="n"/>
      <c r="V48" s="7" t="n"/>
      <c r="W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Biosimilar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 outsourcing</t>
        </is>
      </c>
      <c r="G49" s="7" t="inlineStr">
        <is>
          <t>by CRO</t>
        </is>
      </c>
      <c r="H49" s="7" t="inlineStr">
        <is>
          <t>by SB</t>
        </is>
      </c>
      <c r="I49" s="7" t="inlineStr">
        <is>
          <t>by CRO</t>
        </is>
      </c>
      <c r="J49" s="7" t="inlineStr">
        <is>
          <t>by SB</t>
        </is>
      </c>
      <c r="K49" s="7" t="inlineStr">
        <is>
          <t>Veeva EDC</t>
        </is>
      </c>
      <c r="L49" s="7" t="inlineStr">
        <is>
          <t>Veeva DQS</t>
        </is>
      </c>
      <c r="M49" s="7" t="inlineStr">
        <is>
          <t>CluePoints</t>
        </is>
      </c>
      <c r="N49" s="7" t="n">
        <v>7</v>
      </c>
      <c r="O49" s="8" t="n">
        <v>46661</v>
      </c>
      <c r="P49" s="8" t="n">
        <v>47756</v>
      </c>
      <c r="Q49" s="7">
        <f>IF(OR($O49="",$P49=""),"",(YEAR($P49)-YEAR($O49))*12+MONTH($P49)-MONTH($O49)+1)</f>
        <v/>
      </c>
      <c r="R49" s="7" t="inlineStr">
        <is>
          <t>Planned</t>
        </is>
      </c>
      <c r="S49" s="7" t="n"/>
      <c r="T49" s="7" t="n"/>
      <c r="U49" s="7" t="n"/>
      <c r="V49" s="7" t="n"/>
      <c r="W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NewDrug CT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Partial outsourcing</t>
        </is>
      </c>
      <c r="G50" s="7" t="inlineStr">
        <is>
          <t>by SB</t>
        </is>
      </c>
      <c r="H50" s="7" t="inlineStr">
        <is>
          <t>by CRO</t>
        </is>
      </c>
      <c r="I50" s="7" t="inlineStr">
        <is>
          <t>by SB</t>
        </is>
      </c>
      <c r="J50" s="7" t="inlineStr">
        <is>
          <t>by CRO</t>
        </is>
      </c>
      <c r="K50" s="7" t="inlineStr">
        <is>
          <t>Rave</t>
        </is>
      </c>
      <c r="L50" s="7" t="inlineStr">
        <is>
          <t>Medidata CDS</t>
        </is>
      </c>
      <c r="M50" s="7" t="inlineStr">
        <is>
          <t>Medidata CDS</t>
        </is>
      </c>
      <c r="N50" s="7" t="n">
        <v>4</v>
      </c>
      <c r="O50" s="8" t="n">
        <v>46722</v>
      </c>
      <c r="P50" s="8" t="n">
        <v>47452</v>
      </c>
      <c r="Q50" s="7">
        <f>IF(OR($O50="",$P50=""),"",(YEAR($P50)-YEAR($O50))*12+MONTH($P50)-MONTH($O50)+1)</f>
        <v/>
      </c>
      <c r="R50" s="7" t="inlineStr">
        <is>
          <t>Active</t>
        </is>
      </c>
      <c r="S50" s="7" t="n"/>
      <c r="T50" s="7" t="n"/>
      <c r="U50" s="7" t="n"/>
      <c r="V50" s="7" t="n"/>
      <c r="W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NewDrug CT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Full In-house</t>
        </is>
      </c>
      <c r="G51" s="7" t="inlineStr">
        <is>
          <t>by CRO</t>
        </is>
      </c>
      <c r="H51" s="7" t="inlineStr">
        <is>
          <t>by SB</t>
        </is>
      </c>
      <c r="I51" s="7" t="inlineStr">
        <is>
          <t>by CRO</t>
        </is>
      </c>
      <c r="J51" s="7" t="inlineStr">
        <is>
          <t>by SB</t>
        </is>
      </c>
      <c r="K51" s="7" t="inlineStr">
        <is>
          <t>eSOURCE</t>
        </is>
      </c>
      <c r="L51" s="7" t="inlineStr">
        <is>
          <t>No system (manual)</t>
        </is>
      </c>
      <c r="M51" s="7" t="inlineStr">
        <is>
          <t>No system (manual)</t>
        </is>
      </c>
      <c r="N51" s="7" t="n">
        <v>8</v>
      </c>
      <c r="O51" s="8" t="n">
        <v>45717</v>
      </c>
      <c r="P51" s="8" t="n">
        <v>46630</v>
      </c>
      <c r="Q51" s="7">
        <f>IF(OR($O51="",$P51=""),"",(YEAR($P51)-YEAR($O51))*12+MONTH($P51)-MONTH($O51)+1)</f>
        <v/>
      </c>
      <c r="R51" s="7" t="inlineStr">
        <is>
          <t>Active</t>
        </is>
      </c>
      <c r="S51" s="7" t="n"/>
      <c r="T51" s="7" t="n"/>
      <c r="U51" s="7" t="n"/>
      <c r="V51" s="7" t="n"/>
      <c r="W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 outsourcing</t>
        </is>
      </c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n">
        <v>3</v>
      </c>
      <c r="O52" s="8" t="n">
        <v>46692</v>
      </c>
      <c r="P52" s="8" t="n">
        <v>47238</v>
      </c>
      <c r="Q52" s="7">
        <f>IF(OR($O52="",$P52=""),"",(YEAR($P52)-YEAR($O52))*12+MONTH($P52)-MONTH($O52)+1)</f>
        <v/>
      </c>
      <c r="R52" s="7" t="inlineStr">
        <is>
          <t>Completed</t>
        </is>
      </c>
      <c r="S52" s="7" t="n"/>
      <c r="T52" s="7" t="n"/>
      <c r="U52" s="7" t="n"/>
      <c r="V52" s="7" t="n"/>
      <c r="W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Partial outsourcing</t>
        </is>
      </c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n">
        <v>4</v>
      </c>
      <c r="O53" s="8" t="n">
        <v>46722</v>
      </c>
      <c r="P53" s="8" t="n">
        <v>46996</v>
      </c>
      <c r="Q53" s="7">
        <f>IF(OR($O53="",$P53=""),"",(YEAR($P53)-YEAR($O53))*12+MONTH($P53)-MONTH($O53)+1)</f>
        <v/>
      </c>
      <c r="R53" s="7" t="inlineStr">
        <is>
          <t>Planned</t>
        </is>
      </c>
      <c r="S53" s="7" t="n"/>
      <c r="T53" s="7" t="n"/>
      <c r="U53" s="7" t="n"/>
      <c r="V53" s="7" t="n"/>
      <c r="W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Full In-house</t>
        </is>
      </c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n">
        <v>3</v>
      </c>
      <c r="O54" s="8" t="n">
        <v>46388</v>
      </c>
      <c r="P54" s="8" t="n">
        <v>46752</v>
      </c>
      <c r="Q54" s="7">
        <f>IF(OR($O54="",$P54=""),"",(YEAR($P54)-YEAR($O54))*12+MONTH($P54)-MONTH($O54)+1)</f>
        <v/>
      </c>
      <c r="R54" s="7" t="inlineStr">
        <is>
          <t>Active</t>
        </is>
      </c>
      <c r="S54" s="7" t="n"/>
      <c r="T54" s="7" t="n"/>
      <c r="U54" s="7" t="n"/>
      <c r="V54" s="7" t="n"/>
      <c r="W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 outsourcing</t>
        </is>
      </c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n">
        <v>3</v>
      </c>
      <c r="O55" s="8" t="n">
        <v>46478</v>
      </c>
      <c r="P55" s="8" t="n">
        <v>47026</v>
      </c>
      <c r="Q55" s="7">
        <f>IF(OR($O55="",$P55=""),"",(YEAR($P55)-YEAR($O55))*12+MONTH($P55)-MONTH($O55)+1)</f>
        <v/>
      </c>
      <c r="R55" s="7" t="inlineStr">
        <is>
          <t>Active</t>
        </is>
      </c>
      <c r="S55" s="7" t="n"/>
      <c r="T55" s="7" t="n"/>
      <c r="U55" s="7" t="n"/>
      <c r="V55" s="7" t="n"/>
      <c r="W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Partial outsourcing</t>
        </is>
      </c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n">
        <v>5</v>
      </c>
      <c r="O56" s="8" t="n">
        <v>46508</v>
      </c>
      <c r="P56" s="8" t="n">
        <v>46783</v>
      </c>
      <c r="Q56" s="7">
        <f>IF(OR($O56="",$P56=""),"",(YEAR($P56)-YEAR($O56))*12+MONTH($P56)-MONTH($O56)+1)</f>
        <v/>
      </c>
      <c r="R56" s="7" t="inlineStr">
        <is>
          <t>Completed</t>
        </is>
      </c>
      <c r="S56" s="7" t="n"/>
      <c r="T56" s="7" t="n"/>
      <c r="U56" s="7" t="n"/>
      <c r="V56" s="7" t="n"/>
      <c r="W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Full In-house</t>
        </is>
      </c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n">
        <v>3</v>
      </c>
      <c r="O57" s="8" t="n">
        <v>45931</v>
      </c>
      <c r="P57" s="8" t="n">
        <v>46477</v>
      </c>
      <c r="Q57" s="7">
        <f>IF(OR($O57="",$P57=""),"",(YEAR($P57)-YEAR($O57))*12+MONTH($P57)-MONTH($O57)+1)</f>
        <v/>
      </c>
      <c r="R57" s="7" t="inlineStr">
        <is>
          <t>Planned</t>
        </is>
      </c>
      <c r="S57" s="7" t="n"/>
      <c r="T57" s="7" t="n"/>
      <c r="U57" s="7" t="n"/>
      <c r="V57" s="7" t="n"/>
      <c r="W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 outsourcing</t>
        </is>
      </c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n">
        <v>4</v>
      </c>
      <c r="O58" s="8" t="n">
        <v>46722</v>
      </c>
      <c r="P58" s="8" t="n">
        <v>46904</v>
      </c>
      <c r="Q58" s="7">
        <f>IF(OR($O58="",$P58=""),"",(YEAR($P58)-YEAR($O58))*12+MONTH($P58)-MONTH($O58)+1)</f>
        <v/>
      </c>
      <c r="R58" s="7" t="inlineStr">
        <is>
          <t>Active</t>
        </is>
      </c>
      <c r="S58" s="7" t="n"/>
      <c r="T58" s="7" t="n"/>
      <c r="U58" s="7" t="n"/>
      <c r="V58" s="7" t="n"/>
      <c r="W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Partial outsourcing</t>
        </is>
      </c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n">
        <v>4</v>
      </c>
      <c r="O59" s="8" t="n">
        <v>45870</v>
      </c>
      <c r="P59" s="8" t="n">
        <v>46418</v>
      </c>
      <c r="Q59" s="7">
        <f>IF(OR($O59="",$P59=""),"",(YEAR($P59)-YEAR($O59))*12+MONTH($P59)-MONTH($O59)+1)</f>
        <v/>
      </c>
      <c r="R59" s="7" t="inlineStr">
        <is>
          <t>Active</t>
        </is>
      </c>
      <c r="S59" s="7" t="n"/>
      <c r="T59" s="7" t="n"/>
      <c r="U59" s="7" t="n"/>
      <c r="V59" s="7" t="n"/>
      <c r="W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Full In-house</t>
        </is>
      </c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n">
        <v>5</v>
      </c>
      <c r="O60" s="8" t="n">
        <v>46753</v>
      </c>
      <c r="P60" s="8" t="n">
        <v>47118</v>
      </c>
      <c r="Q60" s="7">
        <f>IF(OR($O60="",$P60=""),"",(YEAR($P60)-YEAR($O60))*12+MONTH($P60)-MONTH($O60)+1)</f>
        <v/>
      </c>
      <c r="R60" s="7" t="inlineStr">
        <is>
          <t>Completed</t>
        </is>
      </c>
      <c r="S60" s="7" t="n"/>
      <c r="T60" s="7" t="n"/>
      <c r="U60" s="7" t="n"/>
      <c r="V60" s="7" t="n"/>
      <c r="W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 outsourcing</t>
        </is>
      </c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n">
        <v>3</v>
      </c>
      <c r="O61" s="8" t="n">
        <v>46905</v>
      </c>
      <c r="P61" s="8" t="n">
        <v>47177</v>
      </c>
      <c r="Q61" s="7">
        <f>IF(OR($O61="",$P61=""),"",(YEAR($P61)-YEAR($O61))*12+MONTH($P61)-MONTH($O61)+1)</f>
        <v/>
      </c>
      <c r="R61" s="7" t="inlineStr">
        <is>
          <t>Planned</t>
        </is>
      </c>
      <c r="S61" s="7" t="n"/>
      <c r="T61" s="7" t="n"/>
      <c r="U61" s="7" t="n"/>
      <c r="V61" s="7" t="n"/>
      <c r="W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Partial outsourcing</t>
        </is>
      </c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n">
        <v>2</v>
      </c>
      <c r="O62" s="8" t="n">
        <v>46204</v>
      </c>
      <c r="P62" s="8" t="n">
        <v>46752</v>
      </c>
      <c r="Q62" s="7">
        <f>IF(OR($O62="",$P62=""),"",(YEAR($P62)-YEAR($O62))*12+MONTH($P62)-MONTH($O62)+1)</f>
        <v/>
      </c>
      <c r="R62" s="7" t="inlineStr">
        <is>
          <t>Active</t>
        </is>
      </c>
      <c r="S62" s="7" t="n"/>
      <c r="T62" s="7" t="n"/>
      <c r="U62" s="7" t="n"/>
      <c r="V62" s="7" t="n"/>
      <c r="W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Full In-house</t>
        </is>
      </c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n">
        <v>4</v>
      </c>
      <c r="O63" s="8" t="n">
        <v>46419</v>
      </c>
      <c r="P63" s="8" t="n">
        <v>46965</v>
      </c>
      <c r="Q63" s="7">
        <f>IF(OR($O63="",$P63=""),"",(YEAR($P63)-YEAR($O63))*12+MONTH($P63)-MONTH($O63)+1)</f>
        <v/>
      </c>
      <c r="R63" s="7" t="inlineStr">
        <is>
          <t>Active</t>
        </is>
      </c>
      <c r="S63" s="7" t="n"/>
      <c r="T63" s="7" t="n"/>
      <c r="U63" s="7" t="n"/>
      <c r="V63" s="7" t="n"/>
      <c r="W63" s="7" t="n"/>
    </row>
  </sheetData>
  <dataValidations count="11">
    <dataValidation sqref="C2:C400" showDropDown="0" showInputMessage="0" showErrorMessage="0" allowBlank="1" type="list">
      <formula1>Lists!$B$2:$B$4</formula1>
    </dataValidation>
    <dataValidation sqref="E2:E400" showDropDown="0" showInputMessage="0" showErrorMessage="0" allowBlank="1" type="list">
      <formula1>Lists!$B$5:$B$8</formula1>
    </dataValidation>
    <dataValidation sqref="F2:F400" showDropDown="0" showInputMessage="0" showErrorMessage="0" allowBlank="1" type="list">
      <formula1>Lists!$B$9:$B$11</formula1>
    </dataValidation>
    <dataValidation sqref="G2:G400" showDropDown="0" showInputMessage="0" showErrorMessage="0" allowBlank="1" type="list">
      <formula1>Lists!$B$12:$B$13</formula1>
    </dataValidation>
    <dataValidation sqref="H2:H400" showDropDown="0" showInputMessage="0" showErrorMessage="0" allowBlank="1" type="list">
      <formula1>Lists!$B$12:$B$13</formula1>
    </dataValidation>
    <dataValidation sqref="I2:I400" showDropDown="0" showInputMessage="0" showErrorMessage="0" allowBlank="1" type="list">
      <formula1>Lists!$B$12:$B$13</formula1>
    </dataValidation>
    <dataValidation sqref="J2:J400" showDropDown="0" showInputMessage="0" showErrorMessage="0" allowBlank="1" type="list">
      <formula1>Lists!$B$12:$B$13</formula1>
    </dataValidation>
    <dataValidation sqref="K2:K400" showDropDown="0" showInputMessage="0" showErrorMessage="0" allowBlank="1" type="list">
      <formula1>Lists!$B$14:$B$16</formula1>
    </dataValidation>
    <dataValidation sqref="L2:L400" showDropDown="0" showInputMessage="0" showErrorMessage="0" allowBlank="1" type="list">
      <formula1>Lists!$B$17:$B$19</formula1>
    </dataValidation>
    <dataValidation sqref="M2:M400" showDropDown="0" showInputMessage="0" showErrorMessage="0" allowBlank="1" type="list">
      <formula1>Lists!$B$20:$B$22</formula1>
    </dataValidation>
    <dataValidation sqref="R2:R400" showDropDown="0" showInputMessage="0" showErrorMessage="0" allowBlank="1" type="list">
      <formula1>Lists!$B$23:$B$26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7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7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7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7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7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7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7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7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7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7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7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7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7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7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7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7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7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7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7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7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7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7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7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7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7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7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7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7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7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7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7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7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7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7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7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7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7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7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7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7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7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7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7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7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7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7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7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7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7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7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7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7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7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7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7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7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7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7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7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7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7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7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7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7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7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7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7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7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7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7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7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7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7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7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7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7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7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7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7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7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7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7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7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7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7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7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7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7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7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7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7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7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7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7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7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7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7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7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7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7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7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7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7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7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7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7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7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7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7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7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7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7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7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7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7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7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7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7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7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7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7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7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7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7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7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7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7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7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7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7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7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7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7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7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7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7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7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7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7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7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7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7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7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7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7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7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7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7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7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7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7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7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7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7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7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7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7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7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7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7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7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7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7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7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7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7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7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7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7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7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7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7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7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7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7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7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7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7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7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7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7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7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7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7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7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7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7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7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7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7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7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7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7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7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7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7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7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7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7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7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7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7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7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7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7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7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7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7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7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7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7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7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7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7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7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7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7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7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7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7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7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7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7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7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7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7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7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7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7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7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7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7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7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7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7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7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7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7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7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7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7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7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7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7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7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7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7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7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7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7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7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7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7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7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7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7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7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7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7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7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7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7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7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7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7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7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7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7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7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7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7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7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7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7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7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7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7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7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7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7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7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7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7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7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7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7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7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7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7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7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7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7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7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7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7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7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7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7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7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7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7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7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7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7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7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7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7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7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7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7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7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7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7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7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7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7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7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7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7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7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7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7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7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7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7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7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7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7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7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7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7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7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7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7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7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7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7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7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7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7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7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7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7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7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7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7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7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7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7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7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7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7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7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7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7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7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7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7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7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7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7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7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7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7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7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7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7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7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7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7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7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</sheetData>
  <dataValidations count="1">
    <dataValidation sqref="C2:C400" showDropDown="0" showInputMessage="0" showErrorMessage="0" allowBlank="1" type="list">
      <formula1>Lists!$B$27:$B$36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6" t="inlineStr">
        <is>
          <t>PRJ-001</t>
        </is>
      </c>
      <c r="B2" s="7" t="inlineStr">
        <is>
          <t>Before-Start-up</t>
        </is>
      </c>
      <c r="C2" s="6" t="n">
        <v>1</v>
      </c>
      <c r="D2" s="8" t="n">
        <v>46722</v>
      </c>
      <c r="E2" s="8" t="n">
        <v>46753</v>
      </c>
      <c r="F2" s="7" t="n">
        <v>0.6</v>
      </c>
      <c r="G2" s="7" t="inlineStr">
        <is>
          <t>Derived from milestones</t>
        </is>
      </c>
    </row>
    <row r="3">
      <c r="A3" s="6" t="inlineStr">
        <is>
          <t>PRJ-001</t>
        </is>
      </c>
      <c r="B3" s="7" t="inlineStr">
        <is>
          <t>Start-up</t>
        </is>
      </c>
      <c r="C3" s="6" t="n">
        <v>2</v>
      </c>
      <c r="D3" s="8" t="n">
        <v>46754</v>
      </c>
      <c r="E3" s="8" t="n">
        <v>46935</v>
      </c>
      <c r="F3" s="7" t="n">
        <v>1.3</v>
      </c>
      <c r="G3" s="7" t="inlineStr">
        <is>
          <t>Derived from milestones</t>
        </is>
      </c>
    </row>
    <row r="4">
      <c r="A4" s="6" t="inlineStr">
        <is>
          <t>PRJ-001</t>
        </is>
      </c>
      <c r="B4" s="7" t="inlineStr">
        <is>
          <t>Conduct (interim)</t>
        </is>
      </c>
      <c r="C4" s="6" t="n">
        <v>3</v>
      </c>
      <c r="D4" s="8" t="n">
        <v>46936</v>
      </c>
      <c r="E4" s="8" t="n">
        <v>47238</v>
      </c>
      <c r="F4" s="7" t="n">
        <v>1</v>
      </c>
      <c r="G4" s="7" t="inlineStr">
        <is>
          <t>Derived from milestones</t>
        </is>
      </c>
    </row>
    <row r="5">
      <c r="A5" s="6" t="inlineStr">
        <is>
          <t>PRJ-001</t>
        </is>
      </c>
      <c r="B5" s="7" t="inlineStr">
        <is>
          <t>Close-out (interim)</t>
        </is>
      </c>
      <c r="C5" s="6" t="n">
        <v>4</v>
      </c>
      <c r="D5" s="8" t="n">
        <v>47239</v>
      </c>
      <c r="E5" s="8" t="n">
        <v>47331</v>
      </c>
      <c r="F5" s="7" t="n">
        <v>1.2</v>
      </c>
      <c r="G5" s="7" t="inlineStr">
        <is>
          <t>Derived from milestones</t>
        </is>
      </c>
    </row>
    <row r="6">
      <c r="A6" s="6" t="inlineStr">
        <is>
          <t>PRJ-001</t>
        </is>
      </c>
      <c r="B6" s="7" t="inlineStr">
        <is>
          <t>Conduct (final)</t>
        </is>
      </c>
      <c r="C6" s="6" t="n">
        <v>5</v>
      </c>
      <c r="D6" s="8" t="n">
        <v>47332</v>
      </c>
      <c r="E6" s="8" t="n">
        <v>47483</v>
      </c>
      <c r="F6" s="7" t="n">
        <v>1</v>
      </c>
      <c r="G6" s="7" t="inlineStr">
        <is>
          <t>Derived from milestones</t>
        </is>
      </c>
    </row>
    <row r="7">
      <c r="A7" s="6" t="inlineStr">
        <is>
          <t>PRJ-001</t>
        </is>
      </c>
      <c r="B7" s="7" t="inlineStr">
        <is>
          <t>Close-out (final)</t>
        </is>
      </c>
      <c r="C7" s="6" t="n">
        <v>6</v>
      </c>
      <c r="D7" s="8" t="n">
        <v>47484</v>
      </c>
      <c r="E7" s="8" t="n">
        <v>47634</v>
      </c>
      <c r="F7" s="7" t="n">
        <v>1.4</v>
      </c>
      <c r="G7" s="7" t="inlineStr">
        <is>
          <t>Derived from milestones</t>
        </is>
      </c>
    </row>
    <row r="8">
      <c r="A8" s="6" t="inlineStr">
        <is>
          <t>PRJ-002</t>
        </is>
      </c>
      <c r="B8" s="7" t="inlineStr">
        <is>
          <t>Before-Start-up</t>
        </is>
      </c>
      <c r="C8" s="6" t="n">
        <v>1</v>
      </c>
      <c r="D8" s="8" t="n">
        <v>45931</v>
      </c>
      <c r="E8" s="8" t="n">
        <v>45962</v>
      </c>
      <c r="F8" s="7" t="n">
        <v>0.7</v>
      </c>
      <c r="G8" s="7" t="inlineStr">
        <is>
          <t>Derived from milestones</t>
        </is>
      </c>
    </row>
    <row r="9">
      <c r="A9" s="6" t="inlineStr">
        <is>
          <t>PRJ-002</t>
        </is>
      </c>
      <c r="B9" s="7" t="inlineStr">
        <is>
          <t>Start-up</t>
        </is>
      </c>
      <c r="C9" s="6" t="n">
        <v>2</v>
      </c>
      <c r="D9" s="8" t="n">
        <v>45963</v>
      </c>
      <c r="E9" s="8" t="n">
        <v>46143</v>
      </c>
      <c r="F9" s="7" t="n">
        <v>1.4</v>
      </c>
      <c r="G9" s="7" t="inlineStr">
        <is>
          <t>Derived from milestones</t>
        </is>
      </c>
    </row>
    <row r="10">
      <c r="A10" s="6" t="inlineStr">
        <is>
          <t>PRJ-002</t>
        </is>
      </c>
      <c r="B10" s="7" t="inlineStr">
        <is>
          <t>Conduct (interim)</t>
        </is>
      </c>
      <c r="C10" s="6" t="n">
        <v>3</v>
      </c>
      <c r="D10" s="8" t="n">
        <v>46144</v>
      </c>
      <c r="E10" s="8" t="n">
        <v>46203</v>
      </c>
      <c r="F10" s="7" t="n">
        <v>1.1</v>
      </c>
      <c r="G10" s="7" t="inlineStr">
        <is>
          <t>Derived from milestones</t>
        </is>
      </c>
    </row>
    <row r="11">
      <c r="A11" s="6" t="inlineStr">
        <is>
          <t>PRJ-002</t>
        </is>
      </c>
      <c r="B11" s="7" t="inlineStr">
        <is>
          <t>Close-out (interim)</t>
        </is>
      </c>
      <c r="C11" s="6" t="n">
        <v>4</v>
      </c>
      <c r="D11" s="8" t="n">
        <v>46204</v>
      </c>
      <c r="E11" s="8" t="n">
        <v>46296</v>
      </c>
      <c r="F11" s="7" t="n">
        <v>1.3</v>
      </c>
      <c r="G11" s="7" t="inlineStr">
        <is>
          <t>Derived from milestones</t>
        </is>
      </c>
    </row>
    <row r="12">
      <c r="A12" s="6" t="inlineStr">
        <is>
          <t>PRJ-002</t>
        </is>
      </c>
      <c r="B12" s="7" t="inlineStr">
        <is>
          <t>Conduct (final)</t>
        </is>
      </c>
      <c r="C12" s="6" t="n">
        <v>5</v>
      </c>
      <c r="D12" s="8" t="n">
        <v>46297</v>
      </c>
      <c r="E12" s="8" t="n">
        <v>46326</v>
      </c>
      <c r="F12" s="7" t="n">
        <v>1.1</v>
      </c>
      <c r="G12" s="7" t="inlineStr">
        <is>
          <t>Derived from milestones</t>
        </is>
      </c>
    </row>
    <row r="13">
      <c r="A13" s="6" t="inlineStr">
        <is>
          <t>PRJ-002</t>
        </is>
      </c>
      <c r="B13" s="7" t="inlineStr">
        <is>
          <t>Close-out (final)</t>
        </is>
      </c>
      <c r="C13" s="6" t="n">
        <v>6</v>
      </c>
      <c r="D13" s="8" t="n">
        <v>46327</v>
      </c>
      <c r="E13" s="8" t="n">
        <v>46477</v>
      </c>
      <c r="F13" s="7" t="n">
        <v>1.5</v>
      </c>
      <c r="G13" s="7" t="inlineStr">
        <is>
          <t>Derived from milestones</t>
        </is>
      </c>
    </row>
    <row r="14">
      <c r="A14" s="6" t="inlineStr">
        <is>
          <t>PRJ-003</t>
        </is>
      </c>
      <c r="B14" s="7" t="inlineStr">
        <is>
          <t>Before-Start-up</t>
        </is>
      </c>
      <c r="C14" s="6" t="n">
        <v>1</v>
      </c>
      <c r="D14" s="8" t="n">
        <v>46082</v>
      </c>
      <c r="E14" s="8" t="n">
        <v>46113</v>
      </c>
      <c r="F14" s="7" t="n">
        <v>0.68</v>
      </c>
      <c r="G14" s="7" t="inlineStr">
        <is>
          <t>Derived from milestones</t>
        </is>
      </c>
    </row>
    <row r="15">
      <c r="A15" s="6" t="inlineStr">
        <is>
          <t>PRJ-003</t>
        </is>
      </c>
      <c r="B15" s="7" t="inlineStr">
        <is>
          <t>Start-up</t>
        </is>
      </c>
      <c r="C15" s="6" t="n">
        <v>2</v>
      </c>
      <c r="D15" s="8" t="n">
        <v>46114</v>
      </c>
      <c r="E15" s="8" t="n">
        <v>46296</v>
      </c>
      <c r="F15" s="7" t="n">
        <v>1.36</v>
      </c>
      <c r="G15" s="7" t="inlineStr">
        <is>
          <t>Derived from milestones</t>
        </is>
      </c>
    </row>
    <row r="16">
      <c r="A16" s="6" t="inlineStr">
        <is>
          <t>PRJ-003</t>
        </is>
      </c>
      <c r="B16" s="7" t="inlineStr">
        <is>
          <t>Conduct (final)</t>
        </is>
      </c>
      <c r="C16" s="6" t="n">
        <v>3</v>
      </c>
      <c r="D16" s="8" t="n">
        <v>46297</v>
      </c>
      <c r="E16" s="8" t="n">
        <v>46843</v>
      </c>
      <c r="F16" s="7" t="n">
        <v>1.02</v>
      </c>
      <c r="G16" s="7" t="inlineStr">
        <is>
          <t>Derived from milestones</t>
        </is>
      </c>
    </row>
    <row r="17">
      <c r="A17" s="6" t="inlineStr">
        <is>
          <t>PRJ-003</t>
        </is>
      </c>
      <c r="B17" s="7" t="inlineStr">
        <is>
          <t>Close-out (final)</t>
        </is>
      </c>
      <c r="C17" s="6" t="n">
        <v>4</v>
      </c>
      <c r="D17" s="8" t="n">
        <v>46844</v>
      </c>
      <c r="E17" s="8" t="n">
        <v>46996</v>
      </c>
      <c r="F17" s="7" t="n">
        <v>1.44</v>
      </c>
      <c r="G17" s="7" t="inlineStr">
        <is>
          <t>Derived from milestones</t>
        </is>
      </c>
    </row>
    <row r="18">
      <c r="A18" s="6" t="inlineStr">
        <is>
          <t>PRJ-004</t>
        </is>
      </c>
      <c r="B18" s="7" t="inlineStr">
        <is>
          <t>Before-Start-up</t>
        </is>
      </c>
      <c r="C18" s="6" t="n">
        <v>1</v>
      </c>
      <c r="D18" s="8" t="n">
        <v>46357</v>
      </c>
      <c r="E18" s="8" t="n">
        <v>46388</v>
      </c>
      <c r="F18" s="7" t="n">
        <v>0.5</v>
      </c>
      <c r="G18" s="7" t="inlineStr">
        <is>
          <t>Derived from milestones</t>
        </is>
      </c>
    </row>
    <row r="19">
      <c r="A19" s="6" t="inlineStr">
        <is>
          <t>PRJ-004</t>
        </is>
      </c>
      <c r="B19" s="7" t="inlineStr">
        <is>
          <t>Start-up</t>
        </is>
      </c>
      <c r="C19" s="6" t="n">
        <v>2</v>
      </c>
      <c r="D19" s="8" t="n">
        <v>46389</v>
      </c>
      <c r="E19" s="8" t="n">
        <v>46569</v>
      </c>
      <c r="F19" s="7" t="n">
        <v>1.1</v>
      </c>
      <c r="G19" s="7" t="inlineStr">
        <is>
          <t>Derived from milestones</t>
        </is>
      </c>
    </row>
    <row r="20">
      <c r="A20" s="6" t="inlineStr">
        <is>
          <t>PRJ-004</t>
        </is>
      </c>
      <c r="B20" s="7" t="inlineStr">
        <is>
          <t>Conduct (final)</t>
        </is>
      </c>
      <c r="C20" s="6" t="n">
        <v>3</v>
      </c>
      <c r="D20" s="8" t="n">
        <v>46570</v>
      </c>
      <c r="E20" s="8" t="n">
        <v>46752</v>
      </c>
      <c r="F20" s="7" t="n">
        <v>0.9</v>
      </c>
      <c r="G20" s="7" t="inlineStr">
        <is>
          <t>Derived from milestones</t>
        </is>
      </c>
    </row>
    <row r="21">
      <c r="A21" s="6" t="inlineStr">
        <is>
          <t>PRJ-004</t>
        </is>
      </c>
      <c r="B21" s="7" t="inlineStr">
        <is>
          <t>Close-out (final)</t>
        </is>
      </c>
      <c r="C21" s="6" t="n">
        <v>4</v>
      </c>
      <c r="D21" s="8" t="n">
        <v>46753</v>
      </c>
      <c r="E21" s="8" t="n">
        <v>46904</v>
      </c>
      <c r="F21" s="7" t="n">
        <v>1.2</v>
      </c>
      <c r="G21" s="7" t="inlineStr">
        <is>
          <t>Derived from milestones</t>
        </is>
      </c>
    </row>
    <row r="22">
      <c r="A22" s="6" t="inlineStr">
        <is>
          <t>PRJ-004</t>
        </is>
      </c>
      <c r="B22" s="7" t="inlineStr">
        <is>
          <t>After Close-out (final)</t>
        </is>
      </c>
      <c r="C22" s="6" t="n">
        <v>5</v>
      </c>
      <c r="D22" s="8" t="n">
        <v>46905</v>
      </c>
      <c r="E22" s="8" t="n">
        <v>46905</v>
      </c>
      <c r="F22" s="7" t="n">
        <v>0.72</v>
      </c>
      <c r="G22" s="7" t="inlineStr">
        <is>
          <t>Derived from milestones</t>
        </is>
      </c>
    </row>
    <row r="23">
      <c r="A23" s="6" t="inlineStr">
        <is>
          <t>PRJ-005</t>
        </is>
      </c>
      <c r="B23" s="7" t="inlineStr">
        <is>
          <t>Before-Start-up</t>
        </is>
      </c>
      <c r="C23" s="6" t="n">
        <v>1</v>
      </c>
      <c r="D23" s="8" t="n">
        <v>45778</v>
      </c>
      <c r="E23" s="8" t="n">
        <v>45809</v>
      </c>
      <c r="F23" s="7" t="n">
        <v>0.6</v>
      </c>
      <c r="G23" s="7" t="inlineStr">
        <is>
          <t>Derived from milestones</t>
        </is>
      </c>
    </row>
    <row r="24">
      <c r="A24" s="6" t="inlineStr">
        <is>
          <t>PRJ-005</t>
        </is>
      </c>
      <c r="B24" s="7" t="inlineStr">
        <is>
          <t>Start-up</t>
        </is>
      </c>
      <c r="C24" s="6" t="n">
        <v>2</v>
      </c>
      <c r="D24" s="8" t="n">
        <v>45810</v>
      </c>
      <c r="E24" s="8" t="n">
        <v>45992</v>
      </c>
      <c r="F24" s="7" t="n">
        <v>1.3</v>
      </c>
      <c r="G24" s="7" t="inlineStr">
        <is>
          <t>Derived from milestones</t>
        </is>
      </c>
    </row>
    <row r="25">
      <c r="A25" s="6" t="inlineStr">
        <is>
          <t>PRJ-005</t>
        </is>
      </c>
      <c r="B25" s="7" t="inlineStr">
        <is>
          <t>Conduct (interim)</t>
        </is>
      </c>
      <c r="C25" s="6" t="n">
        <v>3</v>
      </c>
      <c r="D25" s="8" t="n">
        <v>45993</v>
      </c>
      <c r="E25" s="8" t="n">
        <v>46173</v>
      </c>
      <c r="F25" s="7" t="n">
        <v>1</v>
      </c>
      <c r="G25" s="7" t="inlineStr">
        <is>
          <t>Derived from milestones</t>
        </is>
      </c>
    </row>
    <row r="26">
      <c r="A26" s="6" t="inlineStr">
        <is>
          <t>PRJ-005</t>
        </is>
      </c>
      <c r="B26" s="7" t="inlineStr">
        <is>
          <t>Close-out (interim)</t>
        </is>
      </c>
      <c r="C26" s="6" t="n">
        <v>4</v>
      </c>
      <c r="D26" s="8" t="n">
        <v>46174</v>
      </c>
      <c r="E26" s="8" t="n">
        <v>46266</v>
      </c>
      <c r="F26" s="7" t="n">
        <v>1.2</v>
      </c>
      <c r="G26" s="7" t="inlineStr">
        <is>
          <t>Derived from milestones</t>
        </is>
      </c>
    </row>
    <row r="27">
      <c r="A27" s="6" t="inlineStr">
        <is>
          <t>PRJ-005</t>
        </is>
      </c>
      <c r="B27" s="7" t="inlineStr">
        <is>
          <t>Conduct (final)</t>
        </is>
      </c>
      <c r="C27" s="6" t="n">
        <v>5</v>
      </c>
      <c r="D27" s="8" t="n">
        <v>46267</v>
      </c>
      <c r="E27" s="8" t="n">
        <v>46356</v>
      </c>
      <c r="F27" s="7" t="n">
        <v>1</v>
      </c>
      <c r="G27" s="7" t="inlineStr">
        <is>
          <t>Derived from milestones</t>
        </is>
      </c>
    </row>
    <row r="28">
      <c r="A28" s="6" t="inlineStr">
        <is>
          <t>PRJ-005</t>
        </is>
      </c>
      <c r="B28" s="7" t="inlineStr">
        <is>
          <t>Close-out (final)</t>
        </is>
      </c>
      <c r="C28" s="6" t="n">
        <v>6</v>
      </c>
      <c r="D28" s="8" t="n">
        <v>46357</v>
      </c>
      <c r="E28" s="8" t="n">
        <v>46507</v>
      </c>
      <c r="F28" s="7" t="n">
        <v>1.4</v>
      </c>
      <c r="G28" s="7" t="inlineStr">
        <is>
          <t>Derived from milestones</t>
        </is>
      </c>
    </row>
    <row r="29">
      <c r="A29" s="6" t="inlineStr">
        <is>
          <t>PRJ-006</t>
        </is>
      </c>
      <c r="B29" s="7" t="inlineStr">
        <is>
          <t>Before-Start-up</t>
        </is>
      </c>
      <c r="C29" s="6" t="n">
        <v>1</v>
      </c>
      <c r="D29" s="8" t="n">
        <v>46508</v>
      </c>
      <c r="E29" s="8" t="n">
        <v>46539</v>
      </c>
      <c r="F29" s="7" t="n">
        <v>0.59</v>
      </c>
      <c r="G29" s="7" t="inlineStr">
        <is>
          <t>Derived from milestones</t>
        </is>
      </c>
    </row>
    <row r="30">
      <c r="A30" s="6" t="inlineStr">
        <is>
          <t>PRJ-006</t>
        </is>
      </c>
      <c r="B30" s="7" t="inlineStr">
        <is>
          <t>Start-up</t>
        </is>
      </c>
      <c r="C30" s="6" t="n">
        <v>2</v>
      </c>
      <c r="D30" s="8" t="n">
        <v>46540</v>
      </c>
      <c r="E30" s="8" t="n">
        <v>46722</v>
      </c>
      <c r="F30" s="7" t="n">
        <v>1.19</v>
      </c>
      <c r="G30" s="7" t="inlineStr">
        <is>
          <t>Derived from milestones</t>
        </is>
      </c>
    </row>
    <row r="31">
      <c r="A31" s="6" t="inlineStr">
        <is>
          <t>PRJ-006</t>
        </is>
      </c>
      <c r="B31" s="7" t="inlineStr">
        <is>
          <t>Conduct (interim)</t>
        </is>
      </c>
      <c r="C31" s="6" t="n">
        <v>3</v>
      </c>
      <c r="D31" s="8" t="n">
        <v>46723</v>
      </c>
      <c r="E31" s="8" t="n">
        <v>46904</v>
      </c>
      <c r="F31" s="7" t="n">
        <v>0.9399999999999999</v>
      </c>
      <c r="G31" s="7" t="inlineStr">
        <is>
          <t>Derived from milestones</t>
        </is>
      </c>
    </row>
    <row r="32">
      <c r="A32" s="6" t="inlineStr">
        <is>
          <t>PRJ-006</t>
        </is>
      </c>
      <c r="B32" s="7" t="inlineStr">
        <is>
          <t>Close-out (interim)</t>
        </is>
      </c>
      <c r="C32" s="6" t="n">
        <v>4</v>
      </c>
      <c r="D32" s="8" t="n">
        <v>46905</v>
      </c>
      <c r="E32" s="8" t="n">
        <v>46997</v>
      </c>
      <c r="F32" s="7" t="n">
        <v>1.1</v>
      </c>
      <c r="G32" s="7" t="inlineStr">
        <is>
          <t>Derived from milestones</t>
        </is>
      </c>
    </row>
    <row r="33">
      <c r="A33" s="6" t="inlineStr">
        <is>
          <t>PRJ-006</t>
        </is>
      </c>
      <c r="B33" s="7" t="inlineStr">
        <is>
          <t>Conduct (final)</t>
        </is>
      </c>
      <c r="C33" s="6" t="n">
        <v>5</v>
      </c>
      <c r="D33" s="8" t="n">
        <v>46998</v>
      </c>
      <c r="E33" s="8" t="n">
        <v>47087</v>
      </c>
      <c r="F33" s="7" t="n">
        <v>0.9399999999999999</v>
      </c>
      <c r="G33" s="7" t="inlineStr">
        <is>
          <t>Derived from milestones</t>
        </is>
      </c>
    </row>
    <row r="34">
      <c r="A34" s="6" t="inlineStr">
        <is>
          <t>PRJ-006</t>
        </is>
      </c>
      <c r="B34" s="7" t="inlineStr">
        <is>
          <t>Close-out (final)</t>
        </is>
      </c>
      <c r="C34" s="6" t="n">
        <v>6</v>
      </c>
      <c r="D34" s="8" t="n">
        <v>47088</v>
      </c>
      <c r="E34" s="8" t="n">
        <v>47238</v>
      </c>
      <c r="F34" s="7" t="n">
        <v>1.27</v>
      </c>
      <c r="G34" s="7" t="inlineStr">
        <is>
          <t>Derived from milestones</t>
        </is>
      </c>
    </row>
    <row r="35">
      <c r="A35" s="6" t="inlineStr">
        <is>
          <t>PRJ-007</t>
        </is>
      </c>
      <c r="B35" s="7" t="inlineStr">
        <is>
          <t>Before-Start-up</t>
        </is>
      </c>
      <c r="C35" s="6" t="n">
        <v>1</v>
      </c>
      <c r="D35" s="8" t="n">
        <v>46692</v>
      </c>
      <c r="E35" s="8" t="n">
        <v>46722</v>
      </c>
      <c r="F35" s="7" t="n">
        <v>0.8</v>
      </c>
      <c r="G35" s="7" t="inlineStr">
        <is>
          <t>Derived from milestones</t>
        </is>
      </c>
    </row>
    <row r="36">
      <c r="A36" s="6" t="inlineStr">
        <is>
          <t>PRJ-007</t>
        </is>
      </c>
      <c r="B36" s="7" t="inlineStr">
        <is>
          <t>Start-up</t>
        </is>
      </c>
      <c r="C36" s="6" t="n">
        <v>2</v>
      </c>
      <c r="D36" s="8" t="n">
        <v>46723</v>
      </c>
      <c r="E36" s="8" t="n">
        <v>46905</v>
      </c>
      <c r="F36" s="7" t="n">
        <v>1.6</v>
      </c>
      <c r="G36" s="7" t="inlineStr">
        <is>
          <t>Derived from milestones</t>
        </is>
      </c>
    </row>
    <row r="37">
      <c r="A37" s="6" t="inlineStr">
        <is>
          <t>PRJ-007</t>
        </is>
      </c>
      <c r="B37" s="7" t="inlineStr">
        <is>
          <t>Conduct (interim)</t>
        </is>
      </c>
      <c r="C37" s="6" t="n">
        <v>3</v>
      </c>
      <c r="D37" s="8" t="n">
        <v>46906</v>
      </c>
      <c r="E37" s="8" t="n">
        <v>47208</v>
      </c>
      <c r="F37" s="7" t="n">
        <v>1.2</v>
      </c>
      <c r="G37" s="7" t="inlineStr">
        <is>
          <t>Derived from milestones</t>
        </is>
      </c>
    </row>
    <row r="38">
      <c r="A38" s="6" t="inlineStr">
        <is>
          <t>PRJ-007</t>
        </is>
      </c>
      <c r="B38" s="7" t="inlineStr">
        <is>
          <t>Close-out (interim)</t>
        </is>
      </c>
      <c r="C38" s="6" t="n">
        <v>4</v>
      </c>
      <c r="D38" s="8" t="n">
        <v>47209</v>
      </c>
      <c r="E38" s="8" t="n">
        <v>47300</v>
      </c>
      <c r="F38" s="7" t="n">
        <v>1.4</v>
      </c>
      <c r="G38" s="7" t="inlineStr">
        <is>
          <t>Derived from milestones</t>
        </is>
      </c>
    </row>
    <row r="39">
      <c r="A39" s="6" t="inlineStr">
        <is>
          <t>PRJ-007</t>
        </is>
      </c>
      <c r="B39" s="7" t="inlineStr">
        <is>
          <t>Conduct (final)</t>
        </is>
      </c>
      <c r="C39" s="6" t="n">
        <v>5</v>
      </c>
      <c r="D39" s="8" t="n">
        <v>47301</v>
      </c>
      <c r="E39" s="8" t="n">
        <v>47452</v>
      </c>
      <c r="F39" s="7" t="n">
        <v>1.2</v>
      </c>
      <c r="G39" s="7" t="inlineStr">
        <is>
          <t>Derived from milestones</t>
        </is>
      </c>
    </row>
    <row r="40">
      <c r="A40" s="6" t="inlineStr">
        <is>
          <t>PRJ-007</t>
        </is>
      </c>
      <c r="B40" s="7" t="inlineStr">
        <is>
          <t>Close-out (final)</t>
        </is>
      </c>
      <c r="C40" s="6" t="n">
        <v>6</v>
      </c>
      <c r="D40" s="8" t="n">
        <v>47453</v>
      </c>
      <c r="E40" s="8" t="n">
        <v>47603</v>
      </c>
      <c r="F40" s="7" t="n">
        <v>1.7</v>
      </c>
      <c r="G40" s="7" t="inlineStr">
        <is>
          <t>Derived from milestones</t>
        </is>
      </c>
    </row>
    <row r="41">
      <c r="A41" s="6" t="inlineStr">
        <is>
          <t>PRJ-008</t>
        </is>
      </c>
      <c r="B41" s="7" t="inlineStr">
        <is>
          <t>Before-Start-up</t>
        </is>
      </c>
      <c r="C41" s="6" t="n">
        <v>1</v>
      </c>
      <c r="D41" s="8" t="n">
        <v>46327</v>
      </c>
      <c r="E41" s="8" t="n">
        <v>46357</v>
      </c>
      <c r="F41" s="7" t="n">
        <v>0.5</v>
      </c>
      <c r="G41" s="7" t="inlineStr">
        <is>
          <t>Derived from milestones</t>
        </is>
      </c>
    </row>
    <row r="42">
      <c r="A42" s="6" t="inlineStr">
        <is>
          <t>PRJ-008</t>
        </is>
      </c>
      <c r="B42" s="7" t="inlineStr">
        <is>
          <t>Start-up</t>
        </is>
      </c>
      <c r="C42" s="6" t="n">
        <v>2</v>
      </c>
      <c r="D42" s="8" t="n">
        <v>46358</v>
      </c>
      <c r="E42" s="8" t="n">
        <v>46539</v>
      </c>
      <c r="F42" s="7" t="n">
        <v>1.1</v>
      </c>
      <c r="G42" s="7" t="inlineStr">
        <is>
          <t>Derived from milestones</t>
        </is>
      </c>
    </row>
    <row r="43">
      <c r="A43" s="6" t="inlineStr">
        <is>
          <t>PRJ-008</t>
        </is>
      </c>
      <c r="B43" s="7" t="inlineStr">
        <is>
          <t>Conduct (final)</t>
        </is>
      </c>
      <c r="C43" s="6" t="n">
        <v>3</v>
      </c>
      <c r="D43" s="8" t="n">
        <v>46540</v>
      </c>
      <c r="E43" s="8" t="n">
        <v>46904</v>
      </c>
      <c r="F43" s="7" t="n">
        <v>0.9</v>
      </c>
      <c r="G43" s="7" t="inlineStr">
        <is>
          <t>Derived from milestones</t>
        </is>
      </c>
    </row>
    <row r="44">
      <c r="A44" s="6" t="inlineStr">
        <is>
          <t>PRJ-008</t>
        </is>
      </c>
      <c r="B44" s="7" t="inlineStr">
        <is>
          <t>Close-out (final)</t>
        </is>
      </c>
      <c r="C44" s="6" t="n">
        <v>4</v>
      </c>
      <c r="D44" s="8" t="n">
        <v>46905</v>
      </c>
      <c r="E44" s="8" t="n">
        <v>47057</v>
      </c>
      <c r="F44" s="7" t="n">
        <v>1.2</v>
      </c>
      <c r="G44" s="7" t="inlineStr">
        <is>
          <t>Derived from milestones</t>
        </is>
      </c>
    </row>
    <row r="45">
      <c r="A45" s="6" t="inlineStr">
        <is>
          <t>PRJ-008</t>
        </is>
      </c>
      <c r="B45" s="7" t="inlineStr">
        <is>
          <t>After Close-out (final)</t>
        </is>
      </c>
      <c r="C45" s="6" t="n">
        <v>5</v>
      </c>
      <c r="D45" s="8" t="n">
        <v>47058</v>
      </c>
      <c r="E45" s="8" t="n">
        <v>47058</v>
      </c>
      <c r="F45" s="7" t="n">
        <v>0.72</v>
      </c>
      <c r="G45" s="7" t="inlineStr">
        <is>
          <t>Derived from milestones</t>
        </is>
      </c>
    </row>
    <row r="46">
      <c r="A46" s="6" t="inlineStr">
        <is>
          <t>PRJ-009</t>
        </is>
      </c>
      <c r="B46" s="7" t="inlineStr">
        <is>
          <t>Before-Start-up</t>
        </is>
      </c>
      <c r="C46" s="6" t="n">
        <v>1</v>
      </c>
      <c r="D46" s="8" t="n">
        <v>46113</v>
      </c>
      <c r="E46" s="8" t="n">
        <v>46143</v>
      </c>
      <c r="F46" s="7" t="n">
        <v>0.51</v>
      </c>
      <c r="G46" s="7" t="inlineStr">
        <is>
          <t>Derived from milestones</t>
        </is>
      </c>
    </row>
    <row r="47">
      <c r="A47" s="6" t="inlineStr">
        <is>
          <t>PRJ-009</t>
        </is>
      </c>
      <c r="B47" s="7" t="inlineStr">
        <is>
          <t>Start-up</t>
        </is>
      </c>
      <c r="C47" s="6" t="n">
        <v>2</v>
      </c>
      <c r="D47" s="8" t="n">
        <v>46144</v>
      </c>
      <c r="E47" s="8" t="n">
        <v>46327</v>
      </c>
      <c r="F47" s="7" t="n">
        <v>1.1</v>
      </c>
      <c r="G47" s="7" t="inlineStr">
        <is>
          <t>Derived from milestones</t>
        </is>
      </c>
    </row>
    <row r="48">
      <c r="A48" s="6" t="inlineStr">
        <is>
          <t>PRJ-009</t>
        </is>
      </c>
      <c r="B48" s="7" t="inlineStr">
        <is>
          <t>Conduct (final)</t>
        </is>
      </c>
      <c r="C48" s="6" t="n">
        <v>3</v>
      </c>
      <c r="D48" s="8" t="n">
        <v>46328</v>
      </c>
      <c r="E48" s="8" t="n">
        <v>46691</v>
      </c>
      <c r="F48" s="7" t="n">
        <v>0.85</v>
      </c>
      <c r="G48" s="7" t="inlineStr">
        <is>
          <t>Derived from milestones</t>
        </is>
      </c>
    </row>
    <row r="49">
      <c r="A49" s="6" t="inlineStr">
        <is>
          <t>PRJ-009</t>
        </is>
      </c>
      <c r="B49" s="7" t="inlineStr">
        <is>
          <t>Close-out (final)</t>
        </is>
      </c>
      <c r="C49" s="6" t="n">
        <v>4</v>
      </c>
      <c r="D49" s="8" t="n">
        <v>46692</v>
      </c>
      <c r="E49" s="8" t="n">
        <v>46843</v>
      </c>
      <c r="F49" s="7" t="n">
        <v>1.19</v>
      </c>
      <c r="G49" s="7" t="inlineStr">
        <is>
          <t>Derived from milestones</t>
        </is>
      </c>
    </row>
    <row r="50">
      <c r="A50" s="6" t="inlineStr">
        <is>
          <t>PRJ-010</t>
        </is>
      </c>
      <c r="B50" s="7" t="inlineStr">
        <is>
          <t>Before-Start-up</t>
        </is>
      </c>
      <c r="C50" s="6" t="n">
        <v>1</v>
      </c>
      <c r="D50" s="8" t="n">
        <v>46266</v>
      </c>
      <c r="E50" s="8" t="n">
        <v>46296</v>
      </c>
      <c r="F50" s="7" t="n">
        <v>0.7</v>
      </c>
      <c r="G50" s="7" t="inlineStr">
        <is>
          <t>Derived from milestones</t>
        </is>
      </c>
    </row>
    <row r="51">
      <c r="A51" s="6" t="inlineStr">
        <is>
          <t>PRJ-010</t>
        </is>
      </c>
      <c r="B51" s="7" t="inlineStr">
        <is>
          <t>Start-up</t>
        </is>
      </c>
      <c r="C51" s="6" t="n">
        <v>2</v>
      </c>
      <c r="D51" s="8" t="n">
        <v>46297</v>
      </c>
      <c r="E51" s="8" t="n">
        <v>46478</v>
      </c>
      <c r="F51" s="7" t="n">
        <v>1.4</v>
      </c>
      <c r="G51" s="7" t="inlineStr">
        <is>
          <t>Derived from milestones</t>
        </is>
      </c>
    </row>
    <row r="52">
      <c r="A52" s="6" t="inlineStr">
        <is>
          <t>PRJ-010</t>
        </is>
      </c>
      <c r="B52" s="7" t="inlineStr">
        <is>
          <t>Conduct (interim)</t>
        </is>
      </c>
      <c r="C52" s="6" t="n">
        <v>3</v>
      </c>
      <c r="D52" s="8" t="n">
        <v>46479</v>
      </c>
      <c r="E52" s="8" t="n">
        <v>46660</v>
      </c>
      <c r="F52" s="7" t="n">
        <v>1.1</v>
      </c>
      <c r="G52" s="7" t="inlineStr">
        <is>
          <t>Derived from milestones</t>
        </is>
      </c>
    </row>
    <row r="53">
      <c r="A53" s="6" t="inlineStr">
        <is>
          <t>PRJ-010</t>
        </is>
      </c>
      <c r="B53" s="7" t="inlineStr">
        <is>
          <t>Close-out (interim)</t>
        </is>
      </c>
      <c r="C53" s="6" t="n">
        <v>4</v>
      </c>
      <c r="D53" s="8" t="n">
        <v>46661</v>
      </c>
      <c r="E53" s="8" t="n">
        <v>46753</v>
      </c>
      <c r="F53" s="7" t="n">
        <v>1.3</v>
      </c>
      <c r="G53" s="7" t="inlineStr">
        <is>
          <t>Derived from milestones</t>
        </is>
      </c>
    </row>
    <row r="54">
      <c r="A54" s="6" t="inlineStr">
        <is>
          <t>PRJ-010</t>
        </is>
      </c>
      <c r="B54" s="7" t="inlineStr">
        <is>
          <t>Conduct (final)</t>
        </is>
      </c>
      <c r="C54" s="6" t="n">
        <v>5</v>
      </c>
      <c r="D54" s="8" t="n">
        <v>46754</v>
      </c>
      <c r="E54" s="8" t="n">
        <v>46843</v>
      </c>
      <c r="F54" s="7" t="n">
        <v>1.1</v>
      </c>
      <c r="G54" s="7" t="inlineStr">
        <is>
          <t>Derived from milestones</t>
        </is>
      </c>
    </row>
    <row r="55">
      <c r="A55" s="6" t="inlineStr">
        <is>
          <t>PRJ-010</t>
        </is>
      </c>
      <c r="B55" s="7" t="inlineStr">
        <is>
          <t>Close-out (final)</t>
        </is>
      </c>
      <c r="C55" s="6" t="n">
        <v>6</v>
      </c>
      <c r="D55" s="8" t="n">
        <v>46844</v>
      </c>
      <c r="E55" s="8" t="n">
        <v>46996</v>
      </c>
      <c r="F55" s="7" t="n">
        <v>1.5</v>
      </c>
      <c r="G55" s="7" t="inlineStr">
        <is>
          <t>Derived from milestones</t>
        </is>
      </c>
    </row>
    <row r="56">
      <c r="A56" s="6" t="inlineStr">
        <is>
          <t>PRJ-011</t>
        </is>
      </c>
      <c r="B56" s="7" t="inlineStr">
        <is>
          <t>Before-Start-up</t>
        </is>
      </c>
      <c r="C56" s="6" t="n">
        <v>1</v>
      </c>
      <c r="D56" s="8" t="n">
        <v>46082</v>
      </c>
      <c r="E56" s="8" t="n">
        <v>46113</v>
      </c>
      <c r="F56" s="7" t="n">
        <v>0.8</v>
      </c>
      <c r="G56" s="7" t="inlineStr">
        <is>
          <t>Derived from milestones</t>
        </is>
      </c>
    </row>
    <row r="57">
      <c r="A57" s="6" t="inlineStr">
        <is>
          <t>PRJ-011</t>
        </is>
      </c>
      <c r="B57" s="7" t="inlineStr">
        <is>
          <t>Start-up</t>
        </is>
      </c>
      <c r="C57" s="6" t="n">
        <v>2</v>
      </c>
      <c r="D57" s="8" t="n">
        <v>46114</v>
      </c>
      <c r="E57" s="8" t="n">
        <v>46296</v>
      </c>
      <c r="F57" s="7" t="n">
        <v>1.6</v>
      </c>
      <c r="G57" s="7" t="inlineStr">
        <is>
          <t>Derived from milestones</t>
        </is>
      </c>
    </row>
    <row r="58">
      <c r="A58" s="6" t="inlineStr">
        <is>
          <t>PRJ-011</t>
        </is>
      </c>
      <c r="B58" s="7" t="inlineStr">
        <is>
          <t>Conduct (interim)</t>
        </is>
      </c>
      <c r="C58" s="6" t="n">
        <v>3</v>
      </c>
      <c r="D58" s="8" t="n">
        <v>46297</v>
      </c>
      <c r="E58" s="8" t="n">
        <v>46356</v>
      </c>
      <c r="F58" s="7" t="n">
        <v>1.2</v>
      </c>
      <c r="G58" s="7" t="inlineStr">
        <is>
          <t>Derived from milestones</t>
        </is>
      </c>
    </row>
    <row r="59">
      <c r="A59" s="6" t="inlineStr">
        <is>
          <t>PRJ-011</t>
        </is>
      </c>
      <c r="B59" s="7" t="inlineStr">
        <is>
          <t>Close-out (interim)</t>
        </is>
      </c>
      <c r="C59" s="6" t="n">
        <v>4</v>
      </c>
      <c r="D59" s="8" t="n">
        <v>46357</v>
      </c>
      <c r="E59" s="8" t="n">
        <v>46447</v>
      </c>
      <c r="F59" s="7" t="n">
        <v>1.4</v>
      </c>
      <c r="G59" s="7" t="inlineStr">
        <is>
          <t>Derived from milestones</t>
        </is>
      </c>
    </row>
    <row r="60">
      <c r="A60" s="6" t="inlineStr">
        <is>
          <t>PRJ-011</t>
        </is>
      </c>
      <c r="B60" s="7" t="inlineStr">
        <is>
          <t>Conduct (final)</t>
        </is>
      </c>
      <c r="C60" s="6" t="n">
        <v>5</v>
      </c>
      <c r="D60" s="8" t="n">
        <v>46448</v>
      </c>
      <c r="E60" s="8" t="n">
        <v>46477</v>
      </c>
      <c r="F60" s="7" t="n">
        <v>1.2</v>
      </c>
      <c r="G60" s="7" t="inlineStr">
        <is>
          <t>Derived from milestones</t>
        </is>
      </c>
    </row>
    <row r="61">
      <c r="A61" s="6" t="inlineStr">
        <is>
          <t>PRJ-011</t>
        </is>
      </c>
      <c r="B61" s="7" t="inlineStr">
        <is>
          <t>Close-out (final)</t>
        </is>
      </c>
      <c r="C61" s="6" t="n">
        <v>6</v>
      </c>
      <c r="D61" s="8" t="n">
        <v>46478</v>
      </c>
      <c r="E61" s="8" t="n">
        <v>46630</v>
      </c>
      <c r="F61" s="7" t="n">
        <v>1.7</v>
      </c>
      <c r="G61" s="7" t="inlineStr">
        <is>
          <t>Derived from milestones</t>
        </is>
      </c>
    </row>
    <row r="62">
      <c r="A62" s="6" t="inlineStr">
        <is>
          <t>PRJ-012</t>
        </is>
      </c>
      <c r="B62" s="7" t="inlineStr">
        <is>
          <t>Before-Start-up</t>
        </is>
      </c>
      <c r="C62" s="6" t="n">
        <v>1</v>
      </c>
      <c r="D62" s="8" t="n">
        <v>46722</v>
      </c>
      <c r="E62" s="8" t="n">
        <v>46753</v>
      </c>
      <c r="F62" s="7" t="n">
        <v>0.42</v>
      </c>
      <c r="G62" s="7" t="inlineStr">
        <is>
          <t>Derived from milestones</t>
        </is>
      </c>
    </row>
    <row r="63">
      <c r="A63" s="6" t="inlineStr">
        <is>
          <t>PRJ-012</t>
        </is>
      </c>
      <c r="B63" s="7" t="inlineStr">
        <is>
          <t>Start-up</t>
        </is>
      </c>
      <c r="C63" s="6" t="n">
        <v>2</v>
      </c>
      <c r="D63" s="8" t="n">
        <v>46754</v>
      </c>
      <c r="E63" s="8" t="n">
        <v>46935</v>
      </c>
      <c r="F63" s="7" t="n">
        <v>0.9399999999999999</v>
      </c>
      <c r="G63" s="7" t="inlineStr">
        <is>
          <t>Derived from milestones</t>
        </is>
      </c>
    </row>
    <row r="64">
      <c r="A64" s="6" t="inlineStr">
        <is>
          <t>PRJ-012</t>
        </is>
      </c>
      <c r="B64" s="7" t="inlineStr">
        <is>
          <t>Conduct (interim)</t>
        </is>
      </c>
      <c r="C64" s="6" t="n">
        <v>3</v>
      </c>
      <c r="D64" s="8" t="n">
        <v>46936</v>
      </c>
      <c r="E64" s="8" t="n">
        <v>47361</v>
      </c>
      <c r="F64" s="7" t="n">
        <v>0.77</v>
      </c>
      <c r="G64" s="7" t="inlineStr">
        <is>
          <t>Derived from milestones</t>
        </is>
      </c>
    </row>
    <row r="65">
      <c r="A65" s="6" t="inlineStr">
        <is>
          <t>PRJ-012</t>
        </is>
      </c>
      <c r="B65" s="7" t="inlineStr">
        <is>
          <t>Close-out (interim)</t>
        </is>
      </c>
      <c r="C65" s="6" t="n">
        <v>4</v>
      </c>
      <c r="D65" s="8" t="n">
        <v>47362</v>
      </c>
      <c r="E65" s="8" t="n">
        <v>47453</v>
      </c>
      <c r="F65" s="7" t="n">
        <v>0.85</v>
      </c>
      <c r="G65" s="7" t="inlineStr">
        <is>
          <t>Derived from milestones</t>
        </is>
      </c>
    </row>
    <row r="66">
      <c r="A66" s="6" t="inlineStr">
        <is>
          <t>PRJ-012</t>
        </is>
      </c>
      <c r="B66" s="7" t="inlineStr">
        <is>
          <t>Conduct (final)</t>
        </is>
      </c>
      <c r="C66" s="6" t="n">
        <v>5</v>
      </c>
      <c r="D66" s="8" t="n">
        <v>47454</v>
      </c>
      <c r="E66" s="8" t="n">
        <v>47664</v>
      </c>
      <c r="F66" s="7" t="n">
        <v>0.77</v>
      </c>
      <c r="G66" s="7" t="inlineStr">
        <is>
          <t>Derived from milestones</t>
        </is>
      </c>
    </row>
    <row r="67">
      <c r="A67" s="6" t="inlineStr">
        <is>
          <t>PRJ-012</t>
        </is>
      </c>
      <c r="B67" s="7" t="inlineStr">
        <is>
          <t>Close-out (final)</t>
        </is>
      </c>
      <c r="C67" s="6" t="n">
        <v>6</v>
      </c>
      <c r="D67" s="8" t="n">
        <v>47665</v>
      </c>
      <c r="E67" s="8" t="n">
        <v>47817</v>
      </c>
      <c r="F67" s="7" t="n">
        <v>1.02</v>
      </c>
      <c r="G67" s="7" t="inlineStr">
        <is>
          <t>Derived from milestones</t>
        </is>
      </c>
    </row>
    <row r="68">
      <c r="A68" s="6" t="inlineStr">
        <is>
          <t>PRJ-012</t>
        </is>
      </c>
      <c r="B68" s="7" t="inlineStr">
        <is>
          <t>After Close-out (final)</t>
        </is>
      </c>
      <c r="C68" s="6" t="n">
        <v>7</v>
      </c>
      <c r="D68" s="8" t="n">
        <v>47818</v>
      </c>
      <c r="E68" s="8" t="n">
        <v>47818</v>
      </c>
      <c r="F68" s="7" t="n">
        <v>0.61</v>
      </c>
      <c r="G68" s="7" t="inlineStr">
        <is>
          <t>Derived from milestones</t>
        </is>
      </c>
    </row>
    <row r="69">
      <c r="A69" s="6" t="inlineStr">
        <is>
          <t>PRJ-013</t>
        </is>
      </c>
      <c r="B69" s="7" t="inlineStr">
        <is>
          <t>Before-Start-up</t>
        </is>
      </c>
      <c r="C69" s="6" t="n">
        <v>1</v>
      </c>
      <c r="D69" s="8" t="n">
        <v>45962</v>
      </c>
      <c r="E69" s="8" t="n">
        <v>45992</v>
      </c>
      <c r="F69" s="7" t="n">
        <v>0.6</v>
      </c>
      <c r="G69" s="7" t="inlineStr">
        <is>
          <t>Derived from milestones</t>
        </is>
      </c>
    </row>
    <row r="70">
      <c r="A70" s="6" t="inlineStr">
        <is>
          <t>PRJ-013</t>
        </is>
      </c>
      <c r="B70" s="7" t="inlineStr">
        <is>
          <t>Start-up</t>
        </is>
      </c>
      <c r="C70" s="6" t="n">
        <v>2</v>
      </c>
      <c r="D70" s="8" t="n">
        <v>45993</v>
      </c>
      <c r="E70" s="8" t="n">
        <v>46174</v>
      </c>
      <c r="F70" s="7" t="n">
        <v>1.3</v>
      </c>
      <c r="G70" s="7" t="inlineStr">
        <is>
          <t>Derived from milestones</t>
        </is>
      </c>
    </row>
    <row r="71">
      <c r="A71" s="6" t="inlineStr">
        <is>
          <t>PRJ-013</t>
        </is>
      </c>
      <c r="B71" s="7" t="inlineStr">
        <is>
          <t>Conduct (final)</t>
        </is>
      </c>
      <c r="C71" s="6" t="n">
        <v>3</v>
      </c>
      <c r="D71" s="8" t="n">
        <v>46175</v>
      </c>
      <c r="E71" s="8" t="n">
        <v>46356</v>
      </c>
      <c r="F71" s="7" t="n">
        <v>1</v>
      </c>
      <c r="G71" s="7" t="inlineStr">
        <is>
          <t>Derived from milestones</t>
        </is>
      </c>
    </row>
    <row r="72">
      <c r="A72" s="6" t="inlineStr">
        <is>
          <t>PRJ-013</t>
        </is>
      </c>
      <c r="B72" s="7" t="inlineStr">
        <is>
          <t>Close-out (final)</t>
        </is>
      </c>
      <c r="C72" s="6" t="n">
        <v>4</v>
      </c>
      <c r="D72" s="8" t="n">
        <v>46357</v>
      </c>
      <c r="E72" s="8" t="n">
        <v>46507</v>
      </c>
      <c r="F72" s="7" t="n">
        <v>1.4</v>
      </c>
      <c r="G72" s="7" t="inlineStr">
        <is>
          <t>Derived from milestones</t>
        </is>
      </c>
    </row>
    <row r="73">
      <c r="A73" s="6" t="inlineStr">
        <is>
          <t>PRJ-014</t>
        </is>
      </c>
      <c r="B73" s="7" t="inlineStr">
        <is>
          <t>Before-Start-up</t>
        </is>
      </c>
      <c r="C73" s="6" t="n">
        <v>1</v>
      </c>
      <c r="D73" s="8" t="n">
        <v>46174</v>
      </c>
      <c r="E73" s="8" t="n">
        <v>46204</v>
      </c>
      <c r="F73" s="7" t="n">
        <v>0.7</v>
      </c>
      <c r="G73" s="7" t="inlineStr">
        <is>
          <t>Derived from milestones</t>
        </is>
      </c>
    </row>
    <row r="74">
      <c r="A74" s="6" t="inlineStr">
        <is>
          <t>PRJ-014</t>
        </is>
      </c>
      <c r="B74" s="7" t="inlineStr">
        <is>
          <t>Start-up</t>
        </is>
      </c>
      <c r="C74" s="6" t="n">
        <v>2</v>
      </c>
      <c r="D74" s="8" t="n">
        <v>46205</v>
      </c>
      <c r="E74" s="8" t="n">
        <v>46388</v>
      </c>
      <c r="F74" s="7" t="n">
        <v>1.4</v>
      </c>
      <c r="G74" s="7" t="inlineStr">
        <is>
          <t>Derived from milestones</t>
        </is>
      </c>
    </row>
    <row r="75">
      <c r="A75" s="6" t="inlineStr">
        <is>
          <t>PRJ-014</t>
        </is>
      </c>
      <c r="B75" s="7" t="inlineStr">
        <is>
          <t>Conduct (final)</t>
        </is>
      </c>
      <c r="C75" s="6" t="n">
        <v>3</v>
      </c>
      <c r="D75" s="8" t="n">
        <v>46389</v>
      </c>
      <c r="E75" s="8" t="n">
        <v>46568</v>
      </c>
      <c r="F75" s="7" t="n">
        <v>1.1</v>
      </c>
      <c r="G75" s="7" t="inlineStr">
        <is>
          <t>Derived from milestones</t>
        </is>
      </c>
    </row>
    <row r="76">
      <c r="A76" s="6" t="inlineStr">
        <is>
          <t>PRJ-014</t>
        </is>
      </c>
      <c r="B76" s="7" t="inlineStr">
        <is>
          <t>Close-out (final)</t>
        </is>
      </c>
      <c r="C76" s="6" t="n">
        <v>4</v>
      </c>
      <c r="D76" s="8" t="n">
        <v>46569</v>
      </c>
      <c r="E76" s="8" t="n">
        <v>46721</v>
      </c>
      <c r="F76" s="7" t="n">
        <v>1.5</v>
      </c>
      <c r="G76" s="7" t="inlineStr">
        <is>
          <t>Derived from milestones</t>
        </is>
      </c>
    </row>
    <row r="77">
      <c r="A77" s="6" t="inlineStr">
        <is>
          <t>PRJ-015</t>
        </is>
      </c>
      <c r="B77" s="7" t="inlineStr">
        <is>
          <t>Before-Start-up</t>
        </is>
      </c>
      <c r="C77" s="6" t="n">
        <v>1</v>
      </c>
      <c r="D77" s="8" t="n">
        <v>46569</v>
      </c>
      <c r="E77" s="8" t="n">
        <v>46600</v>
      </c>
      <c r="F77" s="7" t="n">
        <v>0.68</v>
      </c>
      <c r="G77" s="7" t="inlineStr">
        <is>
          <t>Derived from milestones</t>
        </is>
      </c>
    </row>
    <row r="78">
      <c r="A78" s="6" t="inlineStr">
        <is>
          <t>PRJ-015</t>
        </is>
      </c>
      <c r="B78" s="7" t="inlineStr">
        <is>
          <t>Start-up</t>
        </is>
      </c>
      <c r="C78" s="6" t="n">
        <v>2</v>
      </c>
      <c r="D78" s="8" t="n">
        <v>46601</v>
      </c>
      <c r="E78" s="8" t="n">
        <v>46784</v>
      </c>
      <c r="F78" s="7" t="n">
        <v>1.36</v>
      </c>
      <c r="G78" s="7" t="inlineStr">
        <is>
          <t>Derived from milestones</t>
        </is>
      </c>
    </row>
    <row r="79">
      <c r="A79" s="6" t="inlineStr">
        <is>
          <t>PRJ-015</t>
        </is>
      </c>
      <c r="B79" s="7" t="inlineStr">
        <is>
          <t>Conduct (interim)</t>
        </is>
      </c>
      <c r="C79" s="6" t="n">
        <v>3</v>
      </c>
      <c r="D79" s="8" t="n">
        <v>46785</v>
      </c>
      <c r="E79" s="8" t="n">
        <v>47208</v>
      </c>
      <c r="F79" s="7" t="n">
        <v>1.02</v>
      </c>
      <c r="G79" s="7" t="inlineStr">
        <is>
          <t>Derived from milestones</t>
        </is>
      </c>
    </row>
    <row r="80">
      <c r="A80" s="6" t="inlineStr">
        <is>
          <t>PRJ-015</t>
        </is>
      </c>
      <c r="B80" s="7" t="inlineStr">
        <is>
          <t>Close-out (interim)</t>
        </is>
      </c>
      <c r="C80" s="6" t="n">
        <v>4</v>
      </c>
      <c r="D80" s="8" t="n">
        <v>47209</v>
      </c>
      <c r="E80" s="8" t="n">
        <v>47300</v>
      </c>
      <c r="F80" s="7" t="n">
        <v>1.19</v>
      </c>
      <c r="G80" s="7" t="inlineStr">
        <is>
          <t>Derived from milestones</t>
        </is>
      </c>
    </row>
    <row r="81">
      <c r="A81" s="6" t="inlineStr">
        <is>
          <t>PRJ-015</t>
        </is>
      </c>
      <c r="B81" s="7" t="inlineStr">
        <is>
          <t>Conduct (final)</t>
        </is>
      </c>
      <c r="C81" s="6" t="n">
        <v>5</v>
      </c>
      <c r="D81" s="8" t="n">
        <v>47301</v>
      </c>
      <c r="E81" s="8" t="n">
        <v>47514</v>
      </c>
      <c r="F81" s="7" t="n">
        <v>1.02</v>
      </c>
      <c r="G81" s="7" t="inlineStr">
        <is>
          <t>Derived from milestones</t>
        </is>
      </c>
    </row>
    <row r="82">
      <c r="A82" s="6" t="inlineStr">
        <is>
          <t>PRJ-015</t>
        </is>
      </c>
      <c r="B82" s="7" t="inlineStr">
        <is>
          <t>Close-out (final)</t>
        </is>
      </c>
      <c r="C82" s="6" t="n">
        <v>6</v>
      </c>
      <c r="D82" s="8" t="n">
        <v>47515</v>
      </c>
      <c r="E82" s="8" t="n">
        <v>47664</v>
      </c>
      <c r="F82" s="7" t="n">
        <v>1.44</v>
      </c>
      <c r="G82" s="7" t="inlineStr">
        <is>
          <t>Derived from milestones</t>
        </is>
      </c>
    </row>
    <row r="83">
      <c r="A83" s="6" t="inlineStr">
        <is>
          <t>PRJ-016</t>
        </is>
      </c>
      <c r="B83" s="7" t="inlineStr">
        <is>
          <t>Before-Start-up</t>
        </is>
      </c>
      <c r="C83" s="6" t="n">
        <v>1</v>
      </c>
      <c r="D83" s="8" t="n">
        <v>46235</v>
      </c>
      <c r="E83" s="8" t="n">
        <v>46266</v>
      </c>
      <c r="F83" s="7" t="n">
        <v>0.5</v>
      </c>
      <c r="G83" s="7" t="inlineStr">
        <is>
          <t>Derived from milestones</t>
        </is>
      </c>
    </row>
    <row r="84">
      <c r="A84" s="6" t="inlineStr">
        <is>
          <t>PRJ-016</t>
        </is>
      </c>
      <c r="B84" s="7" t="inlineStr">
        <is>
          <t>Start-up</t>
        </is>
      </c>
      <c r="C84" s="6" t="n">
        <v>2</v>
      </c>
      <c r="D84" s="8" t="n">
        <v>46267</v>
      </c>
      <c r="E84" s="8" t="n">
        <v>46447</v>
      </c>
      <c r="F84" s="7" t="n">
        <v>1.1</v>
      </c>
      <c r="G84" s="7" t="inlineStr">
        <is>
          <t>Derived from milestones</t>
        </is>
      </c>
    </row>
    <row r="85">
      <c r="A85" s="6" t="inlineStr">
        <is>
          <t>PRJ-016</t>
        </is>
      </c>
      <c r="B85" s="7" t="inlineStr">
        <is>
          <t>Conduct (interim)</t>
        </is>
      </c>
      <c r="C85" s="6" t="n">
        <v>3</v>
      </c>
      <c r="D85" s="8" t="n">
        <v>46448</v>
      </c>
      <c r="E85" s="8" t="n">
        <v>46507</v>
      </c>
      <c r="F85" s="7" t="n">
        <v>0.9</v>
      </c>
      <c r="G85" s="7" t="inlineStr">
        <is>
          <t>Derived from milestones</t>
        </is>
      </c>
    </row>
    <row r="86">
      <c r="A86" s="6" t="inlineStr">
        <is>
          <t>PRJ-016</t>
        </is>
      </c>
      <c r="B86" s="7" t="inlineStr">
        <is>
          <t>Close-out (interim)</t>
        </is>
      </c>
      <c r="C86" s="6" t="n">
        <v>4</v>
      </c>
      <c r="D86" s="8" t="n">
        <v>46508</v>
      </c>
      <c r="E86" s="8" t="n">
        <v>46600</v>
      </c>
      <c r="F86" s="7" t="n">
        <v>1</v>
      </c>
      <c r="G86" s="7" t="inlineStr">
        <is>
          <t>Derived from milestones</t>
        </is>
      </c>
    </row>
    <row r="87">
      <c r="A87" s="6" t="inlineStr">
        <is>
          <t>PRJ-016</t>
        </is>
      </c>
      <c r="B87" s="7" t="inlineStr">
        <is>
          <t>Conduct (final)</t>
        </is>
      </c>
      <c r="C87" s="6" t="n">
        <v>5</v>
      </c>
      <c r="D87" s="8" t="n">
        <v>46601</v>
      </c>
      <c r="E87" s="8" t="n">
        <v>46630</v>
      </c>
      <c r="F87" s="7" t="n">
        <v>0.9</v>
      </c>
      <c r="G87" s="7" t="inlineStr">
        <is>
          <t>Derived from milestones</t>
        </is>
      </c>
    </row>
    <row r="88">
      <c r="A88" s="6" t="inlineStr">
        <is>
          <t>PRJ-016</t>
        </is>
      </c>
      <c r="B88" s="7" t="inlineStr">
        <is>
          <t>Close-out (final)</t>
        </is>
      </c>
      <c r="C88" s="6" t="n">
        <v>6</v>
      </c>
      <c r="D88" s="8" t="n">
        <v>46631</v>
      </c>
      <c r="E88" s="8" t="n">
        <v>46783</v>
      </c>
      <c r="F88" s="7" t="n">
        <v>1.2</v>
      </c>
      <c r="G88" s="7" t="inlineStr">
        <is>
          <t>Derived from milestones</t>
        </is>
      </c>
    </row>
    <row r="89">
      <c r="A89" s="6" t="inlineStr">
        <is>
          <t>PRJ-016</t>
        </is>
      </c>
      <c r="B89" s="7" t="inlineStr">
        <is>
          <t>After Close-out (final)</t>
        </is>
      </c>
      <c r="C89" s="6" t="n">
        <v>7</v>
      </c>
      <c r="D89" s="8" t="n">
        <v>46784</v>
      </c>
      <c r="E89" s="8" t="n">
        <v>46784</v>
      </c>
      <c r="F89" s="7" t="n">
        <v>0.72</v>
      </c>
      <c r="G89" s="7" t="inlineStr">
        <is>
          <t>Derived from milestones</t>
        </is>
      </c>
    </row>
    <row r="90">
      <c r="A90" s="6" t="inlineStr">
        <is>
          <t>PRJ-017</t>
        </is>
      </c>
      <c r="B90" s="7" t="inlineStr">
        <is>
          <t>Before-Start-up</t>
        </is>
      </c>
      <c r="C90" s="6" t="n">
        <v>1</v>
      </c>
      <c r="D90" s="8" t="n">
        <v>46813</v>
      </c>
      <c r="E90" s="8" t="n">
        <v>46844</v>
      </c>
      <c r="F90" s="7" t="n">
        <v>0.6</v>
      </c>
      <c r="G90" s="7" t="inlineStr">
        <is>
          <t>Derived from milestones</t>
        </is>
      </c>
    </row>
    <row r="91">
      <c r="A91" s="6" t="inlineStr">
        <is>
          <t>PRJ-017</t>
        </is>
      </c>
      <c r="B91" s="7" t="inlineStr">
        <is>
          <t>Start-up</t>
        </is>
      </c>
      <c r="C91" s="6" t="n">
        <v>2</v>
      </c>
      <c r="D91" s="8" t="n">
        <v>46845</v>
      </c>
      <c r="E91" s="8" t="n">
        <v>47027</v>
      </c>
      <c r="F91" s="7" t="n">
        <v>1.3</v>
      </c>
      <c r="G91" s="7" t="inlineStr">
        <is>
          <t>Derived from milestones</t>
        </is>
      </c>
    </row>
    <row r="92">
      <c r="A92" s="6" t="inlineStr">
        <is>
          <t>PRJ-017</t>
        </is>
      </c>
      <c r="B92" s="7" t="inlineStr">
        <is>
          <t>Conduct (interim)</t>
        </is>
      </c>
      <c r="C92" s="6" t="n">
        <v>3</v>
      </c>
      <c r="D92" s="8" t="n">
        <v>47028</v>
      </c>
      <c r="E92" s="8" t="n">
        <v>47452</v>
      </c>
      <c r="F92" s="7" t="n">
        <v>1</v>
      </c>
      <c r="G92" s="7" t="inlineStr">
        <is>
          <t>Derived from milestones</t>
        </is>
      </c>
    </row>
    <row r="93">
      <c r="A93" s="6" t="inlineStr">
        <is>
          <t>PRJ-017</t>
        </is>
      </c>
      <c r="B93" s="7" t="inlineStr">
        <is>
          <t>Close-out (interim)</t>
        </is>
      </c>
      <c r="C93" s="6" t="n">
        <v>4</v>
      </c>
      <c r="D93" s="8" t="n">
        <v>47453</v>
      </c>
      <c r="E93" s="8" t="n">
        <v>47543</v>
      </c>
      <c r="F93" s="7" t="n">
        <v>1.2</v>
      </c>
      <c r="G93" s="7" t="inlineStr">
        <is>
          <t>Derived from milestones</t>
        </is>
      </c>
    </row>
    <row r="94">
      <c r="A94" s="6" t="inlineStr">
        <is>
          <t>PRJ-017</t>
        </is>
      </c>
      <c r="B94" s="7" t="inlineStr">
        <is>
          <t>Conduct (final)</t>
        </is>
      </c>
      <c r="C94" s="6" t="n">
        <v>5</v>
      </c>
      <c r="D94" s="8" t="n">
        <v>47544</v>
      </c>
      <c r="E94" s="8" t="n">
        <v>47756</v>
      </c>
      <c r="F94" s="7" t="n">
        <v>1</v>
      </c>
      <c r="G94" s="7" t="inlineStr">
        <is>
          <t>Derived from milestones</t>
        </is>
      </c>
    </row>
    <row r="95">
      <c r="A95" s="6" t="inlineStr">
        <is>
          <t>PRJ-017</t>
        </is>
      </c>
      <c r="B95" s="7" t="inlineStr">
        <is>
          <t>Close-out (final)</t>
        </is>
      </c>
      <c r="C95" s="6" t="n">
        <v>6</v>
      </c>
      <c r="D95" s="8" t="n">
        <v>47757</v>
      </c>
      <c r="E95" s="8" t="n">
        <v>47907</v>
      </c>
      <c r="F95" s="7" t="n">
        <v>1.4</v>
      </c>
      <c r="G95" s="7" t="inlineStr">
        <is>
          <t>Derived from milestones</t>
        </is>
      </c>
    </row>
    <row r="96">
      <c r="A96" s="6" t="inlineStr">
        <is>
          <t>PRJ-018</t>
        </is>
      </c>
      <c r="B96" s="7" t="inlineStr">
        <is>
          <t>Before-Start-up</t>
        </is>
      </c>
      <c r="C96" s="6" t="n">
        <v>1</v>
      </c>
      <c r="D96" s="8" t="n">
        <v>45962</v>
      </c>
      <c r="E96" s="8" t="n">
        <v>45992</v>
      </c>
      <c r="F96" s="7" t="n">
        <v>0.59</v>
      </c>
      <c r="G96" s="7" t="inlineStr">
        <is>
          <t>Derived from milestones</t>
        </is>
      </c>
    </row>
    <row r="97">
      <c r="A97" s="6" t="inlineStr">
        <is>
          <t>PRJ-018</t>
        </is>
      </c>
      <c r="B97" s="7" t="inlineStr">
        <is>
          <t>Start-up</t>
        </is>
      </c>
      <c r="C97" s="6" t="n">
        <v>2</v>
      </c>
      <c r="D97" s="8" t="n">
        <v>45993</v>
      </c>
      <c r="E97" s="8" t="n">
        <v>46174</v>
      </c>
      <c r="F97" s="7" t="n">
        <v>1.19</v>
      </c>
      <c r="G97" s="7" t="inlineStr">
        <is>
          <t>Derived from milestones</t>
        </is>
      </c>
    </row>
    <row r="98">
      <c r="A98" s="6" t="inlineStr">
        <is>
          <t>PRJ-018</t>
        </is>
      </c>
      <c r="B98" s="7" t="inlineStr">
        <is>
          <t>Conduct (final)</t>
        </is>
      </c>
      <c r="C98" s="6" t="n">
        <v>3</v>
      </c>
      <c r="D98" s="8" t="n">
        <v>46175</v>
      </c>
      <c r="E98" s="8" t="n">
        <v>46721</v>
      </c>
      <c r="F98" s="7" t="n">
        <v>0.9399999999999999</v>
      </c>
      <c r="G98" s="7" t="inlineStr">
        <is>
          <t>Derived from milestones</t>
        </is>
      </c>
    </row>
    <row r="99">
      <c r="A99" s="6" t="inlineStr">
        <is>
          <t>PRJ-018</t>
        </is>
      </c>
      <c r="B99" s="7" t="inlineStr">
        <is>
          <t>Close-out (final)</t>
        </is>
      </c>
      <c r="C99" s="6" t="n">
        <v>4</v>
      </c>
      <c r="D99" s="8" t="n">
        <v>46722</v>
      </c>
      <c r="E99" s="8" t="n">
        <v>46873</v>
      </c>
      <c r="F99" s="7" t="n">
        <v>1.27</v>
      </c>
      <c r="G99" s="7" t="inlineStr">
        <is>
          <t>Derived from milestones</t>
        </is>
      </c>
    </row>
    <row r="100">
      <c r="A100" s="6" t="inlineStr">
        <is>
          <t>PRJ-019</t>
        </is>
      </c>
      <c r="B100" s="7" t="inlineStr">
        <is>
          <t>Before-Start-up</t>
        </is>
      </c>
      <c r="C100" s="6" t="n">
        <v>1</v>
      </c>
      <c r="D100" s="8" t="n">
        <v>46082</v>
      </c>
      <c r="E100" s="8" t="n">
        <v>46113</v>
      </c>
      <c r="F100" s="7" t="n">
        <v>0.8</v>
      </c>
      <c r="G100" s="7" t="inlineStr">
        <is>
          <t>Derived from milestones</t>
        </is>
      </c>
    </row>
    <row r="101">
      <c r="A101" s="6" t="inlineStr">
        <is>
          <t>PRJ-019</t>
        </is>
      </c>
      <c r="B101" s="7" t="inlineStr">
        <is>
          <t>Start-up</t>
        </is>
      </c>
      <c r="C101" s="6" t="n">
        <v>2</v>
      </c>
      <c r="D101" s="8" t="n">
        <v>46114</v>
      </c>
      <c r="E101" s="8" t="n">
        <v>46296</v>
      </c>
      <c r="F101" s="7" t="n">
        <v>1.6</v>
      </c>
      <c r="G101" s="7" t="inlineStr">
        <is>
          <t>Derived from milestones</t>
        </is>
      </c>
    </row>
    <row r="102">
      <c r="A102" s="6" t="inlineStr">
        <is>
          <t>PRJ-019</t>
        </is>
      </c>
      <c r="B102" s="7" t="inlineStr">
        <is>
          <t>Conduct (final)</t>
        </is>
      </c>
      <c r="C102" s="6" t="n">
        <v>3</v>
      </c>
      <c r="D102" s="8" t="n">
        <v>46297</v>
      </c>
      <c r="E102" s="8" t="n">
        <v>47208</v>
      </c>
      <c r="F102" s="7" t="n">
        <v>1.2</v>
      </c>
      <c r="G102" s="7" t="inlineStr">
        <is>
          <t>Derived from milestones</t>
        </is>
      </c>
    </row>
    <row r="103">
      <c r="A103" s="6" t="inlineStr">
        <is>
          <t>PRJ-019</t>
        </is>
      </c>
      <c r="B103" s="7" t="inlineStr">
        <is>
          <t>Close-out (final)</t>
        </is>
      </c>
      <c r="C103" s="6" t="n">
        <v>4</v>
      </c>
      <c r="D103" s="8" t="n">
        <v>47209</v>
      </c>
      <c r="E103" s="8" t="n">
        <v>47361</v>
      </c>
      <c r="F103" s="7" t="n">
        <v>1.7</v>
      </c>
      <c r="G103" s="7" t="inlineStr">
        <is>
          <t>Derived from milestones</t>
        </is>
      </c>
    </row>
    <row r="104">
      <c r="A104" s="6" t="inlineStr">
        <is>
          <t>PRJ-020</t>
        </is>
      </c>
      <c r="B104" s="7" t="inlineStr">
        <is>
          <t>Before-Start-up</t>
        </is>
      </c>
      <c r="C104" s="6" t="n">
        <v>1</v>
      </c>
      <c r="D104" s="8" t="n">
        <v>45809</v>
      </c>
      <c r="E104" s="8" t="n">
        <v>45839</v>
      </c>
      <c r="F104" s="7" t="n">
        <v>0.5</v>
      </c>
      <c r="G104" s="7" t="inlineStr">
        <is>
          <t>Derived from milestones</t>
        </is>
      </c>
    </row>
    <row r="105">
      <c r="A105" s="6" t="inlineStr">
        <is>
          <t>PRJ-020</t>
        </is>
      </c>
      <c r="B105" s="7" t="inlineStr">
        <is>
          <t>Start-up</t>
        </is>
      </c>
      <c r="C105" s="6" t="n">
        <v>2</v>
      </c>
      <c r="D105" s="8" t="n">
        <v>45840</v>
      </c>
      <c r="E105" s="8" t="n">
        <v>46023</v>
      </c>
      <c r="F105" s="7" t="n">
        <v>1.1</v>
      </c>
      <c r="G105" s="7" t="inlineStr">
        <is>
          <t>Derived from milestones</t>
        </is>
      </c>
    </row>
    <row r="106">
      <c r="A106" s="6" t="inlineStr">
        <is>
          <t>PRJ-020</t>
        </is>
      </c>
      <c r="B106" s="7" t="inlineStr">
        <is>
          <t>Conduct (interim)</t>
        </is>
      </c>
      <c r="C106" s="6" t="n">
        <v>3</v>
      </c>
      <c r="D106" s="8" t="n">
        <v>46024</v>
      </c>
      <c r="E106" s="8" t="n">
        <v>46568</v>
      </c>
      <c r="F106" s="7" t="n">
        <v>0.9</v>
      </c>
      <c r="G106" s="7" t="inlineStr">
        <is>
          <t>Derived from milestones</t>
        </is>
      </c>
    </row>
    <row r="107">
      <c r="A107" s="6" t="inlineStr">
        <is>
          <t>PRJ-020</t>
        </is>
      </c>
      <c r="B107" s="7" t="inlineStr">
        <is>
          <t>Close-out (interim)</t>
        </is>
      </c>
      <c r="C107" s="6" t="n">
        <v>4</v>
      </c>
      <c r="D107" s="8" t="n">
        <v>46569</v>
      </c>
      <c r="E107" s="8" t="n">
        <v>46661</v>
      </c>
      <c r="F107" s="7" t="n">
        <v>1</v>
      </c>
      <c r="G107" s="7" t="inlineStr">
        <is>
          <t>Derived from milestones</t>
        </is>
      </c>
    </row>
    <row r="108">
      <c r="A108" s="6" t="inlineStr">
        <is>
          <t>PRJ-020</t>
        </is>
      </c>
      <c r="B108" s="7" t="inlineStr">
        <is>
          <t>Conduct (final)</t>
        </is>
      </c>
      <c r="C108" s="6" t="n">
        <v>5</v>
      </c>
      <c r="D108" s="8" t="n">
        <v>46662</v>
      </c>
      <c r="E108" s="8" t="n">
        <v>46934</v>
      </c>
      <c r="F108" s="7" t="n">
        <v>0.9</v>
      </c>
      <c r="G108" s="7" t="inlineStr">
        <is>
          <t>Derived from milestones</t>
        </is>
      </c>
    </row>
    <row r="109">
      <c r="A109" s="6" t="inlineStr">
        <is>
          <t>PRJ-020</t>
        </is>
      </c>
      <c r="B109" s="7" t="inlineStr">
        <is>
          <t>Close-out (final)</t>
        </is>
      </c>
      <c r="C109" s="6" t="n">
        <v>6</v>
      </c>
      <c r="D109" s="8" t="n">
        <v>46935</v>
      </c>
      <c r="E109" s="8" t="n">
        <v>47087</v>
      </c>
      <c r="F109" s="7" t="n">
        <v>1.2</v>
      </c>
      <c r="G109" s="7" t="inlineStr">
        <is>
          <t>Derived from milestones</t>
        </is>
      </c>
    </row>
    <row r="110">
      <c r="A110" s="6" t="inlineStr">
        <is>
          <t>PRJ-020</t>
        </is>
      </c>
      <c r="B110" s="7" t="inlineStr">
        <is>
          <t>After Close-out (final)</t>
        </is>
      </c>
      <c r="C110" s="6" t="n">
        <v>7</v>
      </c>
      <c r="D110" s="8" t="n">
        <v>47088</v>
      </c>
      <c r="E110" s="8" t="n">
        <v>47088</v>
      </c>
      <c r="F110" s="7" t="n">
        <v>0.72</v>
      </c>
      <c r="G110" s="7" t="inlineStr">
        <is>
          <t>Derived from milestones</t>
        </is>
      </c>
    </row>
    <row r="111">
      <c r="A111" s="6" t="inlineStr">
        <is>
          <t>PRJ-021</t>
        </is>
      </c>
      <c r="B111" s="7" t="inlineStr">
        <is>
          <t>Before-Start-up</t>
        </is>
      </c>
      <c r="C111" s="6" t="n">
        <v>1</v>
      </c>
      <c r="D111" s="8" t="n">
        <v>45901</v>
      </c>
      <c r="E111" s="8" t="n">
        <v>45931</v>
      </c>
      <c r="F111" s="7" t="n">
        <v>0.51</v>
      </c>
      <c r="G111" s="7" t="inlineStr">
        <is>
          <t>Derived from milestones</t>
        </is>
      </c>
    </row>
    <row r="112">
      <c r="A112" s="6" t="inlineStr">
        <is>
          <t>PRJ-021</t>
        </is>
      </c>
      <c r="B112" s="7" t="inlineStr">
        <is>
          <t>Start-up</t>
        </is>
      </c>
      <c r="C112" s="6" t="n">
        <v>2</v>
      </c>
      <c r="D112" s="8" t="n">
        <v>45932</v>
      </c>
      <c r="E112" s="8" t="n">
        <v>46113</v>
      </c>
      <c r="F112" s="7" t="n">
        <v>1.1</v>
      </c>
      <c r="G112" s="7" t="inlineStr">
        <is>
          <t>Derived from milestones</t>
        </is>
      </c>
    </row>
    <row r="113">
      <c r="A113" s="6" t="inlineStr">
        <is>
          <t>PRJ-021</t>
        </is>
      </c>
      <c r="B113" s="7" t="inlineStr">
        <is>
          <t>Conduct (interim)</t>
        </is>
      </c>
      <c r="C113" s="6" t="n">
        <v>3</v>
      </c>
      <c r="D113" s="8" t="n">
        <v>46114</v>
      </c>
      <c r="E113" s="8" t="n">
        <v>46173</v>
      </c>
      <c r="F113" s="7" t="n">
        <v>0.85</v>
      </c>
      <c r="G113" s="7" t="inlineStr">
        <is>
          <t>Derived from milestones</t>
        </is>
      </c>
    </row>
    <row r="114">
      <c r="A114" s="6" t="inlineStr">
        <is>
          <t>PRJ-021</t>
        </is>
      </c>
      <c r="B114" s="7" t="inlineStr">
        <is>
          <t>Close-out (interim)</t>
        </is>
      </c>
      <c r="C114" s="6" t="n">
        <v>4</v>
      </c>
      <c r="D114" s="8" t="n">
        <v>46174</v>
      </c>
      <c r="E114" s="8" t="n">
        <v>46266</v>
      </c>
      <c r="F114" s="7" t="n">
        <v>1.02</v>
      </c>
      <c r="G114" s="7" t="inlineStr">
        <is>
          <t>Derived from milestones</t>
        </is>
      </c>
    </row>
    <row r="115">
      <c r="A115" s="6" t="inlineStr">
        <is>
          <t>PRJ-021</t>
        </is>
      </c>
      <c r="B115" s="7" t="inlineStr">
        <is>
          <t>Conduct (final)</t>
        </is>
      </c>
      <c r="C115" s="6" t="n">
        <v>5</v>
      </c>
      <c r="D115" s="8" t="n">
        <v>46267</v>
      </c>
      <c r="E115" s="8" t="n">
        <v>46295</v>
      </c>
      <c r="F115" s="7" t="n">
        <v>0.85</v>
      </c>
      <c r="G115" s="7" t="inlineStr">
        <is>
          <t>Derived from milestones</t>
        </is>
      </c>
    </row>
    <row r="116">
      <c r="A116" s="6" t="inlineStr">
        <is>
          <t>PRJ-021</t>
        </is>
      </c>
      <c r="B116" s="7" t="inlineStr">
        <is>
          <t>Close-out (final)</t>
        </is>
      </c>
      <c r="C116" s="6" t="n">
        <v>6</v>
      </c>
      <c r="D116" s="8" t="n">
        <v>46296</v>
      </c>
      <c r="E116" s="8" t="n">
        <v>46446</v>
      </c>
      <c r="F116" s="7" t="n">
        <v>1.19</v>
      </c>
      <c r="G116" s="7" t="inlineStr">
        <is>
          <t>Derived from milestones</t>
        </is>
      </c>
    </row>
    <row r="117">
      <c r="A117" s="6" t="inlineStr">
        <is>
          <t>PRJ-022</t>
        </is>
      </c>
      <c r="B117" s="7" t="inlineStr">
        <is>
          <t>Before-Start-up</t>
        </is>
      </c>
      <c r="C117" s="6" t="n">
        <v>1</v>
      </c>
      <c r="D117" s="8" t="n">
        <v>46054</v>
      </c>
      <c r="E117" s="8" t="n">
        <v>46082</v>
      </c>
      <c r="F117" s="7" t="n">
        <v>0.7</v>
      </c>
      <c r="G117" s="7" t="inlineStr">
        <is>
          <t>Derived from milestones</t>
        </is>
      </c>
    </row>
    <row r="118">
      <c r="A118" s="6" t="inlineStr">
        <is>
          <t>PRJ-022</t>
        </is>
      </c>
      <c r="B118" s="7" t="inlineStr">
        <is>
          <t>Start-up</t>
        </is>
      </c>
      <c r="C118" s="6" t="n">
        <v>2</v>
      </c>
      <c r="D118" s="8" t="n">
        <v>46083</v>
      </c>
      <c r="E118" s="8" t="n">
        <v>46266</v>
      </c>
      <c r="F118" s="7" t="n">
        <v>1.4</v>
      </c>
      <c r="G118" s="7" t="inlineStr">
        <is>
          <t>Derived from milestones</t>
        </is>
      </c>
    </row>
    <row r="119">
      <c r="A119" s="6" t="inlineStr">
        <is>
          <t>PRJ-022</t>
        </is>
      </c>
      <c r="B119" s="7" t="inlineStr">
        <is>
          <t>Conduct (interim)</t>
        </is>
      </c>
      <c r="C119" s="6" t="n">
        <v>3</v>
      </c>
      <c r="D119" s="8" t="n">
        <v>46267</v>
      </c>
      <c r="E119" s="8" t="n">
        <v>46446</v>
      </c>
      <c r="F119" s="7" t="n">
        <v>1.1</v>
      </c>
      <c r="G119" s="7" t="inlineStr">
        <is>
          <t>Derived from milestones</t>
        </is>
      </c>
    </row>
    <row r="120">
      <c r="A120" s="6" t="inlineStr">
        <is>
          <t>PRJ-022</t>
        </is>
      </c>
      <c r="B120" s="7" t="inlineStr">
        <is>
          <t>Close-out (interim)</t>
        </is>
      </c>
      <c r="C120" s="6" t="n">
        <v>4</v>
      </c>
      <c r="D120" s="8" t="n">
        <v>46447</v>
      </c>
      <c r="E120" s="8" t="n">
        <v>46539</v>
      </c>
      <c r="F120" s="7" t="n">
        <v>1.3</v>
      </c>
      <c r="G120" s="7" t="inlineStr">
        <is>
          <t>Derived from milestones</t>
        </is>
      </c>
    </row>
    <row r="121">
      <c r="A121" s="6" t="inlineStr">
        <is>
          <t>PRJ-022</t>
        </is>
      </c>
      <c r="B121" s="7" t="inlineStr">
        <is>
          <t>Conduct (final)</t>
        </is>
      </c>
      <c r="C121" s="6" t="n">
        <v>5</v>
      </c>
      <c r="D121" s="8" t="n">
        <v>46540</v>
      </c>
      <c r="E121" s="8" t="n">
        <v>46630</v>
      </c>
      <c r="F121" s="7" t="n">
        <v>1.1</v>
      </c>
      <c r="G121" s="7" t="inlineStr">
        <is>
          <t>Derived from milestones</t>
        </is>
      </c>
    </row>
    <row r="122">
      <c r="A122" s="6" t="inlineStr">
        <is>
          <t>PRJ-022</t>
        </is>
      </c>
      <c r="B122" s="7" t="inlineStr">
        <is>
          <t>Close-out (final)</t>
        </is>
      </c>
      <c r="C122" s="6" t="n">
        <v>6</v>
      </c>
      <c r="D122" s="8" t="n">
        <v>46631</v>
      </c>
      <c r="E122" s="8" t="n">
        <v>46783</v>
      </c>
      <c r="F122" s="7" t="n">
        <v>1.5</v>
      </c>
      <c r="G122" s="7" t="inlineStr">
        <is>
          <t>Derived from milestones</t>
        </is>
      </c>
    </row>
    <row r="123">
      <c r="A123" s="6" t="inlineStr">
        <is>
          <t>PRJ-023</t>
        </is>
      </c>
      <c r="B123" s="7" t="inlineStr">
        <is>
          <t>Before-Start-up</t>
        </is>
      </c>
      <c r="C123" s="6" t="n">
        <v>1</v>
      </c>
      <c r="D123" s="8" t="n">
        <v>46357</v>
      </c>
      <c r="E123" s="8" t="n">
        <v>46388</v>
      </c>
      <c r="F123" s="7" t="n">
        <v>0.8</v>
      </c>
      <c r="G123" s="7" t="inlineStr">
        <is>
          <t>Derived from milestones</t>
        </is>
      </c>
    </row>
    <row r="124">
      <c r="A124" s="6" t="inlineStr">
        <is>
          <t>PRJ-023</t>
        </is>
      </c>
      <c r="B124" s="7" t="inlineStr">
        <is>
          <t>Start-up</t>
        </is>
      </c>
      <c r="C124" s="6" t="n">
        <v>2</v>
      </c>
      <c r="D124" s="8" t="n">
        <v>46389</v>
      </c>
      <c r="E124" s="8" t="n">
        <v>46569</v>
      </c>
      <c r="F124" s="7" t="n">
        <v>1.6</v>
      </c>
      <c r="G124" s="7" t="inlineStr">
        <is>
          <t>Derived from milestones</t>
        </is>
      </c>
    </row>
    <row r="125">
      <c r="A125" s="6" t="inlineStr">
        <is>
          <t>PRJ-023</t>
        </is>
      </c>
      <c r="B125" s="7" t="inlineStr">
        <is>
          <t>Conduct (final)</t>
        </is>
      </c>
      <c r="C125" s="6" t="n">
        <v>3</v>
      </c>
      <c r="D125" s="8" t="n">
        <v>46570</v>
      </c>
      <c r="E125" s="8" t="n">
        <v>46752</v>
      </c>
      <c r="F125" s="7" t="n">
        <v>1.2</v>
      </c>
      <c r="G125" s="7" t="inlineStr">
        <is>
          <t>Derived from milestones</t>
        </is>
      </c>
    </row>
    <row r="126">
      <c r="A126" s="6" t="inlineStr">
        <is>
          <t>PRJ-023</t>
        </is>
      </c>
      <c r="B126" s="7" t="inlineStr">
        <is>
          <t>Close-out (final)</t>
        </is>
      </c>
      <c r="C126" s="6" t="n">
        <v>4</v>
      </c>
      <c r="D126" s="8" t="n">
        <v>46753</v>
      </c>
      <c r="E126" s="8" t="n">
        <v>46904</v>
      </c>
      <c r="F126" s="7" t="n">
        <v>1.7</v>
      </c>
      <c r="G126" s="7" t="inlineStr">
        <is>
          <t>Derived from milestones</t>
        </is>
      </c>
    </row>
    <row r="127">
      <c r="A127" s="6" t="inlineStr">
        <is>
          <t>PRJ-024</t>
        </is>
      </c>
      <c r="B127" s="7" t="inlineStr">
        <is>
          <t>Before-Start-up</t>
        </is>
      </c>
      <c r="C127" s="6" t="n">
        <v>1</v>
      </c>
      <c r="D127" s="8" t="n">
        <v>45992</v>
      </c>
      <c r="E127" s="8" t="n">
        <v>46023</v>
      </c>
      <c r="F127" s="7" t="n">
        <v>0.42</v>
      </c>
      <c r="G127" s="7" t="inlineStr">
        <is>
          <t>Derived from milestones</t>
        </is>
      </c>
    </row>
    <row r="128">
      <c r="A128" s="6" t="inlineStr">
        <is>
          <t>PRJ-024</t>
        </is>
      </c>
      <c r="B128" s="7" t="inlineStr">
        <is>
          <t>Start-up</t>
        </is>
      </c>
      <c r="C128" s="6" t="n">
        <v>2</v>
      </c>
      <c r="D128" s="8" t="n">
        <v>46024</v>
      </c>
      <c r="E128" s="8" t="n">
        <v>46204</v>
      </c>
      <c r="F128" s="7" t="n">
        <v>0.9399999999999999</v>
      </c>
      <c r="G128" s="7" t="inlineStr">
        <is>
          <t>Derived from milestones</t>
        </is>
      </c>
    </row>
    <row r="129">
      <c r="A129" s="6" t="inlineStr">
        <is>
          <t>PRJ-024</t>
        </is>
      </c>
      <c r="B129" s="7" t="inlineStr">
        <is>
          <t>Conduct (final)</t>
        </is>
      </c>
      <c r="C129" s="6" t="n">
        <v>3</v>
      </c>
      <c r="D129" s="8" t="n">
        <v>46205</v>
      </c>
      <c r="E129" s="8" t="n">
        <v>46752</v>
      </c>
      <c r="F129" s="7" t="n">
        <v>0.77</v>
      </c>
      <c r="G129" s="7" t="inlineStr">
        <is>
          <t>Derived from milestones</t>
        </is>
      </c>
    </row>
    <row r="130">
      <c r="A130" s="6" t="inlineStr">
        <is>
          <t>PRJ-024</t>
        </is>
      </c>
      <c r="B130" s="7" t="inlineStr">
        <is>
          <t>Close-out (final)</t>
        </is>
      </c>
      <c r="C130" s="6" t="n">
        <v>4</v>
      </c>
      <c r="D130" s="8" t="n">
        <v>46753</v>
      </c>
      <c r="E130" s="8" t="n">
        <v>46904</v>
      </c>
      <c r="F130" s="7" t="n">
        <v>1.02</v>
      </c>
      <c r="G130" s="7" t="inlineStr">
        <is>
          <t>Derived from milestones</t>
        </is>
      </c>
    </row>
    <row r="131">
      <c r="A131" s="6" t="inlineStr">
        <is>
          <t>PRJ-024</t>
        </is>
      </c>
      <c r="B131" s="7" t="inlineStr">
        <is>
          <t>After Close-out (final)</t>
        </is>
      </c>
      <c r="C131" s="6" t="n">
        <v>5</v>
      </c>
      <c r="D131" s="8" t="n">
        <v>46905</v>
      </c>
      <c r="E131" s="8" t="n">
        <v>46905</v>
      </c>
      <c r="F131" s="7" t="n">
        <v>0.61</v>
      </c>
      <c r="G131" s="7" t="inlineStr">
        <is>
          <t>Derived from milestones</t>
        </is>
      </c>
    </row>
    <row r="132">
      <c r="A132" s="6" t="inlineStr">
        <is>
          <t>PRJ-025</t>
        </is>
      </c>
      <c r="B132" s="7" t="inlineStr">
        <is>
          <t>Before-Start-up</t>
        </is>
      </c>
      <c r="C132" s="6" t="n">
        <v>1</v>
      </c>
      <c r="D132" s="8" t="n">
        <v>46661</v>
      </c>
      <c r="E132" s="8" t="n">
        <v>46692</v>
      </c>
      <c r="F132" s="7" t="n">
        <v>0.6</v>
      </c>
      <c r="G132" s="7" t="inlineStr">
        <is>
          <t>Derived from milestones</t>
        </is>
      </c>
    </row>
    <row r="133">
      <c r="A133" s="6" t="inlineStr">
        <is>
          <t>PRJ-025</t>
        </is>
      </c>
      <c r="B133" s="7" t="inlineStr">
        <is>
          <t>Start-up</t>
        </is>
      </c>
      <c r="C133" s="6" t="n">
        <v>2</v>
      </c>
      <c r="D133" s="8" t="n">
        <v>46693</v>
      </c>
      <c r="E133" s="8" t="n">
        <v>46874</v>
      </c>
      <c r="F133" s="7" t="n">
        <v>1.3</v>
      </c>
      <c r="G133" s="7" t="inlineStr">
        <is>
          <t>Derived from milestones</t>
        </is>
      </c>
    </row>
    <row r="134">
      <c r="A134" s="6" t="inlineStr">
        <is>
          <t>PRJ-025</t>
        </is>
      </c>
      <c r="B134" s="7" t="inlineStr">
        <is>
          <t>Conduct (interim)</t>
        </is>
      </c>
      <c r="C134" s="6" t="n">
        <v>3</v>
      </c>
      <c r="D134" s="8" t="n">
        <v>46875</v>
      </c>
      <c r="E134" s="8" t="n">
        <v>47177</v>
      </c>
      <c r="F134" s="7" t="n">
        <v>1</v>
      </c>
      <c r="G134" s="7" t="inlineStr">
        <is>
          <t>Derived from milestones</t>
        </is>
      </c>
    </row>
    <row r="135">
      <c r="A135" s="6" t="inlineStr">
        <is>
          <t>PRJ-025</t>
        </is>
      </c>
      <c r="B135" s="7" t="inlineStr">
        <is>
          <t>Close-out (interim)</t>
        </is>
      </c>
      <c r="C135" s="6" t="n">
        <v>4</v>
      </c>
      <c r="D135" s="8" t="n">
        <v>47178</v>
      </c>
      <c r="E135" s="8" t="n">
        <v>47270</v>
      </c>
      <c r="F135" s="7" t="n">
        <v>1.2</v>
      </c>
      <c r="G135" s="7" t="inlineStr">
        <is>
          <t>Derived from milestones</t>
        </is>
      </c>
    </row>
    <row r="136">
      <c r="A136" s="6" t="inlineStr">
        <is>
          <t>PRJ-025</t>
        </is>
      </c>
      <c r="B136" s="7" t="inlineStr">
        <is>
          <t>Conduct (final)</t>
        </is>
      </c>
      <c r="C136" s="6" t="n">
        <v>5</v>
      </c>
      <c r="D136" s="8" t="n">
        <v>47271</v>
      </c>
      <c r="E136" s="8" t="n">
        <v>47422</v>
      </c>
      <c r="F136" s="7" t="n">
        <v>1</v>
      </c>
      <c r="G136" s="7" t="inlineStr">
        <is>
          <t>Derived from milestones</t>
        </is>
      </c>
    </row>
    <row r="137">
      <c r="A137" s="6" t="inlineStr">
        <is>
          <t>PRJ-025</t>
        </is>
      </c>
      <c r="B137" s="7" t="inlineStr">
        <is>
          <t>Close-out (final)</t>
        </is>
      </c>
      <c r="C137" s="6" t="n">
        <v>6</v>
      </c>
      <c r="D137" s="8" t="n">
        <v>47423</v>
      </c>
      <c r="E137" s="8" t="n">
        <v>47573</v>
      </c>
      <c r="F137" s="7" t="n">
        <v>1.4</v>
      </c>
      <c r="G137" s="7" t="inlineStr">
        <is>
          <t>Derived from milestones</t>
        </is>
      </c>
    </row>
    <row r="138">
      <c r="A138" s="6" t="inlineStr">
        <is>
          <t>PRJ-026</t>
        </is>
      </c>
      <c r="B138" s="7" t="inlineStr">
        <is>
          <t>Before-Start-up</t>
        </is>
      </c>
      <c r="C138" s="6" t="n">
        <v>1</v>
      </c>
      <c r="D138" s="8" t="n">
        <v>46447</v>
      </c>
      <c r="E138" s="8" t="n">
        <v>46478</v>
      </c>
      <c r="F138" s="7" t="n">
        <v>0.7</v>
      </c>
      <c r="G138" s="7" t="inlineStr">
        <is>
          <t>Derived from milestones</t>
        </is>
      </c>
    </row>
    <row r="139">
      <c r="A139" s="6" t="inlineStr">
        <is>
          <t>PRJ-026</t>
        </is>
      </c>
      <c r="B139" s="7" t="inlineStr">
        <is>
          <t>Start-up</t>
        </is>
      </c>
      <c r="C139" s="6" t="n">
        <v>2</v>
      </c>
      <c r="D139" s="8" t="n">
        <v>46479</v>
      </c>
      <c r="E139" s="8" t="n">
        <v>46661</v>
      </c>
      <c r="F139" s="7" t="n">
        <v>1.4</v>
      </c>
      <c r="G139" s="7" t="inlineStr">
        <is>
          <t>Derived from milestones</t>
        </is>
      </c>
    </row>
    <row r="140">
      <c r="A140" s="6" t="inlineStr">
        <is>
          <t>PRJ-026</t>
        </is>
      </c>
      <c r="B140" s="7" t="inlineStr">
        <is>
          <t>Conduct (interim)</t>
        </is>
      </c>
      <c r="C140" s="6" t="n">
        <v>3</v>
      </c>
      <c r="D140" s="8" t="n">
        <v>46662</v>
      </c>
      <c r="E140" s="8" t="n">
        <v>47087</v>
      </c>
      <c r="F140" s="7" t="n">
        <v>1.1</v>
      </c>
      <c r="G140" s="7" t="inlineStr">
        <is>
          <t>Derived from milestones</t>
        </is>
      </c>
    </row>
    <row r="141">
      <c r="A141" s="6" t="inlineStr">
        <is>
          <t>PRJ-026</t>
        </is>
      </c>
      <c r="B141" s="7" t="inlineStr">
        <is>
          <t>Close-out (interim)</t>
        </is>
      </c>
      <c r="C141" s="6" t="n">
        <v>4</v>
      </c>
      <c r="D141" s="8" t="n">
        <v>47088</v>
      </c>
      <c r="E141" s="8" t="n">
        <v>47178</v>
      </c>
      <c r="F141" s="7" t="n">
        <v>1.3</v>
      </c>
      <c r="G141" s="7" t="inlineStr">
        <is>
          <t>Derived from milestones</t>
        </is>
      </c>
    </row>
    <row r="142">
      <c r="A142" s="6" t="inlineStr">
        <is>
          <t>PRJ-026</t>
        </is>
      </c>
      <c r="B142" s="7" t="inlineStr">
        <is>
          <t>Conduct (final)</t>
        </is>
      </c>
      <c r="C142" s="6" t="n">
        <v>5</v>
      </c>
      <c r="D142" s="8" t="n">
        <v>47179</v>
      </c>
      <c r="E142" s="8" t="n">
        <v>47391</v>
      </c>
      <c r="F142" s="7" t="n">
        <v>1.1</v>
      </c>
      <c r="G142" s="7" t="inlineStr">
        <is>
          <t>Derived from milestones</t>
        </is>
      </c>
    </row>
    <row r="143">
      <c r="A143" s="6" t="inlineStr">
        <is>
          <t>PRJ-026</t>
        </is>
      </c>
      <c r="B143" s="7" t="inlineStr">
        <is>
          <t>Close-out (final)</t>
        </is>
      </c>
      <c r="C143" s="6" t="n">
        <v>6</v>
      </c>
      <c r="D143" s="8" t="n">
        <v>47392</v>
      </c>
      <c r="E143" s="8" t="n">
        <v>47542</v>
      </c>
      <c r="F143" s="7" t="n">
        <v>1.5</v>
      </c>
      <c r="G143" s="7" t="inlineStr">
        <is>
          <t>Derived from milestones</t>
        </is>
      </c>
    </row>
    <row r="144">
      <c r="A144" s="6" t="inlineStr">
        <is>
          <t>PRJ-027</t>
        </is>
      </c>
      <c r="B144" s="7" t="inlineStr">
        <is>
          <t>Before-Start-up</t>
        </is>
      </c>
      <c r="C144" s="6" t="n">
        <v>1</v>
      </c>
      <c r="D144" s="8" t="n">
        <v>46569</v>
      </c>
      <c r="E144" s="8" t="n">
        <v>46600</v>
      </c>
      <c r="F144" s="7" t="n">
        <v>0.68</v>
      </c>
      <c r="G144" s="7" t="inlineStr">
        <is>
          <t>Derived from milestones</t>
        </is>
      </c>
    </row>
    <row r="145">
      <c r="A145" s="6" t="inlineStr">
        <is>
          <t>PRJ-027</t>
        </is>
      </c>
      <c r="B145" s="7" t="inlineStr">
        <is>
          <t>Start-up</t>
        </is>
      </c>
      <c r="C145" s="6" t="n">
        <v>2</v>
      </c>
      <c r="D145" s="8" t="n">
        <v>46601</v>
      </c>
      <c r="E145" s="8" t="n">
        <v>46784</v>
      </c>
      <c r="F145" s="7" t="n">
        <v>1.36</v>
      </c>
      <c r="G145" s="7" t="inlineStr">
        <is>
          <t>Derived from milestones</t>
        </is>
      </c>
    </row>
    <row r="146">
      <c r="A146" s="6" t="inlineStr">
        <is>
          <t>PRJ-027</t>
        </is>
      </c>
      <c r="B146" s="7" t="inlineStr">
        <is>
          <t>Conduct (interim)</t>
        </is>
      </c>
      <c r="C146" s="6" t="n">
        <v>3</v>
      </c>
      <c r="D146" s="8" t="n">
        <v>46785</v>
      </c>
      <c r="E146" s="8" t="n">
        <v>47087</v>
      </c>
      <c r="F146" s="7" t="n">
        <v>1.02</v>
      </c>
      <c r="G146" s="7" t="inlineStr">
        <is>
          <t>Derived from milestones</t>
        </is>
      </c>
    </row>
    <row r="147">
      <c r="A147" s="6" t="inlineStr">
        <is>
          <t>PRJ-027</t>
        </is>
      </c>
      <c r="B147" s="7" t="inlineStr">
        <is>
          <t>Close-out (interim)</t>
        </is>
      </c>
      <c r="C147" s="6" t="n">
        <v>4</v>
      </c>
      <c r="D147" s="8" t="n">
        <v>47088</v>
      </c>
      <c r="E147" s="8" t="n">
        <v>47178</v>
      </c>
      <c r="F147" s="7" t="n">
        <v>1.19</v>
      </c>
      <c r="G147" s="7" t="inlineStr">
        <is>
          <t>Derived from milestones</t>
        </is>
      </c>
    </row>
    <row r="148">
      <c r="A148" s="6" t="inlineStr">
        <is>
          <t>PRJ-027</t>
        </is>
      </c>
      <c r="B148" s="7" t="inlineStr">
        <is>
          <t>Conduct (final)</t>
        </is>
      </c>
      <c r="C148" s="6" t="n">
        <v>5</v>
      </c>
      <c r="D148" s="8" t="n">
        <v>47179</v>
      </c>
      <c r="E148" s="8" t="n">
        <v>47330</v>
      </c>
      <c r="F148" s="7" t="n">
        <v>1.02</v>
      </c>
      <c r="G148" s="7" t="inlineStr">
        <is>
          <t>Derived from milestones</t>
        </is>
      </c>
    </row>
    <row r="149">
      <c r="A149" s="6" t="inlineStr">
        <is>
          <t>PRJ-027</t>
        </is>
      </c>
      <c r="B149" s="7" t="inlineStr">
        <is>
          <t>Close-out (final)</t>
        </is>
      </c>
      <c r="C149" s="6" t="n">
        <v>6</v>
      </c>
      <c r="D149" s="8" t="n">
        <v>47331</v>
      </c>
      <c r="E149" s="8" t="n">
        <v>47483</v>
      </c>
      <c r="F149" s="7" t="n">
        <v>1.44</v>
      </c>
      <c r="G149" s="7" t="inlineStr">
        <is>
          <t>Derived from milestones</t>
        </is>
      </c>
    </row>
    <row r="150">
      <c r="A150" s="6" t="inlineStr">
        <is>
          <t>PRJ-028</t>
        </is>
      </c>
      <c r="B150" s="7" t="inlineStr">
        <is>
          <t>Before-Start-up</t>
        </is>
      </c>
      <c r="C150" s="6" t="n">
        <v>1</v>
      </c>
      <c r="D150" s="8" t="n">
        <v>45992</v>
      </c>
      <c r="E150" s="8" t="n">
        <v>46023</v>
      </c>
      <c r="F150" s="7" t="n">
        <v>0.5</v>
      </c>
      <c r="G150" s="7" t="inlineStr">
        <is>
          <t>Derived from milestones</t>
        </is>
      </c>
    </row>
    <row r="151">
      <c r="A151" s="6" t="inlineStr">
        <is>
          <t>PRJ-028</t>
        </is>
      </c>
      <c r="B151" s="7" t="inlineStr">
        <is>
          <t>Start-up</t>
        </is>
      </c>
      <c r="C151" s="6" t="n">
        <v>2</v>
      </c>
      <c r="D151" s="8" t="n">
        <v>46024</v>
      </c>
      <c r="E151" s="8" t="n">
        <v>46204</v>
      </c>
      <c r="F151" s="7" t="n">
        <v>1.1</v>
      </c>
      <c r="G151" s="7" t="inlineStr">
        <is>
          <t>Derived from milestones</t>
        </is>
      </c>
    </row>
    <row r="152">
      <c r="A152" s="6" t="inlineStr">
        <is>
          <t>PRJ-028</t>
        </is>
      </c>
      <c r="B152" s="7" t="inlineStr">
        <is>
          <t>Conduct (final)</t>
        </is>
      </c>
      <c r="C152" s="6" t="n">
        <v>3</v>
      </c>
      <c r="D152" s="8" t="n">
        <v>46205</v>
      </c>
      <c r="E152" s="8" t="n">
        <v>47118</v>
      </c>
      <c r="F152" s="7" t="n">
        <v>0.9</v>
      </c>
      <c r="G152" s="7" t="inlineStr">
        <is>
          <t>Derived from milestones</t>
        </is>
      </c>
    </row>
    <row r="153">
      <c r="A153" s="6" t="inlineStr">
        <is>
          <t>PRJ-028</t>
        </is>
      </c>
      <c r="B153" s="7" t="inlineStr">
        <is>
          <t>Close-out (final)</t>
        </is>
      </c>
      <c r="C153" s="6" t="n">
        <v>4</v>
      </c>
      <c r="D153" s="8" t="n">
        <v>47119</v>
      </c>
      <c r="E153" s="8" t="n">
        <v>47269</v>
      </c>
      <c r="F153" s="7" t="n">
        <v>1.2</v>
      </c>
      <c r="G153" s="7" t="inlineStr">
        <is>
          <t>Derived from milestones</t>
        </is>
      </c>
    </row>
    <row r="154">
      <c r="A154" s="6" t="inlineStr">
        <is>
          <t>PRJ-028</t>
        </is>
      </c>
      <c r="B154" s="7" t="inlineStr">
        <is>
          <t>After Close-out (final)</t>
        </is>
      </c>
      <c r="C154" s="6" t="n">
        <v>5</v>
      </c>
      <c r="D154" s="8" t="n">
        <v>47270</v>
      </c>
      <c r="E154" s="8" t="n">
        <v>47270</v>
      </c>
      <c r="F154" s="7" t="n">
        <v>0.72</v>
      </c>
      <c r="G154" s="7" t="inlineStr">
        <is>
          <t>Derived from milestones</t>
        </is>
      </c>
    </row>
    <row r="155">
      <c r="A155" s="6" t="inlineStr">
        <is>
          <t>PRJ-029</t>
        </is>
      </c>
      <c r="B155" s="7" t="inlineStr">
        <is>
          <t>Before-Start-up</t>
        </is>
      </c>
      <c r="C155" s="6" t="n">
        <v>1</v>
      </c>
      <c r="D155" s="8" t="n">
        <v>46569</v>
      </c>
      <c r="E155" s="8" t="n">
        <v>46600</v>
      </c>
      <c r="F155" s="7" t="n">
        <v>0.6</v>
      </c>
      <c r="G155" s="7" t="inlineStr">
        <is>
          <t>Derived from milestones</t>
        </is>
      </c>
    </row>
    <row r="156">
      <c r="A156" s="6" t="inlineStr">
        <is>
          <t>PRJ-029</t>
        </is>
      </c>
      <c r="B156" s="7" t="inlineStr">
        <is>
          <t>Start-up</t>
        </is>
      </c>
      <c r="C156" s="6" t="n">
        <v>2</v>
      </c>
      <c r="D156" s="8" t="n">
        <v>46601</v>
      </c>
      <c r="E156" s="8" t="n">
        <v>46784</v>
      </c>
      <c r="F156" s="7" t="n">
        <v>1.3</v>
      </c>
      <c r="G156" s="7" t="inlineStr">
        <is>
          <t>Derived from milestones</t>
        </is>
      </c>
    </row>
    <row r="157">
      <c r="A157" s="6" t="inlineStr">
        <is>
          <t>PRJ-029</t>
        </is>
      </c>
      <c r="B157" s="7" t="inlineStr">
        <is>
          <t>Conduct (final)</t>
        </is>
      </c>
      <c r="C157" s="6" t="n">
        <v>3</v>
      </c>
      <c r="D157" s="8" t="n">
        <v>46785</v>
      </c>
      <c r="E157" s="8" t="n">
        <v>47514</v>
      </c>
      <c r="F157" s="7" t="n">
        <v>1</v>
      </c>
      <c r="G157" s="7" t="inlineStr">
        <is>
          <t>Derived from milestones</t>
        </is>
      </c>
    </row>
    <row r="158">
      <c r="A158" s="6" t="inlineStr">
        <is>
          <t>PRJ-029</t>
        </is>
      </c>
      <c r="B158" s="7" t="inlineStr">
        <is>
          <t>Close-out (final)</t>
        </is>
      </c>
      <c r="C158" s="6" t="n">
        <v>4</v>
      </c>
      <c r="D158" s="8" t="n">
        <v>47515</v>
      </c>
      <c r="E158" s="8" t="n">
        <v>47664</v>
      </c>
      <c r="F158" s="7" t="n">
        <v>1.4</v>
      </c>
      <c r="G158" s="7" t="inlineStr">
        <is>
          <t>Derived from milestones</t>
        </is>
      </c>
    </row>
    <row r="159">
      <c r="A159" s="6" t="inlineStr">
        <is>
          <t>PRJ-030</t>
        </is>
      </c>
      <c r="B159" s="7" t="inlineStr">
        <is>
          <t>Before-Start-up</t>
        </is>
      </c>
      <c r="C159" s="6" t="n">
        <v>1</v>
      </c>
      <c r="D159" s="8" t="n">
        <v>45901</v>
      </c>
      <c r="E159" s="8" t="n">
        <v>45931</v>
      </c>
      <c r="F159" s="7" t="n">
        <v>0.59</v>
      </c>
      <c r="G159" s="7" t="inlineStr">
        <is>
          <t>Derived from milestones</t>
        </is>
      </c>
    </row>
    <row r="160">
      <c r="A160" s="6" t="inlineStr">
        <is>
          <t>PRJ-030</t>
        </is>
      </c>
      <c r="B160" s="7" t="inlineStr">
        <is>
          <t>Start-up</t>
        </is>
      </c>
      <c r="C160" s="6" t="n">
        <v>2</v>
      </c>
      <c r="D160" s="8" t="n">
        <v>45932</v>
      </c>
      <c r="E160" s="8" t="n">
        <v>46113</v>
      </c>
      <c r="F160" s="7" t="n">
        <v>1.19</v>
      </c>
      <c r="G160" s="7" t="inlineStr">
        <is>
          <t>Derived from milestones</t>
        </is>
      </c>
    </row>
    <row r="161">
      <c r="A161" s="6" t="inlineStr">
        <is>
          <t>PRJ-030</t>
        </is>
      </c>
      <c r="B161" s="7" t="inlineStr">
        <is>
          <t>Conduct (interim)</t>
        </is>
      </c>
      <c r="C161" s="6" t="n">
        <v>3</v>
      </c>
      <c r="D161" s="8" t="n">
        <v>46114</v>
      </c>
      <c r="E161" s="8" t="n">
        <v>46295</v>
      </c>
      <c r="F161" s="7" t="n">
        <v>0.9399999999999999</v>
      </c>
      <c r="G161" s="7" t="inlineStr">
        <is>
          <t>Derived from milestones</t>
        </is>
      </c>
    </row>
    <row r="162">
      <c r="A162" s="6" t="inlineStr">
        <is>
          <t>PRJ-030</t>
        </is>
      </c>
      <c r="B162" s="7" t="inlineStr">
        <is>
          <t>Close-out (interim)</t>
        </is>
      </c>
      <c r="C162" s="6" t="n">
        <v>4</v>
      </c>
      <c r="D162" s="8" t="n">
        <v>46296</v>
      </c>
      <c r="E162" s="8" t="n">
        <v>46388</v>
      </c>
      <c r="F162" s="7" t="n">
        <v>1.1</v>
      </c>
      <c r="G162" s="7" t="inlineStr">
        <is>
          <t>Derived from milestones</t>
        </is>
      </c>
    </row>
    <row r="163">
      <c r="A163" s="6" t="inlineStr">
        <is>
          <t>PRJ-030</t>
        </is>
      </c>
      <c r="B163" s="7" t="inlineStr">
        <is>
          <t>Conduct (final)</t>
        </is>
      </c>
      <c r="C163" s="6" t="n">
        <v>5</v>
      </c>
      <c r="D163" s="8" t="n">
        <v>46389</v>
      </c>
      <c r="E163" s="8" t="n">
        <v>46477</v>
      </c>
      <c r="F163" s="7" t="n">
        <v>0.9399999999999999</v>
      </c>
      <c r="G163" s="7" t="inlineStr">
        <is>
          <t>Derived from milestones</t>
        </is>
      </c>
    </row>
    <row r="164">
      <c r="A164" s="6" t="inlineStr">
        <is>
          <t>PRJ-030</t>
        </is>
      </c>
      <c r="B164" s="7" t="inlineStr">
        <is>
          <t>Close-out (final)</t>
        </is>
      </c>
      <c r="C164" s="6" t="n">
        <v>6</v>
      </c>
      <c r="D164" s="8" t="n">
        <v>46478</v>
      </c>
      <c r="E164" s="8" t="n">
        <v>46630</v>
      </c>
      <c r="F164" s="7" t="n">
        <v>1.27</v>
      </c>
      <c r="G164" s="7" t="inlineStr">
        <is>
          <t>Derived from milestones</t>
        </is>
      </c>
    </row>
    <row r="165">
      <c r="A165" s="6" t="inlineStr">
        <is>
          <t>PRJ-031</t>
        </is>
      </c>
      <c r="B165" s="7" t="inlineStr">
        <is>
          <t>Before-Start-up</t>
        </is>
      </c>
      <c r="C165" s="6" t="n">
        <v>1</v>
      </c>
      <c r="D165" s="8" t="n">
        <v>46478</v>
      </c>
      <c r="E165" s="8" t="n">
        <v>46508</v>
      </c>
      <c r="F165" s="7" t="n">
        <v>0.8</v>
      </c>
      <c r="G165" s="7" t="inlineStr">
        <is>
          <t>Derived from milestones</t>
        </is>
      </c>
    </row>
    <row r="166">
      <c r="A166" s="6" t="inlineStr">
        <is>
          <t>PRJ-031</t>
        </is>
      </c>
      <c r="B166" s="7" t="inlineStr">
        <is>
          <t>Start-up</t>
        </is>
      </c>
      <c r="C166" s="6" t="n">
        <v>2</v>
      </c>
      <c r="D166" s="8" t="n">
        <v>46509</v>
      </c>
      <c r="E166" s="8" t="n">
        <v>46692</v>
      </c>
      <c r="F166" s="7" t="n">
        <v>1.6</v>
      </c>
      <c r="G166" s="7" t="inlineStr">
        <is>
          <t>Derived from milestones</t>
        </is>
      </c>
    </row>
    <row r="167">
      <c r="A167" s="6" t="inlineStr">
        <is>
          <t>PRJ-031</t>
        </is>
      </c>
      <c r="B167" s="7" t="inlineStr">
        <is>
          <t>Conduct (interim)</t>
        </is>
      </c>
      <c r="C167" s="6" t="n">
        <v>3</v>
      </c>
      <c r="D167" s="8" t="n">
        <v>46693</v>
      </c>
      <c r="E167" s="8" t="n">
        <v>46873</v>
      </c>
      <c r="F167" s="7" t="n">
        <v>1.2</v>
      </c>
      <c r="G167" s="7" t="inlineStr">
        <is>
          <t>Derived from milestones</t>
        </is>
      </c>
    </row>
    <row r="168">
      <c r="A168" s="6" t="inlineStr">
        <is>
          <t>PRJ-031</t>
        </is>
      </c>
      <c r="B168" s="7" t="inlineStr">
        <is>
          <t>Close-out (interim)</t>
        </is>
      </c>
      <c r="C168" s="6" t="n">
        <v>4</v>
      </c>
      <c r="D168" s="8" t="n">
        <v>46874</v>
      </c>
      <c r="E168" s="8" t="n">
        <v>46966</v>
      </c>
      <c r="F168" s="7" t="n">
        <v>1.4</v>
      </c>
      <c r="G168" s="7" t="inlineStr">
        <is>
          <t>Derived from milestones</t>
        </is>
      </c>
    </row>
    <row r="169">
      <c r="A169" s="6" t="inlineStr">
        <is>
          <t>PRJ-031</t>
        </is>
      </c>
      <c r="B169" s="7" t="inlineStr">
        <is>
          <t>Conduct (final)</t>
        </is>
      </c>
      <c r="C169" s="6" t="n">
        <v>5</v>
      </c>
      <c r="D169" s="8" t="n">
        <v>46967</v>
      </c>
      <c r="E169" s="8" t="n">
        <v>47057</v>
      </c>
      <c r="F169" s="7" t="n">
        <v>1.2</v>
      </c>
      <c r="G169" s="7" t="inlineStr">
        <is>
          <t>Derived from milestones</t>
        </is>
      </c>
    </row>
    <row r="170">
      <c r="A170" s="6" t="inlineStr">
        <is>
          <t>PRJ-031</t>
        </is>
      </c>
      <c r="B170" s="7" t="inlineStr">
        <is>
          <t>Close-out (final)</t>
        </is>
      </c>
      <c r="C170" s="6" t="n">
        <v>6</v>
      </c>
      <c r="D170" s="8" t="n">
        <v>47058</v>
      </c>
      <c r="E170" s="8" t="n">
        <v>47208</v>
      </c>
      <c r="F170" s="7" t="n">
        <v>1.7</v>
      </c>
      <c r="G170" s="7" t="inlineStr">
        <is>
          <t>Derived from milestones</t>
        </is>
      </c>
    </row>
    <row r="171">
      <c r="A171" s="6" t="inlineStr">
        <is>
          <t>PRJ-032</t>
        </is>
      </c>
      <c r="B171" s="7" t="inlineStr">
        <is>
          <t>Before-Start-up</t>
        </is>
      </c>
      <c r="C171" s="6" t="n">
        <v>1</v>
      </c>
      <c r="D171" s="8" t="n">
        <v>46874</v>
      </c>
      <c r="E171" s="8" t="n">
        <v>46905</v>
      </c>
      <c r="F171" s="7" t="n">
        <v>0.5</v>
      </c>
      <c r="G171" s="7" t="inlineStr">
        <is>
          <t>Derived from milestones</t>
        </is>
      </c>
    </row>
    <row r="172">
      <c r="A172" s="6" t="inlineStr">
        <is>
          <t>PRJ-032</t>
        </is>
      </c>
      <c r="B172" s="7" t="inlineStr">
        <is>
          <t>Start-up</t>
        </is>
      </c>
      <c r="C172" s="6" t="n">
        <v>2</v>
      </c>
      <c r="D172" s="8" t="n">
        <v>46906</v>
      </c>
      <c r="E172" s="8" t="n">
        <v>47088</v>
      </c>
      <c r="F172" s="7" t="n">
        <v>1.1</v>
      </c>
      <c r="G172" s="7" t="inlineStr">
        <is>
          <t>Derived from milestones</t>
        </is>
      </c>
    </row>
    <row r="173">
      <c r="A173" s="6" t="inlineStr">
        <is>
          <t>PRJ-032</t>
        </is>
      </c>
      <c r="B173" s="7" t="inlineStr">
        <is>
          <t>Conduct (interim)</t>
        </is>
      </c>
      <c r="C173" s="6" t="n">
        <v>3</v>
      </c>
      <c r="D173" s="8" t="n">
        <v>47089</v>
      </c>
      <c r="E173" s="8" t="n">
        <v>47149</v>
      </c>
      <c r="F173" s="7" t="n">
        <v>0.9</v>
      </c>
      <c r="G173" s="7" t="inlineStr">
        <is>
          <t>Derived from milestones</t>
        </is>
      </c>
    </row>
    <row r="174">
      <c r="A174" s="6" t="inlineStr">
        <is>
          <t>PRJ-032</t>
        </is>
      </c>
      <c r="B174" s="7" t="inlineStr">
        <is>
          <t>Close-out (interim)</t>
        </is>
      </c>
      <c r="C174" s="6" t="n">
        <v>4</v>
      </c>
      <c r="D174" s="8" t="n">
        <v>47150</v>
      </c>
      <c r="E174" s="8" t="n">
        <v>47239</v>
      </c>
      <c r="F174" s="7" t="n">
        <v>1</v>
      </c>
      <c r="G174" s="7" t="inlineStr">
        <is>
          <t>Derived from milestones</t>
        </is>
      </c>
    </row>
    <row r="175">
      <c r="A175" s="6" t="inlineStr">
        <is>
          <t>PRJ-032</t>
        </is>
      </c>
      <c r="B175" s="7" t="inlineStr">
        <is>
          <t>Conduct (final)</t>
        </is>
      </c>
      <c r="C175" s="6" t="n">
        <v>5</v>
      </c>
      <c r="D175" s="8" t="n">
        <v>47240</v>
      </c>
      <c r="E175" s="8" t="n">
        <v>47269</v>
      </c>
      <c r="F175" s="7" t="n">
        <v>0.9</v>
      </c>
      <c r="G175" s="7" t="inlineStr">
        <is>
          <t>Derived from milestones</t>
        </is>
      </c>
    </row>
    <row r="176">
      <c r="A176" s="6" t="inlineStr">
        <is>
          <t>PRJ-032</t>
        </is>
      </c>
      <c r="B176" s="7" t="inlineStr">
        <is>
          <t>Close-out (final)</t>
        </is>
      </c>
      <c r="C176" s="6" t="n">
        <v>6</v>
      </c>
      <c r="D176" s="8" t="n">
        <v>47270</v>
      </c>
      <c r="E176" s="8" t="n">
        <v>47422</v>
      </c>
      <c r="F176" s="7" t="n">
        <v>1.2</v>
      </c>
      <c r="G176" s="7" t="inlineStr">
        <is>
          <t>Derived from milestones</t>
        </is>
      </c>
    </row>
    <row r="177">
      <c r="A177" s="6" t="inlineStr">
        <is>
          <t>PRJ-032</t>
        </is>
      </c>
      <c r="B177" s="7" t="inlineStr">
        <is>
          <t>After Close-out (final)</t>
        </is>
      </c>
      <c r="C177" s="6" t="n">
        <v>7</v>
      </c>
      <c r="D177" s="8" t="n">
        <v>47423</v>
      </c>
      <c r="E177" s="8" t="n">
        <v>47423</v>
      </c>
      <c r="F177" s="7" t="n">
        <v>0.72</v>
      </c>
      <c r="G177" s="7" t="inlineStr">
        <is>
          <t>Derived from milestones</t>
        </is>
      </c>
    </row>
    <row r="178">
      <c r="A178" s="6" t="inlineStr">
        <is>
          <t>PRJ-033</t>
        </is>
      </c>
      <c r="B178" s="7" t="inlineStr">
        <is>
          <t>Before-Start-up</t>
        </is>
      </c>
      <c r="C178" s="6" t="n">
        <v>1</v>
      </c>
      <c r="D178" s="8" t="n">
        <v>46419</v>
      </c>
      <c r="E178" s="8" t="n">
        <v>46447</v>
      </c>
      <c r="F178" s="7" t="n">
        <v>0.51</v>
      </c>
      <c r="G178" s="7" t="inlineStr">
        <is>
          <t>Derived from milestones</t>
        </is>
      </c>
    </row>
    <row r="179">
      <c r="A179" s="6" t="inlineStr">
        <is>
          <t>PRJ-033</t>
        </is>
      </c>
      <c r="B179" s="7" t="inlineStr">
        <is>
          <t>Start-up</t>
        </is>
      </c>
      <c r="C179" s="6" t="n">
        <v>2</v>
      </c>
      <c r="D179" s="8" t="n">
        <v>46448</v>
      </c>
      <c r="E179" s="8" t="n">
        <v>46631</v>
      </c>
      <c r="F179" s="7" t="n">
        <v>1.1</v>
      </c>
      <c r="G179" s="7" t="inlineStr">
        <is>
          <t>Derived from milestones</t>
        </is>
      </c>
    </row>
    <row r="180">
      <c r="A180" s="6" t="inlineStr">
        <is>
          <t>PRJ-033</t>
        </is>
      </c>
      <c r="B180" s="7" t="inlineStr">
        <is>
          <t>Conduct (final)</t>
        </is>
      </c>
      <c r="C180" s="6" t="n">
        <v>3</v>
      </c>
      <c r="D180" s="8" t="n">
        <v>46632</v>
      </c>
      <c r="E180" s="8" t="n">
        <v>46812</v>
      </c>
      <c r="F180" s="7" t="n">
        <v>0.85</v>
      </c>
      <c r="G180" s="7" t="inlineStr">
        <is>
          <t>Derived from milestones</t>
        </is>
      </c>
    </row>
    <row r="181">
      <c r="A181" s="6" t="inlineStr">
        <is>
          <t>PRJ-033</t>
        </is>
      </c>
      <c r="B181" s="7" t="inlineStr">
        <is>
          <t>Close-out (final)</t>
        </is>
      </c>
      <c r="C181" s="6" t="n">
        <v>4</v>
      </c>
      <c r="D181" s="8" t="n">
        <v>46813</v>
      </c>
      <c r="E181" s="8" t="n">
        <v>46965</v>
      </c>
      <c r="F181" s="7" t="n">
        <v>1.19</v>
      </c>
      <c r="G181" s="7" t="inlineStr">
        <is>
          <t>Derived from milestones</t>
        </is>
      </c>
    </row>
    <row r="182">
      <c r="A182" s="6" t="inlineStr">
        <is>
          <t>PRJ-034</t>
        </is>
      </c>
      <c r="B182" s="7" t="inlineStr">
        <is>
          <t>Before-Start-up</t>
        </is>
      </c>
      <c r="C182" s="6" t="n">
        <v>1</v>
      </c>
      <c r="D182" s="8" t="n">
        <v>46661</v>
      </c>
      <c r="E182" s="8" t="n">
        <v>46692</v>
      </c>
      <c r="F182" s="7" t="n">
        <v>0.7</v>
      </c>
      <c r="G182" s="7" t="inlineStr">
        <is>
          <t>Derived from milestones</t>
        </is>
      </c>
    </row>
    <row r="183">
      <c r="A183" s="6" t="inlineStr">
        <is>
          <t>PRJ-034</t>
        </is>
      </c>
      <c r="B183" s="7" t="inlineStr">
        <is>
          <t>Start-up</t>
        </is>
      </c>
      <c r="C183" s="6" t="n">
        <v>2</v>
      </c>
      <c r="D183" s="8" t="n">
        <v>46693</v>
      </c>
      <c r="E183" s="8" t="n">
        <v>46874</v>
      </c>
      <c r="F183" s="7" t="n">
        <v>1.4</v>
      </c>
      <c r="G183" s="7" t="inlineStr">
        <is>
          <t>Derived from milestones</t>
        </is>
      </c>
    </row>
    <row r="184">
      <c r="A184" s="6" t="inlineStr">
        <is>
          <t>PRJ-034</t>
        </is>
      </c>
      <c r="B184" s="7" t="inlineStr">
        <is>
          <t>Conduct (final)</t>
        </is>
      </c>
      <c r="C184" s="6" t="n">
        <v>3</v>
      </c>
      <c r="D184" s="8" t="n">
        <v>46875</v>
      </c>
      <c r="E184" s="8" t="n">
        <v>47603</v>
      </c>
      <c r="F184" s="7" t="n">
        <v>1.1</v>
      </c>
      <c r="G184" s="7" t="inlineStr">
        <is>
          <t>Derived from milestones</t>
        </is>
      </c>
    </row>
    <row r="185">
      <c r="A185" s="6" t="inlineStr">
        <is>
          <t>PRJ-034</t>
        </is>
      </c>
      <c r="B185" s="7" t="inlineStr">
        <is>
          <t>Close-out (final)</t>
        </is>
      </c>
      <c r="C185" s="6" t="n">
        <v>4</v>
      </c>
      <c r="D185" s="8" t="n">
        <v>47604</v>
      </c>
      <c r="E185" s="8" t="n">
        <v>47756</v>
      </c>
      <c r="F185" s="7" t="n">
        <v>1.5</v>
      </c>
      <c r="G185" s="7" t="inlineStr">
        <is>
          <t>Derived from milestones</t>
        </is>
      </c>
    </row>
    <row r="186">
      <c r="A186" s="6" t="inlineStr">
        <is>
          <t>PRJ-035</t>
        </is>
      </c>
      <c r="B186" s="7" t="inlineStr">
        <is>
          <t>Before-Start-up</t>
        </is>
      </c>
      <c r="C186" s="6" t="n">
        <v>1</v>
      </c>
      <c r="D186" s="8" t="n">
        <v>45658</v>
      </c>
      <c r="E186" s="8" t="n">
        <v>45689</v>
      </c>
      <c r="F186" s="7" t="n">
        <v>0.8</v>
      </c>
      <c r="G186" s="7" t="inlineStr">
        <is>
          <t>Derived from milestones</t>
        </is>
      </c>
    </row>
    <row r="187">
      <c r="A187" s="6" t="inlineStr">
        <is>
          <t>PRJ-035</t>
        </is>
      </c>
      <c r="B187" s="7" t="inlineStr">
        <is>
          <t>Start-up</t>
        </is>
      </c>
      <c r="C187" s="6" t="n">
        <v>2</v>
      </c>
      <c r="D187" s="8" t="n">
        <v>45690</v>
      </c>
      <c r="E187" s="8" t="n">
        <v>45870</v>
      </c>
      <c r="F187" s="7" t="n">
        <v>1.6</v>
      </c>
      <c r="G187" s="7" t="inlineStr">
        <is>
          <t>Derived from milestones</t>
        </is>
      </c>
    </row>
    <row r="188">
      <c r="A188" s="6" t="inlineStr">
        <is>
          <t>PRJ-035</t>
        </is>
      </c>
      <c r="B188" s="7" t="inlineStr">
        <is>
          <t>Conduct (interim)</t>
        </is>
      </c>
      <c r="C188" s="6" t="n">
        <v>3</v>
      </c>
      <c r="D188" s="8" t="n">
        <v>45871</v>
      </c>
      <c r="E188" s="8" t="n">
        <v>46418</v>
      </c>
      <c r="F188" s="7" t="n">
        <v>1.2</v>
      </c>
      <c r="G188" s="7" t="inlineStr">
        <is>
          <t>Derived from milestones</t>
        </is>
      </c>
    </row>
    <row r="189">
      <c r="A189" s="6" t="inlineStr">
        <is>
          <t>PRJ-035</t>
        </is>
      </c>
      <c r="B189" s="7" t="inlineStr">
        <is>
          <t>Close-out (interim)</t>
        </is>
      </c>
      <c r="C189" s="6" t="n">
        <v>4</v>
      </c>
      <c r="D189" s="8" t="n">
        <v>46419</v>
      </c>
      <c r="E189" s="8" t="n">
        <v>46508</v>
      </c>
      <c r="F189" s="7" t="n">
        <v>1.4</v>
      </c>
      <c r="G189" s="7" t="inlineStr">
        <is>
          <t>Derived from milestones</t>
        </is>
      </c>
    </row>
    <row r="190">
      <c r="A190" s="6" t="inlineStr">
        <is>
          <t>PRJ-035</t>
        </is>
      </c>
      <c r="B190" s="7" t="inlineStr">
        <is>
          <t>Conduct (final)</t>
        </is>
      </c>
      <c r="C190" s="6" t="n">
        <v>5</v>
      </c>
      <c r="D190" s="8" t="n">
        <v>46509</v>
      </c>
      <c r="E190" s="8" t="n">
        <v>46783</v>
      </c>
      <c r="F190" s="7" t="n">
        <v>1.2</v>
      </c>
      <c r="G190" s="7" t="inlineStr">
        <is>
          <t>Derived from milestones</t>
        </is>
      </c>
    </row>
    <row r="191">
      <c r="A191" s="6" t="inlineStr">
        <is>
          <t>PRJ-035</t>
        </is>
      </c>
      <c r="B191" s="7" t="inlineStr">
        <is>
          <t>Close-out (final)</t>
        </is>
      </c>
      <c r="C191" s="6" t="n">
        <v>6</v>
      </c>
      <c r="D191" s="8" t="n">
        <v>46784</v>
      </c>
      <c r="E191" s="8" t="n">
        <v>46934</v>
      </c>
      <c r="F191" s="7" t="n">
        <v>1.7</v>
      </c>
      <c r="G191" s="7" t="inlineStr">
        <is>
          <t>Derived from milestones</t>
        </is>
      </c>
    </row>
    <row r="192">
      <c r="A192" s="6" t="inlineStr">
        <is>
          <t>PRJ-036</t>
        </is>
      </c>
      <c r="B192" s="7" t="inlineStr">
        <is>
          <t>Before-Start-up</t>
        </is>
      </c>
      <c r="C192" s="6" t="n">
        <v>1</v>
      </c>
      <c r="D192" s="8" t="n">
        <v>45931</v>
      </c>
      <c r="E192" s="8" t="n">
        <v>45962</v>
      </c>
      <c r="F192" s="7" t="n">
        <v>0.42</v>
      </c>
      <c r="G192" s="7" t="inlineStr">
        <is>
          <t>Derived from milestones</t>
        </is>
      </c>
    </row>
    <row r="193">
      <c r="A193" s="6" t="inlineStr">
        <is>
          <t>PRJ-036</t>
        </is>
      </c>
      <c r="B193" s="7" t="inlineStr">
        <is>
          <t>Start-up</t>
        </is>
      </c>
      <c r="C193" s="6" t="n">
        <v>2</v>
      </c>
      <c r="D193" s="8" t="n">
        <v>45963</v>
      </c>
      <c r="E193" s="8" t="n">
        <v>46143</v>
      </c>
      <c r="F193" s="7" t="n">
        <v>0.9399999999999999</v>
      </c>
      <c r="G193" s="7" t="inlineStr">
        <is>
          <t>Derived from milestones</t>
        </is>
      </c>
    </row>
    <row r="194">
      <c r="A194" s="6" t="inlineStr">
        <is>
          <t>PRJ-036</t>
        </is>
      </c>
      <c r="B194" s="7" t="inlineStr">
        <is>
          <t>Conduct (interim)</t>
        </is>
      </c>
      <c r="C194" s="6" t="n">
        <v>3</v>
      </c>
      <c r="D194" s="8" t="n">
        <v>46144</v>
      </c>
      <c r="E194" s="8" t="n">
        <v>46446</v>
      </c>
      <c r="F194" s="7" t="n">
        <v>0.77</v>
      </c>
      <c r="G194" s="7" t="inlineStr">
        <is>
          <t>Derived from milestones</t>
        </is>
      </c>
    </row>
    <row r="195">
      <c r="A195" s="6" t="inlineStr">
        <is>
          <t>PRJ-036</t>
        </is>
      </c>
      <c r="B195" s="7" t="inlineStr">
        <is>
          <t>Close-out (interim)</t>
        </is>
      </c>
      <c r="C195" s="6" t="n">
        <v>4</v>
      </c>
      <c r="D195" s="8" t="n">
        <v>46447</v>
      </c>
      <c r="E195" s="8" t="n">
        <v>46539</v>
      </c>
      <c r="F195" s="7" t="n">
        <v>0.85</v>
      </c>
      <c r="G195" s="7" t="inlineStr">
        <is>
          <t>Derived from milestones</t>
        </is>
      </c>
    </row>
    <row r="196">
      <c r="A196" s="6" t="inlineStr">
        <is>
          <t>PRJ-036</t>
        </is>
      </c>
      <c r="B196" s="7" t="inlineStr">
        <is>
          <t>Conduct (final)</t>
        </is>
      </c>
      <c r="C196" s="6" t="n">
        <v>5</v>
      </c>
      <c r="D196" s="8" t="n">
        <v>46540</v>
      </c>
      <c r="E196" s="8" t="n">
        <v>46691</v>
      </c>
      <c r="F196" s="7" t="n">
        <v>0.77</v>
      </c>
      <c r="G196" s="7" t="inlineStr">
        <is>
          <t>Derived from milestones</t>
        </is>
      </c>
    </row>
    <row r="197">
      <c r="A197" s="6" t="inlineStr">
        <is>
          <t>PRJ-036</t>
        </is>
      </c>
      <c r="B197" s="7" t="inlineStr">
        <is>
          <t>Close-out (final)</t>
        </is>
      </c>
      <c r="C197" s="6" t="n">
        <v>6</v>
      </c>
      <c r="D197" s="8" t="n">
        <v>46692</v>
      </c>
      <c r="E197" s="8" t="n">
        <v>46843</v>
      </c>
      <c r="F197" s="7" t="n">
        <v>1.02</v>
      </c>
      <c r="G197" s="7" t="inlineStr">
        <is>
          <t>Derived from milestones</t>
        </is>
      </c>
    </row>
    <row r="198">
      <c r="A198" s="6" t="inlineStr">
        <is>
          <t>PRJ-036</t>
        </is>
      </c>
      <c r="B198" s="7" t="inlineStr">
        <is>
          <t>After Close-out (final)</t>
        </is>
      </c>
      <c r="C198" s="6" t="n">
        <v>7</v>
      </c>
      <c r="D198" s="8" t="n">
        <v>46844</v>
      </c>
      <c r="E198" s="8" t="n">
        <v>46844</v>
      </c>
      <c r="F198" s="7" t="n">
        <v>0.61</v>
      </c>
      <c r="G198" s="7" t="inlineStr">
        <is>
          <t>Derived from milestones</t>
        </is>
      </c>
    </row>
    <row r="199">
      <c r="A199" s="6" t="inlineStr">
        <is>
          <t>PRJ-037</t>
        </is>
      </c>
      <c r="B199" s="7" t="inlineStr">
        <is>
          <t>Before-Start-up</t>
        </is>
      </c>
      <c r="C199" s="6" t="n">
        <v>1</v>
      </c>
      <c r="D199" s="8" t="n">
        <v>46054</v>
      </c>
      <c r="E199" s="8" t="n">
        <v>46082</v>
      </c>
      <c r="F199" s="7" t="n">
        <v>0.6</v>
      </c>
      <c r="G199" s="7" t="inlineStr">
        <is>
          <t>Derived from milestones</t>
        </is>
      </c>
    </row>
    <row r="200">
      <c r="A200" s="6" t="inlineStr">
        <is>
          <t>PRJ-037</t>
        </is>
      </c>
      <c r="B200" s="7" t="inlineStr">
        <is>
          <t>Start-up</t>
        </is>
      </c>
      <c r="C200" s="6" t="n">
        <v>2</v>
      </c>
      <c r="D200" s="8" t="n">
        <v>46083</v>
      </c>
      <c r="E200" s="8" t="n">
        <v>46266</v>
      </c>
      <c r="F200" s="7" t="n">
        <v>1.3</v>
      </c>
      <c r="G200" s="7" t="inlineStr">
        <is>
          <t>Derived from milestones</t>
        </is>
      </c>
    </row>
    <row r="201">
      <c r="A201" s="6" t="inlineStr">
        <is>
          <t>PRJ-037</t>
        </is>
      </c>
      <c r="B201" s="7" t="inlineStr">
        <is>
          <t>Conduct (interim)</t>
        </is>
      </c>
      <c r="C201" s="6" t="n">
        <v>3</v>
      </c>
      <c r="D201" s="8" t="n">
        <v>46267</v>
      </c>
      <c r="E201" s="8" t="n">
        <v>46568</v>
      </c>
      <c r="F201" s="7" t="n">
        <v>1</v>
      </c>
      <c r="G201" s="7" t="inlineStr">
        <is>
          <t>Derived from milestones</t>
        </is>
      </c>
    </row>
    <row r="202">
      <c r="A202" s="6" t="inlineStr">
        <is>
          <t>PRJ-037</t>
        </is>
      </c>
      <c r="B202" s="7" t="inlineStr">
        <is>
          <t>Close-out (interim)</t>
        </is>
      </c>
      <c r="C202" s="6" t="n">
        <v>4</v>
      </c>
      <c r="D202" s="8" t="n">
        <v>46569</v>
      </c>
      <c r="E202" s="8" t="n">
        <v>46661</v>
      </c>
      <c r="F202" s="7" t="n">
        <v>1.2</v>
      </c>
      <c r="G202" s="7" t="inlineStr">
        <is>
          <t>Derived from milestones</t>
        </is>
      </c>
    </row>
    <row r="203">
      <c r="A203" s="6" t="inlineStr">
        <is>
          <t>PRJ-037</t>
        </is>
      </c>
      <c r="B203" s="7" t="inlineStr">
        <is>
          <t>Conduct (final)</t>
        </is>
      </c>
      <c r="C203" s="6" t="n">
        <v>5</v>
      </c>
      <c r="D203" s="8" t="n">
        <v>46662</v>
      </c>
      <c r="E203" s="8" t="n">
        <v>46812</v>
      </c>
      <c r="F203" s="7" t="n">
        <v>1</v>
      </c>
      <c r="G203" s="7" t="inlineStr">
        <is>
          <t>Derived from milestones</t>
        </is>
      </c>
    </row>
    <row r="204">
      <c r="A204" s="6" t="inlineStr">
        <is>
          <t>PRJ-037</t>
        </is>
      </c>
      <c r="B204" s="7" t="inlineStr">
        <is>
          <t>Close-out (final)</t>
        </is>
      </c>
      <c r="C204" s="6" t="n">
        <v>6</v>
      </c>
      <c r="D204" s="8" t="n">
        <v>46813</v>
      </c>
      <c r="E204" s="8" t="n">
        <v>46965</v>
      </c>
      <c r="F204" s="7" t="n">
        <v>1.4</v>
      </c>
      <c r="G204" s="7" t="inlineStr">
        <is>
          <t>Derived from milestones</t>
        </is>
      </c>
    </row>
    <row r="205">
      <c r="A205" s="6" t="inlineStr">
        <is>
          <t>PRJ-038</t>
        </is>
      </c>
      <c r="B205" s="7" t="inlineStr">
        <is>
          <t>Before-Start-up</t>
        </is>
      </c>
      <c r="C205" s="6" t="n">
        <v>1</v>
      </c>
      <c r="D205" s="8" t="n">
        <v>45962</v>
      </c>
      <c r="E205" s="8" t="n">
        <v>45992</v>
      </c>
      <c r="F205" s="7" t="n">
        <v>0.7</v>
      </c>
      <c r="G205" s="7" t="inlineStr">
        <is>
          <t>Derived from milestones</t>
        </is>
      </c>
    </row>
    <row r="206">
      <c r="A206" s="6" t="inlineStr">
        <is>
          <t>PRJ-038</t>
        </is>
      </c>
      <c r="B206" s="7" t="inlineStr">
        <is>
          <t>Start-up</t>
        </is>
      </c>
      <c r="C206" s="6" t="n">
        <v>2</v>
      </c>
      <c r="D206" s="8" t="n">
        <v>45993</v>
      </c>
      <c r="E206" s="8" t="n">
        <v>46174</v>
      </c>
      <c r="F206" s="7" t="n">
        <v>1.4</v>
      </c>
      <c r="G206" s="7" t="inlineStr">
        <is>
          <t>Derived from milestones</t>
        </is>
      </c>
    </row>
    <row r="207">
      <c r="A207" s="6" t="inlineStr">
        <is>
          <t>PRJ-038</t>
        </is>
      </c>
      <c r="B207" s="7" t="inlineStr">
        <is>
          <t>Conduct (final)</t>
        </is>
      </c>
      <c r="C207" s="6" t="n">
        <v>3</v>
      </c>
      <c r="D207" s="8" t="n">
        <v>46175</v>
      </c>
      <c r="E207" s="8" t="n">
        <v>46904</v>
      </c>
      <c r="F207" s="7" t="n">
        <v>1.1</v>
      </c>
      <c r="G207" s="7" t="inlineStr">
        <is>
          <t>Derived from milestones</t>
        </is>
      </c>
    </row>
    <row r="208">
      <c r="A208" s="6" t="inlineStr">
        <is>
          <t>PRJ-038</t>
        </is>
      </c>
      <c r="B208" s="7" t="inlineStr">
        <is>
          <t>Close-out (final)</t>
        </is>
      </c>
      <c r="C208" s="6" t="n">
        <v>4</v>
      </c>
      <c r="D208" s="8" t="n">
        <v>46905</v>
      </c>
      <c r="E208" s="8" t="n">
        <v>47057</v>
      </c>
      <c r="F208" s="7" t="n">
        <v>1.5</v>
      </c>
      <c r="G208" s="7" t="inlineStr">
        <is>
          <t>Derived from milestones</t>
        </is>
      </c>
    </row>
    <row r="209">
      <c r="A209" s="6" t="inlineStr">
        <is>
          <t>PRJ-039</t>
        </is>
      </c>
      <c r="B209" s="7" t="inlineStr">
        <is>
          <t>Before-Start-up</t>
        </is>
      </c>
      <c r="C209" s="6" t="n">
        <v>1</v>
      </c>
      <c r="D209" s="8" t="n">
        <v>46266</v>
      </c>
      <c r="E209" s="8" t="n">
        <v>46296</v>
      </c>
      <c r="F209" s="7" t="n">
        <v>0.68</v>
      </c>
      <c r="G209" s="7" t="inlineStr">
        <is>
          <t>Derived from milestones</t>
        </is>
      </c>
    </row>
    <row r="210">
      <c r="A210" s="6" t="inlineStr">
        <is>
          <t>PRJ-039</t>
        </is>
      </c>
      <c r="B210" s="7" t="inlineStr">
        <is>
          <t>Start-up</t>
        </is>
      </c>
      <c r="C210" s="6" t="n">
        <v>2</v>
      </c>
      <c r="D210" s="8" t="n">
        <v>46297</v>
      </c>
      <c r="E210" s="8" t="n">
        <v>46478</v>
      </c>
      <c r="F210" s="7" t="n">
        <v>1.36</v>
      </c>
      <c r="G210" s="7" t="inlineStr">
        <is>
          <t>Derived from milestones</t>
        </is>
      </c>
    </row>
    <row r="211">
      <c r="A211" s="6" t="inlineStr">
        <is>
          <t>PRJ-039</t>
        </is>
      </c>
      <c r="B211" s="7" t="inlineStr">
        <is>
          <t>Conduct (final)</t>
        </is>
      </c>
      <c r="C211" s="6" t="n">
        <v>3</v>
      </c>
      <c r="D211" s="8" t="n">
        <v>46479</v>
      </c>
      <c r="E211" s="8" t="n">
        <v>47391</v>
      </c>
      <c r="F211" s="7" t="n">
        <v>1.02</v>
      </c>
      <c r="G211" s="7" t="inlineStr">
        <is>
          <t>Derived from milestones</t>
        </is>
      </c>
    </row>
    <row r="212">
      <c r="A212" s="6" t="inlineStr">
        <is>
          <t>PRJ-039</t>
        </is>
      </c>
      <c r="B212" s="7" t="inlineStr">
        <is>
          <t>Close-out (final)</t>
        </is>
      </c>
      <c r="C212" s="6" t="n">
        <v>4</v>
      </c>
      <c r="D212" s="8" t="n">
        <v>47392</v>
      </c>
      <c r="E212" s="8" t="n">
        <v>47542</v>
      </c>
      <c r="F212" s="7" t="n">
        <v>1.44</v>
      </c>
      <c r="G212" s="7" t="inlineStr">
        <is>
          <t>Derived from milestones</t>
        </is>
      </c>
    </row>
    <row r="213">
      <c r="A213" s="6" t="inlineStr">
        <is>
          <t>PRJ-040</t>
        </is>
      </c>
      <c r="B213" s="7" t="inlineStr">
        <is>
          <t>Before-Start-up</t>
        </is>
      </c>
      <c r="C213" s="6" t="n">
        <v>1</v>
      </c>
      <c r="D213" s="8" t="n">
        <v>45870</v>
      </c>
      <c r="E213" s="8" t="n">
        <v>45901</v>
      </c>
      <c r="F213" s="7" t="n">
        <v>0.5</v>
      </c>
      <c r="G213" s="7" t="inlineStr">
        <is>
          <t>Derived from milestones</t>
        </is>
      </c>
    </row>
    <row r="214">
      <c r="A214" s="6" t="inlineStr">
        <is>
          <t>PRJ-040</t>
        </is>
      </c>
      <c r="B214" s="7" t="inlineStr">
        <is>
          <t>Start-up</t>
        </is>
      </c>
      <c r="C214" s="6" t="n">
        <v>2</v>
      </c>
      <c r="D214" s="8" t="n">
        <v>45902</v>
      </c>
      <c r="E214" s="8" t="n">
        <v>46082</v>
      </c>
      <c r="F214" s="7" t="n">
        <v>1.1</v>
      </c>
      <c r="G214" s="7" t="inlineStr">
        <is>
          <t>Derived from milestones</t>
        </is>
      </c>
    </row>
    <row r="215">
      <c r="A215" s="6" t="inlineStr">
        <is>
          <t>PRJ-040</t>
        </is>
      </c>
      <c r="B215" s="7" t="inlineStr">
        <is>
          <t>Conduct (interim)</t>
        </is>
      </c>
      <c r="C215" s="6" t="n">
        <v>3</v>
      </c>
      <c r="D215" s="8" t="n">
        <v>46083</v>
      </c>
      <c r="E215" s="8" t="n">
        <v>46142</v>
      </c>
      <c r="F215" s="7" t="n">
        <v>0.9</v>
      </c>
      <c r="G215" s="7" t="inlineStr">
        <is>
          <t>Derived from milestones</t>
        </is>
      </c>
    </row>
    <row r="216">
      <c r="A216" s="6" t="inlineStr">
        <is>
          <t>PRJ-040</t>
        </is>
      </c>
      <c r="B216" s="7" t="inlineStr">
        <is>
          <t>Close-out (interim)</t>
        </is>
      </c>
      <c r="C216" s="6" t="n">
        <v>4</v>
      </c>
      <c r="D216" s="8" t="n">
        <v>46143</v>
      </c>
      <c r="E216" s="8" t="n">
        <v>46235</v>
      </c>
      <c r="F216" s="7" t="n">
        <v>1</v>
      </c>
      <c r="G216" s="7" t="inlineStr">
        <is>
          <t>Derived from milestones</t>
        </is>
      </c>
    </row>
    <row r="217">
      <c r="A217" s="6" t="inlineStr">
        <is>
          <t>PRJ-040</t>
        </is>
      </c>
      <c r="B217" s="7" t="inlineStr">
        <is>
          <t>Conduct (final)</t>
        </is>
      </c>
      <c r="C217" s="6" t="n">
        <v>5</v>
      </c>
      <c r="D217" s="8" t="n">
        <v>46236</v>
      </c>
      <c r="E217" s="8" t="n">
        <v>46265</v>
      </c>
      <c r="F217" s="7" t="n">
        <v>0.9</v>
      </c>
      <c r="G217" s="7" t="inlineStr">
        <is>
          <t>Derived from milestones</t>
        </is>
      </c>
    </row>
    <row r="218">
      <c r="A218" s="6" t="inlineStr">
        <is>
          <t>PRJ-040</t>
        </is>
      </c>
      <c r="B218" s="7" t="inlineStr">
        <is>
          <t>Close-out (final)</t>
        </is>
      </c>
      <c r="C218" s="6" t="n">
        <v>6</v>
      </c>
      <c r="D218" s="8" t="n">
        <v>46266</v>
      </c>
      <c r="E218" s="8" t="n">
        <v>46418</v>
      </c>
      <c r="F218" s="7" t="n">
        <v>1.2</v>
      </c>
      <c r="G218" s="7" t="inlineStr">
        <is>
          <t>Derived from milestones</t>
        </is>
      </c>
    </row>
    <row r="219">
      <c r="A219" s="6" t="inlineStr">
        <is>
          <t>PRJ-040</t>
        </is>
      </c>
      <c r="B219" s="7" t="inlineStr">
        <is>
          <t>After Close-out (final)</t>
        </is>
      </c>
      <c r="C219" s="6" t="n">
        <v>7</v>
      </c>
      <c r="D219" s="8" t="n">
        <v>46419</v>
      </c>
      <c r="E219" s="8" t="n">
        <v>46419</v>
      </c>
      <c r="F219" s="7" t="n">
        <v>0.72</v>
      </c>
      <c r="G219" s="7" t="inlineStr">
        <is>
          <t>Derived from milestones</t>
        </is>
      </c>
    </row>
    <row r="220">
      <c r="A220" s="6" t="inlineStr">
        <is>
          <t>PRJ-041</t>
        </is>
      </c>
      <c r="B220" s="7" t="inlineStr">
        <is>
          <t>Before-Start-up</t>
        </is>
      </c>
      <c r="C220" s="6" t="n">
        <v>1</v>
      </c>
      <c r="D220" s="8" t="n">
        <v>46388</v>
      </c>
      <c r="E220" s="8" t="n">
        <v>46419</v>
      </c>
      <c r="F220" s="7" t="n">
        <v>0.6</v>
      </c>
      <c r="G220" s="7" t="inlineStr">
        <is>
          <t>Derived from milestones</t>
        </is>
      </c>
    </row>
    <row r="221">
      <c r="A221" s="6" t="inlineStr">
        <is>
          <t>PRJ-041</t>
        </is>
      </c>
      <c r="B221" s="7" t="inlineStr">
        <is>
          <t>Start-up</t>
        </is>
      </c>
      <c r="C221" s="6" t="n">
        <v>2</v>
      </c>
      <c r="D221" s="8" t="n">
        <v>46420</v>
      </c>
      <c r="E221" s="8" t="n">
        <v>46600</v>
      </c>
      <c r="F221" s="7" t="n">
        <v>1.3</v>
      </c>
      <c r="G221" s="7" t="inlineStr">
        <is>
          <t>Derived from milestones</t>
        </is>
      </c>
    </row>
    <row r="222">
      <c r="A222" s="6" t="inlineStr">
        <is>
          <t>PRJ-041</t>
        </is>
      </c>
      <c r="B222" s="7" t="inlineStr">
        <is>
          <t>Conduct (interim)</t>
        </is>
      </c>
      <c r="C222" s="6" t="n">
        <v>3</v>
      </c>
      <c r="D222" s="8" t="n">
        <v>46601</v>
      </c>
      <c r="E222" s="8" t="n">
        <v>47149</v>
      </c>
      <c r="F222" s="7" t="n">
        <v>1</v>
      </c>
      <c r="G222" s="7" t="inlineStr">
        <is>
          <t>Derived from milestones</t>
        </is>
      </c>
    </row>
    <row r="223">
      <c r="A223" s="6" t="inlineStr">
        <is>
          <t>PRJ-041</t>
        </is>
      </c>
      <c r="B223" s="7" t="inlineStr">
        <is>
          <t>Close-out (interim)</t>
        </is>
      </c>
      <c r="C223" s="6" t="n">
        <v>4</v>
      </c>
      <c r="D223" s="8" t="n">
        <v>47150</v>
      </c>
      <c r="E223" s="8" t="n">
        <v>47239</v>
      </c>
      <c r="F223" s="7" t="n">
        <v>1.2</v>
      </c>
      <c r="G223" s="7" t="inlineStr">
        <is>
          <t>Derived from milestones</t>
        </is>
      </c>
    </row>
    <row r="224">
      <c r="A224" s="6" t="inlineStr">
        <is>
          <t>PRJ-041</t>
        </is>
      </c>
      <c r="B224" s="7" t="inlineStr">
        <is>
          <t>Conduct (final)</t>
        </is>
      </c>
      <c r="C224" s="6" t="n">
        <v>5</v>
      </c>
      <c r="D224" s="8" t="n">
        <v>47240</v>
      </c>
      <c r="E224" s="8" t="n">
        <v>47514</v>
      </c>
      <c r="F224" s="7" t="n">
        <v>1</v>
      </c>
      <c r="G224" s="7" t="inlineStr">
        <is>
          <t>Derived from milestones</t>
        </is>
      </c>
    </row>
    <row r="225">
      <c r="A225" s="6" t="inlineStr">
        <is>
          <t>PRJ-041</t>
        </is>
      </c>
      <c r="B225" s="7" t="inlineStr">
        <is>
          <t>Close-out (final)</t>
        </is>
      </c>
      <c r="C225" s="6" t="n">
        <v>6</v>
      </c>
      <c r="D225" s="8" t="n">
        <v>47515</v>
      </c>
      <c r="E225" s="8" t="n">
        <v>47664</v>
      </c>
      <c r="F225" s="7" t="n">
        <v>1.4</v>
      </c>
      <c r="G225" s="7" t="inlineStr">
        <is>
          <t>Derived from milestones</t>
        </is>
      </c>
    </row>
    <row r="226">
      <c r="A226" s="6" t="inlineStr">
        <is>
          <t>PRJ-042</t>
        </is>
      </c>
      <c r="B226" s="7" t="inlineStr">
        <is>
          <t>Before-Start-up</t>
        </is>
      </c>
      <c r="C226" s="6" t="n">
        <v>1</v>
      </c>
      <c r="D226" s="8" t="n">
        <v>46478</v>
      </c>
      <c r="E226" s="8" t="n">
        <v>46508</v>
      </c>
      <c r="F226" s="7" t="n">
        <v>0.59</v>
      </c>
      <c r="G226" s="7" t="inlineStr">
        <is>
          <t>Derived from milestones</t>
        </is>
      </c>
    </row>
    <row r="227">
      <c r="A227" s="6" t="inlineStr">
        <is>
          <t>PRJ-042</t>
        </is>
      </c>
      <c r="B227" s="7" t="inlineStr">
        <is>
          <t>Start-up</t>
        </is>
      </c>
      <c r="C227" s="6" t="n">
        <v>2</v>
      </c>
      <c r="D227" s="8" t="n">
        <v>46509</v>
      </c>
      <c r="E227" s="8" t="n">
        <v>46692</v>
      </c>
      <c r="F227" s="7" t="n">
        <v>1.19</v>
      </c>
      <c r="G227" s="7" t="inlineStr">
        <is>
          <t>Derived from milestones</t>
        </is>
      </c>
    </row>
    <row r="228">
      <c r="A228" s="6" t="inlineStr">
        <is>
          <t>PRJ-042</t>
        </is>
      </c>
      <c r="B228" s="7" t="inlineStr">
        <is>
          <t>Conduct (interim)</t>
        </is>
      </c>
      <c r="C228" s="6" t="n">
        <v>3</v>
      </c>
      <c r="D228" s="8" t="n">
        <v>46693</v>
      </c>
      <c r="E228" s="8" t="n">
        <v>46996</v>
      </c>
      <c r="F228" s="7" t="n">
        <v>0.9399999999999999</v>
      </c>
      <c r="G228" s="7" t="inlineStr">
        <is>
          <t>Derived from milestones</t>
        </is>
      </c>
    </row>
    <row r="229">
      <c r="A229" s="6" t="inlineStr">
        <is>
          <t>PRJ-042</t>
        </is>
      </c>
      <c r="B229" s="7" t="inlineStr">
        <is>
          <t>Close-out (interim)</t>
        </is>
      </c>
      <c r="C229" s="6" t="n">
        <v>4</v>
      </c>
      <c r="D229" s="8" t="n">
        <v>46997</v>
      </c>
      <c r="E229" s="8" t="n">
        <v>47088</v>
      </c>
      <c r="F229" s="7" t="n">
        <v>1.1</v>
      </c>
      <c r="G229" s="7" t="inlineStr">
        <is>
          <t>Derived from milestones</t>
        </is>
      </c>
    </row>
    <row r="230">
      <c r="A230" s="6" t="inlineStr">
        <is>
          <t>PRJ-042</t>
        </is>
      </c>
      <c r="B230" s="7" t="inlineStr">
        <is>
          <t>Conduct (final)</t>
        </is>
      </c>
      <c r="C230" s="6" t="n">
        <v>5</v>
      </c>
      <c r="D230" s="8" t="n">
        <v>47089</v>
      </c>
      <c r="E230" s="8" t="n">
        <v>47238</v>
      </c>
      <c r="F230" s="7" t="n">
        <v>0.9399999999999999</v>
      </c>
      <c r="G230" s="7" t="inlineStr">
        <is>
          <t>Derived from milestones</t>
        </is>
      </c>
    </row>
    <row r="231">
      <c r="A231" s="6" t="inlineStr">
        <is>
          <t>PRJ-042</t>
        </is>
      </c>
      <c r="B231" s="7" t="inlineStr">
        <is>
          <t>Close-out (final)</t>
        </is>
      </c>
      <c r="C231" s="6" t="n">
        <v>6</v>
      </c>
      <c r="D231" s="8" t="n">
        <v>47239</v>
      </c>
      <c r="E231" s="8" t="n">
        <v>47391</v>
      </c>
      <c r="F231" s="7" t="n">
        <v>1.27</v>
      </c>
      <c r="G231" s="7" t="inlineStr">
        <is>
          <t>Derived from milestones</t>
        </is>
      </c>
    </row>
    <row r="232">
      <c r="A232" s="6" t="inlineStr">
        <is>
          <t>PRJ-043</t>
        </is>
      </c>
      <c r="B232" s="7" t="inlineStr">
        <is>
          <t>Before-Start-up</t>
        </is>
      </c>
      <c r="C232" s="6" t="n">
        <v>1</v>
      </c>
      <c r="D232" s="8" t="n">
        <v>46569</v>
      </c>
      <c r="E232" s="8" t="n">
        <v>46600</v>
      </c>
      <c r="F232" s="7" t="n">
        <v>0.8</v>
      </c>
      <c r="G232" s="7" t="inlineStr">
        <is>
          <t>Derived from milestones</t>
        </is>
      </c>
    </row>
    <row r="233">
      <c r="A233" s="6" t="inlineStr">
        <is>
          <t>PRJ-043</t>
        </is>
      </c>
      <c r="B233" s="7" t="inlineStr">
        <is>
          <t>Start-up</t>
        </is>
      </c>
      <c r="C233" s="6" t="n">
        <v>2</v>
      </c>
      <c r="D233" s="8" t="n">
        <v>46601</v>
      </c>
      <c r="E233" s="8" t="n">
        <v>46784</v>
      </c>
      <c r="F233" s="7" t="n">
        <v>1.6</v>
      </c>
      <c r="G233" s="7" t="inlineStr">
        <is>
          <t>Derived from milestones</t>
        </is>
      </c>
    </row>
    <row r="234">
      <c r="A234" s="6" t="inlineStr">
        <is>
          <t>PRJ-043</t>
        </is>
      </c>
      <c r="B234" s="7" t="inlineStr">
        <is>
          <t>Conduct (final)</t>
        </is>
      </c>
      <c r="C234" s="6" t="n">
        <v>3</v>
      </c>
      <c r="D234" s="8" t="n">
        <v>46785</v>
      </c>
      <c r="E234" s="8" t="n">
        <v>47514</v>
      </c>
      <c r="F234" s="7" t="n">
        <v>1.2</v>
      </c>
      <c r="G234" s="7" t="inlineStr">
        <is>
          <t>Derived from milestones</t>
        </is>
      </c>
    </row>
    <row r="235">
      <c r="A235" s="6" t="inlineStr">
        <is>
          <t>PRJ-043</t>
        </is>
      </c>
      <c r="B235" s="7" t="inlineStr">
        <is>
          <t>Close-out (final)</t>
        </is>
      </c>
      <c r="C235" s="6" t="n">
        <v>4</v>
      </c>
      <c r="D235" s="8" t="n">
        <v>47515</v>
      </c>
      <c r="E235" s="8" t="n">
        <v>47664</v>
      </c>
      <c r="F235" s="7" t="n">
        <v>1.7</v>
      </c>
      <c r="G235" s="7" t="inlineStr">
        <is>
          <t>Derived from milestones</t>
        </is>
      </c>
    </row>
    <row r="236">
      <c r="A236" s="6" t="inlineStr">
        <is>
          <t>PRJ-044</t>
        </is>
      </c>
      <c r="B236" s="7" t="inlineStr">
        <is>
          <t>Before-Start-up</t>
        </is>
      </c>
      <c r="C236" s="6" t="n">
        <v>1</v>
      </c>
      <c r="D236" s="8" t="n">
        <v>45992</v>
      </c>
      <c r="E236" s="8" t="n">
        <v>46023</v>
      </c>
      <c r="F236" s="7" t="n">
        <v>0.5</v>
      </c>
      <c r="G236" s="7" t="inlineStr">
        <is>
          <t>Derived from milestones</t>
        </is>
      </c>
    </row>
    <row r="237">
      <c r="A237" s="6" t="inlineStr">
        <is>
          <t>PRJ-044</t>
        </is>
      </c>
      <c r="B237" s="7" t="inlineStr">
        <is>
          <t>Start-up</t>
        </is>
      </c>
      <c r="C237" s="6" t="n">
        <v>2</v>
      </c>
      <c r="D237" s="8" t="n">
        <v>46024</v>
      </c>
      <c r="E237" s="8" t="n">
        <v>46204</v>
      </c>
      <c r="F237" s="7" t="n">
        <v>1.1</v>
      </c>
      <c r="G237" s="7" t="inlineStr">
        <is>
          <t>Derived from milestones</t>
        </is>
      </c>
    </row>
    <row r="238">
      <c r="A238" s="6" t="inlineStr">
        <is>
          <t>PRJ-044</t>
        </is>
      </c>
      <c r="B238" s="7" t="inlineStr">
        <is>
          <t>Conduct (final)</t>
        </is>
      </c>
      <c r="C238" s="6" t="n">
        <v>3</v>
      </c>
      <c r="D238" s="8" t="n">
        <v>46205</v>
      </c>
      <c r="E238" s="8" t="n">
        <v>46387</v>
      </c>
      <c r="F238" s="7" t="n">
        <v>0.9</v>
      </c>
      <c r="G238" s="7" t="inlineStr">
        <is>
          <t>Derived from milestones</t>
        </is>
      </c>
    </row>
    <row r="239">
      <c r="A239" s="6" t="inlineStr">
        <is>
          <t>PRJ-044</t>
        </is>
      </c>
      <c r="B239" s="7" t="inlineStr">
        <is>
          <t>Close-out (final)</t>
        </is>
      </c>
      <c r="C239" s="6" t="n">
        <v>4</v>
      </c>
      <c r="D239" s="8" t="n">
        <v>46388</v>
      </c>
      <c r="E239" s="8" t="n">
        <v>46538</v>
      </c>
      <c r="F239" s="7" t="n">
        <v>1.2</v>
      </c>
      <c r="G239" s="7" t="inlineStr">
        <is>
          <t>Derived from milestones</t>
        </is>
      </c>
    </row>
    <row r="240">
      <c r="A240" s="6" t="inlineStr">
        <is>
          <t>PRJ-044</t>
        </is>
      </c>
      <c r="B240" s="7" t="inlineStr">
        <is>
          <t>After Close-out (final)</t>
        </is>
      </c>
      <c r="C240" s="6" t="n">
        <v>5</v>
      </c>
      <c r="D240" s="8" t="n">
        <v>46539</v>
      </c>
      <c r="E240" s="8" t="n">
        <v>46539</v>
      </c>
      <c r="F240" s="7" t="n">
        <v>0.72</v>
      </c>
      <c r="G240" s="7" t="inlineStr">
        <is>
          <t>Derived from milestones</t>
        </is>
      </c>
    </row>
    <row r="241">
      <c r="A241" s="6" t="inlineStr">
        <is>
          <t>PRJ-045</t>
        </is>
      </c>
      <c r="B241" s="7" t="inlineStr">
        <is>
          <t>Before-Start-up</t>
        </is>
      </c>
      <c r="C241" s="6" t="n">
        <v>1</v>
      </c>
      <c r="D241" s="8" t="n">
        <v>46082</v>
      </c>
      <c r="E241" s="8" t="n">
        <v>46113</v>
      </c>
      <c r="F241" s="7" t="n">
        <v>0.51</v>
      </c>
      <c r="G241" s="7" t="inlineStr">
        <is>
          <t>Derived from milestones</t>
        </is>
      </c>
    </row>
    <row r="242">
      <c r="A242" s="6" t="inlineStr">
        <is>
          <t>PRJ-045</t>
        </is>
      </c>
      <c r="B242" s="7" t="inlineStr">
        <is>
          <t>Start-up</t>
        </is>
      </c>
      <c r="C242" s="6" t="n">
        <v>2</v>
      </c>
      <c r="D242" s="8" t="n">
        <v>46114</v>
      </c>
      <c r="E242" s="8" t="n">
        <v>46296</v>
      </c>
      <c r="F242" s="7" t="n">
        <v>1.1</v>
      </c>
      <c r="G242" s="7" t="inlineStr">
        <is>
          <t>Derived from milestones</t>
        </is>
      </c>
    </row>
    <row r="243">
      <c r="A243" s="6" t="inlineStr">
        <is>
          <t>PRJ-045</t>
        </is>
      </c>
      <c r="B243" s="7" t="inlineStr">
        <is>
          <t>Conduct (interim)</t>
        </is>
      </c>
      <c r="C243" s="6" t="n">
        <v>3</v>
      </c>
      <c r="D243" s="8" t="n">
        <v>46297</v>
      </c>
      <c r="E243" s="8" t="n">
        <v>46356</v>
      </c>
      <c r="F243" s="7" t="n">
        <v>0.85</v>
      </c>
      <c r="G243" s="7" t="inlineStr">
        <is>
          <t>Derived from milestones</t>
        </is>
      </c>
    </row>
    <row r="244">
      <c r="A244" s="6" t="inlineStr">
        <is>
          <t>PRJ-045</t>
        </is>
      </c>
      <c r="B244" s="7" t="inlineStr">
        <is>
          <t>Close-out (interim)</t>
        </is>
      </c>
      <c r="C244" s="6" t="n">
        <v>4</v>
      </c>
      <c r="D244" s="8" t="n">
        <v>46357</v>
      </c>
      <c r="E244" s="8" t="n">
        <v>46447</v>
      </c>
      <c r="F244" s="7" t="n">
        <v>1.02</v>
      </c>
      <c r="G244" s="7" t="inlineStr">
        <is>
          <t>Derived from milestones</t>
        </is>
      </c>
    </row>
    <row r="245">
      <c r="A245" s="6" t="inlineStr">
        <is>
          <t>PRJ-045</t>
        </is>
      </c>
      <c r="B245" s="7" t="inlineStr">
        <is>
          <t>Conduct (final)</t>
        </is>
      </c>
      <c r="C245" s="6" t="n">
        <v>5</v>
      </c>
      <c r="D245" s="8" t="n">
        <v>46448</v>
      </c>
      <c r="E245" s="8" t="n">
        <v>46477</v>
      </c>
      <c r="F245" s="7" t="n">
        <v>0.85</v>
      </c>
      <c r="G245" s="7" t="inlineStr">
        <is>
          <t>Derived from milestones</t>
        </is>
      </c>
    </row>
    <row r="246">
      <c r="A246" s="6" t="inlineStr">
        <is>
          <t>PRJ-045</t>
        </is>
      </c>
      <c r="B246" s="7" t="inlineStr">
        <is>
          <t>Close-out (final)</t>
        </is>
      </c>
      <c r="C246" s="6" t="n">
        <v>6</v>
      </c>
      <c r="D246" s="8" t="n">
        <v>46478</v>
      </c>
      <c r="E246" s="8" t="n">
        <v>46630</v>
      </c>
      <c r="F246" s="7" t="n">
        <v>1.19</v>
      </c>
      <c r="G246" s="7" t="inlineStr">
        <is>
          <t>Derived from milestones</t>
        </is>
      </c>
    </row>
    <row r="247">
      <c r="A247" s="6" t="inlineStr">
        <is>
          <t>PRJ-046</t>
        </is>
      </c>
      <c r="B247" s="7" t="inlineStr">
        <is>
          <t>Before-Start-up</t>
        </is>
      </c>
      <c r="C247" s="6" t="n">
        <v>1</v>
      </c>
      <c r="D247" s="8" t="n">
        <v>46143</v>
      </c>
      <c r="E247" s="8" t="n">
        <v>46174</v>
      </c>
      <c r="F247" s="7" t="n">
        <v>0.7</v>
      </c>
      <c r="G247" s="7" t="inlineStr">
        <is>
          <t>Derived from milestones</t>
        </is>
      </c>
    </row>
    <row r="248">
      <c r="A248" s="6" t="inlineStr">
        <is>
          <t>PRJ-046</t>
        </is>
      </c>
      <c r="B248" s="7" t="inlineStr">
        <is>
          <t>Start-up</t>
        </is>
      </c>
      <c r="C248" s="6" t="n">
        <v>2</v>
      </c>
      <c r="D248" s="8" t="n">
        <v>46175</v>
      </c>
      <c r="E248" s="8" t="n">
        <v>46357</v>
      </c>
      <c r="F248" s="7" t="n">
        <v>1.4</v>
      </c>
      <c r="G248" s="7" t="inlineStr">
        <is>
          <t>Derived from milestones</t>
        </is>
      </c>
    </row>
    <row r="249">
      <c r="A249" s="6" t="inlineStr">
        <is>
          <t>PRJ-046</t>
        </is>
      </c>
      <c r="B249" s="7" t="inlineStr">
        <is>
          <t>Conduct (interim)</t>
        </is>
      </c>
      <c r="C249" s="6" t="n">
        <v>3</v>
      </c>
      <c r="D249" s="8" t="n">
        <v>46358</v>
      </c>
      <c r="E249" s="8" t="n">
        <v>46660</v>
      </c>
      <c r="F249" s="7" t="n">
        <v>1.1</v>
      </c>
      <c r="G249" s="7" t="inlineStr">
        <is>
          <t>Derived from milestones</t>
        </is>
      </c>
    </row>
    <row r="250">
      <c r="A250" s="6" t="inlineStr">
        <is>
          <t>PRJ-046</t>
        </is>
      </c>
      <c r="B250" s="7" t="inlineStr">
        <is>
          <t>Close-out (interim)</t>
        </is>
      </c>
      <c r="C250" s="6" t="n">
        <v>4</v>
      </c>
      <c r="D250" s="8" t="n">
        <v>46661</v>
      </c>
      <c r="E250" s="8" t="n">
        <v>46753</v>
      </c>
      <c r="F250" s="7" t="n">
        <v>1.3</v>
      </c>
      <c r="G250" s="7" t="inlineStr">
        <is>
          <t>Derived from milestones</t>
        </is>
      </c>
    </row>
    <row r="251">
      <c r="A251" s="6" t="inlineStr">
        <is>
          <t>PRJ-046</t>
        </is>
      </c>
      <c r="B251" s="7" t="inlineStr">
        <is>
          <t>Conduct (final)</t>
        </is>
      </c>
      <c r="C251" s="6" t="n">
        <v>5</v>
      </c>
      <c r="D251" s="8" t="n">
        <v>46754</v>
      </c>
      <c r="E251" s="8" t="n">
        <v>46904</v>
      </c>
      <c r="F251" s="7" t="n">
        <v>1.1</v>
      </c>
      <c r="G251" s="7" t="inlineStr">
        <is>
          <t>Derived from milestones</t>
        </is>
      </c>
    </row>
    <row r="252">
      <c r="A252" s="6" t="inlineStr">
        <is>
          <t>PRJ-046</t>
        </is>
      </c>
      <c r="B252" s="7" t="inlineStr">
        <is>
          <t>Close-out (final)</t>
        </is>
      </c>
      <c r="C252" s="6" t="n">
        <v>6</v>
      </c>
      <c r="D252" s="8" t="n">
        <v>46905</v>
      </c>
      <c r="E252" s="8" t="n">
        <v>47057</v>
      </c>
      <c r="F252" s="7" t="n">
        <v>1.5</v>
      </c>
      <c r="G252" s="7" t="inlineStr">
        <is>
          <t>Derived from milestones</t>
        </is>
      </c>
    </row>
    <row r="253">
      <c r="A253" s="6" t="inlineStr">
        <is>
          <t>PRJ-047</t>
        </is>
      </c>
      <c r="B253" s="7" t="inlineStr">
        <is>
          <t>Before-Start-up</t>
        </is>
      </c>
      <c r="C253" s="6" t="n">
        <v>1</v>
      </c>
      <c r="D253" s="8" t="n">
        <v>46357</v>
      </c>
      <c r="E253" s="8" t="n">
        <v>46388</v>
      </c>
      <c r="F253" s="7" t="n">
        <v>0.8</v>
      </c>
      <c r="G253" s="7" t="inlineStr">
        <is>
          <t>Derived from milestones</t>
        </is>
      </c>
    </row>
    <row r="254">
      <c r="A254" s="6" t="inlineStr">
        <is>
          <t>PRJ-047</t>
        </is>
      </c>
      <c r="B254" s="7" t="inlineStr">
        <is>
          <t>Start-up</t>
        </is>
      </c>
      <c r="C254" s="6" t="n">
        <v>2</v>
      </c>
      <c r="D254" s="8" t="n">
        <v>46389</v>
      </c>
      <c r="E254" s="8" t="n">
        <v>46569</v>
      </c>
      <c r="F254" s="7" t="n">
        <v>1.6</v>
      </c>
      <c r="G254" s="7" t="inlineStr">
        <is>
          <t>Derived from milestones</t>
        </is>
      </c>
    </row>
    <row r="255">
      <c r="A255" s="6" t="inlineStr">
        <is>
          <t>PRJ-047</t>
        </is>
      </c>
      <c r="B255" s="7" t="inlineStr">
        <is>
          <t>Conduct (interim)</t>
        </is>
      </c>
      <c r="C255" s="6" t="n">
        <v>3</v>
      </c>
      <c r="D255" s="8" t="n">
        <v>46570</v>
      </c>
      <c r="E255" s="8" t="n">
        <v>46996</v>
      </c>
      <c r="F255" s="7" t="n">
        <v>1.2</v>
      </c>
      <c r="G255" s="7" t="inlineStr">
        <is>
          <t>Derived from milestones</t>
        </is>
      </c>
    </row>
    <row r="256">
      <c r="A256" s="6" t="inlineStr">
        <is>
          <t>PRJ-047</t>
        </is>
      </c>
      <c r="B256" s="7" t="inlineStr">
        <is>
          <t>Close-out (interim)</t>
        </is>
      </c>
      <c r="C256" s="6" t="n">
        <v>4</v>
      </c>
      <c r="D256" s="8" t="n">
        <v>46997</v>
      </c>
      <c r="E256" s="8" t="n">
        <v>47088</v>
      </c>
      <c r="F256" s="7" t="n">
        <v>1.4</v>
      </c>
      <c r="G256" s="7" t="inlineStr">
        <is>
          <t>Derived from milestones</t>
        </is>
      </c>
    </row>
    <row r="257">
      <c r="A257" s="6" t="inlineStr">
        <is>
          <t>PRJ-047</t>
        </is>
      </c>
      <c r="B257" s="7" t="inlineStr">
        <is>
          <t>Conduct (final)</t>
        </is>
      </c>
      <c r="C257" s="6" t="n">
        <v>5</v>
      </c>
      <c r="D257" s="8" t="n">
        <v>47089</v>
      </c>
      <c r="E257" s="8" t="n">
        <v>47299</v>
      </c>
      <c r="F257" s="7" t="n">
        <v>1.2</v>
      </c>
      <c r="G257" s="7" t="inlineStr">
        <is>
          <t>Derived from milestones</t>
        </is>
      </c>
    </row>
    <row r="258">
      <c r="A258" s="6" t="inlineStr">
        <is>
          <t>PRJ-047</t>
        </is>
      </c>
      <c r="B258" s="7" t="inlineStr">
        <is>
          <t>Close-out (final)</t>
        </is>
      </c>
      <c r="C258" s="6" t="n">
        <v>6</v>
      </c>
      <c r="D258" s="8" t="n">
        <v>47300</v>
      </c>
      <c r="E258" s="8" t="n">
        <v>47452</v>
      </c>
      <c r="F258" s="7" t="n">
        <v>1.7</v>
      </c>
      <c r="G258" s="7" t="inlineStr">
        <is>
          <t>Derived from milestones</t>
        </is>
      </c>
    </row>
    <row r="259">
      <c r="A259" s="6" t="inlineStr">
        <is>
          <t>PRJ-048</t>
        </is>
      </c>
      <c r="B259" s="7" t="inlineStr">
        <is>
          <t>Before-Start-up</t>
        </is>
      </c>
      <c r="C259" s="6" t="n">
        <v>1</v>
      </c>
      <c r="D259" s="8" t="n">
        <v>46661</v>
      </c>
      <c r="E259" s="8" t="n">
        <v>46692</v>
      </c>
      <c r="F259" s="7" t="n">
        <v>0.42</v>
      </c>
      <c r="G259" s="7" t="inlineStr">
        <is>
          <t>Derived from milestones</t>
        </is>
      </c>
    </row>
    <row r="260">
      <c r="A260" s="6" t="inlineStr">
        <is>
          <t>PRJ-048</t>
        </is>
      </c>
      <c r="B260" s="7" t="inlineStr">
        <is>
          <t>Start-up</t>
        </is>
      </c>
      <c r="C260" s="6" t="n">
        <v>2</v>
      </c>
      <c r="D260" s="8" t="n">
        <v>46693</v>
      </c>
      <c r="E260" s="8" t="n">
        <v>46874</v>
      </c>
      <c r="F260" s="7" t="n">
        <v>0.9399999999999999</v>
      </c>
      <c r="G260" s="7" t="inlineStr">
        <is>
          <t>Derived from milestones</t>
        </is>
      </c>
    </row>
    <row r="261">
      <c r="A261" s="6" t="inlineStr">
        <is>
          <t>PRJ-048</t>
        </is>
      </c>
      <c r="B261" s="7" t="inlineStr">
        <is>
          <t>Conduct (final)</t>
        </is>
      </c>
      <c r="C261" s="6" t="n">
        <v>3</v>
      </c>
      <c r="D261" s="8" t="n">
        <v>46875</v>
      </c>
      <c r="E261" s="8" t="n">
        <v>47603</v>
      </c>
      <c r="F261" s="7" t="n">
        <v>0.77</v>
      </c>
      <c r="G261" s="7" t="inlineStr">
        <is>
          <t>Derived from milestones</t>
        </is>
      </c>
    </row>
    <row r="262">
      <c r="A262" s="6" t="inlineStr">
        <is>
          <t>PRJ-048</t>
        </is>
      </c>
      <c r="B262" s="7" t="inlineStr">
        <is>
          <t>Close-out (final)</t>
        </is>
      </c>
      <c r="C262" s="6" t="n">
        <v>4</v>
      </c>
      <c r="D262" s="8" t="n">
        <v>47604</v>
      </c>
      <c r="E262" s="8" t="n">
        <v>47756</v>
      </c>
      <c r="F262" s="7" t="n">
        <v>1.02</v>
      </c>
      <c r="G262" s="7" t="inlineStr">
        <is>
          <t>Derived from milestones</t>
        </is>
      </c>
    </row>
    <row r="263">
      <c r="A263" s="6" t="inlineStr">
        <is>
          <t>PRJ-048</t>
        </is>
      </c>
      <c r="B263" s="7" t="inlineStr">
        <is>
          <t>After Close-out (final)</t>
        </is>
      </c>
      <c r="C263" s="6" t="n">
        <v>5</v>
      </c>
      <c r="D263" s="8" t="n">
        <v>47757</v>
      </c>
      <c r="E263" s="8" t="n">
        <v>47757</v>
      </c>
      <c r="F263" s="7" t="n">
        <v>0.61</v>
      </c>
      <c r="G263" s="7" t="inlineStr">
        <is>
          <t>Derived from milestones</t>
        </is>
      </c>
    </row>
    <row r="264">
      <c r="A264" s="6" t="inlineStr">
        <is>
          <t>PRJ-049</t>
        </is>
      </c>
      <c r="B264" s="7" t="inlineStr">
        <is>
          <t>Before-Start-up</t>
        </is>
      </c>
      <c r="C264" s="6" t="n">
        <v>1</v>
      </c>
      <c r="D264" s="8" t="n">
        <v>46722</v>
      </c>
      <c r="E264" s="8" t="n">
        <v>46753</v>
      </c>
      <c r="F264" s="7" t="n">
        <v>0.6</v>
      </c>
      <c r="G264" s="7" t="inlineStr">
        <is>
          <t>Derived from milestones</t>
        </is>
      </c>
    </row>
    <row r="265">
      <c r="A265" s="6" t="inlineStr">
        <is>
          <t>PRJ-049</t>
        </is>
      </c>
      <c r="B265" s="7" t="inlineStr">
        <is>
          <t>Start-up</t>
        </is>
      </c>
      <c r="C265" s="6" t="n">
        <v>2</v>
      </c>
      <c r="D265" s="8" t="n">
        <v>46754</v>
      </c>
      <c r="E265" s="8" t="n">
        <v>46935</v>
      </c>
      <c r="F265" s="7" t="n">
        <v>1.3</v>
      </c>
      <c r="G265" s="7" t="inlineStr">
        <is>
          <t>Derived from milestones</t>
        </is>
      </c>
    </row>
    <row r="266">
      <c r="A266" s="6" t="inlineStr">
        <is>
          <t>PRJ-049</t>
        </is>
      </c>
      <c r="B266" s="7" t="inlineStr">
        <is>
          <t>Conduct (final)</t>
        </is>
      </c>
      <c r="C266" s="6" t="n">
        <v>3</v>
      </c>
      <c r="D266" s="8" t="n">
        <v>46936</v>
      </c>
      <c r="E266" s="8" t="n">
        <v>47299</v>
      </c>
      <c r="F266" s="7" t="n">
        <v>1</v>
      </c>
      <c r="G266" s="7" t="inlineStr">
        <is>
          <t>Derived from milestones</t>
        </is>
      </c>
    </row>
    <row r="267">
      <c r="A267" s="6" t="inlineStr">
        <is>
          <t>PRJ-049</t>
        </is>
      </c>
      <c r="B267" s="7" t="inlineStr">
        <is>
          <t>Close-out (final)</t>
        </is>
      </c>
      <c r="C267" s="6" t="n">
        <v>4</v>
      </c>
      <c r="D267" s="8" t="n">
        <v>47300</v>
      </c>
      <c r="E267" s="8" t="n">
        <v>47452</v>
      </c>
      <c r="F267" s="7" t="n">
        <v>1.4</v>
      </c>
      <c r="G267" s="7" t="inlineStr">
        <is>
          <t>Derived from milestones</t>
        </is>
      </c>
    </row>
    <row r="268">
      <c r="A268" s="6" t="inlineStr">
        <is>
          <t>PRJ-050</t>
        </is>
      </c>
      <c r="B268" s="7" t="inlineStr">
        <is>
          <t>Before-Start-up</t>
        </is>
      </c>
      <c r="C268" s="6" t="n">
        <v>1</v>
      </c>
      <c r="D268" s="8" t="n">
        <v>45717</v>
      </c>
      <c r="E268" s="8" t="n">
        <v>45748</v>
      </c>
      <c r="F268" s="7" t="n">
        <v>0.7</v>
      </c>
      <c r="G268" s="7" t="inlineStr">
        <is>
          <t>Derived from milestones</t>
        </is>
      </c>
    </row>
    <row r="269">
      <c r="A269" s="6" t="inlineStr">
        <is>
          <t>PRJ-050</t>
        </is>
      </c>
      <c r="B269" s="7" t="inlineStr">
        <is>
          <t>Start-up</t>
        </is>
      </c>
      <c r="C269" s="6" t="n">
        <v>2</v>
      </c>
      <c r="D269" s="8" t="n">
        <v>45749</v>
      </c>
      <c r="E269" s="8" t="n">
        <v>45931</v>
      </c>
      <c r="F269" s="7" t="n">
        <v>1.4</v>
      </c>
      <c r="G269" s="7" t="inlineStr">
        <is>
          <t>Derived from milestones</t>
        </is>
      </c>
    </row>
    <row r="270">
      <c r="A270" s="6" t="inlineStr">
        <is>
          <t>PRJ-050</t>
        </is>
      </c>
      <c r="B270" s="7" t="inlineStr">
        <is>
          <t>Conduct (interim)</t>
        </is>
      </c>
      <c r="C270" s="6" t="n">
        <v>3</v>
      </c>
      <c r="D270" s="8" t="n">
        <v>45932</v>
      </c>
      <c r="E270" s="8" t="n">
        <v>46234</v>
      </c>
      <c r="F270" s="7" t="n">
        <v>1.1</v>
      </c>
      <c r="G270" s="7" t="inlineStr">
        <is>
          <t>Derived from milestones</t>
        </is>
      </c>
    </row>
    <row r="271">
      <c r="A271" s="6" t="inlineStr">
        <is>
          <t>PRJ-050</t>
        </is>
      </c>
      <c r="B271" s="7" t="inlineStr">
        <is>
          <t>Close-out (interim)</t>
        </is>
      </c>
      <c r="C271" s="6" t="n">
        <v>4</v>
      </c>
      <c r="D271" s="8" t="n">
        <v>46235</v>
      </c>
      <c r="E271" s="8" t="n">
        <v>46327</v>
      </c>
      <c r="F271" s="7" t="n">
        <v>1.3</v>
      </c>
      <c r="G271" s="7" t="inlineStr">
        <is>
          <t>Derived from milestones</t>
        </is>
      </c>
    </row>
    <row r="272">
      <c r="A272" s="6" t="inlineStr">
        <is>
          <t>PRJ-050</t>
        </is>
      </c>
      <c r="B272" s="7" t="inlineStr">
        <is>
          <t>Conduct (final)</t>
        </is>
      </c>
      <c r="C272" s="6" t="n">
        <v>5</v>
      </c>
      <c r="D272" s="8" t="n">
        <v>46328</v>
      </c>
      <c r="E272" s="8" t="n">
        <v>46477</v>
      </c>
      <c r="F272" s="7" t="n">
        <v>1.1</v>
      </c>
      <c r="G272" s="7" t="inlineStr">
        <is>
          <t>Derived from milestones</t>
        </is>
      </c>
    </row>
    <row r="273">
      <c r="A273" s="6" t="inlineStr">
        <is>
          <t>PRJ-050</t>
        </is>
      </c>
      <c r="B273" s="7" t="inlineStr">
        <is>
          <t>Close-out (final)</t>
        </is>
      </c>
      <c r="C273" s="6" t="n">
        <v>6</v>
      </c>
      <c r="D273" s="8" t="n">
        <v>46478</v>
      </c>
      <c r="E273" s="8" t="n">
        <v>46630</v>
      </c>
      <c r="F273" s="7" t="n">
        <v>1.5</v>
      </c>
      <c r="G273" s="7" t="inlineStr">
        <is>
          <t>Derived from milestones</t>
        </is>
      </c>
    </row>
    <row r="274">
      <c r="A274" s="6" t="inlineStr">
        <is>
          <t>PRJ-051</t>
        </is>
      </c>
      <c r="B274" s="7" t="inlineStr">
        <is>
          <t>Planning</t>
        </is>
      </c>
      <c r="C274" s="6" t="n">
        <v>1</v>
      </c>
      <c r="D274" s="8" t="n">
        <v>46692</v>
      </c>
      <c r="E274" s="8" t="n">
        <v>46828</v>
      </c>
      <c r="F274" s="7" t="n">
        <v>0.8</v>
      </c>
      <c r="G274" s="7" t="inlineStr">
        <is>
          <t>Entered by hand - no milestone mapping</t>
        </is>
      </c>
    </row>
    <row r="275">
      <c r="A275" s="6" t="inlineStr">
        <is>
          <t>PRJ-051</t>
        </is>
      </c>
      <c r="B275" s="7" t="inlineStr">
        <is>
          <t>Develop</t>
        </is>
      </c>
      <c r="C275" s="6" t="n">
        <v>2</v>
      </c>
      <c r="D275" s="8" t="n">
        <v>46829</v>
      </c>
      <c r="E275" s="8" t="n">
        <v>47128</v>
      </c>
      <c r="F275" s="7" t="n">
        <v>1.2</v>
      </c>
      <c r="G275" s="7" t="inlineStr">
        <is>
          <t>Entered by hand - no milestone mapping</t>
        </is>
      </c>
    </row>
    <row r="276">
      <c r="A276" s="6" t="inlineStr">
        <is>
          <t>PRJ-051</t>
        </is>
      </c>
      <c r="B276" s="7" t="inlineStr">
        <is>
          <t>Close</t>
        </is>
      </c>
      <c r="C276" s="6" t="n">
        <v>3</v>
      </c>
      <c r="D276" s="8" t="n">
        <v>47129</v>
      </c>
      <c r="E276" s="8" t="n">
        <v>47238</v>
      </c>
      <c r="F276" s="7" t="n">
        <v>0.9</v>
      </c>
      <c r="G276" s="7" t="inlineStr">
        <is>
          <t>Entered by hand - no milestone mapping</t>
        </is>
      </c>
    </row>
    <row r="277">
      <c r="A277" s="6" t="inlineStr">
        <is>
          <t>PRJ-052</t>
        </is>
      </c>
      <c r="B277" s="7" t="inlineStr">
        <is>
          <t>Planning</t>
        </is>
      </c>
      <c r="C277" s="6" t="n">
        <v>1</v>
      </c>
      <c r="D277" s="8" t="n">
        <v>46722</v>
      </c>
      <c r="E277" s="8" t="n">
        <v>46790</v>
      </c>
      <c r="F277" s="7" t="n">
        <v>0.8</v>
      </c>
      <c r="G277" s="7" t="inlineStr">
        <is>
          <t>Entered by hand - no milestone mapping</t>
        </is>
      </c>
    </row>
    <row r="278">
      <c r="A278" s="6" t="inlineStr">
        <is>
          <t>PRJ-052</t>
        </is>
      </c>
      <c r="B278" s="7" t="inlineStr">
        <is>
          <t>Develop</t>
        </is>
      </c>
      <c r="C278" s="6" t="n">
        <v>2</v>
      </c>
      <c r="D278" s="8" t="n">
        <v>46791</v>
      </c>
      <c r="E278" s="8" t="n">
        <v>46941</v>
      </c>
      <c r="F278" s="7" t="n">
        <v>1.2</v>
      </c>
      <c r="G278" s="7" t="inlineStr">
        <is>
          <t>Entered by hand - no milestone mapping</t>
        </is>
      </c>
    </row>
    <row r="279">
      <c r="A279" s="6" t="inlineStr">
        <is>
          <t>PRJ-052</t>
        </is>
      </c>
      <c r="B279" s="7" t="inlineStr">
        <is>
          <t>Close</t>
        </is>
      </c>
      <c r="C279" s="6" t="n">
        <v>3</v>
      </c>
      <c r="D279" s="8" t="n">
        <v>46942</v>
      </c>
      <c r="E279" s="8" t="n">
        <v>46996</v>
      </c>
      <c r="F279" s="7" t="n">
        <v>0.9</v>
      </c>
      <c r="G279" s="7" t="inlineStr">
        <is>
          <t>Entered by hand - no milestone mapping</t>
        </is>
      </c>
    </row>
    <row r="280">
      <c r="A280" s="6" t="inlineStr">
        <is>
          <t>PRJ-053</t>
        </is>
      </c>
      <c r="B280" s="7" t="inlineStr">
        <is>
          <t>Planning</t>
        </is>
      </c>
      <c r="C280" s="6" t="n">
        <v>1</v>
      </c>
      <c r="D280" s="8" t="n">
        <v>46388</v>
      </c>
      <c r="E280" s="8" t="n">
        <v>46479</v>
      </c>
      <c r="F280" s="7" t="n">
        <v>0.8</v>
      </c>
      <c r="G280" s="7" t="inlineStr">
        <is>
          <t>Entered by hand - no milestone mapping</t>
        </is>
      </c>
    </row>
    <row r="281">
      <c r="A281" s="6" t="inlineStr">
        <is>
          <t>PRJ-053</t>
        </is>
      </c>
      <c r="B281" s="7" t="inlineStr">
        <is>
          <t>Develop</t>
        </is>
      </c>
      <c r="C281" s="6" t="n">
        <v>2</v>
      </c>
      <c r="D281" s="8" t="n">
        <v>46480</v>
      </c>
      <c r="E281" s="8" t="n">
        <v>46679</v>
      </c>
      <c r="F281" s="7" t="n">
        <v>1.2</v>
      </c>
      <c r="G281" s="7" t="inlineStr">
        <is>
          <t>Entered by hand - no milestone mapping</t>
        </is>
      </c>
    </row>
    <row r="282">
      <c r="A282" s="6" t="inlineStr">
        <is>
          <t>PRJ-053</t>
        </is>
      </c>
      <c r="B282" s="7" t="inlineStr">
        <is>
          <t>Close</t>
        </is>
      </c>
      <c r="C282" s="6" t="n">
        <v>3</v>
      </c>
      <c r="D282" s="8" t="n">
        <v>46680</v>
      </c>
      <c r="E282" s="8" t="n">
        <v>46752</v>
      </c>
      <c r="F282" s="7" t="n">
        <v>0.9</v>
      </c>
      <c r="G282" s="7" t="inlineStr">
        <is>
          <t>Entered by hand - no milestone mapping</t>
        </is>
      </c>
    </row>
    <row r="283">
      <c r="A283" s="6" t="inlineStr">
        <is>
          <t>PRJ-054</t>
        </is>
      </c>
      <c r="B283" s="7" t="inlineStr">
        <is>
          <t>Planning</t>
        </is>
      </c>
      <c r="C283" s="6" t="n">
        <v>1</v>
      </c>
      <c r="D283" s="8" t="n">
        <v>46478</v>
      </c>
      <c r="E283" s="8" t="n">
        <v>46615</v>
      </c>
      <c r="F283" s="7" t="n">
        <v>0.8</v>
      </c>
      <c r="G283" s="7" t="inlineStr">
        <is>
          <t>Entered by hand - no milestone mapping</t>
        </is>
      </c>
    </row>
    <row r="284">
      <c r="A284" s="6" t="inlineStr">
        <is>
          <t>PRJ-054</t>
        </is>
      </c>
      <c r="B284" s="7" t="inlineStr">
        <is>
          <t>Develop</t>
        </is>
      </c>
      <c r="C284" s="6" t="n">
        <v>2</v>
      </c>
      <c r="D284" s="8" t="n">
        <v>46616</v>
      </c>
      <c r="E284" s="8" t="n">
        <v>46916</v>
      </c>
      <c r="F284" s="7" t="n">
        <v>1.2</v>
      </c>
      <c r="G284" s="7" t="inlineStr">
        <is>
          <t>Entered by hand - no milestone mapping</t>
        </is>
      </c>
    </row>
    <row r="285">
      <c r="A285" s="6" t="inlineStr">
        <is>
          <t>PRJ-054</t>
        </is>
      </c>
      <c r="B285" s="7" t="inlineStr">
        <is>
          <t>Close</t>
        </is>
      </c>
      <c r="C285" s="6" t="n">
        <v>3</v>
      </c>
      <c r="D285" s="8" t="n">
        <v>46917</v>
      </c>
      <c r="E285" s="8" t="n">
        <v>47026</v>
      </c>
      <c r="F285" s="7" t="n">
        <v>0.9</v>
      </c>
      <c r="G285" s="7" t="inlineStr">
        <is>
          <t>Entered by hand - no milestone mapping</t>
        </is>
      </c>
    </row>
    <row r="286">
      <c r="A286" s="6" t="inlineStr">
        <is>
          <t>PRJ-055</t>
        </is>
      </c>
      <c r="B286" s="7" t="inlineStr">
        <is>
          <t>Planning</t>
        </is>
      </c>
      <c r="C286" s="6" t="n">
        <v>1</v>
      </c>
      <c r="D286" s="8" t="n">
        <v>46508</v>
      </c>
      <c r="E286" s="8" t="n">
        <v>46576</v>
      </c>
      <c r="F286" s="7" t="n">
        <v>0.8</v>
      </c>
      <c r="G286" s="7" t="inlineStr">
        <is>
          <t>Entered by hand - no milestone mapping</t>
        </is>
      </c>
    </row>
    <row r="287">
      <c r="A287" s="6" t="inlineStr">
        <is>
          <t>PRJ-055</t>
        </is>
      </c>
      <c r="B287" s="7" t="inlineStr">
        <is>
          <t>Develop</t>
        </is>
      </c>
      <c r="C287" s="6" t="n">
        <v>2</v>
      </c>
      <c r="D287" s="8" t="n">
        <v>46577</v>
      </c>
      <c r="E287" s="8" t="n">
        <v>46728</v>
      </c>
      <c r="F287" s="7" t="n">
        <v>1.2</v>
      </c>
      <c r="G287" s="7" t="inlineStr">
        <is>
          <t>Entered by hand - no milestone mapping</t>
        </is>
      </c>
    </row>
    <row r="288">
      <c r="A288" s="6" t="inlineStr">
        <is>
          <t>PRJ-055</t>
        </is>
      </c>
      <c r="B288" s="7" t="inlineStr">
        <is>
          <t>Close</t>
        </is>
      </c>
      <c r="C288" s="6" t="n">
        <v>3</v>
      </c>
      <c r="D288" s="8" t="n">
        <v>46729</v>
      </c>
      <c r="E288" s="8" t="n">
        <v>46783</v>
      </c>
      <c r="F288" s="7" t="n">
        <v>0.9</v>
      </c>
      <c r="G288" s="7" t="inlineStr">
        <is>
          <t>Entered by hand - no milestone mapping</t>
        </is>
      </c>
    </row>
    <row r="289">
      <c r="A289" s="6" t="inlineStr">
        <is>
          <t>PRJ-056</t>
        </is>
      </c>
      <c r="B289" s="7" t="inlineStr">
        <is>
          <t>Planning</t>
        </is>
      </c>
      <c r="C289" s="6" t="n">
        <v>1</v>
      </c>
      <c r="D289" s="8" t="n">
        <v>45931</v>
      </c>
      <c r="E289" s="8" t="n">
        <v>46067</v>
      </c>
      <c r="F289" s="7" t="n">
        <v>0.8</v>
      </c>
      <c r="G289" s="7" t="inlineStr">
        <is>
          <t>Entered by hand - no milestone mapping</t>
        </is>
      </c>
    </row>
    <row r="290">
      <c r="A290" s="6" t="inlineStr">
        <is>
          <t>PRJ-056</t>
        </is>
      </c>
      <c r="B290" s="7" t="inlineStr">
        <is>
          <t>Develop</t>
        </is>
      </c>
      <c r="C290" s="6" t="n">
        <v>2</v>
      </c>
      <c r="D290" s="8" t="n">
        <v>46068</v>
      </c>
      <c r="E290" s="8" t="n">
        <v>46367</v>
      </c>
      <c r="F290" s="7" t="n">
        <v>1.2</v>
      </c>
      <c r="G290" s="7" t="inlineStr">
        <is>
          <t>Entered by hand - no milestone mapping</t>
        </is>
      </c>
    </row>
    <row r="291">
      <c r="A291" s="6" t="inlineStr">
        <is>
          <t>PRJ-056</t>
        </is>
      </c>
      <c r="B291" s="7" t="inlineStr">
        <is>
          <t>Close</t>
        </is>
      </c>
      <c r="C291" s="6" t="n">
        <v>3</v>
      </c>
      <c r="D291" s="8" t="n">
        <v>46368</v>
      </c>
      <c r="E291" s="8" t="n">
        <v>46477</v>
      </c>
      <c r="F291" s="7" t="n">
        <v>0.9</v>
      </c>
      <c r="G291" s="7" t="inlineStr">
        <is>
          <t>Entered by hand - no milestone mapping</t>
        </is>
      </c>
    </row>
    <row r="292">
      <c r="A292" s="6" t="inlineStr">
        <is>
          <t>PRJ-057</t>
        </is>
      </c>
      <c r="B292" s="7" t="inlineStr">
        <is>
          <t>Planning</t>
        </is>
      </c>
      <c r="C292" s="6" t="n">
        <v>1</v>
      </c>
      <c r="D292" s="8" t="n">
        <v>46722</v>
      </c>
      <c r="E292" s="8" t="n">
        <v>46767</v>
      </c>
      <c r="F292" s="7" t="n">
        <v>0.8</v>
      </c>
      <c r="G292" s="7" t="inlineStr">
        <is>
          <t>Entered by hand - no milestone mapping</t>
        </is>
      </c>
    </row>
    <row r="293">
      <c r="A293" s="6" t="inlineStr">
        <is>
          <t>PRJ-057</t>
        </is>
      </c>
      <c r="B293" s="7" t="inlineStr">
        <is>
          <t>Develop</t>
        </is>
      </c>
      <c r="C293" s="6" t="n">
        <v>2</v>
      </c>
      <c r="D293" s="8" t="n">
        <v>46768</v>
      </c>
      <c r="E293" s="8" t="n">
        <v>46867</v>
      </c>
      <c r="F293" s="7" t="n">
        <v>1.2</v>
      </c>
      <c r="G293" s="7" t="inlineStr">
        <is>
          <t>Entered by hand - no milestone mapping</t>
        </is>
      </c>
    </row>
    <row r="294">
      <c r="A294" s="6" t="inlineStr">
        <is>
          <t>PRJ-057</t>
        </is>
      </c>
      <c r="B294" s="7" t="inlineStr">
        <is>
          <t>Close</t>
        </is>
      </c>
      <c r="C294" s="6" t="n">
        <v>3</v>
      </c>
      <c r="D294" s="8" t="n">
        <v>46868</v>
      </c>
      <c r="E294" s="8" t="n">
        <v>46904</v>
      </c>
      <c r="F294" s="7" t="n">
        <v>0.9</v>
      </c>
      <c r="G294" s="7" t="inlineStr">
        <is>
          <t>Entered by hand - no milestone mapping</t>
        </is>
      </c>
    </row>
    <row r="295">
      <c r="A295" s="6" t="inlineStr">
        <is>
          <t>PRJ-058</t>
        </is>
      </c>
      <c r="B295" s="7" t="inlineStr">
        <is>
          <t>Planning</t>
        </is>
      </c>
      <c r="C295" s="6" t="n">
        <v>1</v>
      </c>
      <c r="D295" s="8" t="n">
        <v>45870</v>
      </c>
      <c r="E295" s="8" t="n">
        <v>46007</v>
      </c>
      <c r="F295" s="7" t="n">
        <v>0.8</v>
      </c>
      <c r="G295" s="7" t="inlineStr">
        <is>
          <t>Entered by hand - no milestone mapping</t>
        </is>
      </c>
    </row>
    <row r="296">
      <c r="A296" s="6" t="inlineStr">
        <is>
          <t>PRJ-058</t>
        </is>
      </c>
      <c r="B296" s="7" t="inlineStr">
        <is>
          <t>Develop</t>
        </is>
      </c>
      <c r="C296" s="6" t="n">
        <v>2</v>
      </c>
      <c r="D296" s="8" t="n">
        <v>46008</v>
      </c>
      <c r="E296" s="8" t="n">
        <v>46308</v>
      </c>
      <c r="F296" s="7" t="n">
        <v>1.2</v>
      </c>
      <c r="G296" s="7" t="inlineStr">
        <is>
          <t>Entered by hand - no milestone mapping</t>
        </is>
      </c>
    </row>
    <row r="297">
      <c r="A297" s="6" t="inlineStr">
        <is>
          <t>PRJ-058</t>
        </is>
      </c>
      <c r="B297" s="7" t="inlineStr">
        <is>
          <t>Close</t>
        </is>
      </c>
      <c r="C297" s="6" t="n">
        <v>3</v>
      </c>
      <c r="D297" s="8" t="n">
        <v>46309</v>
      </c>
      <c r="E297" s="8" t="n">
        <v>46418</v>
      </c>
      <c r="F297" s="7" t="n">
        <v>0.9</v>
      </c>
      <c r="G297" s="7" t="inlineStr">
        <is>
          <t>Entered by hand - no milestone mapping</t>
        </is>
      </c>
    </row>
    <row r="298">
      <c r="A298" s="6" t="inlineStr">
        <is>
          <t>PRJ-059</t>
        </is>
      </c>
      <c r="B298" s="7" t="inlineStr">
        <is>
          <t>Planning</t>
        </is>
      </c>
      <c r="C298" s="6" t="n">
        <v>1</v>
      </c>
      <c r="D298" s="8" t="n">
        <v>46753</v>
      </c>
      <c r="E298" s="8" t="n">
        <v>46844</v>
      </c>
      <c r="F298" s="7" t="n">
        <v>0.8</v>
      </c>
      <c r="G298" s="7" t="inlineStr">
        <is>
          <t>Entered by hand - no milestone mapping</t>
        </is>
      </c>
    </row>
    <row r="299">
      <c r="A299" s="6" t="inlineStr">
        <is>
          <t>PRJ-059</t>
        </is>
      </c>
      <c r="B299" s="7" t="inlineStr">
        <is>
          <t>Develop</t>
        </is>
      </c>
      <c r="C299" s="6" t="n">
        <v>2</v>
      </c>
      <c r="D299" s="8" t="n">
        <v>46845</v>
      </c>
      <c r="E299" s="8" t="n">
        <v>47045</v>
      </c>
      <c r="F299" s="7" t="n">
        <v>1.2</v>
      </c>
      <c r="G299" s="7" t="inlineStr">
        <is>
          <t>Entered by hand - no milestone mapping</t>
        </is>
      </c>
    </row>
    <row r="300">
      <c r="A300" s="6" t="inlineStr">
        <is>
          <t>PRJ-059</t>
        </is>
      </c>
      <c r="B300" s="7" t="inlineStr">
        <is>
          <t>Close</t>
        </is>
      </c>
      <c r="C300" s="6" t="n">
        <v>3</v>
      </c>
      <c r="D300" s="8" t="n">
        <v>47046</v>
      </c>
      <c r="E300" s="8" t="n">
        <v>47118</v>
      </c>
      <c r="F300" s="7" t="n">
        <v>0.9</v>
      </c>
      <c r="G300" s="7" t="inlineStr">
        <is>
          <t>Entered by hand - no milestone mapping</t>
        </is>
      </c>
    </row>
    <row r="301">
      <c r="A301" s="6" t="inlineStr">
        <is>
          <t>PRJ-060</t>
        </is>
      </c>
      <c r="B301" s="7" t="inlineStr">
        <is>
          <t>Planning</t>
        </is>
      </c>
      <c r="C301" s="6" t="n">
        <v>1</v>
      </c>
      <c r="D301" s="8" t="n">
        <v>46905</v>
      </c>
      <c r="E301" s="8" t="n">
        <v>46973</v>
      </c>
      <c r="F301" s="7" t="n">
        <v>0.8</v>
      </c>
      <c r="G301" s="7" t="inlineStr">
        <is>
          <t>Entered by hand - no milestone mapping</t>
        </is>
      </c>
    </row>
    <row r="302">
      <c r="A302" s="6" t="inlineStr">
        <is>
          <t>PRJ-060</t>
        </is>
      </c>
      <c r="B302" s="7" t="inlineStr">
        <is>
          <t>Develop</t>
        </is>
      </c>
      <c r="C302" s="6" t="n">
        <v>2</v>
      </c>
      <c r="D302" s="8" t="n">
        <v>46974</v>
      </c>
      <c r="E302" s="8" t="n">
        <v>47122</v>
      </c>
      <c r="F302" s="7" t="n">
        <v>1.2</v>
      </c>
      <c r="G302" s="7" t="inlineStr">
        <is>
          <t>Entered by hand - no milestone mapping</t>
        </is>
      </c>
    </row>
    <row r="303">
      <c r="A303" s="6" t="inlineStr">
        <is>
          <t>PRJ-060</t>
        </is>
      </c>
      <c r="B303" s="7" t="inlineStr">
        <is>
          <t>Close</t>
        </is>
      </c>
      <c r="C303" s="6" t="n">
        <v>3</v>
      </c>
      <c r="D303" s="8" t="n">
        <v>47123</v>
      </c>
      <c r="E303" s="8" t="n">
        <v>47177</v>
      </c>
      <c r="F303" s="7" t="n">
        <v>0.9</v>
      </c>
      <c r="G303" s="7" t="inlineStr">
        <is>
          <t>Entered by hand - no milestone mapping</t>
        </is>
      </c>
    </row>
    <row r="304">
      <c r="A304" s="6" t="inlineStr">
        <is>
          <t>PRJ-061</t>
        </is>
      </c>
      <c r="B304" s="7" t="inlineStr">
        <is>
          <t>Planning</t>
        </is>
      </c>
      <c r="C304" s="6" t="n">
        <v>1</v>
      </c>
      <c r="D304" s="8" t="n">
        <v>46204</v>
      </c>
      <c r="E304" s="8" t="n">
        <v>46341</v>
      </c>
      <c r="F304" s="7" t="n">
        <v>0.8</v>
      </c>
      <c r="G304" s="7" t="inlineStr">
        <is>
          <t>Entered by hand - no milestone mapping</t>
        </is>
      </c>
    </row>
    <row r="305">
      <c r="A305" s="6" t="inlineStr">
        <is>
          <t>PRJ-061</t>
        </is>
      </c>
      <c r="B305" s="7" t="inlineStr">
        <is>
          <t>Develop</t>
        </is>
      </c>
      <c r="C305" s="6" t="n">
        <v>2</v>
      </c>
      <c r="D305" s="8" t="n">
        <v>46342</v>
      </c>
      <c r="E305" s="8" t="n">
        <v>46642</v>
      </c>
      <c r="F305" s="7" t="n">
        <v>1.2</v>
      </c>
      <c r="G305" s="7" t="inlineStr">
        <is>
          <t>Entered by hand - no milestone mapping</t>
        </is>
      </c>
    </row>
    <row r="306">
      <c r="A306" s="6" t="inlineStr">
        <is>
          <t>PRJ-061</t>
        </is>
      </c>
      <c r="B306" s="7" t="inlineStr">
        <is>
          <t>Close</t>
        </is>
      </c>
      <c r="C306" s="6" t="n">
        <v>3</v>
      </c>
      <c r="D306" s="8" t="n">
        <v>46643</v>
      </c>
      <c r="E306" s="8" t="n">
        <v>46752</v>
      </c>
      <c r="F306" s="7" t="n">
        <v>0.9</v>
      </c>
      <c r="G306" s="7" t="inlineStr">
        <is>
          <t>Entered by hand - no milestone mapping</t>
        </is>
      </c>
    </row>
    <row r="307">
      <c r="A307" s="6" t="inlineStr">
        <is>
          <t>PRJ-062</t>
        </is>
      </c>
      <c r="B307" s="7" t="inlineStr">
        <is>
          <t>Planning</t>
        </is>
      </c>
      <c r="C307" s="6" t="n">
        <v>1</v>
      </c>
      <c r="D307" s="8" t="n">
        <v>46419</v>
      </c>
      <c r="E307" s="8" t="n">
        <v>46555</v>
      </c>
      <c r="F307" s="7" t="n">
        <v>0.8</v>
      </c>
      <c r="G307" s="7" t="inlineStr">
        <is>
          <t>Entered by hand - no milestone mapping</t>
        </is>
      </c>
    </row>
    <row r="308">
      <c r="A308" s="6" t="inlineStr">
        <is>
          <t>PRJ-062</t>
        </is>
      </c>
      <c r="B308" s="7" t="inlineStr">
        <is>
          <t>Develop</t>
        </is>
      </c>
      <c r="C308" s="6" t="n">
        <v>2</v>
      </c>
      <c r="D308" s="8" t="n">
        <v>46556</v>
      </c>
      <c r="E308" s="8" t="n">
        <v>46855</v>
      </c>
      <c r="F308" s="7" t="n">
        <v>1.2</v>
      </c>
      <c r="G308" s="7" t="inlineStr">
        <is>
          <t>Entered by hand - no milestone mapping</t>
        </is>
      </c>
    </row>
    <row r="309">
      <c r="A309" s="6" t="inlineStr">
        <is>
          <t>PRJ-062</t>
        </is>
      </c>
      <c r="B309" s="7" t="inlineStr">
        <is>
          <t>Close</t>
        </is>
      </c>
      <c r="C309" s="6" t="n">
        <v>3</v>
      </c>
      <c r="D309" s="8" t="n">
        <v>46856</v>
      </c>
      <c r="E309" s="8" t="n">
        <v>46965</v>
      </c>
      <c r="F309" s="7" t="n">
        <v>0.9</v>
      </c>
      <c r="G309" s="7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7" t="inlineStr">
        <is>
          <t>NewDrug CT</t>
        </is>
      </c>
      <c r="B2" s="6" t="inlineStr">
        <is>
          <t>Phase 1</t>
        </is>
      </c>
      <c r="C2" s="6" t="inlineStr">
        <is>
          <t>Before-Start-up</t>
        </is>
      </c>
      <c r="D2" s="9" t="n">
        <v>0.6</v>
      </c>
      <c r="E2" s="7" t="inlineStr">
        <is>
          <t>Illustrative - replace with your figure</t>
        </is>
      </c>
      <c r="F2" s="7" t="inlineStr">
        <is>
          <t>Illustrative - replace with your figure</t>
        </is>
      </c>
    </row>
    <row r="3">
      <c r="A3" s="7" t="inlineStr">
        <is>
          <t>NewDrug CT</t>
        </is>
      </c>
      <c r="B3" s="6" t="inlineStr">
        <is>
          <t>Phase 1</t>
        </is>
      </c>
      <c r="C3" s="6" t="inlineStr">
        <is>
          <t>Start-up</t>
        </is>
      </c>
      <c r="D3" s="9" t="n">
        <v>1.3</v>
      </c>
      <c r="E3" s="7" t="inlineStr">
        <is>
          <t>Illustrative - replace with your figure</t>
        </is>
      </c>
      <c r="F3" s="7" t="inlineStr">
        <is>
          <t>Illustrative - replace with your figure</t>
        </is>
      </c>
    </row>
    <row r="4">
      <c r="A4" s="7" t="inlineStr">
        <is>
          <t>NewDrug CT</t>
        </is>
      </c>
      <c r="B4" s="6" t="inlineStr">
        <is>
          <t>Phase 1</t>
        </is>
      </c>
      <c r="C4" s="6" t="inlineStr">
        <is>
          <t>Conduct (interim)</t>
        </is>
      </c>
      <c r="D4" s="9" t="n">
        <v>1</v>
      </c>
      <c r="E4" s="7" t="inlineStr">
        <is>
          <t>Illustrative - replace with your figure</t>
        </is>
      </c>
      <c r="F4" s="7" t="inlineStr">
        <is>
          <t>Illustrative - replace with your figure</t>
        </is>
      </c>
    </row>
    <row r="5">
      <c r="A5" s="7" t="inlineStr">
        <is>
          <t>NewDrug CT</t>
        </is>
      </c>
      <c r="B5" s="6" t="inlineStr">
        <is>
          <t>Phase 1</t>
        </is>
      </c>
      <c r="C5" s="6" t="inlineStr">
        <is>
          <t>Close-out (interim)</t>
        </is>
      </c>
      <c r="D5" s="9" t="n">
        <v>1.2</v>
      </c>
      <c r="E5" s="7" t="inlineStr">
        <is>
          <t>Illustrative - replace with your figure</t>
        </is>
      </c>
      <c r="F5" s="7" t="inlineStr">
        <is>
          <t>Illustrative - replace with your figure</t>
        </is>
      </c>
    </row>
    <row r="6">
      <c r="A6" s="7" t="inlineStr">
        <is>
          <t>NewDrug CT</t>
        </is>
      </c>
      <c r="B6" s="6" t="inlineStr">
        <is>
          <t>Phase 1</t>
        </is>
      </c>
      <c r="C6" s="6" t="inlineStr">
        <is>
          <t>Conduct (final)</t>
        </is>
      </c>
      <c r="D6" s="9" t="n">
        <v>1</v>
      </c>
      <c r="E6" s="7" t="inlineStr">
        <is>
          <t>Illustrative - replace with your figure</t>
        </is>
      </c>
      <c r="F6" s="7" t="inlineStr">
        <is>
          <t>Illustrative - replace with your figure</t>
        </is>
      </c>
    </row>
    <row r="7">
      <c r="A7" s="7" t="inlineStr">
        <is>
          <t>NewDrug CT</t>
        </is>
      </c>
      <c r="B7" s="6" t="inlineStr">
        <is>
          <t>Phase 1</t>
        </is>
      </c>
      <c r="C7" s="6" t="inlineStr">
        <is>
          <t>Close-out (final)</t>
        </is>
      </c>
      <c r="D7" s="9" t="n">
        <v>1.4</v>
      </c>
      <c r="E7" s="7" t="inlineStr">
        <is>
          <t>Illustrative - replace with your figure</t>
        </is>
      </c>
      <c r="F7" s="7" t="inlineStr">
        <is>
          <t>Illustrative - replace with your figure</t>
        </is>
      </c>
    </row>
    <row r="8">
      <c r="A8" s="7" t="inlineStr">
        <is>
          <t>NewDrug CT</t>
        </is>
      </c>
      <c r="B8" s="6" t="inlineStr">
        <is>
          <t>Phase 1</t>
        </is>
      </c>
      <c r="C8" s="6" t="inlineStr">
        <is>
          <t>After Close-out (final)</t>
        </is>
      </c>
      <c r="D8" s="9" t="n">
        <v>0.84</v>
      </c>
      <c r="E8" s="7" t="inlineStr">
        <is>
          <t>Illustrative - replace with your figure</t>
        </is>
      </c>
      <c r="F8" s="7" t="inlineStr">
        <is>
          <t>Illustrative - replace with your figure</t>
        </is>
      </c>
    </row>
    <row r="9">
      <c r="A9" s="7" t="inlineStr">
        <is>
          <t>NewDrug CT</t>
        </is>
      </c>
      <c r="B9" s="6" t="inlineStr">
        <is>
          <t>Phase 2</t>
        </is>
      </c>
      <c r="C9" s="6" t="inlineStr">
        <is>
          <t>Before-Start-up</t>
        </is>
      </c>
      <c r="D9" s="9" t="n">
        <v>0.7</v>
      </c>
      <c r="E9" s="7" t="inlineStr">
        <is>
          <t>Illustrative - replace with your figure</t>
        </is>
      </c>
      <c r="F9" s="7" t="inlineStr">
        <is>
          <t>Illustrative - replace with your figure</t>
        </is>
      </c>
    </row>
    <row r="10">
      <c r="A10" s="7" t="inlineStr">
        <is>
          <t>NewDrug CT</t>
        </is>
      </c>
      <c r="B10" s="6" t="inlineStr">
        <is>
          <t>Phase 2</t>
        </is>
      </c>
      <c r="C10" s="6" t="inlineStr">
        <is>
          <t>Start-up</t>
        </is>
      </c>
      <c r="D10" s="9" t="n">
        <v>1.4</v>
      </c>
      <c r="E10" s="7" t="inlineStr">
        <is>
          <t>Illustrative - replace with your figure</t>
        </is>
      </c>
      <c r="F10" s="7" t="inlineStr">
        <is>
          <t>Illustrative - replace with your figure</t>
        </is>
      </c>
    </row>
    <row r="11">
      <c r="A11" s="7" t="inlineStr">
        <is>
          <t>NewDrug CT</t>
        </is>
      </c>
      <c r="B11" s="6" t="inlineStr">
        <is>
          <t>Phase 2</t>
        </is>
      </c>
      <c r="C11" s="6" t="inlineStr">
        <is>
          <t>Conduct (interim)</t>
        </is>
      </c>
      <c r="D11" s="9" t="n">
        <v>1.1</v>
      </c>
      <c r="E11" s="7" t="inlineStr">
        <is>
          <t>Illustrative - replace with your figure</t>
        </is>
      </c>
      <c r="F11" s="7" t="inlineStr">
        <is>
          <t>Illustrative - replace with your figure</t>
        </is>
      </c>
    </row>
    <row r="12">
      <c r="A12" s="7" t="inlineStr">
        <is>
          <t>NewDrug CT</t>
        </is>
      </c>
      <c r="B12" s="6" t="inlineStr">
        <is>
          <t>Phase 2</t>
        </is>
      </c>
      <c r="C12" s="6" t="inlineStr">
        <is>
          <t>Close-out (interim)</t>
        </is>
      </c>
      <c r="D12" s="9" t="n">
        <v>1.3</v>
      </c>
      <c r="E12" s="7" t="inlineStr">
        <is>
          <t>Illustrative - replace with your figure</t>
        </is>
      </c>
      <c r="F12" s="7" t="inlineStr">
        <is>
          <t>Illustrative - replace with your figure</t>
        </is>
      </c>
    </row>
    <row r="13">
      <c r="A13" s="7" t="inlineStr">
        <is>
          <t>NewDrug CT</t>
        </is>
      </c>
      <c r="B13" s="6" t="inlineStr">
        <is>
          <t>Phase 2</t>
        </is>
      </c>
      <c r="C13" s="6" t="inlineStr">
        <is>
          <t>Conduct (final)</t>
        </is>
      </c>
      <c r="D13" s="9" t="n">
        <v>1.1</v>
      </c>
      <c r="E13" s="7" t="inlineStr">
        <is>
          <t>Illustrative - replace with your figure</t>
        </is>
      </c>
      <c r="F13" s="7" t="inlineStr">
        <is>
          <t>Illustrative - replace with your figure</t>
        </is>
      </c>
    </row>
    <row r="14">
      <c r="A14" s="7" t="inlineStr">
        <is>
          <t>NewDrug CT</t>
        </is>
      </c>
      <c r="B14" s="6" t="inlineStr">
        <is>
          <t>Phase 2</t>
        </is>
      </c>
      <c r="C14" s="6" t="inlineStr">
        <is>
          <t>Close-out (final)</t>
        </is>
      </c>
      <c r="D14" s="9" t="n">
        <v>1.5</v>
      </c>
      <c r="E14" s="7" t="inlineStr">
        <is>
          <t>Illustrative - replace with your figure</t>
        </is>
      </c>
      <c r="F14" s="7" t="inlineStr">
        <is>
          <t>Illustrative - replace with your figure</t>
        </is>
      </c>
    </row>
    <row r="15">
      <c r="A15" s="7" t="inlineStr">
        <is>
          <t>NewDrug CT</t>
        </is>
      </c>
      <c r="B15" s="6" t="inlineStr">
        <is>
          <t>Phase 2</t>
        </is>
      </c>
      <c r="C15" s="6" t="inlineStr">
        <is>
          <t>After Close-out (final)</t>
        </is>
      </c>
      <c r="D15" s="9" t="n">
        <v>0.9</v>
      </c>
      <c r="E15" s="7" t="inlineStr">
        <is>
          <t>Illustrative - replace with your figure</t>
        </is>
      </c>
      <c r="F15" s="7" t="inlineStr">
        <is>
          <t>Illustrative - replace with your figure</t>
        </is>
      </c>
    </row>
    <row r="16">
      <c r="A16" s="7" t="inlineStr">
        <is>
          <t>NewDrug CT</t>
        </is>
      </c>
      <c r="B16" s="6" t="inlineStr">
        <is>
          <t>Phase 3</t>
        </is>
      </c>
      <c r="C16" s="6" t="inlineStr">
        <is>
          <t>Before-Start-up</t>
        </is>
      </c>
      <c r="D16" s="9" t="n">
        <v>0.8</v>
      </c>
      <c r="E16" s="7" t="inlineStr">
        <is>
          <t>Illustrative - replace with your figure</t>
        </is>
      </c>
      <c r="F16" s="7" t="inlineStr">
        <is>
          <t>Illustrative - replace with your figure</t>
        </is>
      </c>
    </row>
    <row r="17">
      <c r="A17" s="7" t="inlineStr">
        <is>
          <t>NewDrug CT</t>
        </is>
      </c>
      <c r="B17" s="6" t="inlineStr">
        <is>
          <t>Phase 3</t>
        </is>
      </c>
      <c r="C17" s="6" t="inlineStr">
        <is>
          <t>Start-up</t>
        </is>
      </c>
      <c r="D17" s="9" t="n">
        <v>1.6</v>
      </c>
      <c r="E17" s="7" t="inlineStr">
        <is>
          <t>Illustrative - replace with your figure</t>
        </is>
      </c>
      <c r="F17" s="7" t="inlineStr">
        <is>
          <t>Illustrative - replace with your figure</t>
        </is>
      </c>
    </row>
    <row r="18">
      <c r="A18" s="7" t="inlineStr">
        <is>
          <t>NewDrug CT</t>
        </is>
      </c>
      <c r="B18" s="6" t="inlineStr">
        <is>
          <t>Phase 3</t>
        </is>
      </c>
      <c r="C18" s="6" t="inlineStr">
        <is>
          <t>Conduct (interim)</t>
        </is>
      </c>
      <c r="D18" s="9" t="n">
        <v>1.2</v>
      </c>
      <c r="E18" s="7" t="inlineStr">
        <is>
          <t>Illustrative - replace with your figure</t>
        </is>
      </c>
      <c r="F18" s="7" t="inlineStr">
        <is>
          <t>Illustrative - replace with your figure</t>
        </is>
      </c>
    </row>
    <row r="19">
      <c r="A19" s="7" t="inlineStr">
        <is>
          <t>NewDrug CT</t>
        </is>
      </c>
      <c r="B19" s="6" t="inlineStr">
        <is>
          <t>Phase 3</t>
        </is>
      </c>
      <c r="C19" s="6" t="inlineStr">
        <is>
          <t>Close-out (interim)</t>
        </is>
      </c>
      <c r="D19" s="9" t="n">
        <v>1.4</v>
      </c>
      <c r="E19" s="7" t="inlineStr">
        <is>
          <t>Illustrative - replace with your figure</t>
        </is>
      </c>
      <c r="F19" s="7" t="inlineStr">
        <is>
          <t>Illustrative - replace with your figure</t>
        </is>
      </c>
    </row>
    <row r="20">
      <c r="A20" s="7" t="inlineStr">
        <is>
          <t>NewDrug CT</t>
        </is>
      </c>
      <c r="B20" s="6" t="inlineStr">
        <is>
          <t>Phase 3</t>
        </is>
      </c>
      <c r="C20" s="6" t="inlineStr">
        <is>
          <t>Conduct (final)</t>
        </is>
      </c>
      <c r="D20" s="9" t="n">
        <v>1.2</v>
      </c>
      <c r="E20" s="7" t="inlineStr">
        <is>
          <t>Illustrative - replace with your figure</t>
        </is>
      </c>
      <c r="F20" s="7" t="inlineStr">
        <is>
          <t>Illustrative - replace with your figure</t>
        </is>
      </c>
    </row>
    <row r="21">
      <c r="A21" s="7" t="inlineStr">
        <is>
          <t>NewDrug CT</t>
        </is>
      </c>
      <c r="B21" s="6" t="inlineStr">
        <is>
          <t>Phase 3</t>
        </is>
      </c>
      <c r="C21" s="6" t="inlineStr">
        <is>
          <t>Close-out (final)</t>
        </is>
      </c>
      <c r="D21" s="9" t="n">
        <v>1.7</v>
      </c>
      <c r="E21" s="7" t="inlineStr">
        <is>
          <t>Illustrative - replace with your figure</t>
        </is>
      </c>
      <c r="F21" s="7" t="inlineStr">
        <is>
          <t>Illustrative - replace with your figure</t>
        </is>
      </c>
    </row>
    <row r="22">
      <c r="A22" s="7" t="inlineStr">
        <is>
          <t>NewDrug CT</t>
        </is>
      </c>
      <c r="B22" s="6" t="inlineStr">
        <is>
          <t>Phase 3</t>
        </is>
      </c>
      <c r="C22" s="6" t="inlineStr">
        <is>
          <t>After Close-out (final)</t>
        </is>
      </c>
      <c r="D22" s="9" t="n">
        <v>1.02</v>
      </c>
      <c r="E22" s="7" t="inlineStr">
        <is>
          <t>Illustrative - replace with your figure</t>
        </is>
      </c>
      <c r="F22" s="7" t="inlineStr">
        <is>
          <t>Illustrative - replace with your figure</t>
        </is>
      </c>
    </row>
    <row r="23">
      <c r="A23" s="7" t="inlineStr">
        <is>
          <t>NewDrug CT</t>
        </is>
      </c>
      <c r="B23" s="6" t="inlineStr">
        <is>
          <t>Phase 4</t>
        </is>
      </c>
      <c r="C23" s="6" t="inlineStr">
        <is>
          <t>Before-Start-up</t>
        </is>
      </c>
      <c r="D23" s="9" t="n">
        <v>0.5</v>
      </c>
      <c r="E23" s="7" t="inlineStr">
        <is>
          <t>Illustrative - replace with your figure</t>
        </is>
      </c>
      <c r="F23" s="7" t="inlineStr">
        <is>
          <t>Illustrative - replace with your figure</t>
        </is>
      </c>
    </row>
    <row r="24">
      <c r="A24" s="7" t="inlineStr">
        <is>
          <t>NewDrug CT</t>
        </is>
      </c>
      <c r="B24" s="6" t="inlineStr">
        <is>
          <t>Phase 4</t>
        </is>
      </c>
      <c r="C24" s="6" t="inlineStr">
        <is>
          <t>Start-up</t>
        </is>
      </c>
      <c r="D24" s="9" t="n">
        <v>1.1</v>
      </c>
      <c r="E24" s="7" t="inlineStr">
        <is>
          <t>Illustrative - replace with your figure</t>
        </is>
      </c>
      <c r="F24" s="7" t="inlineStr">
        <is>
          <t>Illustrative - replace with your figure</t>
        </is>
      </c>
    </row>
    <row r="25">
      <c r="A25" s="7" t="inlineStr">
        <is>
          <t>NewDrug CT</t>
        </is>
      </c>
      <c r="B25" s="6" t="inlineStr">
        <is>
          <t>Phase 4</t>
        </is>
      </c>
      <c r="C25" s="6" t="inlineStr">
        <is>
          <t>Conduct (interim)</t>
        </is>
      </c>
      <c r="D25" s="9" t="n">
        <v>0.9</v>
      </c>
      <c r="E25" s="7" t="inlineStr">
        <is>
          <t>Illustrative - replace with your figure</t>
        </is>
      </c>
      <c r="F25" s="7" t="inlineStr">
        <is>
          <t>Illustrative - replace with your figure</t>
        </is>
      </c>
    </row>
    <row r="26">
      <c r="A26" s="7" t="inlineStr">
        <is>
          <t>NewDrug CT</t>
        </is>
      </c>
      <c r="B26" s="6" t="inlineStr">
        <is>
          <t>Phase 4</t>
        </is>
      </c>
      <c r="C26" s="6" t="inlineStr">
        <is>
          <t>Close-out (interim)</t>
        </is>
      </c>
      <c r="D26" s="9" t="n">
        <v>1</v>
      </c>
      <c r="E26" s="7" t="inlineStr">
        <is>
          <t>Illustrative - replace with your figure</t>
        </is>
      </c>
      <c r="F26" s="7" t="inlineStr">
        <is>
          <t>Illustrative - replace with your figure</t>
        </is>
      </c>
    </row>
    <row r="27">
      <c r="A27" s="7" t="inlineStr">
        <is>
          <t>NewDrug CT</t>
        </is>
      </c>
      <c r="B27" s="6" t="inlineStr">
        <is>
          <t>Phase 4</t>
        </is>
      </c>
      <c r="C27" s="6" t="inlineStr">
        <is>
          <t>Conduct (final)</t>
        </is>
      </c>
      <c r="D27" s="9" t="n">
        <v>0.9</v>
      </c>
      <c r="E27" s="7" t="inlineStr">
        <is>
          <t>Illustrative - replace with your figure</t>
        </is>
      </c>
      <c r="F27" s="7" t="inlineStr">
        <is>
          <t>Illustrative - replace with your figure</t>
        </is>
      </c>
    </row>
    <row r="28">
      <c r="A28" s="7" t="inlineStr">
        <is>
          <t>NewDrug CT</t>
        </is>
      </c>
      <c r="B28" s="6" t="inlineStr">
        <is>
          <t>Phase 4</t>
        </is>
      </c>
      <c r="C28" s="6" t="inlineStr">
        <is>
          <t>Close-out (final)</t>
        </is>
      </c>
      <c r="D28" s="9" t="n">
        <v>1.2</v>
      </c>
      <c r="E28" s="7" t="inlineStr">
        <is>
          <t>Illustrative - replace with your figure</t>
        </is>
      </c>
      <c r="F28" s="7" t="inlineStr">
        <is>
          <t>Illustrative - replace with your figure</t>
        </is>
      </c>
    </row>
    <row r="29">
      <c r="A29" s="7" t="inlineStr">
        <is>
          <t>NewDrug CT</t>
        </is>
      </c>
      <c r="B29" s="6" t="inlineStr">
        <is>
          <t>Phase 4</t>
        </is>
      </c>
      <c r="C29" s="6" t="inlineStr">
        <is>
          <t>After Close-out (final)</t>
        </is>
      </c>
      <c r="D29" s="9" t="n">
        <v>0.72</v>
      </c>
      <c r="E29" s="7" t="inlineStr">
        <is>
          <t>Illustrative - replace with your figure</t>
        </is>
      </c>
      <c r="F29" s="7" t="inlineStr">
        <is>
          <t>Illustrative - replace with your figure</t>
        </is>
      </c>
    </row>
    <row r="30">
      <c r="A30" s="7" t="inlineStr">
        <is>
          <t>Biosimilar CT</t>
        </is>
      </c>
      <c r="B30" s="6" t="inlineStr">
        <is>
          <t>Phase 1</t>
        </is>
      </c>
      <c r="C30" s="6" t="inlineStr">
        <is>
          <t>Before-Start-up</t>
        </is>
      </c>
      <c r="D30" s="9" t="n">
        <v>0.51</v>
      </c>
      <c r="E30" s="7" t="inlineStr">
        <is>
          <t>Illustrative - lighter than new-drug at the same phase</t>
        </is>
      </c>
      <c r="F30" s="7" t="inlineStr">
        <is>
          <t>Illustrative - replace with your figure</t>
        </is>
      </c>
    </row>
    <row r="31">
      <c r="A31" s="7" t="inlineStr">
        <is>
          <t>Biosimilar CT</t>
        </is>
      </c>
      <c r="B31" s="6" t="inlineStr">
        <is>
          <t>Phase 1</t>
        </is>
      </c>
      <c r="C31" s="6" t="inlineStr">
        <is>
          <t>Start-up</t>
        </is>
      </c>
      <c r="D31" s="9" t="n">
        <v>1.1</v>
      </c>
      <c r="E31" s="7" t="inlineStr">
        <is>
          <t>Illustrative - lighter than new-drug at the same phase</t>
        </is>
      </c>
      <c r="F31" s="7" t="inlineStr">
        <is>
          <t>Illustrative - replace with your figure</t>
        </is>
      </c>
    </row>
    <row r="32">
      <c r="A32" s="7" t="inlineStr">
        <is>
          <t>Biosimilar CT</t>
        </is>
      </c>
      <c r="B32" s="6" t="inlineStr">
        <is>
          <t>Phase 1</t>
        </is>
      </c>
      <c r="C32" s="6" t="inlineStr">
        <is>
          <t>Conduct (interim)</t>
        </is>
      </c>
      <c r="D32" s="9" t="n">
        <v>0.85</v>
      </c>
      <c r="E32" s="7" t="inlineStr">
        <is>
          <t>Illustrative - lighter than new-drug at the same phase</t>
        </is>
      </c>
      <c r="F32" s="7" t="inlineStr">
        <is>
          <t>Illustrative - replace with your figure</t>
        </is>
      </c>
    </row>
    <row r="33">
      <c r="A33" s="7" t="inlineStr">
        <is>
          <t>Biosimilar CT</t>
        </is>
      </c>
      <c r="B33" s="6" t="inlineStr">
        <is>
          <t>Phase 1</t>
        </is>
      </c>
      <c r="C33" s="6" t="inlineStr">
        <is>
          <t>Close-out (interim)</t>
        </is>
      </c>
      <c r="D33" s="9" t="n">
        <v>1.02</v>
      </c>
      <c r="E33" s="7" t="inlineStr">
        <is>
          <t>Illustrative - lighter than new-drug at the same phase</t>
        </is>
      </c>
      <c r="F33" s="7" t="inlineStr">
        <is>
          <t>Illustrative - replace with your figure</t>
        </is>
      </c>
    </row>
    <row r="34">
      <c r="A34" s="7" t="inlineStr">
        <is>
          <t>Biosimilar CT</t>
        </is>
      </c>
      <c r="B34" s="6" t="inlineStr">
        <is>
          <t>Phase 1</t>
        </is>
      </c>
      <c r="C34" s="6" t="inlineStr">
        <is>
          <t>Conduct (final)</t>
        </is>
      </c>
      <c r="D34" s="9" t="n">
        <v>0.85</v>
      </c>
      <c r="E34" s="7" t="inlineStr">
        <is>
          <t>Illustrative - lighter than new-drug at the same phase</t>
        </is>
      </c>
      <c r="F34" s="7" t="inlineStr">
        <is>
          <t>Illustrative - replace with your figure</t>
        </is>
      </c>
    </row>
    <row r="35">
      <c r="A35" s="7" t="inlineStr">
        <is>
          <t>Biosimilar CT</t>
        </is>
      </c>
      <c r="B35" s="6" t="inlineStr">
        <is>
          <t>Phase 1</t>
        </is>
      </c>
      <c r="C35" s="6" t="inlineStr">
        <is>
          <t>Close-out (final)</t>
        </is>
      </c>
      <c r="D35" s="9" t="n">
        <v>1.19</v>
      </c>
      <c r="E35" s="7" t="inlineStr">
        <is>
          <t>Illustrative - lighter than new-drug at the same phase</t>
        </is>
      </c>
      <c r="F35" s="7" t="inlineStr">
        <is>
          <t>Illustrative - replace with your figure</t>
        </is>
      </c>
    </row>
    <row r="36">
      <c r="A36" s="7" t="inlineStr">
        <is>
          <t>Biosimilar CT</t>
        </is>
      </c>
      <c r="B36" s="6" t="inlineStr">
        <is>
          <t>Phase 1</t>
        </is>
      </c>
      <c r="C36" s="6" t="inlineStr">
        <is>
          <t>After Close-out (final)</t>
        </is>
      </c>
      <c r="D36" s="9" t="n">
        <v>0.71</v>
      </c>
      <c r="E36" s="7" t="inlineStr">
        <is>
          <t>Illustrative - lighter than new-drug at the same phase</t>
        </is>
      </c>
      <c r="F36" s="7" t="inlineStr">
        <is>
          <t>Illustrative - replace with your figure</t>
        </is>
      </c>
    </row>
    <row r="37">
      <c r="A37" s="7" t="inlineStr">
        <is>
          <t>Biosimilar CT</t>
        </is>
      </c>
      <c r="B37" s="6" t="inlineStr">
        <is>
          <t>Phase 2</t>
        </is>
      </c>
      <c r="C37" s="6" t="inlineStr">
        <is>
          <t>Before-Start-up</t>
        </is>
      </c>
      <c r="D37" s="9" t="n">
        <v>0.59</v>
      </c>
      <c r="E37" s="7" t="inlineStr">
        <is>
          <t>Illustrative - lighter than new-drug at the same phase</t>
        </is>
      </c>
      <c r="F37" s="7" t="inlineStr">
        <is>
          <t>Illustrative - replace with your figure</t>
        </is>
      </c>
    </row>
    <row r="38">
      <c r="A38" s="7" t="inlineStr">
        <is>
          <t>Biosimilar CT</t>
        </is>
      </c>
      <c r="B38" s="6" t="inlineStr">
        <is>
          <t>Phase 2</t>
        </is>
      </c>
      <c r="C38" s="6" t="inlineStr">
        <is>
          <t>Start-up</t>
        </is>
      </c>
      <c r="D38" s="9" t="n">
        <v>1.19</v>
      </c>
      <c r="E38" s="7" t="inlineStr">
        <is>
          <t>Illustrative - lighter than new-drug at the same phase</t>
        </is>
      </c>
      <c r="F38" s="7" t="inlineStr">
        <is>
          <t>Illustrative - replace with your figure</t>
        </is>
      </c>
    </row>
    <row r="39">
      <c r="A39" s="7" t="inlineStr">
        <is>
          <t>Biosimilar CT</t>
        </is>
      </c>
      <c r="B39" s="6" t="inlineStr">
        <is>
          <t>Phase 2</t>
        </is>
      </c>
      <c r="C39" s="6" t="inlineStr">
        <is>
          <t>Conduct (interim)</t>
        </is>
      </c>
      <c r="D39" s="9" t="n">
        <v>0.9399999999999999</v>
      </c>
      <c r="E39" s="7" t="inlineStr">
        <is>
          <t>Illustrative - lighter than new-drug at the same phase</t>
        </is>
      </c>
      <c r="F39" s="7" t="inlineStr">
        <is>
          <t>Illustrative - replace with your figure</t>
        </is>
      </c>
    </row>
    <row r="40">
      <c r="A40" s="7" t="inlineStr">
        <is>
          <t>Biosimilar CT</t>
        </is>
      </c>
      <c r="B40" s="6" t="inlineStr">
        <is>
          <t>Phase 2</t>
        </is>
      </c>
      <c r="C40" s="6" t="inlineStr">
        <is>
          <t>Close-out (interim)</t>
        </is>
      </c>
      <c r="D40" s="9" t="n">
        <v>1.1</v>
      </c>
      <c r="E40" s="7" t="inlineStr">
        <is>
          <t>Illustrative - lighter than new-drug at the same phase</t>
        </is>
      </c>
      <c r="F40" s="7" t="inlineStr">
        <is>
          <t>Illustrative - replace with your figure</t>
        </is>
      </c>
    </row>
    <row r="41">
      <c r="A41" s="7" t="inlineStr">
        <is>
          <t>Biosimilar CT</t>
        </is>
      </c>
      <c r="B41" s="6" t="inlineStr">
        <is>
          <t>Phase 2</t>
        </is>
      </c>
      <c r="C41" s="6" t="inlineStr">
        <is>
          <t>Conduct (final)</t>
        </is>
      </c>
      <c r="D41" s="9" t="n">
        <v>0.9399999999999999</v>
      </c>
      <c r="E41" s="7" t="inlineStr">
        <is>
          <t>Illustrative - lighter than new-drug at the same phase</t>
        </is>
      </c>
      <c r="F41" s="7" t="inlineStr">
        <is>
          <t>Illustrative - replace with your figure</t>
        </is>
      </c>
    </row>
    <row r="42">
      <c r="A42" s="7" t="inlineStr">
        <is>
          <t>Biosimilar CT</t>
        </is>
      </c>
      <c r="B42" s="6" t="inlineStr">
        <is>
          <t>Phase 2</t>
        </is>
      </c>
      <c r="C42" s="6" t="inlineStr">
        <is>
          <t>Close-out (final)</t>
        </is>
      </c>
      <c r="D42" s="9" t="n">
        <v>1.27</v>
      </c>
      <c r="E42" s="7" t="inlineStr">
        <is>
          <t>Illustrative - lighter than new-drug at the same phase</t>
        </is>
      </c>
      <c r="F42" s="7" t="inlineStr">
        <is>
          <t>Illustrative - replace with your figure</t>
        </is>
      </c>
    </row>
    <row r="43">
      <c r="A43" s="7" t="inlineStr">
        <is>
          <t>Biosimilar CT</t>
        </is>
      </c>
      <c r="B43" s="6" t="inlineStr">
        <is>
          <t>Phase 2</t>
        </is>
      </c>
      <c r="C43" s="6" t="inlineStr">
        <is>
          <t>After Close-out (final)</t>
        </is>
      </c>
      <c r="D43" s="9" t="n">
        <v>0.77</v>
      </c>
      <c r="E43" s="7" t="inlineStr">
        <is>
          <t>Illustrative - lighter than new-drug at the same phase</t>
        </is>
      </c>
      <c r="F43" s="7" t="inlineStr">
        <is>
          <t>Illustrative - replace with your figure</t>
        </is>
      </c>
    </row>
    <row r="44">
      <c r="A44" s="7" t="inlineStr">
        <is>
          <t>Biosimilar CT</t>
        </is>
      </c>
      <c r="B44" s="6" t="inlineStr">
        <is>
          <t>Phase 3</t>
        </is>
      </c>
      <c r="C44" s="6" t="inlineStr">
        <is>
          <t>Before-Start-up</t>
        </is>
      </c>
      <c r="D44" s="9" t="n">
        <v>0.68</v>
      </c>
      <c r="E44" s="7" t="inlineStr">
        <is>
          <t>Illustrative - lighter than new-drug at the same phase</t>
        </is>
      </c>
      <c r="F44" s="7" t="inlineStr">
        <is>
          <t>Illustrative - replace with your figure</t>
        </is>
      </c>
    </row>
    <row r="45">
      <c r="A45" s="7" t="inlineStr">
        <is>
          <t>Biosimilar CT</t>
        </is>
      </c>
      <c r="B45" s="6" t="inlineStr">
        <is>
          <t>Phase 3</t>
        </is>
      </c>
      <c r="C45" s="6" t="inlineStr">
        <is>
          <t>Start-up</t>
        </is>
      </c>
      <c r="D45" s="9" t="n">
        <v>1.36</v>
      </c>
      <c r="E45" s="7" t="inlineStr">
        <is>
          <t>Illustrative - lighter than new-drug at the same phase</t>
        </is>
      </c>
      <c r="F45" s="7" t="inlineStr">
        <is>
          <t>Illustrative - replace with your figure</t>
        </is>
      </c>
    </row>
    <row r="46">
      <c r="A46" s="7" t="inlineStr">
        <is>
          <t>Biosimilar CT</t>
        </is>
      </c>
      <c r="B46" s="6" t="inlineStr">
        <is>
          <t>Phase 3</t>
        </is>
      </c>
      <c r="C46" s="6" t="inlineStr">
        <is>
          <t>Conduct (interim)</t>
        </is>
      </c>
      <c r="D46" s="9" t="n">
        <v>1.02</v>
      </c>
      <c r="E46" s="7" t="inlineStr">
        <is>
          <t>Illustrative - lighter than new-drug at the same phase</t>
        </is>
      </c>
      <c r="F46" s="7" t="inlineStr">
        <is>
          <t>Illustrative - replace with your figure</t>
        </is>
      </c>
    </row>
    <row r="47">
      <c r="A47" s="7" t="inlineStr">
        <is>
          <t>Biosimilar CT</t>
        </is>
      </c>
      <c r="B47" s="6" t="inlineStr">
        <is>
          <t>Phase 3</t>
        </is>
      </c>
      <c r="C47" s="6" t="inlineStr">
        <is>
          <t>Close-out (interim)</t>
        </is>
      </c>
      <c r="D47" s="9" t="n">
        <v>1.19</v>
      </c>
      <c r="E47" s="7" t="inlineStr">
        <is>
          <t>Illustrative - lighter than new-drug at the same phase</t>
        </is>
      </c>
      <c r="F47" s="7" t="inlineStr">
        <is>
          <t>Illustrative - replace with your figure</t>
        </is>
      </c>
    </row>
    <row r="48">
      <c r="A48" s="7" t="inlineStr">
        <is>
          <t>Biosimilar CT</t>
        </is>
      </c>
      <c r="B48" s="6" t="inlineStr">
        <is>
          <t>Phase 3</t>
        </is>
      </c>
      <c r="C48" s="6" t="inlineStr">
        <is>
          <t>Conduct (final)</t>
        </is>
      </c>
      <c r="D48" s="9" t="n">
        <v>1.02</v>
      </c>
      <c r="E48" s="7" t="inlineStr">
        <is>
          <t>Illustrative - lighter than new-drug at the same phase</t>
        </is>
      </c>
      <c r="F48" s="7" t="inlineStr">
        <is>
          <t>Illustrative - replace with your figure</t>
        </is>
      </c>
    </row>
    <row r="49">
      <c r="A49" s="7" t="inlineStr">
        <is>
          <t>Biosimilar CT</t>
        </is>
      </c>
      <c r="B49" s="6" t="inlineStr">
        <is>
          <t>Phase 3</t>
        </is>
      </c>
      <c r="C49" s="6" t="inlineStr">
        <is>
          <t>Close-out (final)</t>
        </is>
      </c>
      <c r="D49" s="9" t="n">
        <v>1.44</v>
      </c>
      <c r="E49" s="7" t="inlineStr">
        <is>
          <t>Illustrative - lighter than new-drug at the same phase</t>
        </is>
      </c>
      <c r="F49" s="7" t="inlineStr">
        <is>
          <t>Illustrative - replace with your figure</t>
        </is>
      </c>
    </row>
    <row r="50">
      <c r="A50" s="7" t="inlineStr">
        <is>
          <t>Biosimilar CT</t>
        </is>
      </c>
      <c r="B50" s="6" t="inlineStr">
        <is>
          <t>Phase 3</t>
        </is>
      </c>
      <c r="C50" s="6" t="inlineStr">
        <is>
          <t>After Close-out (final)</t>
        </is>
      </c>
      <c r="D50" s="9" t="n">
        <v>0.87</v>
      </c>
      <c r="E50" s="7" t="inlineStr">
        <is>
          <t>Illustrative - lighter than new-drug at the same phase</t>
        </is>
      </c>
      <c r="F50" s="7" t="inlineStr">
        <is>
          <t>Illustrative - replace with your figure</t>
        </is>
      </c>
    </row>
    <row r="51">
      <c r="A51" s="7" t="inlineStr">
        <is>
          <t>Biosimilar CT</t>
        </is>
      </c>
      <c r="B51" s="6" t="inlineStr">
        <is>
          <t>Phase 4</t>
        </is>
      </c>
      <c r="C51" s="6" t="inlineStr">
        <is>
          <t>Before-Start-up</t>
        </is>
      </c>
      <c r="D51" s="9" t="n">
        <v>0.42</v>
      </c>
      <c r="E51" s="7" t="inlineStr">
        <is>
          <t>Illustrative - lighter than new-drug at the same phase</t>
        </is>
      </c>
      <c r="F51" s="7" t="inlineStr">
        <is>
          <t>Illustrative - replace with your figure</t>
        </is>
      </c>
    </row>
    <row r="52">
      <c r="A52" s="7" t="inlineStr">
        <is>
          <t>Biosimilar CT</t>
        </is>
      </c>
      <c r="B52" s="6" t="inlineStr">
        <is>
          <t>Phase 4</t>
        </is>
      </c>
      <c r="C52" s="6" t="inlineStr">
        <is>
          <t>Start-up</t>
        </is>
      </c>
      <c r="D52" s="9" t="n">
        <v>0.9399999999999999</v>
      </c>
      <c r="E52" s="7" t="inlineStr">
        <is>
          <t>Illustrative - lighter than new-drug at the same phase</t>
        </is>
      </c>
      <c r="F52" s="7" t="inlineStr">
        <is>
          <t>Illustrative - replace with your figure</t>
        </is>
      </c>
    </row>
    <row r="53">
      <c r="A53" s="7" t="inlineStr">
        <is>
          <t>Biosimilar CT</t>
        </is>
      </c>
      <c r="B53" s="6" t="inlineStr">
        <is>
          <t>Phase 4</t>
        </is>
      </c>
      <c r="C53" s="6" t="inlineStr">
        <is>
          <t>Conduct (interim)</t>
        </is>
      </c>
      <c r="D53" s="9" t="n">
        <v>0.77</v>
      </c>
      <c r="E53" s="7" t="inlineStr">
        <is>
          <t>Illustrative - lighter than new-drug at the same phase</t>
        </is>
      </c>
      <c r="F53" s="7" t="inlineStr">
        <is>
          <t>Illustrative - replace with your figure</t>
        </is>
      </c>
    </row>
    <row r="54">
      <c r="A54" s="7" t="inlineStr">
        <is>
          <t>Biosimilar CT</t>
        </is>
      </c>
      <c r="B54" s="6" t="inlineStr">
        <is>
          <t>Phase 4</t>
        </is>
      </c>
      <c r="C54" s="6" t="inlineStr">
        <is>
          <t>Close-out (interim)</t>
        </is>
      </c>
      <c r="D54" s="9" t="n">
        <v>0.85</v>
      </c>
      <c r="E54" s="7" t="inlineStr">
        <is>
          <t>Illustrative - lighter than new-drug at the same phase</t>
        </is>
      </c>
      <c r="F54" s="7" t="inlineStr">
        <is>
          <t>Illustrative - replace with your figure</t>
        </is>
      </c>
    </row>
    <row r="55">
      <c r="A55" s="7" t="inlineStr">
        <is>
          <t>Biosimilar CT</t>
        </is>
      </c>
      <c r="B55" s="6" t="inlineStr">
        <is>
          <t>Phase 4</t>
        </is>
      </c>
      <c r="C55" s="6" t="inlineStr">
        <is>
          <t>Conduct (final)</t>
        </is>
      </c>
      <c r="D55" s="9" t="n">
        <v>0.77</v>
      </c>
      <c r="E55" s="7" t="inlineStr">
        <is>
          <t>Illustrative - lighter than new-drug at the same phase</t>
        </is>
      </c>
      <c r="F55" s="7" t="inlineStr">
        <is>
          <t>Illustrative - replace with your figure</t>
        </is>
      </c>
    </row>
    <row r="56">
      <c r="A56" s="7" t="inlineStr">
        <is>
          <t>Biosimilar CT</t>
        </is>
      </c>
      <c r="B56" s="6" t="inlineStr">
        <is>
          <t>Phase 4</t>
        </is>
      </c>
      <c r="C56" s="6" t="inlineStr">
        <is>
          <t>Close-out (final)</t>
        </is>
      </c>
      <c r="D56" s="9" t="n">
        <v>1.02</v>
      </c>
      <c r="E56" s="7" t="inlineStr">
        <is>
          <t>Illustrative - lighter than new-drug at the same phase</t>
        </is>
      </c>
      <c r="F56" s="7" t="inlineStr">
        <is>
          <t>Illustrative - replace with your figure</t>
        </is>
      </c>
    </row>
    <row r="57">
      <c r="A57" s="7" t="inlineStr">
        <is>
          <t>Biosimilar CT</t>
        </is>
      </c>
      <c r="B57" s="6" t="inlineStr">
        <is>
          <t>Phase 4</t>
        </is>
      </c>
      <c r="C57" s="6" t="inlineStr">
        <is>
          <t>After Close-out (final)</t>
        </is>
      </c>
      <c r="D57" s="9" t="n">
        <v>0.61</v>
      </c>
      <c r="E57" s="7" t="inlineStr">
        <is>
          <t>Illustrative - lighter than new-drug at the same phase</t>
        </is>
      </c>
      <c r="F57" s="7" t="inlineStr">
        <is>
          <t>Illustrative - replace with your figure</t>
        </is>
      </c>
    </row>
  </sheetData>
  <dataValidations count="3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  <dataValidation sqref="C2:C400" showDropDown="0" showInputMessage="0" showErrorMessage="0" allowBlank="1" type="list">
      <formula1>Lists!$B$37:$B$43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5" customWidth="1" min="4" max="4"/>
    <col width="17" customWidth="1" min="5" max="5"/>
    <col width="15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role_name</t>
        </is>
      </c>
      <c r="E1" s="5" t="inlineStr">
        <is>
          <t>role_factor</t>
        </is>
      </c>
      <c r="F1" s="5" t="inlineStr">
        <is>
          <t>role_note</t>
        </is>
      </c>
    </row>
    <row r="2">
      <c r="A2" s="6" t="inlineStr">
        <is>
          <t>NewDrug CT</t>
        </is>
      </c>
      <c r="B2" s="6" t="inlineStr">
        <is>
          <t>Phase 1</t>
        </is>
      </c>
      <c r="C2" s="6" t="inlineStr">
        <is>
          <t>Before-Start-up</t>
        </is>
      </c>
      <c r="D2" s="6" t="inlineStr">
        <is>
          <t>Project oversight</t>
        </is>
      </c>
      <c r="E2" s="9" t="n">
        <v>0.68</v>
      </c>
      <c r="F2" s="7" t="inlineStr">
        <is>
          <t>Illustrative - replace with your figure</t>
        </is>
      </c>
    </row>
    <row r="3">
      <c r="A3" s="6" t="inlineStr">
        <is>
          <t>NewDrug CT</t>
        </is>
      </c>
      <c r="B3" s="6" t="inlineStr">
        <is>
          <t>Phase 1</t>
        </is>
      </c>
      <c r="C3" s="6" t="inlineStr">
        <is>
          <t>Before-Start-up</t>
        </is>
      </c>
      <c r="D3" s="6" t="inlineStr">
        <is>
          <t>Lead data manager</t>
        </is>
      </c>
      <c r="E3" s="9" t="n">
        <v>0.91</v>
      </c>
      <c r="F3" s="7" t="inlineStr">
        <is>
          <t>Illustrative - replace with your figure</t>
        </is>
      </c>
    </row>
    <row r="4">
      <c r="A4" s="6" t="inlineStr">
        <is>
          <t>NewDrug CT</t>
        </is>
      </c>
      <c r="B4" s="6" t="inlineStr">
        <is>
          <t>Phase 1</t>
        </is>
      </c>
      <c r="C4" s="6" t="inlineStr">
        <is>
          <t>Before-Start-up</t>
        </is>
      </c>
      <c r="D4" s="6" t="inlineStr">
        <is>
          <t>Clinical Data Associator</t>
        </is>
      </c>
      <c r="E4" s="9" t="n">
        <v>0.47</v>
      </c>
      <c r="F4" s="7" t="inlineStr">
        <is>
          <t>Illustrative - replace with your figure</t>
        </is>
      </c>
    </row>
    <row r="5">
      <c r="A5" s="6" t="inlineStr">
        <is>
          <t>NewDrug CT</t>
        </is>
      </c>
      <c r="B5" s="6" t="inlineStr">
        <is>
          <t>Phase 1</t>
        </is>
      </c>
      <c r="C5" s="6" t="inlineStr">
        <is>
          <t>Before-Start-up</t>
        </is>
      </c>
      <c r="D5" s="6" t="inlineStr">
        <is>
          <t>Clinical Database Programmer</t>
        </is>
      </c>
      <c r="E5" s="9" t="n">
        <v>0.73</v>
      </c>
      <c r="F5" s="7" t="inlineStr">
        <is>
          <t>Illustrative - replace with your figure</t>
        </is>
      </c>
    </row>
    <row r="6">
      <c r="A6" s="6" t="inlineStr">
        <is>
          <t>NewDrug CT</t>
        </is>
      </c>
      <c r="B6" s="6" t="inlineStr">
        <is>
          <t>Phase 1</t>
        </is>
      </c>
      <c r="C6" s="6" t="inlineStr">
        <is>
          <t>Before-Start-up</t>
        </is>
      </c>
      <c r="D6" s="6" t="inlineStr">
        <is>
          <t>Data Analyst</t>
        </is>
      </c>
      <c r="E6" s="9" t="n">
        <v>0.34</v>
      </c>
      <c r="F6" s="7" t="inlineStr">
        <is>
          <t>Illustrative - replace with your figure</t>
        </is>
      </c>
    </row>
    <row r="7">
      <c r="A7" s="6" t="inlineStr">
        <is>
          <t>NewDrug CT</t>
        </is>
      </c>
      <c r="B7" s="6" t="inlineStr">
        <is>
          <t>Phase 1</t>
        </is>
      </c>
      <c r="C7" s="6" t="inlineStr">
        <is>
          <t>Start-up</t>
        </is>
      </c>
      <c r="D7" s="6" t="inlineStr">
        <is>
          <t>Project oversight</t>
        </is>
      </c>
      <c r="E7" s="9" t="n">
        <v>0.76</v>
      </c>
      <c r="F7" s="7" t="inlineStr">
        <is>
          <t>Illustrative - replace with your figure</t>
        </is>
      </c>
    </row>
    <row r="8">
      <c r="A8" s="6" t="inlineStr">
        <is>
          <t>NewDrug CT</t>
        </is>
      </c>
      <c r="B8" s="6" t="inlineStr">
        <is>
          <t>Phase 1</t>
        </is>
      </c>
      <c r="C8" s="6" t="inlineStr">
        <is>
          <t>Start-up</t>
        </is>
      </c>
      <c r="D8" s="6" t="inlineStr">
        <is>
          <t>Lead data manager</t>
        </is>
      </c>
      <c r="E8" s="9" t="n">
        <v>1.37</v>
      </c>
      <c r="F8" s="7" t="inlineStr">
        <is>
          <t>Illustrative - replace with your figure</t>
        </is>
      </c>
    </row>
    <row r="9">
      <c r="A9" s="6" t="inlineStr">
        <is>
          <t>NewDrug CT</t>
        </is>
      </c>
      <c r="B9" s="6" t="inlineStr">
        <is>
          <t>Phase 1</t>
        </is>
      </c>
      <c r="C9" s="6" t="inlineStr">
        <is>
          <t>Start-up</t>
        </is>
      </c>
      <c r="D9" s="6" t="inlineStr">
        <is>
          <t>Clinical Data Associator</t>
        </is>
      </c>
      <c r="E9" s="9" t="n">
        <v>0.76</v>
      </c>
      <c r="F9" s="7" t="inlineStr">
        <is>
          <t>Illustrative - replace with your figure</t>
        </is>
      </c>
    </row>
    <row r="10">
      <c r="A10" s="6" t="inlineStr">
        <is>
          <t>NewDrug CT</t>
        </is>
      </c>
      <c r="B10" s="6" t="inlineStr">
        <is>
          <t>Phase 1</t>
        </is>
      </c>
      <c r="C10" s="6" t="inlineStr">
        <is>
          <t>Start-up</t>
        </is>
      </c>
      <c r="D10" s="6" t="inlineStr">
        <is>
          <t>Clinical Database Programmer</t>
        </is>
      </c>
      <c r="E10" s="9" t="n">
        <v>1.57</v>
      </c>
      <c r="F10" s="7" t="inlineStr">
        <is>
          <t>Illustrative - replace with your figure</t>
        </is>
      </c>
    </row>
    <row r="11">
      <c r="A11" s="6" t="inlineStr">
        <is>
          <t>NewDrug CT</t>
        </is>
      </c>
      <c r="B11" s="6" t="inlineStr">
        <is>
          <t>Phase 1</t>
        </is>
      </c>
      <c r="C11" s="6" t="inlineStr">
        <is>
          <t>Start-up</t>
        </is>
      </c>
      <c r="D11" s="6" t="inlineStr">
        <is>
          <t>Data Analyst</t>
        </is>
      </c>
      <c r="E11" s="9" t="n">
        <v>0.51</v>
      </c>
      <c r="F11" s="7" t="inlineStr">
        <is>
          <t>Illustrative - replace with your figure</t>
        </is>
      </c>
    </row>
    <row r="12">
      <c r="A12" s="6" t="inlineStr">
        <is>
          <t>NewDrug CT</t>
        </is>
      </c>
      <c r="B12" s="6" t="inlineStr">
        <is>
          <t>Phase 1</t>
        </is>
      </c>
      <c r="C12" s="6" t="inlineStr">
        <is>
          <t>Conduct (interim)</t>
        </is>
      </c>
      <c r="D12" s="6" t="inlineStr">
        <is>
          <t>Project oversight</t>
        </is>
      </c>
      <c r="E12" s="9" t="n">
        <v>0.76</v>
      </c>
      <c r="F12" s="7" t="inlineStr">
        <is>
          <t>Illustrative - replace with your figure</t>
        </is>
      </c>
    </row>
    <row r="13">
      <c r="A13" s="6" t="inlineStr">
        <is>
          <t>NewDrug CT</t>
        </is>
      </c>
      <c r="B13" s="6" t="inlineStr">
        <is>
          <t>Phase 1</t>
        </is>
      </c>
      <c r="C13" s="6" t="inlineStr">
        <is>
          <t>Conduct (interim)</t>
        </is>
      </c>
      <c r="D13" s="6" t="inlineStr">
        <is>
          <t>Lead data manager</t>
        </is>
      </c>
      <c r="E13" s="9" t="n">
        <v>1.14</v>
      </c>
      <c r="F13" s="7" t="inlineStr">
        <is>
          <t>Illustrative - replace with your figure</t>
        </is>
      </c>
    </row>
    <row r="14">
      <c r="A14" s="6" t="inlineStr">
        <is>
          <t>NewDrug CT</t>
        </is>
      </c>
      <c r="B14" s="6" t="inlineStr">
        <is>
          <t>Phase 1</t>
        </is>
      </c>
      <c r="C14" s="6" t="inlineStr">
        <is>
          <t>Conduct (interim)</t>
        </is>
      </c>
      <c r="D14" s="6" t="inlineStr">
        <is>
          <t>Clinical Data Associator</t>
        </is>
      </c>
      <c r="E14" s="9" t="n">
        <v>1.23</v>
      </c>
      <c r="F14" s="7" t="inlineStr">
        <is>
          <t>Illustrative - replace with your figure</t>
        </is>
      </c>
    </row>
    <row r="15">
      <c r="A15" s="6" t="inlineStr">
        <is>
          <t>NewDrug CT</t>
        </is>
      </c>
      <c r="B15" s="6" t="inlineStr">
        <is>
          <t>Phase 1</t>
        </is>
      </c>
      <c r="C15" s="6" t="inlineStr">
        <is>
          <t>Conduct (interim)</t>
        </is>
      </c>
      <c r="D15" s="6" t="inlineStr">
        <is>
          <t>Clinical Database Programmer</t>
        </is>
      </c>
      <c r="E15" s="9" t="n">
        <v>0.84</v>
      </c>
      <c r="F15" s="7" t="inlineStr">
        <is>
          <t>Illustrative - replace with your figure</t>
        </is>
      </c>
    </row>
    <row r="16">
      <c r="A16" s="6" t="inlineStr">
        <is>
          <t>NewDrug CT</t>
        </is>
      </c>
      <c r="B16" s="6" t="inlineStr">
        <is>
          <t>Phase 1</t>
        </is>
      </c>
      <c r="C16" s="6" t="inlineStr">
        <is>
          <t>Conduct (interim)</t>
        </is>
      </c>
      <c r="D16" s="6" t="inlineStr">
        <is>
          <t>Data Analyst</t>
        </is>
      </c>
      <c r="E16" s="9" t="n">
        <v>0.77</v>
      </c>
      <c r="F16" s="7" t="inlineStr">
        <is>
          <t>Illustrative - replace with your figure</t>
        </is>
      </c>
    </row>
    <row r="17">
      <c r="A17" s="6" t="inlineStr">
        <is>
          <t>NewDrug CT</t>
        </is>
      </c>
      <c r="B17" s="6" t="inlineStr">
        <is>
          <t>Phase 1</t>
        </is>
      </c>
      <c r="C17" s="6" t="inlineStr">
        <is>
          <t>Close-out (interim)</t>
        </is>
      </c>
      <c r="D17" s="6" t="inlineStr">
        <is>
          <t>Project oversight</t>
        </is>
      </c>
      <c r="E17" s="9" t="n">
        <v>0.76</v>
      </c>
      <c r="F17" s="7" t="inlineStr">
        <is>
          <t>Illustrative - replace with your figure</t>
        </is>
      </c>
    </row>
    <row r="18">
      <c r="A18" s="6" t="inlineStr">
        <is>
          <t>NewDrug CT</t>
        </is>
      </c>
      <c r="B18" s="6" t="inlineStr">
        <is>
          <t>Phase 1</t>
        </is>
      </c>
      <c r="C18" s="6" t="inlineStr">
        <is>
          <t>Close-out (interim)</t>
        </is>
      </c>
      <c r="D18" s="6" t="inlineStr">
        <is>
          <t>Lead data manager</t>
        </is>
      </c>
      <c r="E18" s="9" t="n">
        <v>1.25</v>
      </c>
      <c r="F18" s="7" t="inlineStr">
        <is>
          <t>Illustrative - replace with your figure</t>
        </is>
      </c>
    </row>
    <row r="19">
      <c r="A19" s="6" t="inlineStr">
        <is>
          <t>NewDrug CT</t>
        </is>
      </c>
      <c r="B19" s="6" t="inlineStr">
        <is>
          <t>Phase 1</t>
        </is>
      </c>
      <c r="C19" s="6" t="inlineStr">
        <is>
          <t>Close-out (interim)</t>
        </is>
      </c>
      <c r="D19" s="6" t="inlineStr">
        <is>
          <t>Clinical Data Associator</t>
        </is>
      </c>
      <c r="E19" s="9" t="n">
        <v>1.04</v>
      </c>
      <c r="F19" s="7" t="inlineStr">
        <is>
          <t>Illustrative - replace with your figure</t>
        </is>
      </c>
    </row>
    <row r="20">
      <c r="A20" s="6" t="inlineStr">
        <is>
          <t>NewDrug CT</t>
        </is>
      </c>
      <c r="B20" s="6" t="inlineStr">
        <is>
          <t>Phase 1</t>
        </is>
      </c>
      <c r="C20" s="6" t="inlineStr">
        <is>
          <t>Close-out (interim)</t>
        </is>
      </c>
      <c r="D20" s="6" t="inlineStr">
        <is>
          <t>Clinical Database Programmer</t>
        </is>
      </c>
      <c r="E20" s="9" t="n">
        <v>1.04</v>
      </c>
      <c r="F20" s="7" t="inlineStr">
        <is>
          <t>Illustrative - replace with your figure</t>
        </is>
      </c>
    </row>
    <row r="21">
      <c r="A21" s="6" t="inlineStr">
        <is>
          <t>NewDrug CT</t>
        </is>
      </c>
      <c r="B21" s="6" t="inlineStr">
        <is>
          <t>Phase 1</t>
        </is>
      </c>
      <c r="C21" s="6" t="inlineStr">
        <is>
          <t>Close-out (interim)</t>
        </is>
      </c>
      <c r="D21" s="6" t="inlineStr">
        <is>
          <t>Data Analyst</t>
        </is>
      </c>
      <c r="E21" s="9" t="n">
        <v>1.11</v>
      </c>
      <c r="F21" s="7" t="inlineStr">
        <is>
          <t>Illustrative - replace with your figure</t>
        </is>
      </c>
    </row>
    <row r="22">
      <c r="A22" s="6" t="inlineStr">
        <is>
          <t>NewDrug CT</t>
        </is>
      </c>
      <c r="B22" s="6" t="inlineStr">
        <is>
          <t>Phase 1</t>
        </is>
      </c>
      <c r="C22" s="6" t="inlineStr">
        <is>
          <t>Conduct (final)</t>
        </is>
      </c>
      <c r="D22" s="6" t="inlineStr">
        <is>
          <t>Project oversight</t>
        </is>
      </c>
      <c r="E22" s="9" t="n">
        <v>0.76</v>
      </c>
      <c r="F22" s="7" t="inlineStr">
        <is>
          <t>Illustrative - replace with your figure</t>
        </is>
      </c>
    </row>
    <row r="23">
      <c r="A23" s="6" t="inlineStr">
        <is>
          <t>NewDrug CT</t>
        </is>
      </c>
      <c r="B23" s="6" t="inlineStr">
        <is>
          <t>Phase 1</t>
        </is>
      </c>
      <c r="C23" s="6" t="inlineStr">
        <is>
          <t>Conduct (final)</t>
        </is>
      </c>
      <c r="D23" s="6" t="inlineStr">
        <is>
          <t>Lead data manager</t>
        </is>
      </c>
      <c r="E23" s="9" t="n">
        <v>1.14</v>
      </c>
      <c r="F23" s="7" t="inlineStr">
        <is>
          <t>Illustrative - replace with your figure</t>
        </is>
      </c>
    </row>
    <row r="24">
      <c r="A24" s="6" t="inlineStr">
        <is>
          <t>NewDrug CT</t>
        </is>
      </c>
      <c r="B24" s="6" t="inlineStr">
        <is>
          <t>Phase 1</t>
        </is>
      </c>
      <c r="C24" s="6" t="inlineStr">
        <is>
          <t>Conduct (final)</t>
        </is>
      </c>
      <c r="D24" s="6" t="inlineStr">
        <is>
          <t>Clinical Data Associator</t>
        </is>
      </c>
      <c r="E24" s="9" t="n">
        <v>1.23</v>
      </c>
      <c r="F24" s="7" t="inlineStr">
        <is>
          <t>Illustrative - replace with your figure</t>
        </is>
      </c>
    </row>
    <row r="25">
      <c r="A25" s="6" t="inlineStr">
        <is>
          <t>NewDrug CT</t>
        </is>
      </c>
      <c r="B25" s="6" t="inlineStr">
        <is>
          <t>Phase 1</t>
        </is>
      </c>
      <c r="C25" s="6" t="inlineStr">
        <is>
          <t>Conduct (final)</t>
        </is>
      </c>
      <c r="D25" s="6" t="inlineStr">
        <is>
          <t>Clinical Database Programmer</t>
        </is>
      </c>
      <c r="E25" s="9" t="n">
        <v>0.84</v>
      </c>
      <c r="F25" s="7" t="inlineStr">
        <is>
          <t>Illustrative - replace with your figure</t>
        </is>
      </c>
    </row>
    <row r="26">
      <c r="A26" s="6" t="inlineStr">
        <is>
          <t>NewDrug CT</t>
        </is>
      </c>
      <c r="B26" s="6" t="inlineStr">
        <is>
          <t>Phase 1</t>
        </is>
      </c>
      <c r="C26" s="6" t="inlineStr">
        <is>
          <t>Conduct (final)</t>
        </is>
      </c>
      <c r="D26" s="6" t="inlineStr">
        <is>
          <t>Data Analyst</t>
        </is>
      </c>
      <c r="E26" s="9" t="n">
        <v>0.77</v>
      </c>
      <c r="F26" s="7" t="inlineStr">
        <is>
          <t>Illustrative - replace with your figure</t>
        </is>
      </c>
    </row>
    <row r="27">
      <c r="A27" s="6" t="inlineStr">
        <is>
          <t>NewDrug CT</t>
        </is>
      </c>
      <c r="B27" s="6" t="inlineStr">
        <is>
          <t>Phase 1</t>
        </is>
      </c>
      <c r="C27" s="6" t="inlineStr">
        <is>
          <t>Close-out (final)</t>
        </is>
      </c>
      <c r="D27" s="6" t="inlineStr">
        <is>
          <t>Project oversight</t>
        </is>
      </c>
      <c r="E27" s="9" t="n">
        <v>0.76</v>
      </c>
      <c r="F27" s="7" t="inlineStr">
        <is>
          <t>Illustrative - replace with your figure</t>
        </is>
      </c>
    </row>
    <row r="28">
      <c r="A28" s="6" t="inlineStr">
        <is>
          <t>NewDrug CT</t>
        </is>
      </c>
      <c r="B28" s="6" t="inlineStr">
        <is>
          <t>Phase 1</t>
        </is>
      </c>
      <c r="C28" s="6" t="inlineStr">
        <is>
          <t>Close-out (final)</t>
        </is>
      </c>
      <c r="D28" s="6" t="inlineStr">
        <is>
          <t>Lead data manager</t>
        </is>
      </c>
      <c r="E28" s="9" t="n">
        <v>1.37</v>
      </c>
      <c r="F28" s="7" t="inlineStr">
        <is>
          <t>Illustrative - replace with your figure</t>
        </is>
      </c>
    </row>
    <row r="29">
      <c r="A29" s="6" t="inlineStr">
        <is>
          <t>NewDrug CT</t>
        </is>
      </c>
      <c r="B29" s="6" t="inlineStr">
        <is>
          <t>Phase 1</t>
        </is>
      </c>
      <c r="C29" s="6" t="inlineStr">
        <is>
          <t>Close-out (final)</t>
        </is>
      </c>
      <c r="D29" s="6" t="inlineStr">
        <is>
          <t>Clinical Data Associator</t>
        </is>
      </c>
      <c r="E29" s="9" t="n">
        <v>0.85</v>
      </c>
      <c r="F29" s="7" t="inlineStr">
        <is>
          <t>Illustrative - replace with your figure</t>
        </is>
      </c>
    </row>
    <row r="30">
      <c r="A30" s="6" t="inlineStr">
        <is>
          <t>NewDrug CT</t>
        </is>
      </c>
      <c r="B30" s="6" t="inlineStr">
        <is>
          <t>Phase 1</t>
        </is>
      </c>
      <c r="C30" s="6" t="inlineStr">
        <is>
          <t>Close-out (final)</t>
        </is>
      </c>
      <c r="D30" s="6" t="inlineStr">
        <is>
          <t>Clinical Database Programmer</t>
        </is>
      </c>
      <c r="E30" s="9" t="n">
        <v>1.15</v>
      </c>
      <c r="F30" s="7" t="inlineStr">
        <is>
          <t>Illustrative - replace with your figure</t>
        </is>
      </c>
    </row>
    <row r="31">
      <c r="A31" s="6" t="inlineStr">
        <is>
          <t>NewDrug CT</t>
        </is>
      </c>
      <c r="B31" s="6" t="inlineStr">
        <is>
          <t>Phase 1</t>
        </is>
      </c>
      <c r="C31" s="6" t="inlineStr">
        <is>
          <t>Close-out (final)</t>
        </is>
      </c>
      <c r="D31" s="6" t="inlineStr">
        <is>
          <t>Data Analyst</t>
        </is>
      </c>
      <c r="E31" s="9" t="n">
        <v>1.28</v>
      </c>
      <c r="F31" s="7" t="inlineStr">
        <is>
          <t>Illustrative - replace with your figure</t>
        </is>
      </c>
    </row>
    <row r="32">
      <c r="A32" s="6" t="inlineStr">
        <is>
          <t>NewDrug CT</t>
        </is>
      </c>
      <c r="B32" s="6" t="inlineStr">
        <is>
          <t>Phase 1</t>
        </is>
      </c>
      <c r="C32" s="6" t="inlineStr">
        <is>
          <t>After Close-out (final)</t>
        </is>
      </c>
      <c r="D32" s="6" t="inlineStr">
        <is>
          <t>Project oversight</t>
        </is>
      </c>
      <c r="E32" s="9" t="n">
        <v>0.61</v>
      </c>
      <c r="F32" s="7" t="inlineStr">
        <is>
          <t>Illustrative - replace with your figure</t>
        </is>
      </c>
    </row>
    <row r="33">
      <c r="A33" s="6" t="inlineStr">
        <is>
          <t>NewDrug CT</t>
        </is>
      </c>
      <c r="B33" s="6" t="inlineStr">
        <is>
          <t>Phase 1</t>
        </is>
      </c>
      <c r="C33" s="6" t="inlineStr">
        <is>
          <t>After Close-out (final)</t>
        </is>
      </c>
      <c r="D33" s="6" t="inlineStr">
        <is>
          <t>Lead data manager</t>
        </is>
      </c>
      <c r="E33" s="9" t="n">
        <v>0.8</v>
      </c>
      <c r="F33" s="7" t="inlineStr">
        <is>
          <t>Illustrative - replace with your figure</t>
        </is>
      </c>
    </row>
    <row r="34">
      <c r="A34" s="6" t="inlineStr">
        <is>
          <t>NewDrug CT</t>
        </is>
      </c>
      <c r="B34" s="6" t="inlineStr">
        <is>
          <t>Phase 1</t>
        </is>
      </c>
      <c r="C34" s="6" t="inlineStr">
        <is>
          <t>After Close-out (final)</t>
        </is>
      </c>
      <c r="D34" s="6" t="inlineStr">
        <is>
          <t>Clinical Data Associator</t>
        </is>
      </c>
      <c r="E34" s="9" t="n">
        <v>0.47</v>
      </c>
      <c r="F34" s="7" t="inlineStr">
        <is>
          <t>Illustrative - replace with your figure</t>
        </is>
      </c>
    </row>
    <row r="35">
      <c r="A35" s="6" t="inlineStr">
        <is>
          <t>NewDrug CT</t>
        </is>
      </c>
      <c r="B35" s="6" t="inlineStr">
        <is>
          <t>Phase 1</t>
        </is>
      </c>
      <c r="C35" s="6" t="inlineStr">
        <is>
          <t>After Close-out (final)</t>
        </is>
      </c>
      <c r="D35" s="6" t="inlineStr">
        <is>
          <t>Clinical Database Programmer</t>
        </is>
      </c>
      <c r="E35" s="9" t="n">
        <v>0.42</v>
      </c>
      <c r="F35" s="7" t="inlineStr">
        <is>
          <t>Illustrative - replace with your figure</t>
        </is>
      </c>
    </row>
    <row r="36">
      <c r="A36" s="6" t="inlineStr">
        <is>
          <t>NewDrug CT</t>
        </is>
      </c>
      <c r="B36" s="6" t="inlineStr">
        <is>
          <t>Phase 1</t>
        </is>
      </c>
      <c r="C36" s="6" t="inlineStr">
        <is>
          <t>After Close-out (final)</t>
        </is>
      </c>
      <c r="D36" s="6" t="inlineStr">
        <is>
          <t>Data Analyst</t>
        </is>
      </c>
      <c r="E36" s="9" t="n">
        <v>0.77</v>
      </c>
      <c r="F36" s="7" t="inlineStr">
        <is>
          <t>Illustrative - replace with your figure</t>
        </is>
      </c>
    </row>
    <row r="37">
      <c r="A37" s="6" t="inlineStr">
        <is>
          <t>NewDrug CT</t>
        </is>
      </c>
      <c r="B37" s="6" t="inlineStr">
        <is>
          <t>Phase 2</t>
        </is>
      </c>
      <c r="C37" s="6" t="inlineStr">
        <is>
          <t>Before-Start-up</t>
        </is>
      </c>
      <c r="D37" s="6" t="inlineStr">
        <is>
          <t>Project oversight</t>
        </is>
      </c>
      <c r="E37" s="9" t="n">
        <v>0.72</v>
      </c>
      <c r="F37" s="7" t="inlineStr">
        <is>
          <t>Illustrative - replace with your figure</t>
        </is>
      </c>
    </row>
    <row r="38">
      <c r="A38" s="6" t="inlineStr">
        <is>
          <t>NewDrug CT</t>
        </is>
      </c>
      <c r="B38" s="6" t="inlineStr">
        <is>
          <t>Phase 2</t>
        </is>
      </c>
      <c r="C38" s="6" t="inlineStr">
        <is>
          <t>Before-Start-up</t>
        </is>
      </c>
      <c r="D38" s="6" t="inlineStr">
        <is>
          <t>Lead data manager</t>
        </is>
      </c>
      <c r="E38" s="9" t="n">
        <v>0.96</v>
      </c>
      <c r="F38" s="7" t="inlineStr">
        <is>
          <t>Illustrative - replace with your figure</t>
        </is>
      </c>
    </row>
    <row r="39">
      <c r="A39" s="6" t="inlineStr">
        <is>
          <t>NewDrug CT</t>
        </is>
      </c>
      <c r="B39" s="6" t="inlineStr">
        <is>
          <t>Phase 2</t>
        </is>
      </c>
      <c r="C39" s="6" t="inlineStr">
        <is>
          <t>Before-Start-up</t>
        </is>
      </c>
      <c r="D39" s="6" t="inlineStr">
        <is>
          <t>Clinical Data Associator</t>
        </is>
      </c>
      <c r="E39" s="9" t="n">
        <v>0.5</v>
      </c>
      <c r="F39" s="7" t="inlineStr">
        <is>
          <t>Illustrative - replace with your figure</t>
        </is>
      </c>
    </row>
    <row r="40">
      <c r="A40" s="6" t="inlineStr">
        <is>
          <t>NewDrug CT</t>
        </is>
      </c>
      <c r="B40" s="6" t="inlineStr">
        <is>
          <t>Phase 2</t>
        </is>
      </c>
      <c r="C40" s="6" t="inlineStr">
        <is>
          <t>Before-Start-up</t>
        </is>
      </c>
      <c r="D40" s="6" t="inlineStr">
        <is>
          <t>Clinical Database Programmer</t>
        </is>
      </c>
      <c r="E40" s="9" t="n">
        <v>0.77</v>
      </c>
      <c r="F40" s="7" t="inlineStr">
        <is>
          <t>Illustrative - replace with your figure</t>
        </is>
      </c>
    </row>
    <row r="41">
      <c r="A41" s="6" t="inlineStr">
        <is>
          <t>NewDrug CT</t>
        </is>
      </c>
      <c r="B41" s="6" t="inlineStr">
        <is>
          <t>Phase 2</t>
        </is>
      </c>
      <c r="C41" s="6" t="inlineStr">
        <is>
          <t>Before-Start-up</t>
        </is>
      </c>
      <c r="D41" s="6" t="inlineStr">
        <is>
          <t>Data Analyst</t>
        </is>
      </c>
      <c r="E41" s="9" t="n">
        <v>0.36</v>
      </c>
      <c r="F41" s="7" t="inlineStr">
        <is>
          <t>Illustrative - replace with your figure</t>
        </is>
      </c>
    </row>
    <row r="42">
      <c r="A42" s="6" t="inlineStr">
        <is>
          <t>NewDrug CT</t>
        </is>
      </c>
      <c r="B42" s="6" t="inlineStr">
        <is>
          <t>Phase 2</t>
        </is>
      </c>
      <c r="C42" s="6" t="inlineStr">
        <is>
          <t>Start-up</t>
        </is>
      </c>
      <c r="D42" s="6" t="inlineStr">
        <is>
          <t>Project oversight</t>
        </is>
      </c>
      <c r="E42" s="9" t="n">
        <v>0.8</v>
      </c>
      <c r="F42" s="7" t="inlineStr">
        <is>
          <t>Illustrative - replace with your figure</t>
        </is>
      </c>
    </row>
    <row r="43">
      <c r="A43" s="6" t="inlineStr">
        <is>
          <t>NewDrug CT</t>
        </is>
      </c>
      <c r="B43" s="6" t="inlineStr">
        <is>
          <t>Phase 2</t>
        </is>
      </c>
      <c r="C43" s="6" t="inlineStr">
        <is>
          <t>Start-up</t>
        </is>
      </c>
      <c r="D43" s="6" t="inlineStr">
        <is>
          <t>Lead data manager</t>
        </is>
      </c>
      <c r="E43" s="9" t="n">
        <v>1.44</v>
      </c>
      <c r="F43" s="7" t="inlineStr">
        <is>
          <t>Illustrative - replace with your figure</t>
        </is>
      </c>
    </row>
    <row r="44">
      <c r="A44" s="6" t="inlineStr">
        <is>
          <t>NewDrug CT</t>
        </is>
      </c>
      <c r="B44" s="6" t="inlineStr">
        <is>
          <t>Phase 2</t>
        </is>
      </c>
      <c r="C44" s="6" t="inlineStr">
        <is>
          <t>Start-up</t>
        </is>
      </c>
      <c r="D44" s="6" t="inlineStr">
        <is>
          <t>Clinical Data Associator</t>
        </is>
      </c>
      <c r="E44" s="9" t="n">
        <v>0.8</v>
      </c>
      <c r="F44" s="7" t="inlineStr">
        <is>
          <t>Illustrative - replace with your figure</t>
        </is>
      </c>
    </row>
    <row r="45">
      <c r="A45" s="6" t="inlineStr">
        <is>
          <t>NewDrug CT</t>
        </is>
      </c>
      <c r="B45" s="6" t="inlineStr">
        <is>
          <t>Phase 2</t>
        </is>
      </c>
      <c r="C45" s="6" t="inlineStr">
        <is>
          <t>Start-up</t>
        </is>
      </c>
      <c r="D45" s="6" t="inlineStr">
        <is>
          <t>Clinical Database Programmer</t>
        </is>
      </c>
      <c r="E45" s="9" t="n">
        <v>1.65</v>
      </c>
      <c r="F45" s="7" t="inlineStr">
        <is>
          <t>Illustrative - replace with your figure</t>
        </is>
      </c>
    </row>
    <row r="46">
      <c r="A46" s="6" t="inlineStr">
        <is>
          <t>NewDrug CT</t>
        </is>
      </c>
      <c r="B46" s="6" t="inlineStr">
        <is>
          <t>Phase 2</t>
        </is>
      </c>
      <c r="C46" s="6" t="inlineStr">
        <is>
          <t>Start-up</t>
        </is>
      </c>
      <c r="D46" s="6" t="inlineStr">
        <is>
          <t>Data Analyst</t>
        </is>
      </c>
      <c r="E46" s="9" t="n">
        <v>0.54</v>
      </c>
      <c r="F46" s="7" t="inlineStr">
        <is>
          <t>Illustrative - replace with your figure</t>
        </is>
      </c>
    </row>
    <row r="47">
      <c r="A47" s="6" t="inlineStr">
        <is>
          <t>NewDrug CT</t>
        </is>
      </c>
      <c r="B47" s="6" t="inlineStr">
        <is>
          <t>Phase 2</t>
        </is>
      </c>
      <c r="C47" s="6" t="inlineStr">
        <is>
          <t>Conduct (interim)</t>
        </is>
      </c>
      <c r="D47" s="6" t="inlineStr">
        <is>
          <t>Project oversight</t>
        </is>
      </c>
      <c r="E47" s="9" t="n">
        <v>0.8</v>
      </c>
      <c r="F47" s="7" t="inlineStr">
        <is>
          <t>Illustrative - replace with your figure</t>
        </is>
      </c>
    </row>
    <row r="48">
      <c r="A48" s="6" t="inlineStr">
        <is>
          <t>NewDrug CT</t>
        </is>
      </c>
      <c r="B48" s="6" t="inlineStr">
        <is>
          <t>Phase 2</t>
        </is>
      </c>
      <c r="C48" s="6" t="inlineStr">
        <is>
          <t>Conduct (interim)</t>
        </is>
      </c>
      <c r="D48" s="6" t="inlineStr">
        <is>
          <t>Lead data manager</t>
        </is>
      </c>
      <c r="E48" s="9" t="n">
        <v>1.2</v>
      </c>
      <c r="F48" s="7" t="inlineStr">
        <is>
          <t>Illustrative - replace with your figure</t>
        </is>
      </c>
    </row>
    <row r="49">
      <c r="A49" s="6" t="inlineStr">
        <is>
          <t>NewDrug CT</t>
        </is>
      </c>
      <c r="B49" s="6" t="inlineStr">
        <is>
          <t>Phase 2</t>
        </is>
      </c>
      <c r="C49" s="6" t="inlineStr">
        <is>
          <t>Conduct (interim)</t>
        </is>
      </c>
      <c r="D49" s="6" t="inlineStr">
        <is>
          <t>Clinical Data Associator</t>
        </is>
      </c>
      <c r="E49" s="9" t="n">
        <v>1.3</v>
      </c>
      <c r="F49" s="7" t="inlineStr">
        <is>
          <t>Illustrative - replace with your figure</t>
        </is>
      </c>
    </row>
    <row r="50">
      <c r="A50" s="6" t="inlineStr">
        <is>
          <t>NewDrug CT</t>
        </is>
      </c>
      <c r="B50" s="6" t="inlineStr">
        <is>
          <t>Phase 2</t>
        </is>
      </c>
      <c r="C50" s="6" t="inlineStr">
        <is>
          <t>Conduct (interim)</t>
        </is>
      </c>
      <c r="D50" s="6" t="inlineStr">
        <is>
          <t>Clinical Database Programmer</t>
        </is>
      </c>
      <c r="E50" s="9" t="n">
        <v>0.88</v>
      </c>
      <c r="F50" s="7" t="inlineStr">
        <is>
          <t>Illustrative - replace with your figure</t>
        </is>
      </c>
    </row>
    <row r="51">
      <c r="A51" s="6" t="inlineStr">
        <is>
          <t>NewDrug CT</t>
        </is>
      </c>
      <c r="B51" s="6" t="inlineStr">
        <is>
          <t>Phase 2</t>
        </is>
      </c>
      <c r="C51" s="6" t="inlineStr">
        <is>
          <t>Conduct (interim)</t>
        </is>
      </c>
      <c r="D51" s="6" t="inlineStr">
        <is>
          <t>Data Analyst</t>
        </is>
      </c>
      <c r="E51" s="9" t="n">
        <v>0.8100000000000001</v>
      </c>
      <c r="F51" s="7" t="inlineStr">
        <is>
          <t>Illustrative - replace with your figure</t>
        </is>
      </c>
    </row>
    <row r="52">
      <c r="A52" s="6" t="inlineStr">
        <is>
          <t>NewDrug CT</t>
        </is>
      </c>
      <c r="B52" s="6" t="inlineStr">
        <is>
          <t>Phase 2</t>
        </is>
      </c>
      <c r="C52" s="6" t="inlineStr">
        <is>
          <t>Close-out (interim)</t>
        </is>
      </c>
      <c r="D52" s="6" t="inlineStr">
        <is>
          <t>Project oversight</t>
        </is>
      </c>
      <c r="E52" s="9" t="n">
        <v>0.8</v>
      </c>
      <c r="F52" s="7" t="inlineStr">
        <is>
          <t>Illustrative - replace with your figure</t>
        </is>
      </c>
    </row>
    <row r="53">
      <c r="A53" s="6" t="inlineStr">
        <is>
          <t>NewDrug CT</t>
        </is>
      </c>
      <c r="B53" s="6" t="inlineStr">
        <is>
          <t>Phase 2</t>
        </is>
      </c>
      <c r="C53" s="6" t="inlineStr">
        <is>
          <t>Close-out (interim)</t>
        </is>
      </c>
      <c r="D53" s="6" t="inlineStr">
        <is>
          <t>Lead data manager</t>
        </is>
      </c>
      <c r="E53" s="9" t="n">
        <v>1.32</v>
      </c>
      <c r="F53" s="7" t="inlineStr">
        <is>
          <t>Illustrative - replace with your figure</t>
        </is>
      </c>
    </row>
    <row r="54">
      <c r="A54" s="6" t="inlineStr">
        <is>
          <t>NewDrug CT</t>
        </is>
      </c>
      <c r="B54" s="6" t="inlineStr">
        <is>
          <t>Phase 2</t>
        </is>
      </c>
      <c r="C54" s="6" t="inlineStr">
        <is>
          <t>Close-out (interim)</t>
        </is>
      </c>
      <c r="D54" s="6" t="inlineStr">
        <is>
          <t>Clinical Data Associator</t>
        </is>
      </c>
      <c r="E54" s="9" t="n">
        <v>1.1</v>
      </c>
      <c r="F54" s="7" t="inlineStr">
        <is>
          <t>Illustrative - replace with your figure</t>
        </is>
      </c>
    </row>
    <row r="55">
      <c r="A55" s="6" t="inlineStr">
        <is>
          <t>NewDrug CT</t>
        </is>
      </c>
      <c r="B55" s="6" t="inlineStr">
        <is>
          <t>Phase 2</t>
        </is>
      </c>
      <c r="C55" s="6" t="inlineStr">
        <is>
          <t>Close-out (interim)</t>
        </is>
      </c>
      <c r="D55" s="6" t="inlineStr">
        <is>
          <t>Clinical Database Programmer</t>
        </is>
      </c>
      <c r="E55" s="9" t="n">
        <v>1.1</v>
      </c>
      <c r="F55" s="7" t="inlineStr">
        <is>
          <t>Illustrative - replace with your figure</t>
        </is>
      </c>
    </row>
    <row r="56">
      <c r="A56" s="6" t="inlineStr">
        <is>
          <t>NewDrug CT</t>
        </is>
      </c>
      <c r="B56" s="6" t="inlineStr">
        <is>
          <t>Phase 2</t>
        </is>
      </c>
      <c r="C56" s="6" t="inlineStr">
        <is>
          <t>Close-out (interim)</t>
        </is>
      </c>
      <c r="D56" s="6" t="inlineStr">
        <is>
          <t>Data Analyst</t>
        </is>
      </c>
      <c r="E56" s="9" t="n">
        <v>1.17</v>
      </c>
      <c r="F56" s="7" t="inlineStr">
        <is>
          <t>Illustrative - replace with your figure</t>
        </is>
      </c>
    </row>
    <row r="57">
      <c r="A57" s="6" t="inlineStr">
        <is>
          <t>NewDrug CT</t>
        </is>
      </c>
      <c r="B57" s="6" t="inlineStr">
        <is>
          <t>Phase 2</t>
        </is>
      </c>
      <c r="C57" s="6" t="inlineStr">
        <is>
          <t>Conduct (final)</t>
        </is>
      </c>
      <c r="D57" s="6" t="inlineStr">
        <is>
          <t>Project oversight</t>
        </is>
      </c>
      <c r="E57" s="9" t="n">
        <v>0.8</v>
      </c>
      <c r="F57" s="7" t="inlineStr">
        <is>
          <t>Illustrative - replace with your figure</t>
        </is>
      </c>
    </row>
    <row r="58">
      <c r="A58" s="6" t="inlineStr">
        <is>
          <t>NewDrug CT</t>
        </is>
      </c>
      <c r="B58" s="6" t="inlineStr">
        <is>
          <t>Phase 2</t>
        </is>
      </c>
      <c r="C58" s="6" t="inlineStr">
        <is>
          <t>Conduct (final)</t>
        </is>
      </c>
      <c r="D58" s="6" t="inlineStr">
        <is>
          <t>Lead data manager</t>
        </is>
      </c>
      <c r="E58" s="9" t="n">
        <v>1.2</v>
      </c>
      <c r="F58" s="7" t="inlineStr">
        <is>
          <t>Illustrative - replace with your figure</t>
        </is>
      </c>
    </row>
    <row r="59">
      <c r="A59" s="6" t="inlineStr">
        <is>
          <t>NewDrug CT</t>
        </is>
      </c>
      <c r="B59" s="6" t="inlineStr">
        <is>
          <t>Phase 2</t>
        </is>
      </c>
      <c r="C59" s="6" t="inlineStr">
        <is>
          <t>Conduct (final)</t>
        </is>
      </c>
      <c r="D59" s="6" t="inlineStr">
        <is>
          <t>Clinical Data Associator</t>
        </is>
      </c>
      <c r="E59" s="9" t="n">
        <v>1.3</v>
      </c>
      <c r="F59" s="7" t="inlineStr">
        <is>
          <t>Illustrative - replace with your figure</t>
        </is>
      </c>
    </row>
    <row r="60">
      <c r="A60" s="6" t="inlineStr">
        <is>
          <t>NewDrug CT</t>
        </is>
      </c>
      <c r="B60" s="6" t="inlineStr">
        <is>
          <t>Phase 2</t>
        </is>
      </c>
      <c r="C60" s="6" t="inlineStr">
        <is>
          <t>Conduct (final)</t>
        </is>
      </c>
      <c r="D60" s="6" t="inlineStr">
        <is>
          <t>Clinical Database Programmer</t>
        </is>
      </c>
      <c r="E60" s="9" t="n">
        <v>0.88</v>
      </c>
      <c r="F60" s="7" t="inlineStr">
        <is>
          <t>Illustrative - replace with your figure</t>
        </is>
      </c>
    </row>
    <row r="61">
      <c r="A61" s="6" t="inlineStr">
        <is>
          <t>NewDrug CT</t>
        </is>
      </c>
      <c r="B61" s="6" t="inlineStr">
        <is>
          <t>Phase 2</t>
        </is>
      </c>
      <c r="C61" s="6" t="inlineStr">
        <is>
          <t>Conduct (final)</t>
        </is>
      </c>
      <c r="D61" s="6" t="inlineStr">
        <is>
          <t>Data Analyst</t>
        </is>
      </c>
      <c r="E61" s="9" t="n">
        <v>0.8100000000000001</v>
      </c>
      <c r="F61" s="7" t="inlineStr">
        <is>
          <t>Illustrative - replace with your figure</t>
        </is>
      </c>
    </row>
    <row r="62">
      <c r="A62" s="6" t="inlineStr">
        <is>
          <t>NewDrug CT</t>
        </is>
      </c>
      <c r="B62" s="6" t="inlineStr">
        <is>
          <t>Phase 2</t>
        </is>
      </c>
      <c r="C62" s="6" t="inlineStr">
        <is>
          <t>Close-out (final)</t>
        </is>
      </c>
      <c r="D62" s="6" t="inlineStr">
        <is>
          <t>Project oversight</t>
        </is>
      </c>
      <c r="E62" s="9" t="n">
        <v>0.8</v>
      </c>
      <c r="F62" s="7" t="inlineStr">
        <is>
          <t>Illustrative - replace with your figure</t>
        </is>
      </c>
    </row>
    <row r="63">
      <c r="A63" s="6" t="inlineStr">
        <is>
          <t>NewDrug CT</t>
        </is>
      </c>
      <c r="B63" s="6" t="inlineStr">
        <is>
          <t>Phase 2</t>
        </is>
      </c>
      <c r="C63" s="6" t="inlineStr">
        <is>
          <t>Close-out (final)</t>
        </is>
      </c>
      <c r="D63" s="6" t="inlineStr">
        <is>
          <t>Lead data manager</t>
        </is>
      </c>
      <c r="E63" s="9" t="n">
        <v>1.44</v>
      </c>
      <c r="F63" s="7" t="inlineStr">
        <is>
          <t>Illustrative - replace with your figure</t>
        </is>
      </c>
    </row>
    <row r="64">
      <c r="A64" s="6" t="inlineStr">
        <is>
          <t>NewDrug CT</t>
        </is>
      </c>
      <c r="B64" s="6" t="inlineStr">
        <is>
          <t>Phase 2</t>
        </is>
      </c>
      <c r="C64" s="6" t="inlineStr">
        <is>
          <t>Close-out (final)</t>
        </is>
      </c>
      <c r="D64" s="6" t="inlineStr">
        <is>
          <t>Clinical Data Associator</t>
        </is>
      </c>
      <c r="E64" s="9" t="n">
        <v>0.9</v>
      </c>
      <c r="F64" s="7" t="inlineStr">
        <is>
          <t>Illustrative - replace with your figure</t>
        </is>
      </c>
    </row>
    <row r="65">
      <c r="A65" s="6" t="inlineStr">
        <is>
          <t>NewDrug CT</t>
        </is>
      </c>
      <c r="B65" s="6" t="inlineStr">
        <is>
          <t>Phase 2</t>
        </is>
      </c>
      <c r="C65" s="6" t="inlineStr">
        <is>
          <t>Close-out (final)</t>
        </is>
      </c>
      <c r="D65" s="6" t="inlineStr">
        <is>
          <t>Clinical Database Programmer</t>
        </is>
      </c>
      <c r="E65" s="9" t="n">
        <v>1.21</v>
      </c>
      <c r="F65" s="7" t="inlineStr">
        <is>
          <t>Illustrative - replace with your figure</t>
        </is>
      </c>
    </row>
    <row r="66">
      <c r="A66" s="6" t="inlineStr">
        <is>
          <t>NewDrug CT</t>
        </is>
      </c>
      <c r="B66" s="6" t="inlineStr">
        <is>
          <t>Phase 2</t>
        </is>
      </c>
      <c r="C66" s="6" t="inlineStr">
        <is>
          <t>Close-out (final)</t>
        </is>
      </c>
      <c r="D66" s="6" t="inlineStr">
        <is>
          <t>Data Analyst</t>
        </is>
      </c>
      <c r="E66" s="9" t="n">
        <v>1.35</v>
      </c>
      <c r="F66" s="7" t="inlineStr">
        <is>
          <t>Illustrative - replace with your figure</t>
        </is>
      </c>
    </row>
    <row r="67">
      <c r="A67" s="6" t="inlineStr">
        <is>
          <t>NewDrug CT</t>
        </is>
      </c>
      <c r="B67" s="6" t="inlineStr">
        <is>
          <t>Phase 2</t>
        </is>
      </c>
      <c r="C67" s="6" t="inlineStr">
        <is>
          <t>After Close-out (final)</t>
        </is>
      </c>
      <c r="D67" s="6" t="inlineStr">
        <is>
          <t>Project oversight</t>
        </is>
      </c>
      <c r="E67" s="9" t="n">
        <v>0.64</v>
      </c>
      <c r="F67" s="7" t="inlineStr">
        <is>
          <t>Illustrative - replace with your figure</t>
        </is>
      </c>
    </row>
    <row r="68">
      <c r="A68" s="6" t="inlineStr">
        <is>
          <t>NewDrug CT</t>
        </is>
      </c>
      <c r="B68" s="6" t="inlineStr">
        <is>
          <t>Phase 2</t>
        </is>
      </c>
      <c r="C68" s="6" t="inlineStr">
        <is>
          <t>After Close-out (final)</t>
        </is>
      </c>
      <c r="D68" s="6" t="inlineStr">
        <is>
          <t>Lead data manager</t>
        </is>
      </c>
      <c r="E68" s="9" t="n">
        <v>0.84</v>
      </c>
      <c r="F68" s="7" t="inlineStr">
        <is>
          <t>Illustrative - replace with your figure</t>
        </is>
      </c>
    </row>
    <row r="69">
      <c r="A69" s="6" t="inlineStr">
        <is>
          <t>NewDrug CT</t>
        </is>
      </c>
      <c r="B69" s="6" t="inlineStr">
        <is>
          <t>Phase 2</t>
        </is>
      </c>
      <c r="C69" s="6" t="inlineStr">
        <is>
          <t>After Close-out (final)</t>
        </is>
      </c>
      <c r="D69" s="6" t="inlineStr">
        <is>
          <t>Clinical Data Associator</t>
        </is>
      </c>
      <c r="E69" s="9" t="n">
        <v>0.5</v>
      </c>
      <c r="F69" s="7" t="inlineStr">
        <is>
          <t>Illustrative - replace with your figure</t>
        </is>
      </c>
    </row>
    <row r="70">
      <c r="A70" s="6" t="inlineStr">
        <is>
          <t>NewDrug CT</t>
        </is>
      </c>
      <c r="B70" s="6" t="inlineStr">
        <is>
          <t>Phase 2</t>
        </is>
      </c>
      <c r="C70" s="6" t="inlineStr">
        <is>
          <t>After Close-out (final)</t>
        </is>
      </c>
      <c r="D70" s="6" t="inlineStr">
        <is>
          <t>Clinical Database Programmer</t>
        </is>
      </c>
      <c r="E70" s="9" t="n">
        <v>0.44</v>
      </c>
      <c r="F70" s="7" t="inlineStr">
        <is>
          <t>Illustrative - replace with your figure</t>
        </is>
      </c>
    </row>
    <row r="71">
      <c r="A71" s="6" t="inlineStr">
        <is>
          <t>NewDrug CT</t>
        </is>
      </c>
      <c r="B71" s="6" t="inlineStr">
        <is>
          <t>Phase 2</t>
        </is>
      </c>
      <c r="C71" s="6" t="inlineStr">
        <is>
          <t>After Close-out (final)</t>
        </is>
      </c>
      <c r="D71" s="6" t="inlineStr">
        <is>
          <t>Data Analyst</t>
        </is>
      </c>
      <c r="E71" s="9" t="n">
        <v>0.8100000000000001</v>
      </c>
      <c r="F71" s="7" t="inlineStr">
        <is>
          <t>Illustrative - replace with your figure</t>
        </is>
      </c>
    </row>
    <row r="72">
      <c r="A72" s="6" t="inlineStr">
        <is>
          <t>NewDrug CT</t>
        </is>
      </c>
      <c r="B72" s="6" t="inlineStr">
        <is>
          <t>Phase 3</t>
        </is>
      </c>
      <c r="C72" s="6" t="inlineStr">
        <is>
          <t>Before-Start-up</t>
        </is>
      </c>
      <c r="D72" s="6" t="inlineStr">
        <is>
          <t>Project oversight</t>
        </is>
      </c>
      <c r="E72" s="9" t="n">
        <v>0.76</v>
      </c>
      <c r="F72" s="7" t="inlineStr">
        <is>
          <t>Illustrative - replace with your figure</t>
        </is>
      </c>
    </row>
    <row r="73">
      <c r="A73" s="6" t="inlineStr">
        <is>
          <t>NewDrug CT</t>
        </is>
      </c>
      <c r="B73" s="6" t="inlineStr">
        <is>
          <t>Phase 3</t>
        </is>
      </c>
      <c r="C73" s="6" t="inlineStr">
        <is>
          <t>Before-Start-up</t>
        </is>
      </c>
      <c r="D73" s="6" t="inlineStr">
        <is>
          <t>Lead data manager</t>
        </is>
      </c>
      <c r="E73" s="9" t="n">
        <v>1.01</v>
      </c>
      <c r="F73" s="7" t="inlineStr">
        <is>
          <t>Illustrative - replace with your figure</t>
        </is>
      </c>
    </row>
    <row r="74">
      <c r="A74" s="6" t="inlineStr">
        <is>
          <t>NewDrug CT</t>
        </is>
      </c>
      <c r="B74" s="6" t="inlineStr">
        <is>
          <t>Phase 3</t>
        </is>
      </c>
      <c r="C74" s="6" t="inlineStr">
        <is>
          <t>Before-Start-up</t>
        </is>
      </c>
      <c r="D74" s="6" t="inlineStr">
        <is>
          <t>Clinical Data Associator</t>
        </is>
      </c>
      <c r="E74" s="9" t="n">
        <v>0.53</v>
      </c>
      <c r="F74" s="7" t="inlineStr">
        <is>
          <t>Illustrative - replace with your figure</t>
        </is>
      </c>
    </row>
    <row r="75">
      <c r="A75" s="6" t="inlineStr">
        <is>
          <t>NewDrug CT</t>
        </is>
      </c>
      <c r="B75" s="6" t="inlineStr">
        <is>
          <t>Phase 3</t>
        </is>
      </c>
      <c r="C75" s="6" t="inlineStr">
        <is>
          <t>Before-Start-up</t>
        </is>
      </c>
      <c r="D75" s="6" t="inlineStr">
        <is>
          <t>Clinical Database Programmer</t>
        </is>
      </c>
      <c r="E75" s="9" t="n">
        <v>0.8100000000000001</v>
      </c>
      <c r="F75" s="7" t="inlineStr">
        <is>
          <t>Illustrative - replace with your figure</t>
        </is>
      </c>
    </row>
    <row r="76">
      <c r="A76" s="6" t="inlineStr">
        <is>
          <t>NewDrug CT</t>
        </is>
      </c>
      <c r="B76" s="6" t="inlineStr">
        <is>
          <t>Phase 3</t>
        </is>
      </c>
      <c r="C76" s="6" t="inlineStr">
        <is>
          <t>Before-Start-up</t>
        </is>
      </c>
      <c r="D76" s="6" t="inlineStr">
        <is>
          <t>Data Analyst</t>
        </is>
      </c>
      <c r="E76" s="9" t="n">
        <v>0.38</v>
      </c>
      <c r="F76" s="7" t="inlineStr">
        <is>
          <t>Illustrative - replace with your figure</t>
        </is>
      </c>
    </row>
    <row r="77">
      <c r="A77" s="6" t="inlineStr">
        <is>
          <t>NewDrug CT</t>
        </is>
      </c>
      <c r="B77" s="6" t="inlineStr">
        <is>
          <t>Phase 3</t>
        </is>
      </c>
      <c r="C77" s="6" t="inlineStr">
        <is>
          <t>Start-up</t>
        </is>
      </c>
      <c r="D77" s="6" t="inlineStr">
        <is>
          <t>Project oversight</t>
        </is>
      </c>
      <c r="E77" s="9" t="n">
        <v>0.84</v>
      </c>
      <c r="F77" s="7" t="inlineStr">
        <is>
          <t>Illustrative - replace with your figure</t>
        </is>
      </c>
    </row>
    <row r="78">
      <c r="A78" s="6" t="inlineStr">
        <is>
          <t>NewDrug CT</t>
        </is>
      </c>
      <c r="B78" s="6" t="inlineStr">
        <is>
          <t>Phase 3</t>
        </is>
      </c>
      <c r="C78" s="6" t="inlineStr">
        <is>
          <t>Start-up</t>
        </is>
      </c>
      <c r="D78" s="6" t="inlineStr">
        <is>
          <t>Lead data manager</t>
        </is>
      </c>
      <c r="E78" s="9" t="n">
        <v>1.51</v>
      </c>
      <c r="F78" s="7" t="inlineStr">
        <is>
          <t>Illustrative - replace with your figure</t>
        </is>
      </c>
    </row>
    <row r="79">
      <c r="A79" s="6" t="inlineStr">
        <is>
          <t>NewDrug CT</t>
        </is>
      </c>
      <c r="B79" s="6" t="inlineStr">
        <is>
          <t>Phase 3</t>
        </is>
      </c>
      <c r="C79" s="6" t="inlineStr">
        <is>
          <t>Start-up</t>
        </is>
      </c>
      <c r="D79" s="6" t="inlineStr">
        <is>
          <t>Clinical Data Associator</t>
        </is>
      </c>
      <c r="E79" s="9" t="n">
        <v>0.84</v>
      </c>
      <c r="F79" s="7" t="inlineStr">
        <is>
          <t>Illustrative - replace with your figure</t>
        </is>
      </c>
    </row>
    <row r="80">
      <c r="A80" s="6" t="inlineStr">
        <is>
          <t>NewDrug CT</t>
        </is>
      </c>
      <c r="B80" s="6" t="inlineStr">
        <is>
          <t>Phase 3</t>
        </is>
      </c>
      <c r="C80" s="6" t="inlineStr">
        <is>
          <t>Start-up</t>
        </is>
      </c>
      <c r="D80" s="6" t="inlineStr">
        <is>
          <t>Clinical Database Programmer</t>
        </is>
      </c>
      <c r="E80" s="9" t="n">
        <v>1.73</v>
      </c>
      <c r="F80" s="7" t="inlineStr">
        <is>
          <t>Illustrative - replace with your figure</t>
        </is>
      </c>
    </row>
    <row r="81">
      <c r="A81" s="6" t="inlineStr">
        <is>
          <t>NewDrug CT</t>
        </is>
      </c>
      <c r="B81" s="6" t="inlineStr">
        <is>
          <t>Phase 3</t>
        </is>
      </c>
      <c r="C81" s="6" t="inlineStr">
        <is>
          <t>Start-up</t>
        </is>
      </c>
      <c r="D81" s="6" t="inlineStr">
        <is>
          <t>Data Analyst</t>
        </is>
      </c>
      <c r="E81" s="9" t="n">
        <v>0.57</v>
      </c>
      <c r="F81" s="7" t="inlineStr">
        <is>
          <t>Illustrative - replace with your figure</t>
        </is>
      </c>
    </row>
    <row r="82">
      <c r="A82" s="6" t="inlineStr">
        <is>
          <t>NewDrug CT</t>
        </is>
      </c>
      <c r="B82" s="6" t="inlineStr">
        <is>
          <t>Phase 3</t>
        </is>
      </c>
      <c r="C82" s="6" t="inlineStr">
        <is>
          <t>Conduct (interim)</t>
        </is>
      </c>
      <c r="D82" s="6" t="inlineStr">
        <is>
          <t>Project oversight</t>
        </is>
      </c>
      <c r="E82" s="9" t="n">
        <v>0.84</v>
      </c>
      <c r="F82" s="7" t="inlineStr">
        <is>
          <t>Illustrative - replace with your figure</t>
        </is>
      </c>
    </row>
    <row r="83">
      <c r="A83" s="6" t="inlineStr">
        <is>
          <t>NewDrug CT</t>
        </is>
      </c>
      <c r="B83" s="6" t="inlineStr">
        <is>
          <t>Phase 3</t>
        </is>
      </c>
      <c r="C83" s="6" t="inlineStr">
        <is>
          <t>Conduct (interim)</t>
        </is>
      </c>
      <c r="D83" s="6" t="inlineStr">
        <is>
          <t>Lead data manager</t>
        </is>
      </c>
      <c r="E83" s="9" t="n">
        <v>1.26</v>
      </c>
      <c r="F83" s="7" t="inlineStr">
        <is>
          <t>Illustrative - replace with your figure</t>
        </is>
      </c>
    </row>
    <row r="84">
      <c r="A84" s="6" t="inlineStr">
        <is>
          <t>NewDrug CT</t>
        </is>
      </c>
      <c r="B84" s="6" t="inlineStr">
        <is>
          <t>Phase 3</t>
        </is>
      </c>
      <c r="C84" s="6" t="inlineStr">
        <is>
          <t>Conduct (interim)</t>
        </is>
      </c>
      <c r="D84" s="6" t="inlineStr">
        <is>
          <t>Clinical Data Associator</t>
        </is>
      </c>
      <c r="E84" s="9" t="n">
        <v>1.37</v>
      </c>
      <c r="F84" s="7" t="inlineStr">
        <is>
          <t>Illustrative - replace with your figure</t>
        </is>
      </c>
    </row>
    <row r="85">
      <c r="A85" s="6" t="inlineStr">
        <is>
          <t>NewDrug CT</t>
        </is>
      </c>
      <c r="B85" s="6" t="inlineStr">
        <is>
          <t>Phase 3</t>
        </is>
      </c>
      <c r="C85" s="6" t="inlineStr">
        <is>
          <t>Conduct (interim)</t>
        </is>
      </c>
      <c r="D85" s="6" t="inlineStr">
        <is>
          <t>Clinical Database Programmer</t>
        </is>
      </c>
      <c r="E85" s="9" t="n">
        <v>0.92</v>
      </c>
      <c r="F85" s="7" t="inlineStr">
        <is>
          <t>Illustrative - replace with your figure</t>
        </is>
      </c>
    </row>
    <row r="86">
      <c r="A86" s="6" t="inlineStr">
        <is>
          <t>NewDrug CT</t>
        </is>
      </c>
      <c r="B86" s="6" t="inlineStr">
        <is>
          <t>Phase 3</t>
        </is>
      </c>
      <c r="C86" s="6" t="inlineStr">
        <is>
          <t>Conduct (interim)</t>
        </is>
      </c>
      <c r="D86" s="6" t="inlineStr">
        <is>
          <t>Data Analyst</t>
        </is>
      </c>
      <c r="E86" s="9" t="n">
        <v>0.85</v>
      </c>
      <c r="F86" s="7" t="inlineStr">
        <is>
          <t>Illustrative - replace with your figure</t>
        </is>
      </c>
    </row>
    <row r="87">
      <c r="A87" s="6" t="inlineStr">
        <is>
          <t>NewDrug CT</t>
        </is>
      </c>
      <c r="B87" s="6" t="inlineStr">
        <is>
          <t>Phase 3</t>
        </is>
      </c>
      <c r="C87" s="6" t="inlineStr">
        <is>
          <t>Close-out (interim)</t>
        </is>
      </c>
      <c r="D87" s="6" t="inlineStr">
        <is>
          <t>Project oversight</t>
        </is>
      </c>
      <c r="E87" s="9" t="n">
        <v>0.84</v>
      </c>
      <c r="F87" s="7" t="inlineStr">
        <is>
          <t>Illustrative - replace with your figure</t>
        </is>
      </c>
    </row>
    <row r="88">
      <c r="A88" s="6" t="inlineStr">
        <is>
          <t>NewDrug CT</t>
        </is>
      </c>
      <c r="B88" s="6" t="inlineStr">
        <is>
          <t>Phase 3</t>
        </is>
      </c>
      <c r="C88" s="6" t="inlineStr">
        <is>
          <t>Close-out (interim)</t>
        </is>
      </c>
      <c r="D88" s="6" t="inlineStr">
        <is>
          <t>Lead data manager</t>
        </is>
      </c>
      <c r="E88" s="9" t="n">
        <v>1.39</v>
      </c>
      <c r="F88" s="7" t="inlineStr">
        <is>
          <t>Illustrative - replace with your figure</t>
        </is>
      </c>
    </row>
    <row r="89">
      <c r="A89" s="6" t="inlineStr">
        <is>
          <t>NewDrug CT</t>
        </is>
      </c>
      <c r="B89" s="6" t="inlineStr">
        <is>
          <t>Phase 3</t>
        </is>
      </c>
      <c r="C89" s="6" t="inlineStr">
        <is>
          <t>Close-out (interim)</t>
        </is>
      </c>
      <c r="D89" s="6" t="inlineStr">
        <is>
          <t>Clinical Data Associator</t>
        </is>
      </c>
      <c r="E89" s="9" t="n">
        <v>1.16</v>
      </c>
      <c r="F89" s="7" t="inlineStr">
        <is>
          <t>Illustrative - replace with your figure</t>
        </is>
      </c>
    </row>
    <row r="90">
      <c r="A90" s="6" t="inlineStr">
        <is>
          <t>NewDrug CT</t>
        </is>
      </c>
      <c r="B90" s="6" t="inlineStr">
        <is>
          <t>Phase 3</t>
        </is>
      </c>
      <c r="C90" s="6" t="inlineStr">
        <is>
          <t>Close-out (interim)</t>
        </is>
      </c>
      <c r="D90" s="6" t="inlineStr">
        <is>
          <t>Clinical Database Programmer</t>
        </is>
      </c>
      <c r="E90" s="9" t="n">
        <v>1.16</v>
      </c>
      <c r="F90" s="7" t="inlineStr">
        <is>
          <t>Illustrative - replace with your figure</t>
        </is>
      </c>
    </row>
    <row r="91">
      <c r="A91" s="6" t="inlineStr">
        <is>
          <t>NewDrug CT</t>
        </is>
      </c>
      <c r="B91" s="6" t="inlineStr">
        <is>
          <t>Phase 3</t>
        </is>
      </c>
      <c r="C91" s="6" t="inlineStr">
        <is>
          <t>Close-out (interim)</t>
        </is>
      </c>
      <c r="D91" s="6" t="inlineStr">
        <is>
          <t>Data Analyst</t>
        </is>
      </c>
      <c r="E91" s="9" t="n">
        <v>1.23</v>
      </c>
      <c r="F91" s="7" t="inlineStr">
        <is>
          <t>Illustrative - replace with your figure</t>
        </is>
      </c>
    </row>
    <row r="92">
      <c r="A92" s="6" t="inlineStr">
        <is>
          <t>NewDrug CT</t>
        </is>
      </c>
      <c r="B92" s="6" t="inlineStr">
        <is>
          <t>Phase 3</t>
        </is>
      </c>
      <c r="C92" s="6" t="inlineStr">
        <is>
          <t>Conduct (final)</t>
        </is>
      </c>
      <c r="D92" s="6" t="inlineStr">
        <is>
          <t>Project oversight</t>
        </is>
      </c>
      <c r="E92" s="9" t="n">
        <v>0.84</v>
      </c>
      <c r="F92" s="7" t="inlineStr">
        <is>
          <t>Illustrative - replace with your figure</t>
        </is>
      </c>
    </row>
    <row r="93">
      <c r="A93" s="6" t="inlineStr">
        <is>
          <t>NewDrug CT</t>
        </is>
      </c>
      <c r="B93" s="6" t="inlineStr">
        <is>
          <t>Phase 3</t>
        </is>
      </c>
      <c r="C93" s="6" t="inlineStr">
        <is>
          <t>Conduct (final)</t>
        </is>
      </c>
      <c r="D93" s="6" t="inlineStr">
        <is>
          <t>Lead data manager</t>
        </is>
      </c>
      <c r="E93" s="9" t="n">
        <v>1.26</v>
      </c>
      <c r="F93" s="7" t="inlineStr">
        <is>
          <t>Illustrative - replace with your figure</t>
        </is>
      </c>
    </row>
    <row r="94">
      <c r="A94" s="6" t="inlineStr">
        <is>
          <t>NewDrug CT</t>
        </is>
      </c>
      <c r="B94" s="6" t="inlineStr">
        <is>
          <t>Phase 3</t>
        </is>
      </c>
      <c r="C94" s="6" t="inlineStr">
        <is>
          <t>Conduct (final)</t>
        </is>
      </c>
      <c r="D94" s="6" t="inlineStr">
        <is>
          <t>Clinical Data Associator</t>
        </is>
      </c>
      <c r="E94" s="9" t="n">
        <v>1.37</v>
      </c>
      <c r="F94" s="7" t="inlineStr">
        <is>
          <t>Illustrative - replace with your figure</t>
        </is>
      </c>
    </row>
    <row r="95">
      <c r="A95" s="6" t="inlineStr">
        <is>
          <t>NewDrug CT</t>
        </is>
      </c>
      <c r="B95" s="6" t="inlineStr">
        <is>
          <t>Phase 3</t>
        </is>
      </c>
      <c r="C95" s="6" t="inlineStr">
        <is>
          <t>Conduct (final)</t>
        </is>
      </c>
      <c r="D95" s="6" t="inlineStr">
        <is>
          <t>Clinical Database Programmer</t>
        </is>
      </c>
      <c r="E95" s="9" t="n">
        <v>0.92</v>
      </c>
      <c r="F95" s="7" t="inlineStr">
        <is>
          <t>Illustrative - replace with your figure</t>
        </is>
      </c>
    </row>
    <row r="96">
      <c r="A96" s="6" t="inlineStr">
        <is>
          <t>NewDrug CT</t>
        </is>
      </c>
      <c r="B96" s="6" t="inlineStr">
        <is>
          <t>Phase 3</t>
        </is>
      </c>
      <c r="C96" s="6" t="inlineStr">
        <is>
          <t>Conduct (final)</t>
        </is>
      </c>
      <c r="D96" s="6" t="inlineStr">
        <is>
          <t>Data Analyst</t>
        </is>
      </c>
      <c r="E96" s="9" t="n">
        <v>0.85</v>
      </c>
      <c r="F96" s="7" t="inlineStr">
        <is>
          <t>Illustrative - replace with your figure</t>
        </is>
      </c>
    </row>
    <row r="97">
      <c r="A97" s="6" t="inlineStr">
        <is>
          <t>NewDrug CT</t>
        </is>
      </c>
      <c r="B97" s="6" t="inlineStr">
        <is>
          <t>Phase 3</t>
        </is>
      </c>
      <c r="C97" s="6" t="inlineStr">
        <is>
          <t>Close-out (final)</t>
        </is>
      </c>
      <c r="D97" s="6" t="inlineStr">
        <is>
          <t>Project oversight</t>
        </is>
      </c>
      <c r="E97" s="9" t="n">
        <v>0.84</v>
      </c>
      <c r="F97" s="7" t="inlineStr">
        <is>
          <t>Illustrative - replace with your figure</t>
        </is>
      </c>
    </row>
    <row r="98">
      <c r="A98" s="6" t="inlineStr">
        <is>
          <t>NewDrug CT</t>
        </is>
      </c>
      <c r="B98" s="6" t="inlineStr">
        <is>
          <t>Phase 3</t>
        </is>
      </c>
      <c r="C98" s="6" t="inlineStr">
        <is>
          <t>Close-out (final)</t>
        </is>
      </c>
      <c r="D98" s="6" t="inlineStr">
        <is>
          <t>Lead data manager</t>
        </is>
      </c>
      <c r="E98" s="9" t="n">
        <v>1.51</v>
      </c>
      <c r="F98" s="7" t="inlineStr">
        <is>
          <t>Illustrative - replace with your figure</t>
        </is>
      </c>
    </row>
    <row r="99">
      <c r="A99" s="6" t="inlineStr">
        <is>
          <t>NewDrug CT</t>
        </is>
      </c>
      <c r="B99" s="6" t="inlineStr">
        <is>
          <t>Phase 3</t>
        </is>
      </c>
      <c r="C99" s="6" t="inlineStr">
        <is>
          <t>Close-out (final)</t>
        </is>
      </c>
      <c r="D99" s="6" t="inlineStr">
        <is>
          <t>Clinical Data Associator</t>
        </is>
      </c>
      <c r="E99" s="9" t="n">
        <v>0.95</v>
      </c>
      <c r="F99" s="7" t="inlineStr">
        <is>
          <t>Illustrative - replace with your figure</t>
        </is>
      </c>
    </row>
    <row r="100">
      <c r="A100" s="6" t="inlineStr">
        <is>
          <t>NewDrug CT</t>
        </is>
      </c>
      <c r="B100" s="6" t="inlineStr">
        <is>
          <t>Phase 3</t>
        </is>
      </c>
      <c r="C100" s="6" t="inlineStr">
        <is>
          <t>Close-out (final)</t>
        </is>
      </c>
      <c r="D100" s="6" t="inlineStr">
        <is>
          <t>Clinical Database Programmer</t>
        </is>
      </c>
      <c r="E100" s="9" t="n">
        <v>1.27</v>
      </c>
      <c r="F100" s="7" t="inlineStr">
        <is>
          <t>Illustrative - replace with your figure</t>
        </is>
      </c>
    </row>
    <row r="101">
      <c r="A101" s="6" t="inlineStr">
        <is>
          <t>NewDrug CT</t>
        </is>
      </c>
      <c r="B101" s="6" t="inlineStr">
        <is>
          <t>Phase 3</t>
        </is>
      </c>
      <c r="C101" s="6" t="inlineStr">
        <is>
          <t>Close-out (final)</t>
        </is>
      </c>
      <c r="D101" s="6" t="inlineStr">
        <is>
          <t>Data Analyst</t>
        </is>
      </c>
      <c r="E101" s="9" t="n">
        <v>1.42</v>
      </c>
      <c r="F101" s="7" t="inlineStr">
        <is>
          <t>Illustrative - replace with your figure</t>
        </is>
      </c>
    </row>
    <row r="102">
      <c r="A102" s="6" t="inlineStr">
        <is>
          <t>NewDrug CT</t>
        </is>
      </c>
      <c r="B102" s="6" t="inlineStr">
        <is>
          <t>Phase 3</t>
        </is>
      </c>
      <c r="C102" s="6" t="inlineStr">
        <is>
          <t>After Close-out (final)</t>
        </is>
      </c>
      <c r="D102" s="6" t="inlineStr">
        <is>
          <t>Project oversight</t>
        </is>
      </c>
      <c r="E102" s="9" t="n">
        <v>0.67</v>
      </c>
      <c r="F102" s="7" t="inlineStr">
        <is>
          <t>Illustrative - replace with your figure</t>
        </is>
      </c>
    </row>
    <row r="103">
      <c r="A103" s="6" t="inlineStr">
        <is>
          <t>NewDrug CT</t>
        </is>
      </c>
      <c r="B103" s="6" t="inlineStr">
        <is>
          <t>Phase 3</t>
        </is>
      </c>
      <c r="C103" s="6" t="inlineStr">
        <is>
          <t>After Close-out (final)</t>
        </is>
      </c>
      <c r="D103" s="6" t="inlineStr">
        <is>
          <t>Lead data manager</t>
        </is>
      </c>
      <c r="E103" s="9" t="n">
        <v>0.88</v>
      </c>
      <c r="F103" s="7" t="inlineStr">
        <is>
          <t>Illustrative - replace with your figure</t>
        </is>
      </c>
    </row>
    <row r="104">
      <c r="A104" s="6" t="inlineStr">
        <is>
          <t>NewDrug CT</t>
        </is>
      </c>
      <c r="B104" s="6" t="inlineStr">
        <is>
          <t>Phase 3</t>
        </is>
      </c>
      <c r="C104" s="6" t="inlineStr">
        <is>
          <t>After Close-out (final)</t>
        </is>
      </c>
      <c r="D104" s="6" t="inlineStr">
        <is>
          <t>Clinical Data Associator</t>
        </is>
      </c>
      <c r="E104" s="9" t="n">
        <v>0.53</v>
      </c>
      <c r="F104" s="7" t="inlineStr">
        <is>
          <t>Illustrative - replace with your figure</t>
        </is>
      </c>
    </row>
    <row r="105">
      <c r="A105" s="6" t="inlineStr">
        <is>
          <t>NewDrug CT</t>
        </is>
      </c>
      <c r="B105" s="6" t="inlineStr">
        <is>
          <t>Phase 3</t>
        </is>
      </c>
      <c r="C105" s="6" t="inlineStr">
        <is>
          <t>After Close-out (final)</t>
        </is>
      </c>
      <c r="D105" s="6" t="inlineStr">
        <is>
          <t>Clinical Database Programmer</t>
        </is>
      </c>
      <c r="E105" s="9" t="n">
        <v>0.46</v>
      </c>
      <c r="F105" s="7" t="inlineStr">
        <is>
          <t>Illustrative - replace with your figure</t>
        </is>
      </c>
    </row>
    <row r="106">
      <c r="A106" s="6" t="inlineStr">
        <is>
          <t>NewDrug CT</t>
        </is>
      </c>
      <c r="B106" s="6" t="inlineStr">
        <is>
          <t>Phase 3</t>
        </is>
      </c>
      <c r="C106" s="6" t="inlineStr">
        <is>
          <t>After Close-out (final)</t>
        </is>
      </c>
      <c r="D106" s="6" t="inlineStr">
        <is>
          <t>Data Analyst</t>
        </is>
      </c>
      <c r="E106" s="9" t="n">
        <v>0.85</v>
      </c>
      <c r="F106" s="7" t="inlineStr">
        <is>
          <t>Illustrative - replace with your figure</t>
        </is>
      </c>
    </row>
    <row r="107">
      <c r="A107" s="6" t="inlineStr">
        <is>
          <t>NewDrug CT</t>
        </is>
      </c>
      <c r="B107" s="6" t="inlineStr">
        <is>
          <t>Phase 4</t>
        </is>
      </c>
      <c r="C107" s="6" t="inlineStr">
        <is>
          <t>Before-Start-up</t>
        </is>
      </c>
      <c r="D107" s="6" t="inlineStr">
        <is>
          <t>Project oversight</t>
        </is>
      </c>
      <c r="E107" s="9" t="n">
        <v>0.65</v>
      </c>
      <c r="F107" s="7" t="inlineStr">
        <is>
          <t>Illustrative - replace with your figure</t>
        </is>
      </c>
    </row>
    <row r="108">
      <c r="A108" s="6" t="inlineStr">
        <is>
          <t>NewDrug CT</t>
        </is>
      </c>
      <c r="B108" s="6" t="inlineStr">
        <is>
          <t>Phase 4</t>
        </is>
      </c>
      <c r="C108" s="6" t="inlineStr">
        <is>
          <t>Before-Start-up</t>
        </is>
      </c>
      <c r="D108" s="6" t="inlineStr">
        <is>
          <t>Lead data manager</t>
        </is>
      </c>
      <c r="E108" s="9" t="n">
        <v>0.86</v>
      </c>
      <c r="F108" s="7" t="inlineStr">
        <is>
          <t>Illustrative - replace with your figure</t>
        </is>
      </c>
    </row>
    <row r="109">
      <c r="A109" s="6" t="inlineStr">
        <is>
          <t>NewDrug CT</t>
        </is>
      </c>
      <c r="B109" s="6" t="inlineStr">
        <is>
          <t>Phase 4</t>
        </is>
      </c>
      <c r="C109" s="6" t="inlineStr">
        <is>
          <t>Before-Start-up</t>
        </is>
      </c>
      <c r="D109" s="6" t="inlineStr">
        <is>
          <t>Clinical Data Associator</t>
        </is>
      </c>
      <c r="E109" s="9" t="n">
        <v>0.45</v>
      </c>
      <c r="F109" s="7" t="inlineStr">
        <is>
          <t>Illustrative - replace with your figure</t>
        </is>
      </c>
    </row>
    <row r="110">
      <c r="A110" s="6" t="inlineStr">
        <is>
          <t>NewDrug CT</t>
        </is>
      </c>
      <c r="B110" s="6" t="inlineStr">
        <is>
          <t>Phase 4</t>
        </is>
      </c>
      <c r="C110" s="6" t="inlineStr">
        <is>
          <t>Before-Start-up</t>
        </is>
      </c>
      <c r="D110" s="6" t="inlineStr">
        <is>
          <t>Clinical Database Programmer</t>
        </is>
      </c>
      <c r="E110" s="9" t="n">
        <v>0.6899999999999999</v>
      </c>
      <c r="F110" s="7" t="inlineStr">
        <is>
          <t>Illustrative - replace with your figure</t>
        </is>
      </c>
    </row>
    <row r="111">
      <c r="A111" s="6" t="inlineStr">
        <is>
          <t>NewDrug CT</t>
        </is>
      </c>
      <c r="B111" s="6" t="inlineStr">
        <is>
          <t>Phase 4</t>
        </is>
      </c>
      <c r="C111" s="6" t="inlineStr">
        <is>
          <t>Before-Start-up</t>
        </is>
      </c>
      <c r="D111" s="6" t="inlineStr">
        <is>
          <t>Data Analyst</t>
        </is>
      </c>
      <c r="E111" s="9" t="n">
        <v>0.32</v>
      </c>
      <c r="F111" s="7" t="inlineStr">
        <is>
          <t>Illustrative - replace with your figure</t>
        </is>
      </c>
    </row>
    <row r="112">
      <c r="A112" s="6" t="inlineStr">
        <is>
          <t>NewDrug CT</t>
        </is>
      </c>
      <c r="B112" s="6" t="inlineStr">
        <is>
          <t>Phase 4</t>
        </is>
      </c>
      <c r="C112" s="6" t="inlineStr">
        <is>
          <t>Start-up</t>
        </is>
      </c>
      <c r="D112" s="6" t="inlineStr">
        <is>
          <t>Project oversight</t>
        </is>
      </c>
      <c r="E112" s="9" t="n">
        <v>0.72</v>
      </c>
      <c r="F112" s="7" t="inlineStr">
        <is>
          <t>Illustrative - replace with your figure</t>
        </is>
      </c>
    </row>
    <row r="113">
      <c r="A113" s="6" t="inlineStr">
        <is>
          <t>NewDrug CT</t>
        </is>
      </c>
      <c r="B113" s="6" t="inlineStr">
        <is>
          <t>Phase 4</t>
        </is>
      </c>
      <c r="C113" s="6" t="inlineStr">
        <is>
          <t>Start-up</t>
        </is>
      </c>
      <c r="D113" s="6" t="inlineStr">
        <is>
          <t>Lead data manager</t>
        </is>
      </c>
      <c r="E113" s="9" t="n">
        <v>1.3</v>
      </c>
      <c r="F113" s="7" t="inlineStr">
        <is>
          <t>Illustrative - replace with your figure</t>
        </is>
      </c>
    </row>
    <row r="114">
      <c r="A114" s="6" t="inlineStr">
        <is>
          <t>NewDrug CT</t>
        </is>
      </c>
      <c r="B114" s="6" t="inlineStr">
        <is>
          <t>Phase 4</t>
        </is>
      </c>
      <c r="C114" s="6" t="inlineStr">
        <is>
          <t>Start-up</t>
        </is>
      </c>
      <c r="D114" s="6" t="inlineStr">
        <is>
          <t>Clinical Data Associator</t>
        </is>
      </c>
      <c r="E114" s="9" t="n">
        <v>0.72</v>
      </c>
      <c r="F114" s="7" t="inlineStr">
        <is>
          <t>Illustrative - replace with your figure</t>
        </is>
      </c>
    </row>
    <row r="115">
      <c r="A115" s="6" t="inlineStr">
        <is>
          <t>NewDrug CT</t>
        </is>
      </c>
      <c r="B115" s="6" t="inlineStr">
        <is>
          <t>Phase 4</t>
        </is>
      </c>
      <c r="C115" s="6" t="inlineStr">
        <is>
          <t>Start-up</t>
        </is>
      </c>
      <c r="D115" s="6" t="inlineStr">
        <is>
          <t>Clinical Database Programmer</t>
        </is>
      </c>
      <c r="E115" s="9" t="n">
        <v>1.49</v>
      </c>
      <c r="F115" s="7" t="inlineStr">
        <is>
          <t>Illustrative - replace with your figure</t>
        </is>
      </c>
    </row>
    <row r="116">
      <c r="A116" s="6" t="inlineStr">
        <is>
          <t>NewDrug CT</t>
        </is>
      </c>
      <c r="B116" s="6" t="inlineStr">
        <is>
          <t>Phase 4</t>
        </is>
      </c>
      <c r="C116" s="6" t="inlineStr">
        <is>
          <t>Start-up</t>
        </is>
      </c>
      <c r="D116" s="6" t="inlineStr">
        <is>
          <t>Data Analyst</t>
        </is>
      </c>
      <c r="E116" s="9" t="n">
        <v>0.49</v>
      </c>
      <c r="F116" s="7" t="inlineStr">
        <is>
          <t>Illustrative - replace with your figure</t>
        </is>
      </c>
    </row>
    <row r="117">
      <c r="A117" s="6" t="inlineStr">
        <is>
          <t>NewDrug CT</t>
        </is>
      </c>
      <c r="B117" s="6" t="inlineStr">
        <is>
          <t>Phase 4</t>
        </is>
      </c>
      <c r="C117" s="6" t="inlineStr">
        <is>
          <t>Conduct (interim)</t>
        </is>
      </c>
      <c r="D117" s="6" t="inlineStr">
        <is>
          <t>Project oversight</t>
        </is>
      </c>
      <c r="E117" s="9" t="n">
        <v>0.72</v>
      </c>
      <c r="F117" s="7" t="inlineStr">
        <is>
          <t>Illustrative - replace with your figure</t>
        </is>
      </c>
    </row>
    <row r="118">
      <c r="A118" s="6" t="inlineStr">
        <is>
          <t>NewDrug CT</t>
        </is>
      </c>
      <c r="B118" s="6" t="inlineStr">
        <is>
          <t>Phase 4</t>
        </is>
      </c>
      <c r="C118" s="6" t="inlineStr">
        <is>
          <t>Conduct (interim)</t>
        </is>
      </c>
      <c r="D118" s="6" t="inlineStr">
        <is>
          <t>Lead data manager</t>
        </is>
      </c>
      <c r="E118" s="9" t="n">
        <v>1.08</v>
      </c>
      <c r="F118" s="7" t="inlineStr">
        <is>
          <t>Illustrative - replace with your figure</t>
        </is>
      </c>
    </row>
    <row r="119">
      <c r="A119" s="6" t="inlineStr">
        <is>
          <t>NewDrug CT</t>
        </is>
      </c>
      <c r="B119" s="6" t="inlineStr">
        <is>
          <t>Phase 4</t>
        </is>
      </c>
      <c r="C119" s="6" t="inlineStr">
        <is>
          <t>Conduct (interim)</t>
        </is>
      </c>
      <c r="D119" s="6" t="inlineStr">
        <is>
          <t>Clinical Data Associator</t>
        </is>
      </c>
      <c r="E119" s="9" t="n">
        <v>1.17</v>
      </c>
      <c r="F119" s="7" t="inlineStr">
        <is>
          <t>Illustrative - replace with your figure</t>
        </is>
      </c>
    </row>
    <row r="120">
      <c r="A120" s="6" t="inlineStr">
        <is>
          <t>NewDrug CT</t>
        </is>
      </c>
      <c r="B120" s="6" t="inlineStr">
        <is>
          <t>Phase 4</t>
        </is>
      </c>
      <c r="C120" s="6" t="inlineStr">
        <is>
          <t>Conduct (interim)</t>
        </is>
      </c>
      <c r="D120" s="6" t="inlineStr">
        <is>
          <t>Clinical Database Programmer</t>
        </is>
      </c>
      <c r="E120" s="9" t="n">
        <v>0.79</v>
      </c>
      <c r="F120" s="7" t="inlineStr">
        <is>
          <t>Illustrative - replace with your figure</t>
        </is>
      </c>
    </row>
    <row r="121">
      <c r="A121" s="6" t="inlineStr">
        <is>
          <t>NewDrug CT</t>
        </is>
      </c>
      <c r="B121" s="6" t="inlineStr">
        <is>
          <t>Phase 4</t>
        </is>
      </c>
      <c r="C121" s="6" t="inlineStr">
        <is>
          <t>Conduct (interim)</t>
        </is>
      </c>
      <c r="D121" s="6" t="inlineStr">
        <is>
          <t>Data Analyst</t>
        </is>
      </c>
      <c r="E121" s="9" t="n">
        <v>0.73</v>
      </c>
      <c r="F121" s="7" t="inlineStr">
        <is>
          <t>Illustrative - replace with your figure</t>
        </is>
      </c>
    </row>
    <row r="122">
      <c r="A122" s="6" t="inlineStr">
        <is>
          <t>NewDrug CT</t>
        </is>
      </c>
      <c r="B122" s="6" t="inlineStr">
        <is>
          <t>Phase 4</t>
        </is>
      </c>
      <c r="C122" s="6" t="inlineStr">
        <is>
          <t>Close-out (interim)</t>
        </is>
      </c>
      <c r="D122" s="6" t="inlineStr">
        <is>
          <t>Project oversight</t>
        </is>
      </c>
      <c r="E122" s="9" t="n">
        <v>0.72</v>
      </c>
      <c r="F122" s="7" t="inlineStr">
        <is>
          <t>Illustrative - replace with your figure</t>
        </is>
      </c>
    </row>
    <row r="123">
      <c r="A123" s="6" t="inlineStr">
        <is>
          <t>NewDrug CT</t>
        </is>
      </c>
      <c r="B123" s="6" t="inlineStr">
        <is>
          <t>Phase 4</t>
        </is>
      </c>
      <c r="C123" s="6" t="inlineStr">
        <is>
          <t>Close-out (interim)</t>
        </is>
      </c>
      <c r="D123" s="6" t="inlineStr">
        <is>
          <t>Lead data manager</t>
        </is>
      </c>
      <c r="E123" s="9" t="n">
        <v>1.19</v>
      </c>
      <c r="F123" s="7" t="inlineStr">
        <is>
          <t>Illustrative - replace with your figure</t>
        </is>
      </c>
    </row>
    <row r="124">
      <c r="A124" s="6" t="inlineStr">
        <is>
          <t>NewDrug CT</t>
        </is>
      </c>
      <c r="B124" s="6" t="inlineStr">
        <is>
          <t>Phase 4</t>
        </is>
      </c>
      <c r="C124" s="6" t="inlineStr">
        <is>
          <t>Close-out (interim)</t>
        </is>
      </c>
      <c r="D124" s="6" t="inlineStr">
        <is>
          <t>Clinical Data Associator</t>
        </is>
      </c>
      <c r="E124" s="9" t="n">
        <v>0.99</v>
      </c>
      <c r="F124" s="7" t="inlineStr">
        <is>
          <t>Illustrative - replace with your figure</t>
        </is>
      </c>
    </row>
    <row r="125">
      <c r="A125" s="6" t="inlineStr">
        <is>
          <t>NewDrug CT</t>
        </is>
      </c>
      <c r="B125" s="6" t="inlineStr">
        <is>
          <t>Phase 4</t>
        </is>
      </c>
      <c r="C125" s="6" t="inlineStr">
        <is>
          <t>Close-out (interim)</t>
        </is>
      </c>
      <c r="D125" s="6" t="inlineStr">
        <is>
          <t>Clinical Database Programmer</t>
        </is>
      </c>
      <c r="E125" s="9" t="n">
        <v>0.99</v>
      </c>
      <c r="F125" s="7" t="inlineStr">
        <is>
          <t>Illustrative - replace with your figure</t>
        </is>
      </c>
    </row>
    <row r="126">
      <c r="A126" s="6" t="inlineStr">
        <is>
          <t>NewDrug CT</t>
        </is>
      </c>
      <c r="B126" s="6" t="inlineStr">
        <is>
          <t>Phase 4</t>
        </is>
      </c>
      <c r="C126" s="6" t="inlineStr">
        <is>
          <t>Close-out (interim)</t>
        </is>
      </c>
      <c r="D126" s="6" t="inlineStr">
        <is>
          <t>Data Analyst</t>
        </is>
      </c>
      <c r="E126" s="9" t="n">
        <v>1.05</v>
      </c>
      <c r="F126" s="7" t="inlineStr">
        <is>
          <t>Illustrative - replace with your figure</t>
        </is>
      </c>
    </row>
    <row r="127">
      <c r="A127" s="6" t="inlineStr">
        <is>
          <t>NewDrug CT</t>
        </is>
      </c>
      <c r="B127" s="6" t="inlineStr">
        <is>
          <t>Phase 4</t>
        </is>
      </c>
      <c r="C127" s="6" t="inlineStr">
        <is>
          <t>Conduct (final)</t>
        </is>
      </c>
      <c r="D127" s="6" t="inlineStr">
        <is>
          <t>Project oversight</t>
        </is>
      </c>
      <c r="E127" s="9" t="n">
        <v>0.72</v>
      </c>
      <c r="F127" s="7" t="inlineStr">
        <is>
          <t>Illustrative - replace with your figure</t>
        </is>
      </c>
    </row>
    <row r="128">
      <c r="A128" s="6" t="inlineStr">
        <is>
          <t>NewDrug CT</t>
        </is>
      </c>
      <c r="B128" s="6" t="inlineStr">
        <is>
          <t>Phase 4</t>
        </is>
      </c>
      <c r="C128" s="6" t="inlineStr">
        <is>
          <t>Conduct (final)</t>
        </is>
      </c>
      <c r="D128" s="6" t="inlineStr">
        <is>
          <t>Lead data manager</t>
        </is>
      </c>
      <c r="E128" s="9" t="n">
        <v>1.08</v>
      </c>
      <c r="F128" s="7" t="inlineStr">
        <is>
          <t>Illustrative - replace with your figure</t>
        </is>
      </c>
    </row>
    <row r="129">
      <c r="A129" s="6" t="inlineStr">
        <is>
          <t>NewDrug CT</t>
        </is>
      </c>
      <c r="B129" s="6" t="inlineStr">
        <is>
          <t>Phase 4</t>
        </is>
      </c>
      <c r="C129" s="6" t="inlineStr">
        <is>
          <t>Conduct (final)</t>
        </is>
      </c>
      <c r="D129" s="6" t="inlineStr">
        <is>
          <t>Clinical Data Associator</t>
        </is>
      </c>
      <c r="E129" s="9" t="n">
        <v>1.17</v>
      </c>
      <c r="F129" s="7" t="inlineStr">
        <is>
          <t>Illustrative - replace with your figure</t>
        </is>
      </c>
    </row>
    <row r="130">
      <c r="A130" s="6" t="inlineStr">
        <is>
          <t>NewDrug CT</t>
        </is>
      </c>
      <c r="B130" s="6" t="inlineStr">
        <is>
          <t>Phase 4</t>
        </is>
      </c>
      <c r="C130" s="6" t="inlineStr">
        <is>
          <t>Conduct (final)</t>
        </is>
      </c>
      <c r="D130" s="6" t="inlineStr">
        <is>
          <t>Clinical Database Programmer</t>
        </is>
      </c>
      <c r="E130" s="9" t="n">
        <v>0.79</v>
      </c>
      <c r="F130" s="7" t="inlineStr">
        <is>
          <t>Illustrative - replace with your figure</t>
        </is>
      </c>
    </row>
    <row r="131">
      <c r="A131" s="6" t="inlineStr">
        <is>
          <t>NewDrug CT</t>
        </is>
      </c>
      <c r="B131" s="6" t="inlineStr">
        <is>
          <t>Phase 4</t>
        </is>
      </c>
      <c r="C131" s="6" t="inlineStr">
        <is>
          <t>Conduct (final)</t>
        </is>
      </c>
      <c r="D131" s="6" t="inlineStr">
        <is>
          <t>Data Analyst</t>
        </is>
      </c>
      <c r="E131" s="9" t="n">
        <v>0.73</v>
      </c>
      <c r="F131" s="7" t="inlineStr">
        <is>
          <t>Illustrative - replace with your figure</t>
        </is>
      </c>
    </row>
    <row r="132">
      <c r="A132" s="6" t="inlineStr">
        <is>
          <t>NewDrug CT</t>
        </is>
      </c>
      <c r="B132" s="6" t="inlineStr">
        <is>
          <t>Phase 4</t>
        </is>
      </c>
      <c r="C132" s="6" t="inlineStr">
        <is>
          <t>Close-out (final)</t>
        </is>
      </c>
      <c r="D132" s="6" t="inlineStr">
        <is>
          <t>Project oversight</t>
        </is>
      </c>
      <c r="E132" s="9" t="n">
        <v>0.72</v>
      </c>
      <c r="F132" s="7" t="inlineStr">
        <is>
          <t>Illustrative - replace with your figure</t>
        </is>
      </c>
    </row>
    <row r="133">
      <c r="A133" s="6" t="inlineStr">
        <is>
          <t>NewDrug CT</t>
        </is>
      </c>
      <c r="B133" s="6" t="inlineStr">
        <is>
          <t>Phase 4</t>
        </is>
      </c>
      <c r="C133" s="6" t="inlineStr">
        <is>
          <t>Close-out (final)</t>
        </is>
      </c>
      <c r="D133" s="6" t="inlineStr">
        <is>
          <t>Lead data manager</t>
        </is>
      </c>
      <c r="E133" s="9" t="n">
        <v>1.3</v>
      </c>
      <c r="F133" s="7" t="inlineStr">
        <is>
          <t>Illustrative - replace with your figure</t>
        </is>
      </c>
    </row>
    <row r="134">
      <c r="A134" s="6" t="inlineStr">
        <is>
          <t>NewDrug CT</t>
        </is>
      </c>
      <c r="B134" s="6" t="inlineStr">
        <is>
          <t>Phase 4</t>
        </is>
      </c>
      <c r="C134" s="6" t="inlineStr">
        <is>
          <t>Close-out (final)</t>
        </is>
      </c>
      <c r="D134" s="6" t="inlineStr">
        <is>
          <t>Clinical Data Associator</t>
        </is>
      </c>
      <c r="E134" s="9" t="n">
        <v>0.8100000000000001</v>
      </c>
      <c r="F134" s="7" t="inlineStr">
        <is>
          <t>Illustrative - replace with your figure</t>
        </is>
      </c>
    </row>
    <row r="135">
      <c r="A135" s="6" t="inlineStr">
        <is>
          <t>NewDrug CT</t>
        </is>
      </c>
      <c r="B135" s="6" t="inlineStr">
        <is>
          <t>Phase 4</t>
        </is>
      </c>
      <c r="C135" s="6" t="inlineStr">
        <is>
          <t>Close-out (final)</t>
        </is>
      </c>
      <c r="D135" s="6" t="inlineStr">
        <is>
          <t>Clinical Database Programmer</t>
        </is>
      </c>
      <c r="E135" s="9" t="n">
        <v>1.09</v>
      </c>
      <c r="F135" s="7" t="inlineStr">
        <is>
          <t>Illustrative - replace with your figure</t>
        </is>
      </c>
    </row>
    <row r="136">
      <c r="A136" s="6" t="inlineStr">
        <is>
          <t>NewDrug CT</t>
        </is>
      </c>
      <c r="B136" s="6" t="inlineStr">
        <is>
          <t>Phase 4</t>
        </is>
      </c>
      <c r="C136" s="6" t="inlineStr">
        <is>
          <t>Close-out (final)</t>
        </is>
      </c>
      <c r="D136" s="6" t="inlineStr">
        <is>
          <t>Data Analyst</t>
        </is>
      </c>
      <c r="E136" s="9" t="n">
        <v>1.22</v>
      </c>
      <c r="F136" s="7" t="inlineStr">
        <is>
          <t>Illustrative - replace with your figure</t>
        </is>
      </c>
    </row>
    <row r="137">
      <c r="A137" s="6" t="inlineStr">
        <is>
          <t>NewDrug CT</t>
        </is>
      </c>
      <c r="B137" s="6" t="inlineStr">
        <is>
          <t>Phase 4</t>
        </is>
      </c>
      <c r="C137" s="6" t="inlineStr">
        <is>
          <t>After Close-out (final)</t>
        </is>
      </c>
      <c r="D137" s="6" t="inlineStr">
        <is>
          <t>Project oversight</t>
        </is>
      </c>
      <c r="E137" s="9" t="n">
        <v>0.58</v>
      </c>
      <c r="F137" s="7" t="inlineStr">
        <is>
          <t>Illustrative - replace with your figure</t>
        </is>
      </c>
    </row>
    <row r="138">
      <c r="A138" s="6" t="inlineStr">
        <is>
          <t>NewDrug CT</t>
        </is>
      </c>
      <c r="B138" s="6" t="inlineStr">
        <is>
          <t>Phase 4</t>
        </is>
      </c>
      <c r="C138" s="6" t="inlineStr">
        <is>
          <t>After Close-out (final)</t>
        </is>
      </c>
      <c r="D138" s="6" t="inlineStr">
        <is>
          <t>Lead data manager</t>
        </is>
      </c>
      <c r="E138" s="9" t="n">
        <v>0.76</v>
      </c>
      <c r="F138" s="7" t="inlineStr">
        <is>
          <t>Illustrative - replace with your figure</t>
        </is>
      </c>
    </row>
    <row r="139">
      <c r="A139" s="6" t="inlineStr">
        <is>
          <t>NewDrug CT</t>
        </is>
      </c>
      <c r="B139" s="6" t="inlineStr">
        <is>
          <t>Phase 4</t>
        </is>
      </c>
      <c r="C139" s="6" t="inlineStr">
        <is>
          <t>After Close-out (final)</t>
        </is>
      </c>
      <c r="D139" s="6" t="inlineStr">
        <is>
          <t>Clinical Data Associator</t>
        </is>
      </c>
      <c r="E139" s="9" t="n">
        <v>0.45</v>
      </c>
      <c r="F139" s="7" t="inlineStr">
        <is>
          <t>Illustrative - replace with your figure</t>
        </is>
      </c>
    </row>
    <row r="140">
      <c r="A140" s="6" t="inlineStr">
        <is>
          <t>NewDrug CT</t>
        </is>
      </c>
      <c r="B140" s="6" t="inlineStr">
        <is>
          <t>Phase 4</t>
        </is>
      </c>
      <c r="C140" s="6" t="inlineStr">
        <is>
          <t>After Close-out (final)</t>
        </is>
      </c>
      <c r="D140" s="6" t="inlineStr">
        <is>
          <t>Clinical Database Programmer</t>
        </is>
      </c>
      <c r="E140" s="9" t="n">
        <v>0.4</v>
      </c>
      <c r="F140" s="7" t="inlineStr">
        <is>
          <t>Illustrative - replace with your figure</t>
        </is>
      </c>
    </row>
    <row r="141">
      <c r="A141" s="6" t="inlineStr">
        <is>
          <t>NewDrug CT</t>
        </is>
      </c>
      <c r="B141" s="6" t="inlineStr">
        <is>
          <t>Phase 4</t>
        </is>
      </c>
      <c r="C141" s="6" t="inlineStr">
        <is>
          <t>After Close-out (final)</t>
        </is>
      </c>
      <c r="D141" s="6" t="inlineStr">
        <is>
          <t>Data Analyst</t>
        </is>
      </c>
      <c r="E141" s="9" t="n">
        <v>0.73</v>
      </c>
      <c r="F141" s="7" t="inlineStr">
        <is>
          <t>Illustrative - replace with your figure</t>
        </is>
      </c>
    </row>
    <row r="142">
      <c r="A142" s="6" t="inlineStr">
        <is>
          <t>Biosimilar CT</t>
        </is>
      </c>
      <c r="B142" s="6" t="inlineStr">
        <is>
          <t>Phase 1</t>
        </is>
      </c>
      <c r="C142" s="6" t="inlineStr">
        <is>
          <t>Before-Start-up</t>
        </is>
      </c>
      <c r="D142" s="6" t="inlineStr">
        <is>
          <t>Project oversight</t>
        </is>
      </c>
      <c r="E142" s="9" t="n">
        <v>0.65</v>
      </c>
      <c r="F142" s="7" t="inlineStr">
        <is>
          <t>Illustrative - replace with your figure</t>
        </is>
      </c>
    </row>
    <row r="143">
      <c r="A143" s="6" t="inlineStr">
        <is>
          <t>Biosimilar CT</t>
        </is>
      </c>
      <c r="B143" s="6" t="inlineStr">
        <is>
          <t>Phase 1</t>
        </is>
      </c>
      <c r="C143" s="6" t="inlineStr">
        <is>
          <t>Before-Start-up</t>
        </is>
      </c>
      <c r="D143" s="6" t="inlineStr">
        <is>
          <t>Lead data manager</t>
        </is>
      </c>
      <c r="E143" s="9" t="n">
        <v>0.87</v>
      </c>
      <c r="F143" s="7" t="inlineStr">
        <is>
          <t>Illustrative - replace with your figure</t>
        </is>
      </c>
    </row>
    <row r="144">
      <c r="A144" s="6" t="inlineStr">
        <is>
          <t>Biosimilar CT</t>
        </is>
      </c>
      <c r="B144" s="6" t="inlineStr">
        <is>
          <t>Phase 1</t>
        </is>
      </c>
      <c r="C144" s="6" t="inlineStr">
        <is>
          <t>Before-Start-up</t>
        </is>
      </c>
      <c r="D144" s="6" t="inlineStr">
        <is>
          <t>Clinical Data Associator</t>
        </is>
      </c>
      <c r="E144" s="9" t="n">
        <v>0.45</v>
      </c>
      <c r="F144" s="7" t="inlineStr">
        <is>
          <t>Illustrative - replace with your figure</t>
        </is>
      </c>
    </row>
    <row r="145">
      <c r="A145" s="6" t="inlineStr">
        <is>
          <t>Biosimilar CT</t>
        </is>
      </c>
      <c r="B145" s="6" t="inlineStr">
        <is>
          <t>Phase 1</t>
        </is>
      </c>
      <c r="C145" s="6" t="inlineStr">
        <is>
          <t>Before-Start-up</t>
        </is>
      </c>
      <c r="D145" s="6" t="inlineStr">
        <is>
          <t>Clinical Database Programmer</t>
        </is>
      </c>
      <c r="E145" s="9" t="n">
        <v>0.6899999999999999</v>
      </c>
      <c r="F145" s="7" t="inlineStr">
        <is>
          <t>Illustrative - replace with your figure</t>
        </is>
      </c>
    </row>
    <row r="146">
      <c r="A146" s="6" t="inlineStr">
        <is>
          <t>Biosimilar CT</t>
        </is>
      </c>
      <c r="B146" s="6" t="inlineStr">
        <is>
          <t>Phase 1</t>
        </is>
      </c>
      <c r="C146" s="6" t="inlineStr">
        <is>
          <t>Before-Start-up</t>
        </is>
      </c>
      <c r="D146" s="6" t="inlineStr">
        <is>
          <t>Data Analyst</t>
        </is>
      </c>
      <c r="E146" s="9" t="n">
        <v>0.32</v>
      </c>
      <c r="F146" s="7" t="inlineStr">
        <is>
          <t>Illustrative - replace with your figure</t>
        </is>
      </c>
    </row>
    <row r="147">
      <c r="A147" s="6" t="inlineStr">
        <is>
          <t>Biosimilar CT</t>
        </is>
      </c>
      <c r="B147" s="6" t="inlineStr">
        <is>
          <t>Phase 1</t>
        </is>
      </c>
      <c r="C147" s="6" t="inlineStr">
        <is>
          <t>Start-up</t>
        </is>
      </c>
      <c r="D147" s="6" t="inlineStr">
        <is>
          <t>Project oversight</t>
        </is>
      </c>
      <c r="E147" s="9" t="n">
        <v>0.72</v>
      </c>
      <c r="F147" s="7" t="inlineStr">
        <is>
          <t>Illustrative - replace with your figure</t>
        </is>
      </c>
    </row>
    <row r="148">
      <c r="A148" s="6" t="inlineStr">
        <is>
          <t>Biosimilar CT</t>
        </is>
      </c>
      <c r="B148" s="6" t="inlineStr">
        <is>
          <t>Phase 1</t>
        </is>
      </c>
      <c r="C148" s="6" t="inlineStr">
        <is>
          <t>Start-up</t>
        </is>
      </c>
      <c r="D148" s="6" t="inlineStr">
        <is>
          <t>Lead data manager</t>
        </is>
      </c>
      <c r="E148" s="9" t="n">
        <v>1.3</v>
      </c>
      <c r="F148" s="7" t="inlineStr">
        <is>
          <t>Illustrative - replace with your figure</t>
        </is>
      </c>
    </row>
    <row r="149">
      <c r="A149" s="6" t="inlineStr">
        <is>
          <t>Biosimilar CT</t>
        </is>
      </c>
      <c r="B149" s="6" t="inlineStr">
        <is>
          <t>Phase 1</t>
        </is>
      </c>
      <c r="C149" s="6" t="inlineStr">
        <is>
          <t>Start-up</t>
        </is>
      </c>
      <c r="D149" s="6" t="inlineStr">
        <is>
          <t>Clinical Data Associator</t>
        </is>
      </c>
      <c r="E149" s="9" t="n">
        <v>0.72</v>
      </c>
      <c r="F149" s="7" t="inlineStr">
        <is>
          <t>Illustrative - replace with your figure</t>
        </is>
      </c>
    </row>
    <row r="150">
      <c r="A150" s="6" t="inlineStr">
        <is>
          <t>Biosimilar CT</t>
        </is>
      </c>
      <c r="B150" s="6" t="inlineStr">
        <is>
          <t>Phase 1</t>
        </is>
      </c>
      <c r="C150" s="6" t="inlineStr">
        <is>
          <t>Start-up</t>
        </is>
      </c>
      <c r="D150" s="6" t="inlineStr">
        <is>
          <t>Clinical Database Programmer</t>
        </is>
      </c>
      <c r="E150" s="9" t="n">
        <v>1.49</v>
      </c>
      <c r="F150" s="7" t="inlineStr">
        <is>
          <t>Illustrative - replace with your figure</t>
        </is>
      </c>
    </row>
    <row r="151">
      <c r="A151" s="6" t="inlineStr">
        <is>
          <t>Biosimilar CT</t>
        </is>
      </c>
      <c r="B151" s="6" t="inlineStr">
        <is>
          <t>Phase 1</t>
        </is>
      </c>
      <c r="C151" s="6" t="inlineStr">
        <is>
          <t>Start-up</t>
        </is>
      </c>
      <c r="D151" s="6" t="inlineStr">
        <is>
          <t>Data Analyst</t>
        </is>
      </c>
      <c r="E151" s="9" t="n">
        <v>0.49</v>
      </c>
      <c r="F151" s="7" t="inlineStr">
        <is>
          <t>Illustrative - replace with your figure</t>
        </is>
      </c>
    </row>
    <row r="152">
      <c r="A152" s="6" t="inlineStr">
        <is>
          <t>Biosimilar CT</t>
        </is>
      </c>
      <c r="B152" s="6" t="inlineStr">
        <is>
          <t>Phase 1</t>
        </is>
      </c>
      <c r="C152" s="6" t="inlineStr">
        <is>
          <t>Conduct (interim)</t>
        </is>
      </c>
      <c r="D152" s="6" t="inlineStr">
        <is>
          <t>Project oversight</t>
        </is>
      </c>
      <c r="E152" s="9" t="n">
        <v>0.72</v>
      </c>
      <c r="F152" s="7" t="inlineStr">
        <is>
          <t>Illustrative - replace with your figure</t>
        </is>
      </c>
    </row>
    <row r="153">
      <c r="A153" s="6" t="inlineStr">
        <is>
          <t>Biosimilar CT</t>
        </is>
      </c>
      <c r="B153" s="6" t="inlineStr">
        <is>
          <t>Phase 1</t>
        </is>
      </c>
      <c r="C153" s="6" t="inlineStr">
        <is>
          <t>Conduct (interim)</t>
        </is>
      </c>
      <c r="D153" s="6" t="inlineStr">
        <is>
          <t>Lead data manager</t>
        </is>
      </c>
      <c r="E153" s="9" t="n">
        <v>1.08</v>
      </c>
      <c r="F153" s="7" t="inlineStr">
        <is>
          <t>Illustrative - replace with your figure</t>
        </is>
      </c>
    </row>
    <row r="154">
      <c r="A154" s="6" t="inlineStr">
        <is>
          <t>Biosimilar CT</t>
        </is>
      </c>
      <c r="B154" s="6" t="inlineStr">
        <is>
          <t>Phase 1</t>
        </is>
      </c>
      <c r="C154" s="6" t="inlineStr">
        <is>
          <t>Conduct (interim)</t>
        </is>
      </c>
      <c r="D154" s="6" t="inlineStr">
        <is>
          <t>Clinical Data Associator</t>
        </is>
      </c>
      <c r="E154" s="9" t="n">
        <v>1.17</v>
      </c>
      <c r="F154" s="7" t="inlineStr">
        <is>
          <t>Illustrative - replace with your figure</t>
        </is>
      </c>
    </row>
    <row r="155">
      <c r="A155" s="6" t="inlineStr">
        <is>
          <t>Biosimilar CT</t>
        </is>
      </c>
      <c r="B155" s="6" t="inlineStr">
        <is>
          <t>Phase 1</t>
        </is>
      </c>
      <c r="C155" s="6" t="inlineStr">
        <is>
          <t>Conduct (interim)</t>
        </is>
      </c>
      <c r="D155" s="6" t="inlineStr">
        <is>
          <t>Clinical Database Programmer</t>
        </is>
      </c>
      <c r="E155" s="9" t="n">
        <v>0.79</v>
      </c>
      <c r="F155" s="7" t="inlineStr">
        <is>
          <t>Illustrative - replace with your figure</t>
        </is>
      </c>
    </row>
    <row r="156">
      <c r="A156" s="6" t="inlineStr">
        <is>
          <t>Biosimilar CT</t>
        </is>
      </c>
      <c r="B156" s="6" t="inlineStr">
        <is>
          <t>Phase 1</t>
        </is>
      </c>
      <c r="C156" s="6" t="inlineStr">
        <is>
          <t>Conduct (interim)</t>
        </is>
      </c>
      <c r="D156" s="6" t="inlineStr">
        <is>
          <t>Data Analyst</t>
        </is>
      </c>
      <c r="E156" s="9" t="n">
        <v>0.73</v>
      </c>
      <c r="F156" s="7" t="inlineStr">
        <is>
          <t>Illustrative - replace with your figure</t>
        </is>
      </c>
    </row>
    <row r="157">
      <c r="A157" s="6" t="inlineStr">
        <is>
          <t>Biosimilar CT</t>
        </is>
      </c>
      <c r="B157" s="6" t="inlineStr">
        <is>
          <t>Phase 1</t>
        </is>
      </c>
      <c r="C157" s="6" t="inlineStr">
        <is>
          <t>Close-out (interim)</t>
        </is>
      </c>
      <c r="D157" s="6" t="inlineStr">
        <is>
          <t>Project oversight</t>
        </is>
      </c>
      <c r="E157" s="9" t="n">
        <v>0.72</v>
      </c>
      <c r="F157" s="7" t="inlineStr">
        <is>
          <t>Illustrative - replace with your figure</t>
        </is>
      </c>
    </row>
    <row r="158">
      <c r="A158" s="6" t="inlineStr">
        <is>
          <t>Biosimilar CT</t>
        </is>
      </c>
      <c r="B158" s="6" t="inlineStr">
        <is>
          <t>Phase 1</t>
        </is>
      </c>
      <c r="C158" s="6" t="inlineStr">
        <is>
          <t>Close-out (interim)</t>
        </is>
      </c>
      <c r="D158" s="6" t="inlineStr">
        <is>
          <t>Lead data manager</t>
        </is>
      </c>
      <c r="E158" s="9" t="n">
        <v>1.19</v>
      </c>
      <c r="F158" s="7" t="inlineStr">
        <is>
          <t>Illustrative - replace with your figure</t>
        </is>
      </c>
    </row>
    <row r="159">
      <c r="A159" s="6" t="inlineStr">
        <is>
          <t>Biosimilar CT</t>
        </is>
      </c>
      <c r="B159" s="6" t="inlineStr">
        <is>
          <t>Phase 1</t>
        </is>
      </c>
      <c r="C159" s="6" t="inlineStr">
        <is>
          <t>Close-out (interim)</t>
        </is>
      </c>
      <c r="D159" s="6" t="inlineStr">
        <is>
          <t>Clinical Data Associator</t>
        </is>
      </c>
      <c r="E159" s="9" t="n">
        <v>0.99</v>
      </c>
      <c r="F159" s="7" t="inlineStr">
        <is>
          <t>Illustrative - replace with your figure</t>
        </is>
      </c>
    </row>
    <row r="160">
      <c r="A160" s="6" t="inlineStr">
        <is>
          <t>Biosimilar CT</t>
        </is>
      </c>
      <c r="B160" s="6" t="inlineStr">
        <is>
          <t>Phase 1</t>
        </is>
      </c>
      <c r="C160" s="6" t="inlineStr">
        <is>
          <t>Close-out (interim)</t>
        </is>
      </c>
      <c r="D160" s="6" t="inlineStr">
        <is>
          <t>Clinical Database Programmer</t>
        </is>
      </c>
      <c r="E160" s="9" t="n">
        <v>0.99</v>
      </c>
      <c r="F160" s="7" t="inlineStr">
        <is>
          <t>Illustrative - replace with your figure</t>
        </is>
      </c>
    </row>
    <row r="161">
      <c r="A161" s="6" t="inlineStr">
        <is>
          <t>Biosimilar CT</t>
        </is>
      </c>
      <c r="B161" s="6" t="inlineStr">
        <is>
          <t>Phase 1</t>
        </is>
      </c>
      <c r="C161" s="6" t="inlineStr">
        <is>
          <t>Close-out (interim)</t>
        </is>
      </c>
      <c r="D161" s="6" t="inlineStr">
        <is>
          <t>Data Analyst</t>
        </is>
      </c>
      <c r="E161" s="9" t="n">
        <v>1.06</v>
      </c>
      <c r="F161" s="7" t="inlineStr">
        <is>
          <t>Illustrative - replace with your figure</t>
        </is>
      </c>
    </row>
    <row r="162">
      <c r="A162" s="6" t="inlineStr">
        <is>
          <t>Biosimilar CT</t>
        </is>
      </c>
      <c r="B162" s="6" t="inlineStr">
        <is>
          <t>Phase 1</t>
        </is>
      </c>
      <c r="C162" s="6" t="inlineStr">
        <is>
          <t>Conduct (final)</t>
        </is>
      </c>
      <c r="D162" s="6" t="inlineStr">
        <is>
          <t>Project oversight</t>
        </is>
      </c>
      <c r="E162" s="9" t="n">
        <v>0.72</v>
      </c>
      <c r="F162" s="7" t="inlineStr">
        <is>
          <t>Illustrative - replace with your figure</t>
        </is>
      </c>
    </row>
    <row r="163">
      <c r="A163" s="6" t="inlineStr">
        <is>
          <t>Biosimilar CT</t>
        </is>
      </c>
      <c r="B163" s="6" t="inlineStr">
        <is>
          <t>Phase 1</t>
        </is>
      </c>
      <c r="C163" s="6" t="inlineStr">
        <is>
          <t>Conduct (final)</t>
        </is>
      </c>
      <c r="D163" s="6" t="inlineStr">
        <is>
          <t>Lead data manager</t>
        </is>
      </c>
      <c r="E163" s="9" t="n">
        <v>1.08</v>
      </c>
      <c r="F163" s="7" t="inlineStr">
        <is>
          <t>Illustrative - replace with your figure</t>
        </is>
      </c>
    </row>
    <row r="164">
      <c r="A164" s="6" t="inlineStr">
        <is>
          <t>Biosimilar CT</t>
        </is>
      </c>
      <c r="B164" s="6" t="inlineStr">
        <is>
          <t>Phase 1</t>
        </is>
      </c>
      <c r="C164" s="6" t="inlineStr">
        <is>
          <t>Conduct (final)</t>
        </is>
      </c>
      <c r="D164" s="6" t="inlineStr">
        <is>
          <t>Clinical Data Associator</t>
        </is>
      </c>
      <c r="E164" s="9" t="n">
        <v>1.17</v>
      </c>
      <c r="F164" s="7" t="inlineStr">
        <is>
          <t>Illustrative - replace with your figure</t>
        </is>
      </c>
    </row>
    <row r="165">
      <c r="A165" s="6" t="inlineStr">
        <is>
          <t>Biosimilar CT</t>
        </is>
      </c>
      <c r="B165" s="6" t="inlineStr">
        <is>
          <t>Phase 1</t>
        </is>
      </c>
      <c r="C165" s="6" t="inlineStr">
        <is>
          <t>Conduct (final)</t>
        </is>
      </c>
      <c r="D165" s="6" t="inlineStr">
        <is>
          <t>Clinical Database Programmer</t>
        </is>
      </c>
      <c r="E165" s="9" t="n">
        <v>0.79</v>
      </c>
      <c r="F165" s="7" t="inlineStr">
        <is>
          <t>Illustrative - replace with your figure</t>
        </is>
      </c>
    </row>
    <row r="166">
      <c r="A166" s="6" t="inlineStr">
        <is>
          <t>Biosimilar CT</t>
        </is>
      </c>
      <c r="B166" s="6" t="inlineStr">
        <is>
          <t>Phase 1</t>
        </is>
      </c>
      <c r="C166" s="6" t="inlineStr">
        <is>
          <t>Conduct (final)</t>
        </is>
      </c>
      <c r="D166" s="6" t="inlineStr">
        <is>
          <t>Data Analyst</t>
        </is>
      </c>
      <c r="E166" s="9" t="n">
        <v>0.73</v>
      </c>
      <c r="F166" s="7" t="inlineStr">
        <is>
          <t>Illustrative - replace with your figure</t>
        </is>
      </c>
    </row>
    <row r="167">
      <c r="A167" s="6" t="inlineStr">
        <is>
          <t>Biosimilar CT</t>
        </is>
      </c>
      <c r="B167" s="6" t="inlineStr">
        <is>
          <t>Phase 1</t>
        </is>
      </c>
      <c r="C167" s="6" t="inlineStr">
        <is>
          <t>Close-out (final)</t>
        </is>
      </c>
      <c r="D167" s="6" t="inlineStr">
        <is>
          <t>Project oversight</t>
        </is>
      </c>
      <c r="E167" s="9" t="n">
        <v>0.72</v>
      </c>
      <c r="F167" s="7" t="inlineStr">
        <is>
          <t>Illustrative - replace with your figure</t>
        </is>
      </c>
    </row>
    <row r="168">
      <c r="A168" s="6" t="inlineStr">
        <is>
          <t>Biosimilar CT</t>
        </is>
      </c>
      <c r="B168" s="6" t="inlineStr">
        <is>
          <t>Phase 1</t>
        </is>
      </c>
      <c r="C168" s="6" t="inlineStr">
        <is>
          <t>Close-out (final)</t>
        </is>
      </c>
      <c r="D168" s="6" t="inlineStr">
        <is>
          <t>Lead data manager</t>
        </is>
      </c>
      <c r="E168" s="9" t="n">
        <v>1.3</v>
      </c>
      <c r="F168" s="7" t="inlineStr">
        <is>
          <t>Illustrative - replace with your figure</t>
        </is>
      </c>
    </row>
    <row r="169">
      <c r="A169" s="6" t="inlineStr">
        <is>
          <t>Biosimilar CT</t>
        </is>
      </c>
      <c r="B169" s="6" t="inlineStr">
        <is>
          <t>Phase 1</t>
        </is>
      </c>
      <c r="C169" s="6" t="inlineStr">
        <is>
          <t>Close-out (final)</t>
        </is>
      </c>
      <c r="D169" s="6" t="inlineStr">
        <is>
          <t>Clinical Data Associator</t>
        </is>
      </c>
      <c r="E169" s="9" t="n">
        <v>0.8100000000000001</v>
      </c>
      <c r="F169" s="7" t="inlineStr">
        <is>
          <t>Illustrative - replace with your figure</t>
        </is>
      </c>
    </row>
    <row r="170">
      <c r="A170" s="6" t="inlineStr">
        <is>
          <t>Biosimilar CT</t>
        </is>
      </c>
      <c r="B170" s="6" t="inlineStr">
        <is>
          <t>Phase 1</t>
        </is>
      </c>
      <c r="C170" s="6" t="inlineStr">
        <is>
          <t>Close-out (final)</t>
        </is>
      </c>
      <c r="D170" s="6" t="inlineStr">
        <is>
          <t>Clinical Database Programmer</t>
        </is>
      </c>
      <c r="E170" s="9" t="n">
        <v>1.09</v>
      </c>
      <c r="F170" s="7" t="inlineStr">
        <is>
          <t>Illustrative - replace with your figure</t>
        </is>
      </c>
    </row>
    <row r="171">
      <c r="A171" s="6" t="inlineStr">
        <is>
          <t>Biosimilar CT</t>
        </is>
      </c>
      <c r="B171" s="6" t="inlineStr">
        <is>
          <t>Phase 1</t>
        </is>
      </c>
      <c r="C171" s="6" t="inlineStr">
        <is>
          <t>Close-out (final)</t>
        </is>
      </c>
      <c r="D171" s="6" t="inlineStr">
        <is>
          <t>Data Analyst</t>
        </is>
      </c>
      <c r="E171" s="9" t="n">
        <v>1.22</v>
      </c>
      <c r="F171" s="7" t="inlineStr">
        <is>
          <t>Illustrative - replace with your figure</t>
        </is>
      </c>
    </row>
    <row r="172">
      <c r="A172" s="6" t="inlineStr">
        <is>
          <t>Biosimilar CT</t>
        </is>
      </c>
      <c r="B172" s="6" t="inlineStr">
        <is>
          <t>Phase 1</t>
        </is>
      </c>
      <c r="C172" s="6" t="inlineStr">
        <is>
          <t>After Close-out (final)</t>
        </is>
      </c>
      <c r="D172" s="6" t="inlineStr">
        <is>
          <t>Project oversight</t>
        </is>
      </c>
      <c r="E172" s="9" t="n">
        <v>0.58</v>
      </c>
      <c r="F172" s="7" t="inlineStr">
        <is>
          <t>Illustrative - replace with your figure</t>
        </is>
      </c>
    </row>
    <row r="173">
      <c r="A173" s="6" t="inlineStr">
        <is>
          <t>Biosimilar CT</t>
        </is>
      </c>
      <c r="B173" s="6" t="inlineStr">
        <is>
          <t>Phase 1</t>
        </is>
      </c>
      <c r="C173" s="6" t="inlineStr">
        <is>
          <t>After Close-out (final)</t>
        </is>
      </c>
      <c r="D173" s="6" t="inlineStr">
        <is>
          <t>Lead data manager</t>
        </is>
      </c>
      <c r="E173" s="9" t="n">
        <v>0.76</v>
      </c>
      <c r="F173" s="7" t="inlineStr">
        <is>
          <t>Illustrative - replace with your figure</t>
        </is>
      </c>
    </row>
    <row r="174">
      <c r="A174" s="6" t="inlineStr">
        <is>
          <t>Biosimilar CT</t>
        </is>
      </c>
      <c r="B174" s="6" t="inlineStr">
        <is>
          <t>Phase 1</t>
        </is>
      </c>
      <c r="C174" s="6" t="inlineStr">
        <is>
          <t>After Close-out (final)</t>
        </is>
      </c>
      <c r="D174" s="6" t="inlineStr">
        <is>
          <t>Clinical Data Associator</t>
        </is>
      </c>
      <c r="E174" s="9" t="n">
        <v>0.45</v>
      </c>
      <c r="F174" s="7" t="inlineStr">
        <is>
          <t>Illustrative - replace with your figure</t>
        </is>
      </c>
    </row>
    <row r="175">
      <c r="A175" s="6" t="inlineStr">
        <is>
          <t>Biosimilar CT</t>
        </is>
      </c>
      <c r="B175" s="6" t="inlineStr">
        <is>
          <t>Phase 1</t>
        </is>
      </c>
      <c r="C175" s="6" t="inlineStr">
        <is>
          <t>After Close-out (final)</t>
        </is>
      </c>
      <c r="D175" s="6" t="inlineStr">
        <is>
          <t>Clinical Database Programmer</t>
        </is>
      </c>
      <c r="E175" s="9" t="n">
        <v>0.4</v>
      </c>
      <c r="F175" s="7" t="inlineStr">
        <is>
          <t>Illustrative - replace with your figure</t>
        </is>
      </c>
    </row>
    <row r="176">
      <c r="A176" s="6" t="inlineStr">
        <is>
          <t>Biosimilar CT</t>
        </is>
      </c>
      <c r="B176" s="6" t="inlineStr">
        <is>
          <t>Phase 1</t>
        </is>
      </c>
      <c r="C176" s="6" t="inlineStr">
        <is>
          <t>After Close-out (final)</t>
        </is>
      </c>
      <c r="D176" s="6" t="inlineStr">
        <is>
          <t>Data Analyst</t>
        </is>
      </c>
      <c r="E176" s="9" t="n">
        <v>0.73</v>
      </c>
      <c r="F176" s="7" t="inlineStr">
        <is>
          <t>Illustrative - replace with your figure</t>
        </is>
      </c>
    </row>
    <row r="177">
      <c r="A177" s="6" t="inlineStr">
        <is>
          <t>Biosimilar CT</t>
        </is>
      </c>
      <c r="B177" s="6" t="inlineStr">
        <is>
          <t>Phase 2</t>
        </is>
      </c>
      <c r="C177" s="6" t="inlineStr">
        <is>
          <t>Before-Start-up</t>
        </is>
      </c>
      <c r="D177" s="6" t="inlineStr">
        <is>
          <t>Project oversight</t>
        </is>
      </c>
      <c r="E177" s="9" t="n">
        <v>0.68</v>
      </c>
      <c r="F177" s="7" t="inlineStr">
        <is>
          <t>Illustrative - replace with your figure</t>
        </is>
      </c>
    </row>
    <row r="178">
      <c r="A178" s="6" t="inlineStr">
        <is>
          <t>Biosimilar CT</t>
        </is>
      </c>
      <c r="B178" s="6" t="inlineStr">
        <is>
          <t>Phase 2</t>
        </is>
      </c>
      <c r="C178" s="6" t="inlineStr">
        <is>
          <t>Before-Start-up</t>
        </is>
      </c>
      <c r="D178" s="6" t="inlineStr">
        <is>
          <t>Lead data manager</t>
        </is>
      </c>
      <c r="E178" s="9" t="n">
        <v>0.91</v>
      </c>
      <c r="F178" s="7" t="inlineStr">
        <is>
          <t>Illustrative - replace with your figure</t>
        </is>
      </c>
    </row>
    <row r="179">
      <c r="A179" s="6" t="inlineStr">
        <is>
          <t>Biosimilar CT</t>
        </is>
      </c>
      <c r="B179" s="6" t="inlineStr">
        <is>
          <t>Phase 2</t>
        </is>
      </c>
      <c r="C179" s="6" t="inlineStr">
        <is>
          <t>Before-Start-up</t>
        </is>
      </c>
      <c r="D179" s="6" t="inlineStr">
        <is>
          <t>Clinical Data Associator</t>
        </is>
      </c>
      <c r="E179" s="9" t="n">
        <v>0.47</v>
      </c>
      <c r="F179" s="7" t="inlineStr">
        <is>
          <t>Illustrative - replace with your figure</t>
        </is>
      </c>
    </row>
    <row r="180">
      <c r="A180" s="6" t="inlineStr">
        <is>
          <t>Biosimilar CT</t>
        </is>
      </c>
      <c r="B180" s="6" t="inlineStr">
        <is>
          <t>Phase 2</t>
        </is>
      </c>
      <c r="C180" s="6" t="inlineStr">
        <is>
          <t>Before-Start-up</t>
        </is>
      </c>
      <c r="D180" s="6" t="inlineStr">
        <is>
          <t>Clinical Database Programmer</t>
        </is>
      </c>
      <c r="E180" s="9" t="n">
        <v>0.73</v>
      </c>
      <c r="F180" s="7" t="inlineStr">
        <is>
          <t>Illustrative - replace with your figure</t>
        </is>
      </c>
    </row>
    <row r="181">
      <c r="A181" s="6" t="inlineStr">
        <is>
          <t>Biosimilar CT</t>
        </is>
      </c>
      <c r="B181" s="6" t="inlineStr">
        <is>
          <t>Phase 2</t>
        </is>
      </c>
      <c r="C181" s="6" t="inlineStr">
        <is>
          <t>Before-Start-up</t>
        </is>
      </c>
      <c r="D181" s="6" t="inlineStr">
        <is>
          <t>Data Analyst</t>
        </is>
      </c>
      <c r="E181" s="9" t="n">
        <v>0.34</v>
      </c>
      <c r="F181" s="7" t="inlineStr">
        <is>
          <t>Illustrative - replace with your figure</t>
        </is>
      </c>
    </row>
    <row r="182">
      <c r="A182" s="6" t="inlineStr">
        <is>
          <t>Biosimilar CT</t>
        </is>
      </c>
      <c r="B182" s="6" t="inlineStr">
        <is>
          <t>Phase 2</t>
        </is>
      </c>
      <c r="C182" s="6" t="inlineStr">
        <is>
          <t>Start-up</t>
        </is>
      </c>
      <c r="D182" s="6" t="inlineStr">
        <is>
          <t>Project oversight</t>
        </is>
      </c>
      <c r="E182" s="9" t="n">
        <v>0.76</v>
      </c>
      <c r="F182" s="7" t="inlineStr">
        <is>
          <t>Illustrative - replace with your figure</t>
        </is>
      </c>
    </row>
    <row r="183">
      <c r="A183" s="6" t="inlineStr">
        <is>
          <t>Biosimilar CT</t>
        </is>
      </c>
      <c r="B183" s="6" t="inlineStr">
        <is>
          <t>Phase 2</t>
        </is>
      </c>
      <c r="C183" s="6" t="inlineStr">
        <is>
          <t>Start-up</t>
        </is>
      </c>
      <c r="D183" s="6" t="inlineStr">
        <is>
          <t>Lead data manager</t>
        </is>
      </c>
      <c r="E183" s="9" t="n">
        <v>1.37</v>
      </c>
      <c r="F183" s="7" t="inlineStr">
        <is>
          <t>Illustrative - replace with your figure</t>
        </is>
      </c>
    </row>
    <row r="184">
      <c r="A184" s="6" t="inlineStr">
        <is>
          <t>Biosimilar CT</t>
        </is>
      </c>
      <c r="B184" s="6" t="inlineStr">
        <is>
          <t>Phase 2</t>
        </is>
      </c>
      <c r="C184" s="6" t="inlineStr">
        <is>
          <t>Start-up</t>
        </is>
      </c>
      <c r="D184" s="6" t="inlineStr">
        <is>
          <t>Clinical Data Associator</t>
        </is>
      </c>
      <c r="E184" s="9" t="n">
        <v>0.76</v>
      </c>
      <c r="F184" s="7" t="inlineStr">
        <is>
          <t>Illustrative - replace with your figure</t>
        </is>
      </c>
    </row>
    <row r="185">
      <c r="A185" s="6" t="inlineStr">
        <is>
          <t>Biosimilar CT</t>
        </is>
      </c>
      <c r="B185" s="6" t="inlineStr">
        <is>
          <t>Phase 2</t>
        </is>
      </c>
      <c r="C185" s="6" t="inlineStr">
        <is>
          <t>Start-up</t>
        </is>
      </c>
      <c r="D185" s="6" t="inlineStr">
        <is>
          <t>Clinical Database Programmer</t>
        </is>
      </c>
      <c r="E185" s="9" t="n">
        <v>1.57</v>
      </c>
      <c r="F185" s="7" t="inlineStr">
        <is>
          <t>Illustrative - replace with your figure</t>
        </is>
      </c>
    </row>
    <row r="186">
      <c r="A186" s="6" t="inlineStr">
        <is>
          <t>Biosimilar CT</t>
        </is>
      </c>
      <c r="B186" s="6" t="inlineStr">
        <is>
          <t>Phase 2</t>
        </is>
      </c>
      <c r="C186" s="6" t="inlineStr">
        <is>
          <t>Start-up</t>
        </is>
      </c>
      <c r="D186" s="6" t="inlineStr">
        <is>
          <t>Data Analyst</t>
        </is>
      </c>
      <c r="E186" s="9" t="n">
        <v>0.51</v>
      </c>
      <c r="F186" s="7" t="inlineStr">
        <is>
          <t>Illustrative - replace with your figure</t>
        </is>
      </c>
    </row>
    <row r="187">
      <c r="A187" s="6" t="inlineStr">
        <is>
          <t>Biosimilar CT</t>
        </is>
      </c>
      <c r="B187" s="6" t="inlineStr">
        <is>
          <t>Phase 2</t>
        </is>
      </c>
      <c r="C187" s="6" t="inlineStr">
        <is>
          <t>Conduct (interim)</t>
        </is>
      </c>
      <c r="D187" s="6" t="inlineStr">
        <is>
          <t>Project oversight</t>
        </is>
      </c>
      <c r="E187" s="9" t="n">
        <v>0.76</v>
      </c>
      <c r="F187" s="7" t="inlineStr">
        <is>
          <t>Illustrative - replace with your figure</t>
        </is>
      </c>
    </row>
    <row r="188">
      <c r="A188" s="6" t="inlineStr">
        <is>
          <t>Biosimilar CT</t>
        </is>
      </c>
      <c r="B188" s="6" t="inlineStr">
        <is>
          <t>Phase 2</t>
        </is>
      </c>
      <c r="C188" s="6" t="inlineStr">
        <is>
          <t>Conduct (interim)</t>
        </is>
      </c>
      <c r="D188" s="6" t="inlineStr">
        <is>
          <t>Lead data manager</t>
        </is>
      </c>
      <c r="E188" s="9" t="n">
        <v>1.14</v>
      </c>
      <c r="F188" s="7" t="inlineStr">
        <is>
          <t>Illustrative - replace with your figure</t>
        </is>
      </c>
    </row>
    <row r="189">
      <c r="A189" s="6" t="inlineStr">
        <is>
          <t>Biosimilar CT</t>
        </is>
      </c>
      <c r="B189" s="6" t="inlineStr">
        <is>
          <t>Phase 2</t>
        </is>
      </c>
      <c r="C189" s="6" t="inlineStr">
        <is>
          <t>Conduct (interim)</t>
        </is>
      </c>
      <c r="D189" s="6" t="inlineStr">
        <is>
          <t>Clinical Data Associator</t>
        </is>
      </c>
      <c r="E189" s="9" t="n">
        <v>1.23</v>
      </c>
      <c r="F189" s="7" t="inlineStr">
        <is>
          <t>Illustrative - replace with your figure</t>
        </is>
      </c>
    </row>
    <row r="190">
      <c r="A190" s="6" t="inlineStr">
        <is>
          <t>Biosimilar CT</t>
        </is>
      </c>
      <c r="B190" s="6" t="inlineStr">
        <is>
          <t>Phase 2</t>
        </is>
      </c>
      <c r="C190" s="6" t="inlineStr">
        <is>
          <t>Conduct (interim)</t>
        </is>
      </c>
      <c r="D190" s="6" t="inlineStr">
        <is>
          <t>Clinical Database Programmer</t>
        </is>
      </c>
      <c r="E190" s="9" t="n">
        <v>0.84</v>
      </c>
      <c r="F190" s="7" t="inlineStr">
        <is>
          <t>Illustrative - replace with your figure</t>
        </is>
      </c>
    </row>
    <row r="191">
      <c r="A191" s="6" t="inlineStr">
        <is>
          <t>Biosimilar CT</t>
        </is>
      </c>
      <c r="B191" s="6" t="inlineStr">
        <is>
          <t>Phase 2</t>
        </is>
      </c>
      <c r="C191" s="6" t="inlineStr">
        <is>
          <t>Conduct (interim)</t>
        </is>
      </c>
      <c r="D191" s="6" t="inlineStr">
        <is>
          <t>Data Analyst</t>
        </is>
      </c>
      <c r="E191" s="9" t="n">
        <v>0.77</v>
      </c>
      <c r="F191" s="7" t="inlineStr">
        <is>
          <t>Illustrative - replace with your figure</t>
        </is>
      </c>
    </row>
    <row r="192">
      <c r="A192" s="6" t="inlineStr">
        <is>
          <t>Biosimilar CT</t>
        </is>
      </c>
      <c r="B192" s="6" t="inlineStr">
        <is>
          <t>Phase 2</t>
        </is>
      </c>
      <c r="C192" s="6" t="inlineStr">
        <is>
          <t>Close-out (interim)</t>
        </is>
      </c>
      <c r="D192" s="6" t="inlineStr">
        <is>
          <t>Project oversight</t>
        </is>
      </c>
      <c r="E192" s="9" t="n">
        <v>0.76</v>
      </c>
      <c r="F192" s="7" t="inlineStr">
        <is>
          <t>Illustrative - replace with your figure</t>
        </is>
      </c>
    </row>
    <row r="193">
      <c r="A193" s="6" t="inlineStr">
        <is>
          <t>Biosimilar CT</t>
        </is>
      </c>
      <c r="B193" s="6" t="inlineStr">
        <is>
          <t>Phase 2</t>
        </is>
      </c>
      <c r="C193" s="6" t="inlineStr">
        <is>
          <t>Close-out (interim)</t>
        </is>
      </c>
      <c r="D193" s="6" t="inlineStr">
        <is>
          <t>Lead data manager</t>
        </is>
      </c>
      <c r="E193" s="9" t="n">
        <v>1.25</v>
      </c>
      <c r="F193" s="7" t="inlineStr">
        <is>
          <t>Illustrative - replace with your figure</t>
        </is>
      </c>
    </row>
    <row r="194">
      <c r="A194" s="6" t="inlineStr">
        <is>
          <t>Biosimilar CT</t>
        </is>
      </c>
      <c r="B194" s="6" t="inlineStr">
        <is>
          <t>Phase 2</t>
        </is>
      </c>
      <c r="C194" s="6" t="inlineStr">
        <is>
          <t>Close-out (interim)</t>
        </is>
      </c>
      <c r="D194" s="6" t="inlineStr">
        <is>
          <t>Clinical Data Associator</t>
        </is>
      </c>
      <c r="E194" s="9" t="n">
        <v>1.04</v>
      </c>
      <c r="F194" s="7" t="inlineStr">
        <is>
          <t>Illustrative - replace with your figure</t>
        </is>
      </c>
    </row>
    <row r="195">
      <c r="A195" s="6" t="inlineStr">
        <is>
          <t>Biosimilar CT</t>
        </is>
      </c>
      <c r="B195" s="6" t="inlineStr">
        <is>
          <t>Phase 2</t>
        </is>
      </c>
      <c r="C195" s="6" t="inlineStr">
        <is>
          <t>Close-out (interim)</t>
        </is>
      </c>
      <c r="D195" s="6" t="inlineStr">
        <is>
          <t>Clinical Database Programmer</t>
        </is>
      </c>
      <c r="E195" s="9" t="n">
        <v>1.04</v>
      </c>
      <c r="F195" s="7" t="inlineStr">
        <is>
          <t>Illustrative - replace with your figure</t>
        </is>
      </c>
    </row>
    <row r="196">
      <c r="A196" s="6" t="inlineStr">
        <is>
          <t>Biosimilar CT</t>
        </is>
      </c>
      <c r="B196" s="6" t="inlineStr">
        <is>
          <t>Phase 2</t>
        </is>
      </c>
      <c r="C196" s="6" t="inlineStr">
        <is>
          <t>Close-out (interim)</t>
        </is>
      </c>
      <c r="D196" s="6" t="inlineStr">
        <is>
          <t>Data Analyst</t>
        </is>
      </c>
      <c r="E196" s="9" t="n">
        <v>1.11</v>
      </c>
      <c r="F196" s="7" t="inlineStr">
        <is>
          <t>Illustrative - replace with your figure</t>
        </is>
      </c>
    </row>
    <row r="197">
      <c r="A197" s="6" t="inlineStr">
        <is>
          <t>Biosimilar CT</t>
        </is>
      </c>
      <c r="B197" s="6" t="inlineStr">
        <is>
          <t>Phase 2</t>
        </is>
      </c>
      <c r="C197" s="6" t="inlineStr">
        <is>
          <t>Conduct (final)</t>
        </is>
      </c>
      <c r="D197" s="6" t="inlineStr">
        <is>
          <t>Project oversight</t>
        </is>
      </c>
      <c r="E197" s="9" t="n">
        <v>0.76</v>
      </c>
      <c r="F197" s="7" t="inlineStr">
        <is>
          <t>Illustrative - replace with your figure</t>
        </is>
      </c>
    </row>
    <row r="198">
      <c r="A198" s="6" t="inlineStr">
        <is>
          <t>Biosimilar CT</t>
        </is>
      </c>
      <c r="B198" s="6" t="inlineStr">
        <is>
          <t>Phase 2</t>
        </is>
      </c>
      <c r="C198" s="6" t="inlineStr">
        <is>
          <t>Conduct (final)</t>
        </is>
      </c>
      <c r="D198" s="6" t="inlineStr">
        <is>
          <t>Lead data manager</t>
        </is>
      </c>
      <c r="E198" s="9" t="n">
        <v>1.14</v>
      </c>
      <c r="F198" s="7" t="inlineStr">
        <is>
          <t>Illustrative - replace with your figure</t>
        </is>
      </c>
    </row>
    <row r="199">
      <c r="A199" s="6" t="inlineStr">
        <is>
          <t>Biosimilar CT</t>
        </is>
      </c>
      <c r="B199" s="6" t="inlineStr">
        <is>
          <t>Phase 2</t>
        </is>
      </c>
      <c r="C199" s="6" t="inlineStr">
        <is>
          <t>Conduct (final)</t>
        </is>
      </c>
      <c r="D199" s="6" t="inlineStr">
        <is>
          <t>Clinical Data Associator</t>
        </is>
      </c>
      <c r="E199" s="9" t="n">
        <v>1.23</v>
      </c>
      <c r="F199" s="7" t="inlineStr">
        <is>
          <t>Illustrative - replace with your figure</t>
        </is>
      </c>
    </row>
    <row r="200">
      <c r="A200" s="6" t="inlineStr">
        <is>
          <t>Biosimilar CT</t>
        </is>
      </c>
      <c r="B200" s="6" t="inlineStr">
        <is>
          <t>Phase 2</t>
        </is>
      </c>
      <c r="C200" s="6" t="inlineStr">
        <is>
          <t>Conduct (final)</t>
        </is>
      </c>
      <c r="D200" s="6" t="inlineStr">
        <is>
          <t>Clinical Database Programmer</t>
        </is>
      </c>
      <c r="E200" s="9" t="n">
        <v>0.84</v>
      </c>
      <c r="F200" s="7" t="inlineStr">
        <is>
          <t>Illustrative - replace with your figure</t>
        </is>
      </c>
    </row>
    <row r="201">
      <c r="A201" s="6" t="inlineStr">
        <is>
          <t>Biosimilar CT</t>
        </is>
      </c>
      <c r="B201" s="6" t="inlineStr">
        <is>
          <t>Phase 2</t>
        </is>
      </c>
      <c r="C201" s="6" t="inlineStr">
        <is>
          <t>Conduct (final)</t>
        </is>
      </c>
      <c r="D201" s="6" t="inlineStr">
        <is>
          <t>Data Analyst</t>
        </is>
      </c>
      <c r="E201" s="9" t="n">
        <v>0.77</v>
      </c>
      <c r="F201" s="7" t="inlineStr">
        <is>
          <t>Illustrative - replace with your figure</t>
        </is>
      </c>
    </row>
    <row r="202">
      <c r="A202" s="6" t="inlineStr">
        <is>
          <t>Biosimilar CT</t>
        </is>
      </c>
      <c r="B202" s="6" t="inlineStr">
        <is>
          <t>Phase 2</t>
        </is>
      </c>
      <c r="C202" s="6" t="inlineStr">
        <is>
          <t>Close-out (final)</t>
        </is>
      </c>
      <c r="D202" s="6" t="inlineStr">
        <is>
          <t>Project oversight</t>
        </is>
      </c>
      <c r="E202" s="9" t="n">
        <v>0.76</v>
      </c>
      <c r="F202" s="7" t="inlineStr">
        <is>
          <t>Illustrative - replace with your figure</t>
        </is>
      </c>
    </row>
    <row r="203">
      <c r="A203" s="6" t="inlineStr">
        <is>
          <t>Biosimilar CT</t>
        </is>
      </c>
      <c r="B203" s="6" t="inlineStr">
        <is>
          <t>Phase 2</t>
        </is>
      </c>
      <c r="C203" s="6" t="inlineStr">
        <is>
          <t>Close-out (final)</t>
        </is>
      </c>
      <c r="D203" s="6" t="inlineStr">
        <is>
          <t>Lead data manager</t>
        </is>
      </c>
      <c r="E203" s="9" t="n">
        <v>1.37</v>
      </c>
      <c r="F203" s="7" t="inlineStr">
        <is>
          <t>Illustrative - replace with your figure</t>
        </is>
      </c>
    </row>
    <row r="204">
      <c r="A204" s="6" t="inlineStr">
        <is>
          <t>Biosimilar CT</t>
        </is>
      </c>
      <c r="B204" s="6" t="inlineStr">
        <is>
          <t>Phase 2</t>
        </is>
      </c>
      <c r="C204" s="6" t="inlineStr">
        <is>
          <t>Close-out (final)</t>
        </is>
      </c>
      <c r="D204" s="6" t="inlineStr">
        <is>
          <t>Clinical Data Associator</t>
        </is>
      </c>
      <c r="E204" s="9" t="n">
        <v>0.85</v>
      </c>
      <c r="F204" s="7" t="inlineStr">
        <is>
          <t>Illustrative - replace with your figure</t>
        </is>
      </c>
    </row>
    <row r="205">
      <c r="A205" s="6" t="inlineStr">
        <is>
          <t>Biosimilar CT</t>
        </is>
      </c>
      <c r="B205" s="6" t="inlineStr">
        <is>
          <t>Phase 2</t>
        </is>
      </c>
      <c r="C205" s="6" t="inlineStr">
        <is>
          <t>Close-out (final)</t>
        </is>
      </c>
      <c r="D205" s="6" t="inlineStr">
        <is>
          <t>Clinical Database Programmer</t>
        </is>
      </c>
      <c r="E205" s="9" t="n">
        <v>1.15</v>
      </c>
      <c r="F205" s="7" t="inlineStr">
        <is>
          <t>Illustrative - replace with your figure</t>
        </is>
      </c>
    </row>
    <row r="206">
      <c r="A206" s="6" t="inlineStr">
        <is>
          <t>Biosimilar CT</t>
        </is>
      </c>
      <c r="B206" s="6" t="inlineStr">
        <is>
          <t>Phase 2</t>
        </is>
      </c>
      <c r="C206" s="6" t="inlineStr">
        <is>
          <t>Close-out (final)</t>
        </is>
      </c>
      <c r="D206" s="6" t="inlineStr">
        <is>
          <t>Data Analyst</t>
        </is>
      </c>
      <c r="E206" s="9" t="n">
        <v>1.28</v>
      </c>
      <c r="F206" s="7" t="inlineStr">
        <is>
          <t>Illustrative - replace with your figure</t>
        </is>
      </c>
    </row>
    <row r="207">
      <c r="A207" s="6" t="inlineStr">
        <is>
          <t>Biosimilar CT</t>
        </is>
      </c>
      <c r="B207" s="6" t="inlineStr">
        <is>
          <t>Phase 2</t>
        </is>
      </c>
      <c r="C207" s="6" t="inlineStr">
        <is>
          <t>After Close-out (final)</t>
        </is>
      </c>
      <c r="D207" s="6" t="inlineStr">
        <is>
          <t>Project oversight</t>
        </is>
      </c>
      <c r="E207" s="9" t="n">
        <v>0.61</v>
      </c>
      <c r="F207" s="7" t="inlineStr">
        <is>
          <t>Illustrative - replace with your figure</t>
        </is>
      </c>
    </row>
    <row r="208">
      <c r="A208" s="6" t="inlineStr">
        <is>
          <t>Biosimilar CT</t>
        </is>
      </c>
      <c r="B208" s="6" t="inlineStr">
        <is>
          <t>Phase 2</t>
        </is>
      </c>
      <c r="C208" s="6" t="inlineStr">
        <is>
          <t>After Close-out (final)</t>
        </is>
      </c>
      <c r="D208" s="6" t="inlineStr">
        <is>
          <t>Lead data manager</t>
        </is>
      </c>
      <c r="E208" s="9" t="n">
        <v>0.8</v>
      </c>
      <c r="F208" s="7" t="inlineStr">
        <is>
          <t>Illustrative - replace with your figure</t>
        </is>
      </c>
    </row>
    <row r="209">
      <c r="A209" s="6" t="inlineStr">
        <is>
          <t>Biosimilar CT</t>
        </is>
      </c>
      <c r="B209" s="6" t="inlineStr">
        <is>
          <t>Phase 2</t>
        </is>
      </c>
      <c r="C209" s="6" t="inlineStr">
        <is>
          <t>After Close-out (final)</t>
        </is>
      </c>
      <c r="D209" s="6" t="inlineStr">
        <is>
          <t>Clinical Data Associator</t>
        </is>
      </c>
      <c r="E209" s="9" t="n">
        <v>0.47</v>
      </c>
      <c r="F209" s="7" t="inlineStr">
        <is>
          <t>Illustrative - replace with your figure</t>
        </is>
      </c>
    </row>
    <row r="210">
      <c r="A210" s="6" t="inlineStr">
        <is>
          <t>Biosimilar CT</t>
        </is>
      </c>
      <c r="B210" s="6" t="inlineStr">
        <is>
          <t>Phase 2</t>
        </is>
      </c>
      <c r="C210" s="6" t="inlineStr">
        <is>
          <t>After Close-out (final)</t>
        </is>
      </c>
      <c r="D210" s="6" t="inlineStr">
        <is>
          <t>Clinical Database Programmer</t>
        </is>
      </c>
      <c r="E210" s="9" t="n">
        <v>0.42</v>
      </c>
      <c r="F210" s="7" t="inlineStr">
        <is>
          <t>Illustrative - replace with your figure</t>
        </is>
      </c>
    </row>
    <row r="211">
      <c r="A211" s="6" t="inlineStr">
        <is>
          <t>Biosimilar CT</t>
        </is>
      </c>
      <c r="B211" s="6" t="inlineStr">
        <is>
          <t>Phase 2</t>
        </is>
      </c>
      <c r="C211" s="6" t="inlineStr">
        <is>
          <t>After Close-out (final)</t>
        </is>
      </c>
      <c r="D211" s="6" t="inlineStr">
        <is>
          <t>Data Analyst</t>
        </is>
      </c>
      <c r="E211" s="9" t="n">
        <v>0.77</v>
      </c>
      <c r="F211" s="7" t="inlineStr">
        <is>
          <t>Illustrative - replace with your figure</t>
        </is>
      </c>
    </row>
    <row r="212">
      <c r="A212" s="6" t="inlineStr">
        <is>
          <t>Biosimilar CT</t>
        </is>
      </c>
      <c r="B212" s="6" t="inlineStr">
        <is>
          <t>Phase 3</t>
        </is>
      </c>
      <c r="C212" s="6" t="inlineStr">
        <is>
          <t>Before-Start-up</t>
        </is>
      </c>
      <c r="D212" s="6" t="inlineStr">
        <is>
          <t>Project oversight</t>
        </is>
      </c>
      <c r="E212" s="9" t="n">
        <v>0.72</v>
      </c>
      <c r="F212" s="7" t="inlineStr">
        <is>
          <t>Illustrative - replace with your figure</t>
        </is>
      </c>
    </row>
    <row r="213">
      <c r="A213" s="6" t="inlineStr">
        <is>
          <t>Biosimilar CT</t>
        </is>
      </c>
      <c r="B213" s="6" t="inlineStr">
        <is>
          <t>Phase 3</t>
        </is>
      </c>
      <c r="C213" s="6" t="inlineStr">
        <is>
          <t>Before-Start-up</t>
        </is>
      </c>
      <c r="D213" s="6" t="inlineStr">
        <is>
          <t>Lead data manager</t>
        </is>
      </c>
      <c r="E213" s="9" t="n">
        <v>0.96</v>
      </c>
      <c r="F213" s="7" t="inlineStr">
        <is>
          <t>Illustrative - replace with your figure</t>
        </is>
      </c>
    </row>
    <row r="214">
      <c r="A214" s="6" t="inlineStr">
        <is>
          <t>Biosimilar CT</t>
        </is>
      </c>
      <c r="B214" s="6" t="inlineStr">
        <is>
          <t>Phase 3</t>
        </is>
      </c>
      <c r="C214" s="6" t="inlineStr">
        <is>
          <t>Before-Start-up</t>
        </is>
      </c>
      <c r="D214" s="6" t="inlineStr">
        <is>
          <t>Clinical Data Associator</t>
        </is>
      </c>
      <c r="E214" s="9" t="n">
        <v>0.5</v>
      </c>
      <c r="F214" s="7" t="inlineStr">
        <is>
          <t>Illustrative - replace with your figure</t>
        </is>
      </c>
    </row>
    <row r="215">
      <c r="A215" s="6" t="inlineStr">
        <is>
          <t>Biosimilar CT</t>
        </is>
      </c>
      <c r="B215" s="6" t="inlineStr">
        <is>
          <t>Phase 3</t>
        </is>
      </c>
      <c r="C215" s="6" t="inlineStr">
        <is>
          <t>Before-Start-up</t>
        </is>
      </c>
      <c r="D215" s="6" t="inlineStr">
        <is>
          <t>Clinical Database Programmer</t>
        </is>
      </c>
      <c r="E215" s="9" t="n">
        <v>0.77</v>
      </c>
      <c r="F215" s="7" t="inlineStr">
        <is>
          <t>Illustrative - replace with your figure</t>
        </is>
      </c>
    </row>
    <row r="216">
      <c r="A216" s="6" t="inlineStr">
        <is>
          <t>Biosimilar CT</t>
        </is>
      </c>
      <c r="B216" s="6" t="inlineStr">
        <is>
          <t>Phase 3</t>
        </is>
      </c>
      <c r="C216" s="6" t="inlineStr">
        <is>
          <t>Before-Start-up</t>
        </is>
      </c>
      <c r="D216" s="6" t="inlineStr">
        <is>
          <t>Data Analyst</t>
        </is>
      </c>
      <c r="E216" s="9" t="n">
        <v>0.36</v>
      </c>
      <c r="F216" s="7" t="inlineStr">
        <is>
          <t>Illustrative - replace with your figure</t>
        </is>
      </c>
    </row>
    <row r="217">
      <c r="A217" s="6" t="inlineStr">
        <is>
          <t>Biosimilar CT</t>
        </is>
      </c>
      <c r="B217" s="6" t="inlineStr">
        <is>
          <t>Phase 3</t>
        </is>
      </c>
      <c r="C217" s="6" t="inlineStr">
        <is>
          <t>Start-up</t>
        </is>
      </c>
      <c r="D217" s="6" t="inlineStr">
        <is>
          <t>Project oversight</t>
        </is>
      </c>
      <c r="E217" s="9" t="n">
        <v>0.8</v>
      </c>
      <c r="F217" s="7" t="inlineStr">
        <is>
          <t>Illustrative - replace with your figure</t>
        </is>
      </c>
    </row>
    <row r="218">
      <c r="A218" s="6" t="inlineStr">
        <is>
          <t>Biosimilar CT</t>
        </is>
      </c>
      <c r="B218" s="6" t="inlineStr">
        <is>
          <t>Phase 3</t>
        </is>
      </c>
      <c r="C218" s="6" t="inlineStr">
        <is>
          <t>Start-up</t>
        </is>
      </c>
      <c r="D218" s="6" t="inlineStr">
        <is>
          <t>Lead data manager</t>
        </is>
      </c>
      <c r="E218" s="9" t="n">
        <v>1.44</v>
      </c>
      <c r="F218" s="7" t="inlineStr">
        <is>
          <t>Illustrative - replace with your figure</t>
        </is>
      </c>
    </row>
    <row r="219">
      <c r="A219" s="6" t="inlineStr">
        <is>
          <t>Biosimilar CT</t>
        </is>
      </c>
      <c r="B219" s="6" t="inlineStr">
        <is>
          <t>Phase 3</t>
        </is>
      </c>
      <c r="C219" s="6" t="inlineStr">
        <is>
          <t>Start-up</t>
        </is>
      </c>
      <c r="D219" s="6" t="inlineStr">
        <is>
          <t>Clinical Data Associator</t>
        </is>
      </c>
      <c r="E219" s="9" t="n">
        <v>0.8</v>
      </c>
      <c r="F219" s="7" t="inlineStr">
        <is>
          <t>Illustrative - replace with your figure</t>
        </is>
      </c>
    </row>
    <row r="220">
      <c r="A220" s="6" t="inlineStr">
        <is>
          <t>Biosimilar CT</t>
        </is>
      </c>
      <c r="B220" s="6" t="inlineStr">
        <is>
          <t>Phase 3</t>
        </is>
      </c>
      <c r="C220" s="6" t="inlineStr">
        <is>
          <t>Start-up</t>
        </is>
      </c>
      <c r="D220" s="6" t="inlineStr">
        <is>
          <t>Clinical Database Programmer</t>
        </is>
      </c>
      <c r="E220" s="9" t="n">
        <v>1.65</v>
      </c>
      <c r="F220" s="7" t="inlineStr">
        <is>
          <t>Illustrative - replace with your figure</t>
        </is>
      </c>
    </row>
    <row r="221">
      <c r="A221" s="6" t="inlineStr">
        <is>
          <t>Biosimilar CT</t>
        </is>
      </c>
      <c r="B221" s="6" t="inlineStr">
        <is>
          <t>Phase 3</t>
        </is>
      </c>
      <c r="C221" s="6" t="inlineStr">
        <is>
          <t>Start-up</t>
        </is>
      </c>
      <c r="D221" s="6" t="inlineStr">
        <is>
          <t>Data Analyst</t>
        </is>
      </c>
      <c r="E221" s="9" t="n">
        <v>0.54</v>
      </c>
      <c r="F221" s="7" t="inlineStr">
        <is>
          <t>Illustrative - replace with your figure</t>
        </is>
      </c>
    </row>
    <row r="222">
      <c r="A222" s="6" t="inlineStr">
        <is>
          <t>Biosimilar CT</t>
        </is>
      </c>
      <c r="B222" s="6" t="inlineStr">
        <is>
          <t>Phase 3</t>
        </is>
      </c>
      <c r="C222" s="6" t="inlineStr">
        <is>
          <t>Conduct (interim)</t>
        </is>
      </c>
      <c r="D222" s="6" t="inlineStr">
        <is>
          <t>Project oversight</t>
        </is>
      </c>
      <c r="E222" s="9" t="n">
        <v>0.8</v>
      </c>
      <c r="F222" s="7" t="inlineStr">
        <is>
          <t>Illustrative - replace with your figure</t>
        </is>
      </c>
    </row>
    <row r="223">
      <c r="A223" s="6" t="inlineStr">
        <is>
          <t>Biosimilar CT</t>
        </is>
      </c>
      <c r="B223" s="6" t="inlineStr">
        <is>
          <t>Phase 3</t>
        </is>
      </c>
      <c r="C223" s="6" t="inlineStr">
        <is>
          <t>Conduct (interim)</t>
        </is>
      </c>
      <c r="D223" s="6" t="inlineStr">
        <is>
          <t>Lead data manager</t>
        </is>
      </c>
      <c r="E223" s="9" t="n">
        <v>1.2</v>
      </c>
      <c r="F223" s="7" t="inlineStr">
        <is>
          <t>Illustrative - replace with your figure</t>
        </is>
      </c>
    </row>
    <row r="224">
      <c r="A224" s="6" t="inlineStr">
        <is>
          <t>Biosimilar CT</t>
        </is>
      </c>
      <c r="B224" s="6" t="inlineStr">
        <is>
          <t>Phase 3</t>
        </is>
      </c>
      <c r="C224" s="6" t="inlineStr">
        <is>
          <t>Conduct (interim)</t>
        </is>
      </c>
      <c r="D224" s="6" t="inlineStr">
        <is>
          <t>Clinical Data Associator</t>
        </is>
      </c>
      <c r="E224" s="9" t="n">
        <v>1.3</v>
      </c>
      <c r="F224" s="7" t="inlineStr">
        <is>
          <t>Illustrative - replace with your figure</t>
        </is>
      </c>
    </row>
    <row r="225">
      <c r="A225" s="6" t="inlineStr">
        <is>
          <t>Biosimilar CT</t>
        </is>
      </c>
      <c r="B225" s="6" t="inlineStr">
        <is>
          <t>Phase 3</t>
        </is>
      </c>
      <c r="C225" s="6" t="inlineStr">
        <is>
          <t>Conduct (interim)</t>
        </is>
      </c>
      <c r="D225" s="6" t="inlineStr">
        <is>
          <t>Clinical Database Programmer</t>
        </is>
      </c>
      <c r="E225" s="9" t="n">
        <v>0.88</v>
      </c>
      <c r="F225" s="7" t="inlineStr">
        <is>
          <t>Illustrative - replace with your figure</t>
        </is>
      </c>
    </row>
    <row r="226">
      <c r="A226" s="6" t="inlineStr">
        <is>
          <t>Biosimilar CT</t>
        </is>
      </c>
      <c r="B226" s="6" t="inlineStr">
        <is>
          <t>Phase 3</t>
        </is>
      </c>
      <c r="C226" s="6" t="inlineStr">
        <is>
          <t>Conduct (interim)</t>
        </is>
      </c>
      <c r="D226" s="6" t="inlineStr">
        <is>
          <t>Data Analyst</t>
        </is>
      </c>
      <c r="E226" s="9" t="n">
        <v>0.8100000000000001</v>
      </c>
      <c r="F226" s="7" t="inlineStr">
        <is>
          <t>Illustrative - replace with your figure</t>
        </is>
      </c>
    </row>
    <row r="227">
      <c r="A227" s="6" t="inlineStr">
        <is>
          <t>Biosimilar CT</t>
        </is>
      </c>
      <c r="B227" s="6" t="inlineStr">
        <is>
          <t>Phase 3</t>
        </is>
      </c>
      <c r="C227" s="6" t="inlineStr">
        <is>
          <t>Close-out (interim)</t>
        </is>
      </c>
      <c r="D227" s="6" t="inlineStr">
        <is>
          <t>Project oversight</t>
        </is>
      </c>
      <c r="E227" s="9" t="n">
        <v>0.8</v>
      </c>
      <c r="F227" s="7" t="inlineStr">
        <is>
          <t>Illustrative - replace with your figure</t>
        </is>
      </c>
    </row>
    <row r="228">
      <c r="A228" s="6" t="inlineStr">
        <is>
          <t>Biosimilar CT</t>
        </is>
      </c>
      <c r="B228" s="6" t="inlineStr">
        <is>
          <t>Phase 3</t>
        </is>
      </c>
      <c r="C228" s="6" t="inlineStr">
        <is>
          <t>Close-out (interim)</t>
        </is>
      </c>
      <c r="D228" s="6" t="inlineStr">
        <is>
          <t>Lead data manager</t>
        </is>
      </c>
      <c r="E228" s="9" t="n">
        <v>1.32</v>
      </c>
      <c r="F228" s="7" t="inlineStr">
        <is>
          <t>Illustrative - replace with your figure</t>
        </is>
      </c>
    </row>
    <row r="229">
      <c r="A229" s="6" t="inlineStr">
        <is>
          <t>Biosimilar CT</t>
        </is>
      </c>
      <c r="B229" s="6" t="inlineStr">
        <is>
          <t>Phase 3</t>
        </is>
      </c>
      <c r="C229" s="6" t="inlineStr">
        <is>
          <t>Close-out (interim)</t>
        </is>
      </c>
      <c r="D229" s="6" t="inlineStr">
        <is>
          <t>Clinical Data Associator</t>
        </is>
      </c>
      <c r="E229" s="9" t="n">
        <v>1.1</v>
      </c>
      <c r="F229" s="7" t="inlineStr">
        <is>
          <t>Illustrative - replace with your figure</t>
        </is>
      </c>
    </row>
    <row r="230">
      <c r="A230" s="6" t="inlineStr">
        <is>
          <t>Biosimilar CT</t>
        </is>
      </c>
      <c r="B230" s="6" t="inlineStr">
        <is>
          <t>Phase 3</t>
        </is>
      </c>
      <c r="C230" s="6" t="inlineStr">
        <is>
          <t>Close-out (interim)</t>
        </is>
      </c>
      <c r="D230" s="6" t="inlineStr">
        <is>
          <t>Clinical Database Programmer</t>
        </is>
      </c>
      <c r="E230" s="9" t="n">
        <v>1.1</v>
      </c>
      <c r="F230" s="7" t="inlineStr">
        <is>
          <t>Illustrative - replace with your figure</t>
        </is>
      </c>
    </row>
    <row r="231">
      <c r="A231" s="6" t="inlineStr">
        <is>
          <t>Biosimilar CT</t>
        </is>
      </c>
      <c r="B231" s="6" t="inlineStr">
        <is>
          <t>Phase 3</t>
        </is>
      </c>
      <c r="C231" s="6" t="inlineStr">
        <is>
          <t>Close-out (interim)</t>
        </is>
      </c>
      <c r="D231" s="6" t="inlineStr">
        <is>
          <t>Data Analyst</t>
        </is>
      </c>
      <c r="E231" s="9" t="n">
        <v>1.17</v>
      </c>
      <c r="F231" s="7" t="inlineStr">
        <is>
          <t>Illustrative - replace with your figure</t>
        </is>
      </c>
    </row>
    <row r="232">
      <c r="A232" s="6" t="inlineStr">
        <is>
          <t>Biosimilar CT</t>
        </is>
      </c>
      <c r="B232" s="6" t="inlineStr">
        <is>
          <t>Phase 3</t>
        </is>
      </c>
      <c r="C232" s="6" t="inlineStr">
        <is>
          <t>Conduct (final)</t>
        </is>
      </c>
      <c r="D232" s="6" t="inlineStr">
        <is>
          <t>Project oversight</t>
        </is>
      </c>
      <c r="E232" s="9" t="n">
        <v>0.8</v>
      </c>
      <c r="F232" s="7" t="inlineStr">
        <is>
          <t>Illustrative - replace with your figure</t>
        </is>
      </c>
    </row>
    <row r="233">
      <c r="A233" s="6" t="inlineStr">
        <is>
          <t>Biosimilar CT</t>
        </is>
      </c>
      <c r="B233" s="6" t="inlineStr">
        <is>
          <t>Phase 3</t>
        </is>
      </c>
      <c r="C233" s="6" t="inlineStr">
        <is>
          <t>Conduct (final)</t>
        </is>
      </c>
      <c r="D233" s="6" t="inlineStr">
        <is>
          <t>Lead data manager</t>
        </is>
      </c>
      <c r="E233" s="9" t="n">
        <v>1.2</v>
      </c>
      <c r="F233" s="7" t="inlineStr">
        <is>
          <t>Illustrative - replace with your figure</t>
        </is>
      </c>
    </row>
    <row r="234">
      <c r="A234" s="6" t="inlineStr">
        <is>
          <t>Biosimilar CT</t>
        </is>
      </c>
      <c r="B234" s="6" t="inlineStr">
        <is>
          <t>Phase 3</t>
        </is>
      </c>
      <c r="C234" s="6" t="inlineStr">
        <is>
          <t>Conduct (final)</t>
        </is>
      </c>
      <c r="D234" s="6" t="inlineStr">
        <is>
          <t>Clinical Data Associator</t>
        </is>
      </c>
      <c r="E234" s="9" t="n">
        <v>1.3</v>
      </c>
      <c r="F234" s="7" t="inlineStr">
        <is>
          <t>Illustrative - replace with your figure</t>
        </is>
      </c>
    </row>
    <row r="235">
      <c r="A235" s="6" t="inlineStr">
        <is>
          <t>Biosimilar CT</t>
        </is>
      </c>
      <c r="B235" s="6" t="inlineStr">
        <is>
          <t>Phase 3</t>
        </is>
      </c>
      <c r="C235" s="6" t="inlineStr">
        <is>
          <t>Conduct (final)</t>
        </is>
      </c>
      <c r="D235" s="6" t="inlineStr">
        <is>
          <t>Clinical Database Programmer</t>
        </is>
      </c>
      <c r="E235" s="9" t="n">
        <v>0.88</v>
      </c>
      <c r="F235" s="7" t="inlineStr">
        <is>
          <t>Illustrative - replace with your figure</t>
        </is>
      </c>
    </row>
    <row r="236">
      <c r="A236" s="6" t="inlineStr">
        <is>
          <t>Biosimilar CT</t>
        </is>
      </c>
      <c r="B236" s="6" t="inlineStr">
        <is>
          <t>Phase 3</t>
        </is>
      </c>
      <c r="C236" s="6" t="inlineStr">
        <is>
          <t>Conduct (final)</t>
        </is>
      </c>
      <c r="D236" s="6" t="inlineStr">
        <is>
          <t>Data Analyst</t>
        </is>
      </c>
      <c r="E236" s="9" t="n">
        <v>0.8100000000000001</v>
      </c>
      <c r="F236" s="7" t="inlineStr">
        <is>
          <t>Illustrative - replace with your figure</t>
        </is>
      </c>
    </row>
    <row r="237">
      <c r="A237" s="6" t="inlineStr">
        <is>
          <t>Biosimilar CT</t>
        </is>
      </c>
      <c r="B237" s="6" t="inlineStr">
        <is>
          <t>Phase 3</t>
        </is>
      </c>
      <c r="C237" s="6" t="inlineStr">
        <is>
          <t>Close-out (final)</t>
        </is>
      </c>
      <c r="D237" s="6" t="inlineStr">
        <is>
          <t>Project oversight</t>
        </is>
      </c>
      <c r="E237" s="9" t="n">
        <v>0.8</v>
      </c>
      <c r="F237" s="7" t="inlineStr">
        <is>
          <t>Illustrative - replace with your figure</t>
        </is>
      </c>
    </row>
    <row r="238">
      <c r="A238" s="6" t="inlineStr">
        <is>
          <t>Biosimilar CT</t>
        </is>
      </c>
      <c r="B238" s="6" t="inlineStr">
        <is>
          <t>Phase 3</t>
        </is>
      </c>
      <c r="C238" s="6" t="inlineStr">
        <is>
          <t>Close-out (final)</t>
        </is>
      </c>
      <c r="D238" s="6" t="inlineStr">
        <is>
          <t>Lead data manager</t>
        </is>
      </c>
      <c r="E238" s="9" t="n">
        <v>1.44</v>
      </c>
      <c r="F238" s="7" t="inlineStr">
        <is>
          <t>Illustrative - replace with your figure</t>
        </is>
      </c>
    </row>
    <row r="239">
      <c r="A239" s="6" t="inlineStr">
        <is>
          <t>Biosimilar CT</t>
        </is>
      </c>
      <c r="B239" s="6" t="inlineStr">
        <is>
          <t>Phase 3</t>
        </is>
      </c>
      <c r="C239" s="6" t="inlineStr">
        <is>
          <t>Close-out (final)</t>
        </is>
      </c>
      <c r="D239" s="6" t="inlineStr">
        <is>
          <t>Clinical Data Associator</t>
        </is>
      </c>
      <c r="E239" s="9" t="n">
        <v>0.9</v>
      </c>
      <c r="F239" s="7" t="inlineStr">
        <is>
          <t>Illustrative - replace with your figure</t>
        </is>
      </c>
    </row>
    <row r="240">
      <c r="A240" s="6" t="inlineStr">
        <is>
          <t>Biosimilar CT</t>
        </is>
      </c>
      <c r="B240" s="6" t="inlineStr">
        <is>
          <t>Phase 3</t>
        </is>
      </c>
      <c r="C240" s="6" t="inlineStr">
        <is>
          <t>Close-out (final)</t>
        </is>
      </c>
      <c r="D240" s="6" t="inlineStr">
        <is>
          <t>Clinical Database Programmer</t>
        </is>
      </c>
      <c r="E240" s="9" t="n">
        <v>1.21</v>
      </c>
      <c r="F240" s="7" t="inlineStr">
        <is>
          <t>Illustrative - replace with your figure</t>
        </is>
      </c>
    </row>
    <row r="241">
      <c r="A241" s="6" t="inlineStr">
        <is>
          <t>Biosimilar CT</t>
        </is>
      </c>
      <c r="B241" s="6" t="inlineStr">
        <is>
          <t>Phase 3</t>
        </is>
      </c>
      <c r="C241" s="6" t="inlineStr">
        <is>
          <t>Close-out (final)</t>
        </is>
      </c>
      <c r="D241" s="6" t="inlineStr">
        <is>
          <t>Data Analyst</t>
        </is>
      </c>
      <c r="E241" s="9" t="n">
        <v>1.35</v>
      </c>
      <c r="F241" s="7" t="inlineStr">
        <is>
          <t>Illustrative - replace with your figure</t>
        </is>
      </c>
    </row>
    <row r="242">
      <c r="A242" s="6" t="inlineStr">
        <is>
          <t>Biosimilar CT</t>
        </is>
      </c>
      <c r="B242" s="6" t="inlineStr">
        <is>
          <t>Phase 3</t>
        </is>
      </c>
      <c r="C242" s="6" t="inlineStr">
        <is>
          <t>After Close-out (final)</t>
        </is>
      </c>
      <c r="D242" s="6" t="inlineStr">
        <is>
          <t>Project oversight</t>
        </is>
      </c>
      <c r="E242" s="9" t="n">
        <v>0.64</v>
      </c>
      <c r="F242" s="7" t="inlineStr">
        <is>
          <t>Illustrative - replace with your figure</t>
        </is>
      </c>
    </row>
    <row r="243">
      <c r="A243" s="6" t="inlineStr">
        <is>
          <t>Biosimilar CT</t>
        </is>
      </c>
      <c r="B243" s="6" t="inlineStr">
        <is>
          <t>Phase 3</t>
        </is>
      </c>
      <c r="C243" s="6" t="inlineStr">
        <is>
          <t>After Close-out (final)</t>
        </is>
      </c>
      <c r="D243" s="6" t="inlineStr">
        <is>
          <t>Lead data manager</t>
        </is>
      </c>
      <c r="E243" s="9" t="n">
        <v>0.84</v>
      </c>
      <c r="F243" s="7" t="inlineStr">
        <is>
          <t>Illustrative - replace with your figure</t>
        </is>
      </c>
    </row>
    <row r="244">
      <c r="A244" s="6" t="inlineStr">
        <is>
          <t>Biosimilar CT</t>
        </is>
      </c>
      <c r="B244" s="6" t="inlineStr">
        <is>
          <t>Phase 3</t>
        </is>
      </c>
      <c r="C244" s="6" t="inlineStr">
        <is>
          <t>After Close-out (final)</t>
        </is>
      </c>
      <c r="D244" s="6" t="inlineStr">
        <is>
          <t>Clinical Data Associator</t>
        </is>
      </c>
      <c r="E244" s="9" t="n">
        <v>0.5</v>
      </c>
      <c r="F244" s="7" t="inlineStr">
        <is>
          <t>Illustrative - replace with your figure</t>
        </is>
      </c>
    </row>
    <row r="245">
      <c r="A245" s="6" t="inlineStr">
        <is>
          <t>Biosimilar CT</t>
        </is>
      </c>
      <c r="B245" s="6" t="inlineStr">
        <is>
          <t>Phase 3</t>
        </is>
      </c>
      <c r="C245" s="6" t="inlineStr">
        <is>
          <t>After Close-out (final)</t>
        </is>
      </c>
      <c r="D245" s="6" t="inlineStr">
        <is>
          <t>Clinical Database Programmer</t>
        </is>
      </c>
      <c r="E245" s="9" t="n">
        <v>0.44</v>
      </c>
      <c r="F245" s="7" t="inlineStr">
        <is>
          <t>Illustrative - replace with your figure</t>
        </is>
      </c>
    </row>
    <row r="246">
      <c r="A246" s="6" t="inlineStr">
        <is>
          <t>Biosimilar CT</t>
        </is>
      </c>
      <c r="B246" s="6" t="inlineStr">
        <is>
          <t>Phase 3</t>
        </is>
      </c>
      <c r="C246" s="6" t="inlineStr">
        <is>
          <t>After Close-out (final)</t>
        </is>
      </c>
      <c r="D246" s="6" t="inlineStr">
        <is>
          <t>Data Analyst</t>
        </is>
      </c>
      <c r="E246" s="9" t="n">
        <v>0.8100000000000001</v>
      </c>
      <c r="F246" s="7" t="inlineStr">
        <is>
          <t>Illustrative - replace with your figure</t>
        </is>
      </c>
    </row>
    <row r="247">
      <c r="A247" s="6" t="inlineStr">
        <is>
          <t>Biosimilar CT</t>
        </is>
      </c>
      <c r="B247" s="6" t="inlineStr">
        <is>
          <t>Phase 4</t>
        </is>
      </c>
      <c r="C247" s="6" t="inlineStr">
        <is>
          <t>Before-Start-up</t>
        </is>
      </c>
      <c r="D247" s="6" t="inlineStr">
        <is>
          <t>Project oversight</t>
        </is>
      </c>
      <c r="E247" s="9" t="n">
        <v>0.62</v>
      </c>
      <c r="F247" s="7" t="inlineStr">
        <is>
          <t>Illustrative - replace with your figure</t>
        </is>
      </c>
    </row>
    <row r="248">
      <c r="A248" s="6" t="inlineStr">
        <is>
          <t>Biosimilar CT</t>
        </is>
      </c>
      <c r="B248" s="6" t="inlineStr">
        <is>
          <t>Phase 4</t>
        </is>
      </c>
      <c r="C248" s="6" t="inlineStr">
        <is>
          <t>Before-Start-up</t>
        </is>
      </c>
      <c r="D248" s="6" t="inlineStr">
        <is>
          <t>Lead data manager</t>
        </is>
      </c>
      <c r="E248" s="9" t="n">
        <v>0.82</v>
      </c>
      <c r="F248" s="7" t="inlineStr">
        <is>
          <t>Illustrative - replace with your figure</t>
        </is>
      </c>
    </row>
    <row r="249">
      <c r="A249" s="6" t="inlineStr">
        <is>
          <t>Biosimilar CT</t>
        </is>
      </c>
      <c r="B249" s="6" t="inlineStr">
        <is>
          <t>Phase 4</t>
        </is>
      </c>
      <c r="C249" s="6" t="inlineStr">
        <is>
          <t>Before-Start-up</t>
        </is>
      </c>
      <c r="D249" s="6" t="inlineStr">
        <is>
          <t>Clinical Data Associator</t>
        </is>
      </c>
      <c r="E249" s="9" t="n">
        <v>0.43</v>
      </c>
      <c r="F249" s="7" t="inlineStr">
        <is>
          <t>Illustrative - replace with your figure</t>
        </is>
      </c>
    </row>
    <row r="250">
      <c r="A250" s="6" t="inlineStr">
        <is>
          <t>Biosimilar CT</t>
        </is>
      </c>
      <c r="B250" s="6" t="inlineStr">
        <is>
          <t>Phase 4</t>
        </is>
      </c>
      <c r="C250" s="6" t="inlineStr">
        <is>
          <t>Before-Start-up</t>
        </is>
      </c>
      <c r="D250" s="6" t="inlineStr">
        <is>
          <t>Clinical Database Programmer</t>
        </is>
      </c>
      <c r="E250" s="9" t="n">
        <v>0.66</v>
      </c>
      <c r="F250" s="7" t="inlineStr">
        <is>
          <t>Illustrative - replace with your figure</t>
        </is>
      </c>
    </row>
    <row r="251">
      <c r="A251" s="6" t="inlineStr">
        <is>
          <t>Biosimilar CT</t>
        </is>
      </c>
      <c r="B251" s="6" t="inlineStr">
        <is>
          <t>Phase 4</t>
        </is>
      </c>
      <c r="C251" s="6" t="inlineStr">
        <is>
          <t>Before-Start-up</t>
        </is>
      </c>
      <c r="D251" s="6" t="inlineStr">
        <is>
          <t>Data Analyst</t>
        </is>
      </c>
      <c r="E251" s="9" t="n">
        <v>0.31</v>
      </c>
      <c r="F251" s="7" t="inlineStr">
        <is>
          <t>Illustrative - replace with your figure</t>
        </is>
      </c>
    </row>
    <row r="252">
      <c r="A252" s="6" t="inlineStr">
        <is>
          <t>Biosimilar CT</t>
        </is>
      </c>
      <c r="B252" s="6" t="inlineStr">
        <is>
          <t>Phase 4</t>
        </is>
      </c>
      <c r="C252" s="6" t="inlineStr">
        <is>
          <t>Start-up</t>
        </is>
      </c>
      <c r="D252" s="6" t="inlineStr">
        <is>
          <t>Project oversight</t>
        </is>
      </c>
      <c r="E252" s="9" t="n">
        <v>0.68</v>
      </c>
      <c r="F252" s="7" t="inlineStr">
        <is>
          <t>Illustrative - replace with your figure</t>
        </is>
      </c>
    </row>
    <row r="253">
      <c r="A253" s="6" t="inlineStr">
        <is>
          <t>Biosimilar CT</t>
        </is>
      </c>
      <c r="B253" s="6" t="inlineStr">
        <is>
          <t>Phase 4</t>
        </is>
      </c>
      <c r="C253" s="6" t="inlineStr">
        <is>
          <t>Start-up</t>
        </is>
      </c>
      <c r="D253" s="6" t="inlineStr">
        <is>
          <t>Lead data manager</t>
        </is>
      </c>
      <c r="E253" s="9" t="n">
        <v>1.23</v>
      </c>
      <c r="F253" s="7" t="inlineStr">
        <is>
          <t>Illustrative - replace with your figure</t>
        </is>
      </c>
    </row>
    <row r="254">
      <c r="A254" s="6" t="inlineStr">
        <is>
          <t>Biosimilar CT</t>
        </is>
      </c>
      <c r="B254" s="6" t="inlineStr">
        <is>
          <t>Phase 4</t>
        </is>
      </c>
      <c r="C254" s="6" t="inlineStr">
        <is>
          <t>Start-up</t>
        </is>
      </c>
      <c r="D254" s="6" t="inlineStr">
        <is>
          <t>Clinical Data Associator</t>
        </is>
      </c>
      <c r="E254" s="9" t="n">
        <v>0.68</v>
      </c>
      <c r="F254" s="7" t="inlineStr">
        <is>
          <t>Illustrative - replace with your figure</t>
        </is>
      </c>
    </row>
    <row r="255">
      <c r="A255" s="6" t="inlineStr">
        <is>
          <t>Biosimilar CT</t>
        </is>
      </c>
      <c r="B255" s="6" t="inlineStr">
        <is>
          <t>Phase 4</t>
        </is>
      </c>
      <c r="C255" s="6" t="inlineStr">
        <is>
          <t>Start-up</t>
        </is>
      </c>
      <c r="D255" s="6" t="inlineStr">
        <is>
          <t>Clinical Database Programmer</t>
        </is>
      </c>
      <c r="E255" s="9" t="n">
        <v>1.41</v>
      </c>
      <c r="F255" s="7" t="inlineStr">
        <is>
          <t>Illustrative - replace with your figure</t>
        </is>
      </c>
    </row>
    <row r="256">
      <c r="A256" s="6" t="inlineStr">
        <is>
          <t>Biosimilar CT</t>
        </is>
      </c>
      <c r="B256" s="6" t="inlineStr">
        <is>
          <t>Phase 4</t>
        </is>
      </c>
      <c r="C256" s="6" t="inlineStr">
        <is>
          <t>Start-up</t>
        </is>
      </c>
      <c r="D256" s="6" t="inlineStr">
        <is>
          <t>Data Analyst</t>
        </is>
      </c>
      <c r="E256" s="9" t="n">
        <v>0.46</v>
      </c>
      <c r="F256" s="7" t="inlineStr">
        <is>
          <t>Illustrative - replace with your figure</t>
        </is>
      </c>
    </row>
    <row r="257">
      <c r="A257" s="6" t="inlineStr">
        <is>
          <t>Biosimilar CT</t>
        </is>
      </c>
      <c r="B257" s="6" t="inlineStr">
        <is>
          <t>Phase 4</t>
        </is>
      </c>
      <c r="C257" s="6" t="inlineStr">
        <is>
          <t>Conduct (interim)</t>
        </is>
      </c>
      <c r="D257" s="6" t="inlineStr">
        <is>
          <t>Project oversight</t>
        </is>
      </c>
      <c r="E257" s="9" t="n">
        <v>0.68</v>
      </c>
      <c r="F257" s="7" t="inlineStr">
        <is>
          <t>Illustrative - replace with your figure</t>
        </is>
      </c>
    </row>
    <row r="258">
      <c r="A258" s="6" t="inlineStr">
        <is>
          <t>Biosimilar CT</t>
        </is>
      </c>
      <c r="B258" s="6" t="inlineStr">
        <is>
          <t>Phase 4</t>
        </is>
      </c>
      <c r="C258" s="6" t="inlineStr">
        <is>
          <t>Conduct (interim)</t>
        </is>
      </c>
      <c r="D258" s="6" t="inlineStr">
        <is>
          <t>Lead data manager</t>
        </is>
      </c>
      <c r="E258" s="9" t="n">
        <v>1.03</v>
      </c>
      <c r="F258" s="7" t="inlineStr">
        <is>
          <t>Illustrative - replace with your figure</t>
        </is>
      </c>
    </row>
    <row r="259">
      <c r="A259" s="6" t="inlineStr">
        <is>
          <t>Biosimilar CT</t>
        </is>
      </c>
      <c r="B259" s="6" t="inlineStr">
        <is>
          <t>Phase 4</t>
        </is>
      </c>
      <c r="C259" s="6" t="inlineStr">
        <is>
          <t>Conduct (interim)</t>
        </is>
      </c>
      <c r="D259" s="6" t="inlineStr">
        <is>
          <t>Clinical Data Associator</t>
        </is>
      </c>
      <c r="E259" s="9" t="n">
        <v>1.11</v>
      </c>
      <c r="F259" s="7" t="inlineStr">
        <is>
          <t>Illustrative - replace with your figure</t>
        </is>
      </c>
    </row>
    <row r="260">
      <c r="A260" s="6" t="inlineStr">
        <is>
          <t>Biosimilar CT</t>
        </is>
      </c>
      <c r="B260" s="6" t="inlineStr">
        <is>
          <t>Phase 4</t>
        </is>
      </c>
      <c r="C260" s="6" t="inlineStr">
        <is>
          <t>Conduct (interim)</t>
        </is>
      </c>
      <c r="D260" s="6" t="inlineStr">
        <is>
          <t>Clinical Database Programmer</t>
        </is>
      </c>
      <c r="E260" s="9" t="n">
        <v>0.75</v>
      </c>
      <c r="F260" s="7" t="inlineStr">
        <is>
          <t>Illustrative - replace with your figure</t>
        </is>
      </c>
    </row>
    <row r="261">
      <c r="A261" s="6" t="inlineStr">
        <is>
          <t>Biosimilar CT</t>
        </is>
      </c>
      <c r="B261" s="6" t="inlineStr">
        <is>
          <t>Phase 4</t>
        </is>
      </c>
      <c r="C261" s="6" t="inlineStr">
        <is>
          <t>Conduct (interim)</t>
        </is>
      </c>
      <c r="D261" s="6" t="inlineStr">
        <is>
          <t>Data Analyst</t>
        </is>
      </c>
      <c r="E261" s="9" t="n">
        <v>0.6899999999999999</v>
      </c>
      <c r="F261" s="7" t="inlineStr">
        <is>
          <t>Illustrative - replace with your figure</t>
        </is>
      </c>
    </row>
    <row r="262">
      <c r="A262" s="6" t="inlineStr">
        <is>
          <t>Biosimilar CT</t>
        </is>
      </c>
      <c r="B262" s="6" t="inlineStr">
        <is>
          <t>Phase 4</t>
        </is>
      </c>
      <c r="C262" s="6" t="inlineStr">
        <is>
          <t>Close-out (interim)</t>
        </is>
      </c>
      <c r="D262" s="6" t="inlineStr">
        <is>
          <t>Project oversight</t>
        </is>
      </c>
      <c r="E262" s="9" t="n">
        <v>0.68</v>
      </c>
      <c r="F262" s="7" t="inlineStr">
        <is>
          <t>Illustrative - replace with your figure</t>
        </is>
      </c>
    </row>
    <row r="263">
      <c r="A263" s="6" t="inlineStr">
        <is>
          <t>Biosimilar CT</t>
        </is>
      </c>
      <c r="B263" s="6" t="inlineStr">
        <is>
          <t>Phase 4</t>
        </is>
      </c>
      <c r="C263" s="6" t="inlineStr">
        <is>
          <t>Close-out (interim)</t>
        </is>
      </c>
      <c r="D263" s="6" t="inlineStr">
        <is>
          <t>Lead data manager</t>
        </is>
      </c>
      <c r="E263" s="9" t="n">
        <v>1.13</v>
      </c>
      <c r="F263" s="7" t="inlineStr">
        <is>
          <t>Illustrative - replace with your figure</t>
        </is>
      </c>
    </row>
    <row r="264">
      <c r="A264" s="6" t="inlineStr">
        <is>
          <t>Biosimilar CT</t>
        </is>
      </c>
      <c r="B264" s="6" t="inlineStr">
        <is>
          <t>Phase 4</t>
        </is>
      </c>
      <c r="C264" s="6" t="inlineStr">
        <is>
          <t>Close-out (interim)</t>
        </is>
      </c>
      <c r="D264" s="6" t="inlineStr">
        <is>
          <t>Clinical Data Associator</t>
        </is>
      </c>
      <c r="E264" s="9" t="n">
        <v>0.9399999999999999</v>
      </c>
      <c r="F264" s="7" t="inlineStr">
        <is>
          <t>Illustrative - replace with your figure</t>
        </is>
      </c>
    </row>
    <row r="265">
      <c r="A265" s="6" t="inlineStr">
        <is>
          <t>Biosimilar CT</t>
        </is>
      </c>
      <c r="B265" s="6" t="inlineStr">
        <is>
          <t>Phase 4</t>
        </is>
      </c>
      <c r="C265" s="6" t="inlineStr">
        <is>
          <t>Close-out (interim)</t>
        </is>
      </c>
      <c r="D265" s="6" t="inlineStr">
        <is>
          <t>Clinical Database Programmer</t>
        </is>
      </c>
      <c r="E265" s="9" t="n">
        <v>0.9399999999999999</v>
      </c>
      <c r="F265" s="7" t="inlineStr">
        <is>
          <t>Illustrative - replace with your figure</t>
        </is>
      </c>
    </row>
    <row r="266">
      <c r="A266" s="6" t="inlineStr">
        <is>
          <t>Biosimilar CT</t>
        </is>
      </c>
      <c r="B266" s="6" t="inlineStr">
        <is>
          <t>Phase 4</t>
        </is>
      </c>
      <c r="C266" s="6" t="inlineStr">
        <is>
          <t>Close-out (interim)</t>
        </is>
      </c>
      <c r="D266" s="6" t="inlineStr">
        <is>
          <t>Data Analyst</t>
        </is>
      </c>
      <c r="E266" s="9" t="n">
        <v>1</v>
      </c>
      <c r="F266" s="7" t="inlineStr">
        <is>
          <t>Illustrative - replace with your figure</t>
        </is>
      </c>
    </row>
    <row r="267">
      <c r="A267" s="6" t="inlineStr">
        <is>
          <t>Biosimilar CT</t>
        </is>
      </c>
      <c r="B267" s="6" t="inlineStr">
        <is>
          <t>Phase 4</t>
        </is>
      </c>
      <c r="C267" s="6" t="inlineStr">
        <is>
          <t>Conduct (final)</t>
        </is>
      </c>
      <c r="D267" s="6" t="inlineStr">
        <is>
          <t>Project oversight</t>
        </is>
      </c>
      <c r="E267" s="9" t="n">
        <v>0.68</v>
      </c>
      <c r="F267" s="7" t="inlineStr">
        <is>
          <t>Illustrative - replace with your figure</t>
        </is>
      </c>
    </row>
    <row r="268">
      <c r="A268" s="6" t="inlineStr">
        <is>
          <t>Biosimilar CT</t>
        </is>
      </c>
      <c r="B268" s="6" t="inlineStr">
        <is>
          <t>Phase 4</t>
        </is>
      </c>
      <c r="C268" s="6" t="inlineStr">
        <is>
          <t>Conduct (final)</t>
        </is>
      </c>
      <c r="D268" s="6" t="inlineStr">
        <is>
          <t>Lead data manager</t>
        </is>
      </c>
      <c r="E268" s="9" t="n">
        <v>1.03</v>
      </c>
      <c r="F268" s="7" t="inlineStr">
        <is>
          <t>Illustrative - replace with your figure</t>
        </is>
      </c>
    </row>
    <row r="269">
      <c r="A269" s="6" t="inlineStr">
        <is>
          <t>Biosimilar CT</t>
        </is>
      </c>
      <c r="B269" s="6" t="inlineStr">
        <is>
          <t>Phase 4</t>
        </is>
      </c>
      <c r="C269" s="6" t="inlineStr">
        <is>
          <t>Conduct (final)</t>
        </is>
      </c>
      <c r="D269" s="6" t="inlineStr">
        <is>
          <t>Clinical Data Associator</t>
        </is>
      </c>
      <c r="E269" s="9" t="n">
        <v>1.11</v>
      </c>
      <c r="F269" s="7" t="inlineStr">
        <is>
          <t>Illustrative - replace with your figure</t>
        </is>
      </c>
    </row>
    <row r="270">
      <c r="A270" s="6" t="inlineStr">
        <is>
          <t>Biosimilar CT</t>
        </is>
      </c>
      <c r="B270" s="6" t="inlineStr">
        <is>
          <t>Phase 4</t>
        </is>
      </c>
      <c r="C270" s="6" t="inlineStr">
        <is>
          <t>Conduct (final)</t>
        </is>
      </c>
      <c r="D270" s="6" t="inlineStr">
        <is>
          <t>Clinical Database Programmer</t>
        </is>
      </c>
      <c r="E270" s="9" t="n">
        <v>0.75</v>
      </c>
      <c r="F270" s="7" t="inlineStr">
        <is>
          <t>Illustrative - replace with your figure</t>
        </is>
      </c>
    </row>
    <row r="271">
      <c r="A271" s="6" t="inlineStr">
        <is>
          <t>Biosimilar CT</t>
        </is>
      </c>
      <c r="B271" s="6" t="inlineStr">
        <is>
          <t>Phase 4</t>
        </is>
      </c>
      <c r="C271" s="6" t="inlineStr">
        <is>
          <t>Conduct (final)</t>
        </is>
      </c>
      <c r="D271" s="6" t="inlineStr">
        <is>
          <t>Data Analyst</t>
        </is>
      </c>
      <c r="E271" s="9" t="n">
        <v>0.6899999999999999</v>
      </c>
      <c r="F271" s="7" t="inlineStr">
        <is>
          <t>Illustrative - replace with your figure</t>
        </is>
      </c>
    </row>
    <row r="272">
      <c r="A272" s="6" t="inlineStr">
        <is>
          <t>Biosimilar CT</t>
        </is>
      </c>
      <c r="B272" s="6" t="inlineStr">
        <is>
          <t>Phase 4</t>
        </is>
      </c>
      <c r="C272" s="6" t="inlineStr">
        <is>
          <t>Close-out (final)</t>
        </is>
      </c>
      <c r="D272" s="6" t="inlineStr">
        <is>
          <t>Project oversight</t>
        </is>
      </c>
      <c r="E272" s="9" t="n">
        <v>0.68</v>
      </c>
      <c r="F272" s="7" t="inlineStr">
        <is>
          <t>Illustrative - replace with your figure</t>
        </is>
      </c>
    </row>
    <row r="273">
      <c r="A273" s="6" t="inlineStr">
        <is>
          <t>Biosimilar CT</t>
        </is>
      </c>
      <c r="B273" s="6" t="inlineStr">
        <is>
          <t>Phase 4</t>
        </is>
      </c>
      <c r="C273" s="6" t="inlineStr">
        <is>
          <t>Close-out (final)</t>
        </is>
      </c>
      <c r="D273" s="6" t="inlineStr">
        <is>
          <t>Lead data manager</t>
        </is>
      </c>
      <c r="E273" s="9" t="n">
        <v>1.23</v>
      </c>
      <c r="F273" s="7" t="inlineStr">
        <is>
          <t>Illustrative - replace with your figure</t>
        </is>
      </c>
    </row>
    <row r="274">
      <c r="A274" s="6" t="inlineStr">
        <is>
          <t>Biosimilar CT</t>
        </is>
      </c>
      <c r="B274" s="6" t="inlineStr">
        <is>
          <t>Phase 4</t>
        </is>
      </c>
      <c r="C274" s="6" t="inlineStr">
        <is>
          <t>Close-out (final)</t>
        </is>
      </c>
      <c r="D274" s="6" t="inlineStr">
        <is>
          <t>Clinical Data Associator</t>
        </is>
      </c>
      <c r="E274" s="9" t="n">
        <v>0.77</v>
      </c>
      <c r="F274" s="7" t="inlineStr">
        <is>
          <t>Illustrative - replace with your figure</t>
        </is>
      </c>
    </row>
    <row r="275">
      <c r="A275" s="6" t="inlineStr">
        <is>
          <t>Biosimilar CT</t>
        </is>
      </c>
      <c r="B275" s="6" t="inlineStr">
        <is>
          <t>Phase 4</t>
        </is>
      </c>
      <c r="C275" s="6" t="inlineStr">
        <is>
          <t>Close-out (final)</t>
        </is>
      </c>
      <c r="D275" s="6" t="inlineStr">
        <is>
          <t>Clinical Database Programmer</t>
        </is>
      </c>
      <c r="E275" s="9" t="n">
        <v>1.03</v>
      </c>
      <c r="F275" s="7" t="inlineStr">
        <is>
          <t>Illustrative - replace with your figure</t>
        </is>
      </c>
    </row>
    <row r="276">
      <c r="A276" s="6" t="inlineStr">
        <is>
          <t>Biosimilar CT</t>
        </is>
      </c>
      <c r="B276" s="6" t="inlineStr">
        <is>
          <t>Phase 4</t>
        </is>
      </c>
      <c r="C276" s="6" t="inlineStr">
        <is>
          <t>Close-out (final)</t>
        </is>
      </c>
      <c r="D276" s="6" t="inlineStr">
        <is>
          <t>Data Analyst</t>
        </is>
      </c>
      <c r="E276" s="9" t="n">
        <v>1.15</v>
      </c>
      <c r="F276" s="7" t="inlineStr">
        <is>
          <t>Illustrative - replace with your figure</t>
        </is>
      </c>
    </row>
    <row r="277">
      <c r="A277" s="6" t="inlineStr">
        <is>
          <t>Biosimilar CT</t>
        </is>
      </c>
      <c r="B277" s="6" t="inlineStr">
        <is>
          <t>Phase 4</t>
        </is>
      </c>
      <c r="C277" s="6" t="inlineStr">
        <is>
          <t>After Close-out (final)</t>
        </is>
      </c>
      <c r="D277" s="6" t="inlineStr">
        <is>
          <t>Project oversight</t>
        </is>
      </c>
      <c r="E277" s="9" t="n">
        <v>0.55</v>
      </c>
      <c r="F277" s="7" t="inlineStr">
        <is>
          <t>Illustrative - replace with your figure</t>
        </is>
      </c>
    </row>
    <row r="278">
      <c r="A278" s="6" t="inlineStr">
        <is>
          <t>Biosimilar CT</t>
        </is>
      </c>
      <c r="B278" s="6" t="inlineStr">
        <is>
          <t>Phase 4</t>
        </is>
      </c>
      <c r="C278" s="6" t="inlineStr">
        <is>
          <t>After Close-out (final)</t>
        </is>
      </c>
      <c r="D278" s="6" t="inlineStr">
        <is>
          <t>Lead data manager</t>
        </is>
      </c>
      <c r="E278" s="9" t="n">
        <v>0.72</v>
      </c>
      <c r="F278" s="7" t="inlineStr">
        <is>
          <t>Illustrative - replace with your figure</t>
        </is>
      </c>
    </row>
    <row r="279">
      <c r="A279" s="6" t="inlineStr">
        <is>
          <t>Biosimilar CT</t>
        </is>
      </c>
      <c r="B279" s="6" t="inlineStr">
        <is>
          <t>Phase 4</t>
        </is>
      </c>
      <c r="C279" s="6" t="inlineStr">
        <is>
          <t>After Close-out (final)</t>
        </is>
      </c>
      <c r="D279" s="6" t="inlineStr">
        <is>
          <t>Clinical Data Associator</t>
        </is>
      </c>
      <c r="E279" s="9" t="n">
        <v>0.43</v>
      </c>
      <c r="F279" s="7" t="inlineStr">
        <is>
          <t>Illustrative - replace with your figure</t>
        </is>
      </c>
    </row>
    <row r="280">
      <c r="A280" s="6" t="inlineStr">
        <is>
          <t>Biosimilar CT</t>
        </is>
      </c>
      <c r="B280" s="6" t="inlineStr">
        <is>
          <t>Phase 4</t>
        </is>
      </c>
      <c r="C280" s="6" t="inlineStr">
        <is>
          <t>After Close-out (final)</t>
        </is>
      </c>
      <c r="D280" s="6" t="inlineStr">
        <is>
          <t>Clinical Database Programmer</t>
        </is>
      </c>
      <c r="E280" s="9" t="n">
        <v>0.38</v>
      </c>
      <c r="F280" s="7" t="inlineStr">
        <is>
          <t>Illustrative - replace with your figure</t>
        </is>
      </c>
    </row>
    <row r="281">
      <c r="A281" s="6" t="inlineStr">
        <is>
          <t>Biosimilar CT</t>
        </is>
      </c>
      <c r="B281" s="6" t="inlineStr">
        <is>
          <t>Phase 4</t>
        </is>
      </c>
      <c r="C281" s="6" t="inlineStr">
        <is>
          <t>After Close-out (final)</t>
        </is>
      </c>
      <c r="D281" s="6" t="inlineStr">
        <is>
          <t>Data Analyst</t>
        </is>
      </c>
      <c r="E281" s="9" t="n">
        <v>0.6899999999999999</v>
      </c>
      <c r="F281" s="7" t="inlineStr">
        <is>
          <t>Illustrative - replace with your figure</t>
        </is>
      </c>
    </row>
    <row r="282">
      <c r="A282" s="6" t="inlineStr">
        <is>
          <t>Others</t>
        </is>
      </c>
      <c r="B282" s="7" t="n"/>
      <c r="C282" s="6" t="inlineStr">
        <is>
          <t>Planning</t>
        </is>
      </c>
      <c r="D282" s="6" t="inlineStr">
        <is>
          <t>Project lead</t>
        </is>
      </c>
      <c r="E282" s="9" t="n">
        <v>1.1</v>
      </c>
      <c r="F282" s="7" t="inlineStr">
        <is>
          <t>Illustrative</t>
        </is>
      </c>
    </row>
    <row r="283">
      <c r="A283" s="6" t="inlineStr">
        <is>
          <t>Others</t>
        </is>
      </c>
      <c r="B283" s="7" t="n"/>
      <c r="C283" s="6" t="inlineStr">
        <is>
          <t>Planning</t>
        </is>
      </c>
      <c r="D283" s="6" t="inlineStr">
        <is>
          <t>Main staff</t>
        </is>
      </c>
      <c r="E283" s="9" t="n">
        <v>0.63</v>
      </c>
      <c r="F283" s="7" t="inlineStr">
        <is>
          <t>Illustrative</t>
        </is>
      </c>
    </row>
    <row r="284">
      <c r="A284" s="6" t="inlineStr">
        <is>
          <t>Others</t>
        </is>
      </c>
      <c r="B284" s="7" t="n"/>
      <c r="C284" s="6" t="inlineStr">
        <is>
          <t>Planning</t>
        </is>
      </c>
      <c r="D284" s="6" t="inlineStr">
        <is>
          <t>Other staff</t>
        </is>
      </c>
      <c r="E284" s="9" t="n">
        <v>0.42</v>
      </c>
      <c r="F284" s="7" t="inlineStr">
        <is>
          <t>Illustrative</t>
        </is>
      </c>
    </row>
    <row r="285">
      <c r="A285" s="6" t="inlineStr">
        <is>
          <t>Others</t>
        </is>
      </c>
      <c r="B285" s="7" t="n"/>
      <c r="C285" s="6" t="inlineStr">
        <is>
          <t>Develop</t>
        </is>
      </c>
      <c r="D285" s="6" t="inlineStr">
        <is>
          <t>Project lead</t>
        </is>
      </c>
      <c r="E285" s="9" t="n">
        <v>1</v>
      </c>
      <c r="F285" s="7" t="inlineStr">
        <is>
          <t>Illustrative</t>
        </is>
      </c>
    </row>
    <row r="286">
      <c r="A286" s="6" t="inlineStr">
        <is>
          <t>Others</t>
        </is>
      </c>
      <c r="B286" s="7" t="n"/>
      <c r="C286" s="6" t="inlineStr">
        <is>
          <t>Develop</t>
        </is>
      </c>
      <c r="D286" s="6" t="inlineStr">
        <is>
          <t>Main staff</t>
        </is>
      </c>
      <c r="E286" s="9" t="n">
        <v>1.08</v>
      </c>
      <c r="F286" s="7" t="inlineStr">
        <is>
          <t>Illustrative</t>
        </is>
      </c>
    </row>
    <row r="287">
      <c r="A287" s="6" t="inlineStr">
        <is>
          <t>Others</t>
        </is>
      </c>
      <c r="B287" s="7" t="n"/>
      <c r="C287" s="6" t="inlineStr">
        <is>
          <t>Develop</t>
        </is>
      </c>
      <c r="D287" s="6" t="inlineStr">
        <is>
          <t>Other staff</t>
        </is>
      </c>
      <c r="E287" s="9" t="n">
        <v>0.77</v>
      </c>
      <c r="F287" s="7" t="inlineStr">
        <is>
          <t>Illustrative</t>
        </is>
      </c>
    </row>
    <row r="288">
      <c r="A288" s="6" t="inlineStr">
        <is>
          <t>Others</t>
        </is>
      </c>
      <c r="B288" s="7" t="n"/>
      <c r="C288" s="6" t="inlineStr">
        <is>
          <t>Close</t>
        </is>
      </c>
      <c r="D288" s="6" t="inlineStr">
        <is>
          <t>Project lead</t>
        </is>
      </c>
      <c r="E288" s="9" t="n">
        <v>0.9</v>
      </c>
      <c r="F288" s="7" t="inlineStr">
        <is>
          <t>Illustrative</t>
        </is>
      </c>
    </row>
    <row r="289">
      <c r="A289" s="6" t="inlineStr">
        <is>
          <t>Others</t>
        </is>
      </c>
      <c r="B289" s="7" t="n"/>
      <c r="C289" s="6" t="inlineStr">
        <is>
          <t>Close</t>
        </is>
      </c>
      <c r="D289" s="6" t="inlineStr">
        <is>
          <t>Main staff</t>
        </is>
      </c>
      <c r="E289" s="9" t="n">
        <v>0.8100000000000001</v>
      </c>
      <c r="F289" s="7" t="inlineStr">
        <is>
          <t>Illustrative</t>
        </is>
      </c>
    </row>
    <row r="290">
      <c r="A290" s="6" t="inlineStr">
        <is>
          <t>Others</t>
        </is>
      </c>
      <c r="B290" s="7" t="n"/>
      <c r="C290" s="6" t="inlineStr">
        <is>
          <t>Close</t>
        </is>
      </c>
      <c r="D290" s="6" t="inlineStr">
        <is>
          <t>Other staff</t>
        </is>
      </c>
      <c r="E290" s="9" t="n">
        <v>0.7</v>
      </c>
      <c r="F290" s="7" t="inlineStr">
        <is>
          <t>Illustrative</t>
        </is>
      </c>
    </row>
  </sheetData>
  <dataValidations count="2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Clinical Operations</t>
        </is>
      </c>
      <c r="D2" s="7" t="inlineStr">
        <is>
          <t>Project oversight</t>
        </is>
      </c>
      <c r="E2" s="7" t="n">
        <v>1</v>
      </c>
      <c r="F2" s="8" t="n"/>
      <c r="G2" s="8" t="n"/>
      <c r="H2" s="7" t="n"/>
      <c r="I2" s="7" t="n"/>
      <c r="J2" s="7" t="n"/>
      <c r="K2" s="7" t="n"/>
      <c r="L2" s="7" t="n"/>
    </row>
    <row r="3">
      <c r="A3" s="6" t="inlineStr">
        <is>
          <t>PSN-002</t>
        </is>
      </c>
      <c r="B3" s="7" t="inlineStr">
        <is>
          <t>Park J.</t>
        </is>
      </c>
      <c r="C3" s="7" t="inlineStr">
        <is>
          <t>Clinical Operations</t>
        </is>
      </c>
      <c r="D3" s="7" t="inlineStr">
        <is>
          <t>Project oversight</t>
        </is>
      </c>
      <c r="E3" s="7" t="n">
        <v>1</v>
      </c>
      <c r="F3" s="8" t="n"/>
      <c r="G3" s="8" t="n"/>
      <c r="H3" s="7" t="n"/>
      <c r="I3" s="7" t="n"/>
      <c r="J3" s="7" t="n"/>
      <c r="K3" s="7" t="n"/>
      <c r="L3" s="7" t="n"/>
    </row>
    <row r="4">
      <c r="A4" s="6" t="inlineStr">
        <is>
          <t>PSN-003</t>
        </is>
      </c>
      <c r="B4" s="7" t="inlineStr">
        <is>
          <t>Lee H.</t>
        </is>
      </c>
      <c r="C4" s="7" t="inlineStr">
        <is>
          <t>Clinical Operations</t>
        </is>
      </c>
      <c r="D4" s="7" t="inlineStr">
        <is>
          <t>Project oversight</t>
        </is>
      </c>
      <c r="E4" s="7" t="n">
        <v>1</v>
      </c>
      <c r="F4" s="8" t="n"/>
      <c r="G4" s="8" t="n"/>
      <c r="H4" s="7" t="n"/>
      <c r="I4" s="7" t="n"/>
      <c r="J4" s="7" t="n"/>
      <c r="K4" s="7" t="n"/>
      <c r="L4" s="7" t="n"/>
    </row>
    <row r="5">
      <c r="A5" s="6" t="inlineStr">
        <is>
          <t>PSN-004</t>
        </is>
      </c>
      <c r="B5" s="7" t="inlineStr">
        <is>
          <t>Choi M.</t>
        </is>
      </c>
      <c r="C5" s="7" t="inlineStr">
        <is>
          <t>Data Management</t>
        </is>
      </c>
      <c r="D5" s="7" t="inlineStr">
        <is>
          <t>Lead data manager</t>
        </is>
      </c>
      <c r="E5" s="7" t="n">
        <v>0.8</v>
      </c>
      <c r="F5" s="8" t="n"/>
      <c r="G5" s="8" t="n"/>
      <c r="H5" s="7" t="n"/>
      <c r="I5" s="7" t="n"/>
      <c r="J5" s="7" t="n"/>
      <c r="K5" s="7" t="n"/>
      <c r="L5" s="7" t="n"/>
    </row>
    <row r="6">
      <c r="A6" s="6" t="inlineStr">
        <is>
          <t>PSN-005</t>
        </is>
      </c>
      <c r="B6" s="7" t="inlineStr">
        <is>
          <t>Jung Y.</t>
        </is>
      </c>
      <c r="C6" s="7" t="inlineStr">
        <is>
          <t>Data Management</t>
        </is>
      </c>
      <c r="D6" s="7" t="inlineStr">
        <is>
          <t>Lead data manager</t>
        </is>
      </c>
      <c r="E6" s="7" t="n">
        <v>1</v>
      </c>
      <c r="F6" s="8" t="n"/>
      <c r="G6" s="8" t="n"/>
      <c r="H6" s="7" t="n"/>
      <c r="I6" s="7" t="n"/>
      <c r="J6" s="7" t="n"/>
      <c r="K6" s="7" t="n"/>
      <c r="L6" s="7" t="n"/>
    </row>
    <row r="7">
      <c r="A7" s="6" t="inlineStr">
        <is>
          <t>PSN-006</t>
        </is>
      </c>
      <c r="B7" s="7" t="inlineStr">
        <is>
          <t>Han B.</t>
        </is>
      </c>
      <c r="C7" s="7" t="inlineStr">
        <is>
          <t>Data Management</t>
        </is>
      </c>
      <c r="D7" s="7" t="inlineStr">
        <is>
          <t>Lead data manager</t>
        </is>
      </c>
      <c r="E7" s="7" t="n">
        <v>1</v>
      </c>
      <c r="F7" s="8" t="n"/>
      <c r="G7" s="8" t="n"/>
      <c r="H7" s="7" t="n"/>
      <c r="I7" s="7" t="n"/>
      <c r="J7" s="7" t="n"/>
      <c r="K7" s="7" t="n"/>
      <c r="L7" s="7" t="n"/>
    </row>
    <row r="8">
      <c r="A8" s="6" t="inlineStr">
        <is>
          <t>PSN-007</t>
        </is>
      </c>
      <c r="B8" s="7" t="inlineStr">
        <is>
          <t>Oh K.</t>
        </is>
      </c>
      <c r="C8" s="7" t="inlineStr">
        <is>
          <t>Data Management</t>
        </is>
      </c>
      <c r="D8" s="7" t="inlineStr">
        <is>
          <t>Lead data manager</t>
        </is>
      </c>
      <c r="E8" s="7" t="n">
        <v>1</v>
      </c>
      <c r="F8" s="8" t="n"/>
      <c r="G8" s="8" t="n"/>
      <c r="H8" s="7" t="n"/>
      <c r="I8" s="7" t="n"/>
      <c r="J8" s="7" t="n"/>
      <c r="K8" s="7" t="n"/>
      <c r="L8" s="7" t="n"/>
    </row>
    <row r="9">
      <c r="A9" s="6" t="inlineStr">
        <is>
          <t>PSN-008</t>
        </is>
      </c>
      <c r="B9" s="7" t="inlineStr">
        <is>
          <t>Seo W.</t>
        </is>
      </c>
      <c r="C9" s="7" t="inlineStr">
        <is>
          <t>Data Management</t>
        </is>
      </c>
      <c r="D9" s="7" t="inlineStr">
        <is>
          <t>Clinical Data Associator</t>
        </is>
      </c>
      <c r="E9" s="7" t="n">
        <v>1</v>
      </c>
      <c r="F9" s="8" t="n"/>
      <c r="G9" s="8" t="n"/>
      <c r="H9" s="7" t="n"/>
      <c r="I9" s="7" t="n"/>
      <c r="J9" s="7" t="n"/>
      <c r="K9" s="7" t="n"/>
      <c r="L9" s="7" t="n"/>
    </row>
    <row r="10">
      <c r="A10" s="6" t="inlineStr">
        <is>
          <t>PSN-009</t>
        </is>
      </c>
      <c r="B10" s="7" t="inlineStr">
        <is>
          <t>Yoon T.</t>
        </is>
      </c>
      <c r="C10" s="7" t="inlineStr">
        <is>
          <t>Data Management</t>
        </is>
      </c>
      <c r="D10" s="7" t="inlineStr">
        <is>
          <t>Clinical Data Associator</t>
        </is>
      </c>
      <c r="E10" s="7" t="n">
        <v>1</v>
      </c>
      <c r="F10" s="8" t="n"/>
      <c r="G10" s="8" t="n"/>
      <c r="H10" s="7" t="n"/>
      <c r="I10" s="7" t="n"/>
      <c r="J10" s="7" t="n"/>
      <c r="K10" s="7" t="n"/>
      <c r="L10" s="7" t="n"/>
    </row>
    <row r="11">
      <c r="A11" s="6" t="inlineStr">
        <is>
          <t>PSN-010</t>
        </is>
      </c>
      <c r="B11" s="7" t="inlineStr">
        <is>
          <t>Nam R.</t>
        </is>
      </c>
      <c r="C11" s="7" t="inlineStr">
        <is>
          <t>Data Management</t>
        </is>
      </c>
      <c r="D11" s="7" t="inlineStr">
        <is>
          <t>Clinical Data Associator</t>
        </is>
      </c>
      <c r="E11" s="7" t="n">
        <v>1</v>
      </c>
      <c r="F11" s="8" t="n"/>
      <c r="G11" s="8" t="n"/>
      <c r="H11" s="7" t="n"/>
      <c r="I11" s="7" t="n"/>
      <c r="J11" s="7" t="n"/>
      <c r="K11" s="7" t="n"/>
      <c r="L11" s="7" t="n"/>
    </row>
    <row r="12">
      <c r="A12" s="6" t="inlineStr">
        <is>
          <t>PSN-011</t>
        </is>
      </c>
      <c r="B12" s="7" t="inlineStr">
        <is>
          <t>Ahn D.</t>
        </is>
      </c>
      <c r="C12" s="7" t="inlineStr">
        <is>
          <t>Data Management</t>
        </is>
      </c>
      <c r="D12" s="7" t="inlineStr">
        <is>
          <t>Clinical Data Associator</t>
        </is>
      </c>
      <c r="E12" s="7" t="n">
        <v>1</v>
      </c>
      <c r="F12" s="8" t="n"/>
      <c r="G12" s="8" t="n"/>
      <c r="H12" s="7" t="n"/>
      <c r="I12" s="7" t="n"/>
      <c r="J12" s="7" t="n"/>
      <c r="K12" s="7" t="n"/>
      <c r="L12" s="7" t="n"/>
    </row>
    <row r="13">
      <c r="A13" s="6" t="inlineStr">
        <is>
          <t>PSN-012</t>
        </is>
      </c>
      <c r="B13" s="7" t="inlineStr">
        <is>
          <t>Baek C.</t>
        </is>
      </c>
      <c r="C13" s="7" t="inlineStr">
        <is>
          <t>Data Management</t>
        </is>
      </c>
      <c r="D13" s="7" t="inlineStr">
        <is>
          <t>Clinical Data Associator</t>
        </is>
      </c>
      <c r="E13" s="7" t="n">
        <v>1</v>
      </c>
      <c r="F13" s="8" t="n"/>
      <c r="G13" s="8" t="n"/>
      <c r="H13" s="7" t="n"/>
      <c r="I13" s="7" t="n"/>
      <c r="J13" s="7" t="n"/>
      <c r="K13" s="7" t="n"/>
      <c r="L13" s="7" t="n"/>
    </row>
    <row r="14">
      <c r="A14" s="6" t="inlineStr">
        <is>
          <t>PSN-013</t>
        </is>
      </c>
      <c r="B14" s="7" t="inlineStr">
        <is>
          <t>Shin E.</t>
        </is>
      </c>
      <c r="C14" s="7" t="inlineStr">
        <is>
          <t>Programming</t>
        </is>
      </c>
      <c r="D14" s="7" t="inlineStr">
        <is>
          <t>Clinical Database Programmer</t>
        </is>
      </c>
      <c r="E14" s="7" t="n">
        <v>1</v>
      </c>
      <c r="F14" s="8" t="n"/>
      <c r="G14" s="8" t="n"/>
      <c r="H14" s="7" t="n"/>
      <c r="I14" s="7" t="n"/>
      <c r="J14" s="7" t="n"/>
      <c r="K14" s="7" t="n"/>
      <c r="L14" s="7" t="n"/>
    </row>
    <row r="15">
      <c r="A15" s="6" t="inlineStr">
        <is>
          <t>PSN-014</t>
        </is>
      </c>
      <c r="B15" s="7" t="inlineStr">
        <is>
          <t>Koo J.</t>
        </is>
      </c>
      <c r="C15" s="7" t="inlineStr">
        <is>
          <t>Programming</t>
        </is>
      </c>
      <c r="D15" s="7" t="inlineStr">
        <is>
          <t>Clinical Database Programmer</t>
        </is>
      </c>
      <c r="E15" s="7" t="n">
        <v>1</v>
      </c>
      <c r="F15" s="8" t="n"/>
      <c r="G15" s="8" t="n"/>
      <c r="H15" s="7" t="n"/>
      <c r="I15" s="7" t="n"/>
      <c r="J15" s="7" t="n"/>
      <c r="K15" s="7" t="n"/>
      <c r="L15" s="7" t="n"/>
    </row>
    <row r="16">
      <c r="A16" s="6" t="inlineStr">
        <is>
          <t>PSN-015</t>
        </is>
      </c>
      <c r="B16" s="7" t="inlineStr">
        <is>
          <t>Ryu P.</t>
        </is>
      </c>
      <c r="C16" s="7" t="inlineStr">
        <is>
          <t>Programming</t>
        </is>
      </c>
      <c r="D16" s="7" t="inlineStr">
        <is>
          <t>Clinical Database Programmer</t>
        </is>
      </c>
      <c r="E16" s="7" t="n">
        <v>1</v>
      </c>
      <c r="F16" s="8" t="n"/>
      <c r="G16" s="8" t="n"/>
      <c r="H16" s="7" t="n"/>
      <c r="I16" s="7" t="n"/>
      <c r="J16" s="7" t="n"/>
      <c r="K16" s="7" t="n"/>
      <c r="L16" s="7" t="n"/>
    </row>
    <row r="17">
      <c r="A17" s="6" t="inlineStr">
        <is>
          <t>PSN-016</t>
        </is>
      </c>
      <c r="B17" s="7" t="inlineStr">
        <is>
          <t>Moon A.</t>
        </is>
      </c>
      <c r="C17" s="7" t="inlineStr">
        <is>
          <t>Programming</t>
        </is>
      </c>
      <c r="D17" s="7" t="inlineStr">
        <is>
          <t>Clinical Database Programmer</t>
        </is>
      </c>
      <c r="E17" s="7" t="n">
        <v>1</v>
      </c>
      <c r="F17" s="8" t="n"/>
      <c r="G17" s="8" t="n"/>
      <c r="H17" s="7" t="n"/>
      <c r="I17" s="7" t="n"/>
      <c r="J17" s="7" t="n"/>
      <c r="K17" s="7" t="n"/>
      <c r="L17" s="7" t="n"/>
    </row>
    <row r="18">
      <c r="A18" s="6" t="inlineStr">
        <is>
          <t>PSN-017</t>
        </is>
      </c>
      <c r="B18" s="7" t="inlineStr">
        <is>
          <t>Jang L.</t>
        </is>
      </c>
      <c r="C18" s="7" t="inlineStr">
        <is>
          <t>Biostatistics</t>
        </is>
      </c>
      <c r="D18" s="7" t="inlineStr">
        <is>
          <t>Data Analyst</t>
        </is>
      </c>
      <c r="E18" s="7" t="n">
        <v>1</v>
      </c>
      <c r="F18" s="8" t="n"/>
      <c r="G18" s="8" t="n"/>
      <c r="H18" s="7" t="n"/>
      <c r="I18" s="7" t="n"/>
      <c r="J18" s="7" t="n"/>
      <c r="K18" s="7" t="n"/>
      <c r="L18" s="7" t="n"/>
    </row>
    <row r="19">
      <c r="A19" s="6" t="inlineStr">
        <is>
          <t>PSN-018</t>
        </is>
      </c>
      <c r="B19" s="7" t="inlineStr">
        <is>
          <t>Hwang N.</t>
        </is>
      </c>
      <c r="C19" s="7" t="inlineStr">
        <is>
          <t>Biostatistics</t>
        </is>
      </c>
      <c r="D19" s="7" t="inlineStr">
        <is>
          <t>Data Analyst</t>
        </is>
      </c>
      <c r="E19" s="7" t="n">
        <v>1</v>
      </c>
      <c r="F19" s="8" t="n"/>
      <c r="G19" s="8" t="n"/>
      <c r="H19" s="7" t="n"/>
      <c r="I19" s="7" t="n"/>
      <c r="J19" s="7" t="n"/>
      <c r="K19" s="7" t="n"/>
      <c r="L19" s="7" t="n"/>
    </row>
    <row r="20">
      <c r="A20" s="6" t="inlineStr">
        <is>
          <t>PSN-019</t>
        </is>
      </c>
      <c r="B20" s="7" t="inlineStr">
        <is>
          <t>Cho V.</t>
        </is>
      </c>
      <c r="C20" s="7" t="inlineStr">
        <is>
          <t>Biostatistics</t>
        </is>
      </c>
      <c r="D20" s="7" t="inlineStr">
        <is>
          <t>Data Analyst</t>
        </is>
      </c>
      <c r="E20" s="7" t="n">
        <v>1</v>
      </c>
      <c r="F20" s="8" t="n"/>
      <c r="G20" s="8" t="n"/>
      <c r="H20" s="7" t="n"/>
      <c r="I20" s="7" t="n"/>
      <c r="J20" s="7" t="n"/>
      <c r="K20" s="7" t="n"/>
      <c r="L20" s="7" t="n"/>
    </row>
    <row r="21">
      <c r="A21" s="6" t="inlineStr">
        <is>
          <t>PSN-020</t>
        </is>
      </c>
      <c r="B21" s="7" t="inlineStr">
        <is>
          <t>Song G.</t>
        </is>
      </c>
      <c r="C21" s="7" t="inlineStr">
        <is>
          <t>Business Systems</t>
        </is>
      </c>
      <c r="D21" s="7" t="inlineStr">
        <is>
          <t>Other staff</t>
        </is>
      </c>
      <c r="E21" s="7" t="n">
        <v>0.6</v>
      </c>
      <c r="F21" s="8" t="n"/>
      <c r="G21" s="8" t="n"/>
      <c r="H21" s="7" t="n"/>
      <c r="I21" s="7" t="n"/>
      <c r="J21" s="7" t="n"/>
      <c r="K21" s="7" t="n"/>
      <c r="L21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>
        <v>46753</v>
      </c>
      <c r="G2" s="8" t="n">
        <v>47634</v>
      </c>
      <c r="H2" s="7" t="n">
        <v>0.16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PSN-004</t>
        </is>
      </c>
      <c r="C3" s="7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PSN-008</t>
        </is>
      </c>
      <c r="C4" s="7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PSN-013</t>
        </is>
      </c>
      <c r="C5" s="7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>
        <v>46722</v>
      </c>
      <c r="G5" s="8" t="n">
        <v>47603</v>
      </c>
      <c r="H5" s="7" t="n">
        <v>0.13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PSN-017</t>
        </is>
      </c>
      <c r="C6" s="7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46722</v>
      </c>
      <c r="G6" s="8" t="n">
        <v>47634</v>
      </c>
      <c r="H6" s="7" t="n">
        <v>0.12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7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45962</v>
      </c>
      <c r="G7" s="8" t="n">
        <v>46418</v>
      </c>
      <c r="H7" s="7" t="n">
        <v>0.1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PSN-005</t>
        </is>
      </c>
      <c r="C8" s="7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>
        <v>45992</v>
      </c>
      <c r="G8" s="8" t="n">
        <v>46477</v>
      </c>
      <c r="H8" s="7" t="n">
        <v>0.16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PSN-009</t>
        </is>
      </c>
      <c r="C9" s="7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45962</v>
      </c>
      <c r="G9" s="8" t="n">
        <v>46477</v>
      </c>
      <c r="H9" s="7" t="n">
        <v>0.14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PSN-014</t>
        </is>
      </c>
      <c r="C10" s="7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45962</v>
      </c>
      <c r="G10" s="8" t="n">
        <v>46446</v>
      </c>
      <c r="H10" s="7" t="n">
        <v>0.16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PSN-018</t>
        </is>
      </c>
      <c r="C11" s="7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>
        <v>45992</v>
      </c>
      <c r="G11" s="8" t="n">
        <v>46446</v>
      </c>
      <c r="H11" s="7" t="n">
        <v>0.13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PSN-003</t>
        </is>
      </c>
      <c r="C12" s="7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46113</v>
      </c>
      <c r="G12" s="8" t="n">
        <v>46934</v>
      </c>
      <c r="H12" s="7" t="n">
        <v>0.15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PSN-006</t>
        </is>
      </c>
      <c r="C13" s="7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46934</v>
      </c>
      <c r="H13" s="7" t="n">
        <v>0.18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PSN-010</t>
        </is>
      </c>
      <c r="C14" s="7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>
        <v>46143</v>
      </c>
      <c r="G14" s="8" t="n">
        <v>46965</v>
      </c>
      <c r="H14" s="7" t="n">
        <v>0.11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PSN-015</t>
        </is>
      </c>
      <c r="C15" s="7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46934</v>
      </c>
      <c r="H15" s="7" t="n">
        <v>0.17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PSN-019</t>
        </is>
      </c>
      <c r="C16" s="7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0.12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PSN-001</t>
        </is>
      </c>
      <c r="C17" s="7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>
        <v>46419</v>
      </c>
      <c r="G17" s="8" t="n">
        <v>46843</v>
      </c>
      <c r="H17" s="7" t="n">
        <v>0.12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PSN-007</t>
        </is>
      </c>
      <c r="C18" s="7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46388</v>
      </c>
      <c r="G18" s="8" t="n">
        <v>46904</v>
      </c>
      <c r="H18" s="7" t="n">
        <v>0.19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PSN-011</t>
        </is>
      </c>
      <c r="C19" s="7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0.11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PSN-016</t>
        </is>
      </c>
      <c r="C20" s="7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>
        <v>46388</v>
      </c>
      <c r="G20" s="8" t="n">
        <v>46843</v>
      </c>
      <c r="H20" s="7" t="n">
        <v>0.17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PSN-017</t>
        </is>
      </c>
      <c r="C21" s="7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46388</v>
      </c>
      <c r="G21" s="8" t="n">
        <v>46904</v>
      </c>
      <c r="H21" s="7" t="n">
        <v>0.16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PSN-002</t>
        </is>
      </c>
      <c r="C22" s="7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45809</v>
      </c>
      <c r="G22" s="8" t="n">
        <v>46476</v>
      </c>
      <c r="H22" s="7" t="n">
        <v>0.15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PSN-004</t>
        </is>
      </c>
      <c r="C23" s="7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>
        <v>45839</v>
      </c>
      <c r="G23" s="8" t="n">
        <v>46446</v>
      </c>
      <c r="H23" s="7" t="n">
        <v>0.2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PSN-012</t>
        </is>
      </c>
      <c r="C24" s="7">
        <f>IFERROR(INDEX(Person!$B:$B,MATCH($B24,Person!$A:$A,0)),"")</f>
        <v/>
      </c>
      <c r="D24" s="6" t="inlineStr">
        <is>
          <t>PRJ-005</t>
        </is>
      </c>
      <c r="E24" s="7" t="inlineStr">
        <is>
          <t>Clinical Data Associator</t>
        </is>
      </c>
      <c r="F24" s="8" t="n">
        <v>45778</v>
      </c>
      <c r="G24" s="8" t="n">
        <v>46446</v>
      </c>
      <c r="H24" s="7" t="n">
        <v>0.12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PSN-013</t>
        </is>
      </c>
      <c r="C25" s="7">
        <f>IFERROR(INDEX(Person!$B:$B,MATCH($B25,Person!$A:$A,0)),"")</f>
        <v/>
      </c>
      <c r="D25" s="6" t="inlineStr">
        <is>
          <t>PRJ-005</t>
        </is>
      </c>
      <c r="E25" s="7" t="inlineStr">
        <is>
          <t>Clinical Database Programmer</t>
        </is>
      </c>
      <c r="F25" s="8" t="n">
        <v>45839</v>
      </c>
      <c r="G25" s="8" t="n">
        <v>46476</v>
      </c>
      <c r="H25" s="7" t="n">
        <v>0.13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PSN-018</t>
        </is>
      </c>
      <c r="C26" s="7">
        <f>IFERROR(INDEX(Person!$B:$B,MATCH($B26,Person!$A:$A,0)),"")</f>
        <v/>
      </c>
      <c r="D26" s="6" t="inlineStr">
        <is>
          <t>PRJ-005</t>
        </is>
      </c>
      <c r="E26" s="7" t="inlineStr">
        <is>
          <t>Data Analyst</t>
        </is>
      </c>
      <c r="F26" s="8" t="n">
        <v>45778</v>
      </c>
      <c r="G26" s="8" t="n">
        <v>46507</v>
      </c>
      <c r="H26" s="7" t="n">
        <v>0.12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PSN-003</t>
        </is>
      </c>
      <c r="C27" s="7">
        <f>IFERROR(INDEX(Person!$B:$B,MATCH($B27,Person!$A:$A,0)),"")</f>
        <v/>
      </c>
      <c r="D27" s="6" t="inlineStr">
        <is>
          <t>PRJ-006</t>
        </is>
      </c>
      <c r="E27" s="7" t="inlineStr">
        <is>
          <t>Project oversight</t>
        </is>
      </c>
      <c r="F27" s="8" t="n">
        <v>46539</v>
      </c>
      <c r="G27" s="8" t="n">
        <v>47207</v>
      </c>
      <c r="H27" s="7" t="n">
        <v>0.11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PSN-005</t>
        </is>
      </c>
      <c r="C28" s="7">
        <f>IFERROR(INDEX(Person!$B:$B,MATCH($B28,Person!$A:$A,0)),"")</f>
        <v/>
      </c>
      <c r="D28" s="6" t="inlineStr">
        <is>
          <t>PRJ-006</t>
        </is>
      </c>
      <c r="E28" s="7" t="inlineStr">
        <is>
          <t>Lead data manager</t>
        </is>
      </c>
      <c r="F28" s="8" t="n">
        <v>46508</v>
      </c>
      <c r="G28" s="8" t="n">
        <v>47207</v>
      </c>
      <c r="H28" s="7" t="n">
        <v>0.17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PSN-008</t>
        </is>
      </c>
      <c r="C29" s="7">
        <f>IFERROR(INDEX(Person!$B:$B,MATCH($B29,Person!$A:$A,0)),"")</f>
        <v/>
      </c>
      <c r="D29" s="6" t="inlineStr">
        <is>
          <t>PRJ-006</t>
        </is>
      </c>
      <c r="E29" s="7" t="inlineStr">
        <is>
          <t>Clinical Data Associator</t>
        </is>
      </c>
      <c r="F29" s="8" t="n">
        <v>46539</v>
      </c>
      <c r="G29" s="8" t="n">
        <v>47177</v>
      </c>
      <c r="H29" s="7" t="n">
        <v>0.12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PSN-014</t>
        </is>
      </c>
      <c r="C30" s="7">
        <f>IFERROR(INDEX(Person!$B:$B,MATCH($B30,Person!$A:$A,0)),"")</f>
        <v/>
      </c>
      <c r="D30" s="6" t="inlineStr">
        <is>
          <t>PRJ-006</t>
        </is>
      </c>
      <c r="E30" s="7" t="inlineStr">
        <is>
          <t>Clinical Database Programmer</t>
        </is>
      </c>
      <c r="F30" s="8" t="n">
        <v>46569</v>
      </c>
      <c r="G30" s="8" t="n">
        <v>47177</v>
      </c>
      <c r="H30" s="7" t="n">
        <v>0.15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PSN-019</t>
        </is>
      </c>
      <c r="C31" s="7">
        <f>IFERROR(INDEX(Person!$B:$B,MATCH($B31,Person!$A:$A,0)),"")</f>
        <v/>
      </c>
      <c r="D31" s="6" t="inlineStr">
        <is>
          <t>PRJ-006</t>
        </is>
      </c>
      <c r="E31" s="7" t="inlineStr">
        <is>
          <t>Data Analyst</t>
        </is>
      </c>
      <c r="F31" s="8" t="n">
        <v>46569</v>
      </c>
      <c r="G31" s="8" t="n">
        <v>47177</v>
      </c>
      <c r="H31" s="7" t="n">
        <v>0.11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PSN-001</t>
        </is>
      </c>
      <c r="C32" s="7">
        <f>IFERROR(INDEX(Person!$B:$B,MATCH($B32,Person!$A:$A,0)),"")</f>
        <v/>
      </c>
      <c r="D32" s="6" t="inlineStr">
        <is>
          <t>PRJ-007</t>
        </is>
      </c>
      <c r="E32" s="7" t="inlineStr">
        <is>
          <t>Project oversight</t>
        </is>
      </c>
      <c r="F32" s="8" t="n">
        <v>46753</v>
      </c>
      <c r="G32" s="8" t="n">
        <v>47542</v>
      </c>
      <c r="H32" s="7" t="n">
        <v>0.1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PSN-006</t>
        </is>
      </c>
      <c r="C33" s="7">
        <f>IFERROR(INDEX(Person!$B:$B,MATCH($B33,Person!$A:$A,0)),"")</f>
        <v/>
      </c>
      <c r="D33" s="6" t="inlineStr">
        <is>
          <t>PRJ-007</t>
        </is>
      </c>
      <c r="E33" s="7" t="inlineStr">
        <is>
          <t>Lead data manager</t>
        </is>
      </c>
      <c r="F33" s="8" t="n">
        <v>46722</v>
      </c>
      <c r="G33" s="8" t="n">
        <v>47542</v>
      </c>
      <c r="H33" s="7" t="n">
        <v>0.16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PSN-009</t>
        </is>
      </c>
      <c r="C34" s="7">
        <f>IFERROR(INDEX(Person!$B:$B,MATCH($B34,Person!$A:$A,0)),"")</f>
        <v/>
      </c>
      <c r="D34" s="6" t="inlineStr">
        <is>
          <t>PRJ-007</t>
        </is>
      </c>
      <c r="E34" s="7" t="inlineStr">
        <is>
          <t>Clinical Data Associator</t>
        </is>
      </c>
      <c r="F34" s="8" t="n">
        <v>46692</v>
      </c>
      <c r="G34" s="8" t="n">
        <v>47603</v>
      </c>
      <c r="H34" s="7" t="n">
        <v>0.12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PSN-015</t>
        </is>
      </c>
      <c r="C35" s="7">
        <f>IFERROR(INDEX(Person!$B:$B,MATCH($B35,Person!$A:$A,0)),"")</f>
        <v/>
      </c>
      <c r="D35" s="6" t="inlineStr">
        <is>
          <t>PRJ-007</t>
        </is>
      </c>
      <c r="E35" s="7" t="inlineStr">
        <is>
          <t>Clinical Database Programmer</t>
        </is>
      </c>
      <c r="F35" s="8" t="n">
        <v>46692</v>
      </c>
      <c r="G35" s="8" t="n">
        <v>47542</v>
      </c>
      <c r="H35" s="7" t="n">
        <v>0.14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PSN-017</t>
        </is>
      </c>
      <c r="C36" s="7">
        <f>IFERROR(INDEX(Person!$B:$B,MATCH($B36,Person!$A:$A,0)),"")</f>
        <v/>
      </c>
      <c r="D36" s="6" t="inlineStr">
        <is>
          <t>PRJ-007</t>
        </is>
      </c>
      <c r="E36" s="7" t="inlineStr">
        <is>
          <t>Data Analyst</t>
        </is>
      </c>
      <c r="F36" s="8" t="n">
        <v>46692</v>
      </c>
      <c r="G36" s="8" t="n">
        <v>47572</v>
      </c>
      <c r="H36" s="7" t="n">
        <v>0.12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PSN-002</t>
        </is>
      </c>
      <c r="C37" s="7">
        <f>IFERROR(INDEX(Person!$B:$B,MATCH($B37,Person!$A:$A,0)),"")</f>
        <v/>
      </c>
      <c r="D37" s="6" t="inlineStr">
        <is>
          <t>PRJ-008</t>
        </is>
      </c>
      <c r="E37" s="7" t="inlineStr">
        <is>
          <t>Project oversight</t>
        </is>
      </c>
      <c r="F37" s="8" t="n">
        <v>46327</v>
      </c>
      <c r="G37" s="8" t="n">
        <v>46996</v>
      </c>
      <c r="H37" s="7" t="n">
        <v>0.12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PSN-007</t>
        </is>
      </c>
      <c r="C38" s="7">
        <f>IFERROR(INDEX(Person!$B:$B,MATCH($B38,Person!$A:$A,0)),"")</f>
        <v/>
      </c>
      <c r="D38" s="6" t="inlineStr">
        <is>
          <t>PRJ-008</t>
        </is>
      </c>
      <c r="E38" s="7" t="inlineStr">
        <is>
          <t>Lead data manager</t>
        </is>
      </c>
      <c r="F38" s="8" t="n">
        <v>46327</v>
      </c>
      <c r="G38" s="8" t="n">
        <v>47026</v>
      </c>
      <c r="H38" s="7" t="n">
        <v>0.14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PSN-010</t>
        </is>
      </c>
      <c r="C39" s="7">
        <f>IFERROR(INDEX(Person!$B:$B,MATCH($B39,Person!$A:$A,0)),"")</f>
        <v/>
      </c>
      <c r="D39" s="6" t="inlineStr">
        <is>
          <t>PRJ-008</t>
        </is>
      </c>
      <c r="E39" s="7" t="inlineStr">
        <is>
          <t>Clinical Data Associator</t>
        </is>
      </c>
      <c r="F39" s="8" t="n">
        <v>46327</v>
      </c>
      <c r="G39" s="8" t="n">
        <v>47057</v>
      </c>
      <c r="H39" s="7" t="n">
        <v>0.14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PSN-016</t>
        </is>
      </c>
      <c r="C40" s="7">
        <f>IFERROR(INDEX(Person!$B:$B,MATCH($B40,Person!$A:$A,0)),"")</f>
        <v/>
      </c>
      <c r="D40" s="6" t="inlineStr">
        <is>
          <t>PRJ-008</t>
        </is>
      </c>
      <c r="E40" s="7" t="inlineStr">
        <is>
          <t>Clinical Database Programmer</t>
        </is>
      </c>
      <c r="F40" s="8" t="n">
        <v>46388</v>
      </c>
      <c r="G40" s="8" t="n">
        <v>46996</v>
      </c>
      <c r="H40" s="7" t="n">
        <v>0.17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PSN-018</t>
        </is>
      </c>
      <c r="C41" s="7">
        <f>IFERROR(INDEX(Person!$B:$B,MATCH($B41,Person!$A:$A,0)),"")</f>
        <v/>
      </c>
      <c r="D41" s="6" t="inlineStr">
        <is>
          <t>PRJ-008</t>
        </is>
      </c>
      <c r="E41" s="7" t="inlineStr">
        <is>
          <t>Data Analyst</t>
        </is>
      </c>
      <c r="F41" s="8" t="n">
        <v>46388</v>
      </c>
      <c r="G41" s="8" t="n">
        <v>46996</v>
      </c>
      <c r="H41" s="7" t="n">
        <v>0.16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PSN-003</t>
        </is>
      </c>
      <c r="C42" s="7">
        <f>IFERROR(INDEX(Person!$B:$B,MATCH($B42,Person!$A:$A,0)),"")</f>
        <v/>
      </c>
      <c r="D42" s="6" t="inlineStr">
        <is>
          <t>PRJ-009</t>
        </is>
      </c>
      <c r="E42" s="7" t="inlineStr">
        <is>
          <t>Project oversight</t>
        </is>
      </c>
      <c r="F42" s="8" t="n">
        <v>46113</v>
      </c>
      <c r="G42" s="8" t="n">
        <v>46783</v>
      </c>
      <c r="H42" s="7" t="n">
        <v>0.13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PSN-004</t>
        </is>
      </c>
      <c r="C43" s="7">
        <f>IFERROR(INDEX(Person!$B:$B,MATCH($B43,Person!$A:$A,0)),"")</f>
        <v/>
      </c>
      <c r="D43" s="6" t="inlineStr">
        <is>
          <t>PRJ-009</t>
        </is>
      </c>
      <c r="E43" s="7" t="inlineStr">
        <is>
          <t>Lead data manager</t>
        </is>
      </c>
      <c r="F43" s="8" t="n">
        <v>46113</v>
      </c>
      <c r="G43" s="8" t="n">
        <v>46812</v>
      </c>
      <c r="H43" s="7" t="n">
        <v>0.17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PSN-011</t>
        </is>
      </c>
      <c r="C44" s="7">
        <f>IFERROR(INDEX(Person!$B:$B,MATCH($B44,Person!$A:$A,0)),"")</f>
        <v/>
      </c>
      <c r="D44" s="6" t="inlineStr">
        <is>
          <t>PRJ-009</t>
        </is>
      </c>
      <c r="E44" s="7" t="inlineStr">
        <is>
          <t>Clinical Data Associator</t>
        </is>
      </c>
      <c r="F44" s="8" t="n">
        <v>46174</v>
      </c>
      <c r="G44" s="8" t="n">
        <v>46783</v>
      </c>
      <c r="H44" s="7" t="n">
        <v>0.15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PSN-013</t>
        </is>
      </c>
      <c r="C45" s="7">
        <f>IFERROR(INDEX(Person!$B:$B,MATCH($B45,Person!$A:$A,0)),"")</f>
        <v/>
      </c>
      <c r="D45" s="6" t="inlineStr">
        <is>
          <t>PRJ-009</t>
        </is>
      </c>
      <c r="E45" s="7" t="inlineStr">
        <is>
          <t>Clinical Database Programmer</t>
        </is>
      </c>
      <c r="F45" s="8" t="n">
        <v>46143</v>
      </c>
      <c r="G45" s="8" t="n">
        <v>46812</v>
      </c>
      <c r="H45" s="7" t="n">
        <v>0.12</v>
      </c>
      <c r="I45" s="7" t="n"/>
      <c r="J45" s="7" t="n"/>
      <c r="K45" s="7" t="n"/>
    </row>
    <row r="46">
      <c r="A46" s="6" t="inlineStr">
        <is>
          <t>ASG-045</t>
        </is>
      </c>
      <c r="B46" s="6" t="inlineStr">
        <is>
          <t>PSN-019</t>
        </is>
      </c>
      <c r="C46" s="7">
        <f>IFERROR(INDEX(Person!$B:$B,MATCH($B46,Person!$A:$A,0)),"")</f>
        <v/>
      </c>
      <c r="D46" s="6" t="inlineStr">
        <is>
          <t>PRJ-009</t>
        </is>
      </c>
      <c r="E46" s="7" t="inlineStr">
        <is>
          <t>Data Analyst</t>
        </is>
      </c>
      <c r="F46" s="8" t="n">
        <v>46174</v>
      </c>
      <c r="G46" s="8" t="n">
        <v>46812</v>
      </c>
      <c r="H46" s="7" t="n">
        <v>0.1</v>
      </c>
      <c r="I46" s="7" t="n"/>
      <c r="J46" s="7" t="n"/>
      <c r="K46" s="7" t="n"/>
    </row>
    <row r="47">
      <c r="A47" s="6" t="inlineStr">
        <is>
          <t>ASG-046</t>
        </is>
      </c>
      <c r="B47" s="6" t="inlineStr">
        <is>
          <t>PSN-001</t>
        </is>
      </c>
      <c r="C47" s="7">
        <f>IFERROR(INDEX(Person!$B:$B,MATCH($B47,Person!$A:$A,0)),"")</f>
        <v/>
      </c>
      <c r="D47" s="6" t="inlineStr">
        <is>
          <t>PRJ-010</t>
        </is>
      </c>
      <c r="E47" s="7" t="inlineStr">
        <is>
          <t>Project oversight</t>
        </is>
      </c>
      <c r="F47" s="8" t="n">
        <v>46266</v>
      </c>
      <c r="G47" s="8" t="n">
        <v>46965</v>
      </c>
      <c r="H47" s="7" t="n">
        <v>0.12</v>
      </c>
      <c r="I47" s="7" t="n"/>
      <c r="J47" s="7" t="n"/>
      <c r="K47" s="7" t="n"/>
    </row>
    <row r="48">
      <c r="A48" s="6" t="inlineStr">
        <is>
          <t>ASG-047</t>
        </is>
      </c>
      <c r="B48" s="6" t="inlineStr">
        <is>
          <t>PSN-005</t>
        </is>
      </c>
      <c r="C48" s="7">
        <f>IFERROR(INDEX(Person!$B:$B,MATCH($B48,Person!$A:$A,0)),"")</f>
        <v/>
      </c>
      <c r="D48" s="6" t="inlineStr">
        <is>
          <t>PRJ-010</t>
        </is>
      </c>
      <c r="E48" s="7" t="inlineStr">
        <is>
          <t>Lead data manager</t>
        </is>
      </c>
      <c r="F48" s="8" t="n">
        <v>46266</v>
      </c>
      <c r="G48" s="8" t="n">
        <v>46934</v>
      </c>
      <c r="H48" s="7" t="n">
        <v>0.17</v>
      </c>
      <c r="I48" s="7" t="n"/>
      <c r="J48" s="7" t="n"/>
      <c r="K48" s="7" t="n"/>
    </row>
    <row r="49">
      <c r="A49" s="6" t="inlineStr">
        <is>
          <t>ASG-048</t>
        </is>
      </c>
      <c r="B49" s="6" t="inlineStr">
        <is>
          <t>PSN-012</t>
        </is>
      </c>
      <c r="C49" s="7">
        <f>IFERROR(INDEX(Person!$B:$B,MATCH($B49,Person!$A:$A,0)),"")</f>
        <v/>
      </c>
      <c r="D49" s="6" t="inlineStr">
        <is>
          <t>PRJ-010</t>
        </is>
      </c>
      <c r="E49" s="7" t="inlineStr">
        <is>
          <t>Clinical Data Associator</t>
        </is>
      </c>
      <c r="F49" s="8" t="n">
        <v>46266</v>
      </c>
      <c r="G49" s="8" t="n">
        <v>46965</v>
      </c>
      <c r="H49" s="7" t="n">
        <v>0.17</v>
      </c>
      <c r="I49" s="7" t="n"/>
      <c r="J49" s="7" t="n"/>
      <c r="K49" s="7" t="n"/>
    </row>
    <row r="50">
      <c r="A50" s="6" t="inlineStr">
        <is>
          <t>ASG-049</t>
        </is>
      </c>
      <c r="B50" s="6" t="inlineStr">
        <is>
          <t>PSN-014</t>
        </is>
      </c>
      <c r="C50" s="7">
        <f>IFERROR(INDEX(Person!$B:$B,MATCH($B50,Person!$A:$A,0)),"")</f>
        <v/>
      </c>
      <c r="D50" s="6" t="inlineStr">
        <is>
          <t>PRJ-010</t>
        </is>
      </c>
      <c r="E50" s="7" t="inlineStr">
        <is>
          <t>Clinical Database Programmer</t>
        </is>
      </c>
      <c r="F50" s="8" t="n">
        <v>46327</v>
      </c>
      <c r="G50" s="8" t="n">
        <v>46996</v>
      </c>
      <c r="H50" s="7" t="n">
        <v>0.1</v>
      </c>
      <c r="I50" s="7" t="n"/>
      <c r="J50" s="7" t="n"/>
      <c r="K50" s="7" t="n"/>
    </row>
    <row r="51">
      <c r="A51" s="6" t="inlineStr">
        <is>
          <t>ASG-050</t>
        </is>
      </c>
      <c r="B51" s="6" t="inlineStr">
        <is>
          <t>PSN-017</t>
        </is>
      </c>
      <c r="C51" s="7">
        <f>IFERROR(INDEX(Person!$B:$B,MATCH($B51,Person!$A:$A,0)),"")</f>
        <v/>
      </c>
      <c r="D51" s="6" t="inlineStr">
        <is>
          <t>PRJ-010</t>
        </is>
      </c>
      <c r="E51" s="7" t="inlineStr">
        <is>
          <t>Data Analyst</t>
        </is>
      </c>
      <c r="F51" s="8" t="n">
        <v>46266</v>
      </c>
      <c r="G51" s="8" t="n">
        <v>46996</v>
      </c>
      <c r="H51" s="7" t="n">
        <v>0.11</v>
      </c>
      <c r="I51" s="7" t="n"/>
      <c r="J51" s="7" t="n"/>
      <c r="K51" s="7" t="n"/>
    </row>
    <row r="52">
      <c r="A52" s="6" t="inlineStr">
        <is>
          <t>ASG-051</t>
        </is>
      </c>
      <c r="B52" s="6" t="inlineStr">
        <is>
          <t>PSN-002</t>
        </is>
      </c>
      <c r="C52" s="7">
        <f>IFERROR(INDEX(Person!$B:$B,MATCH($B52,Person!$A:$A,0)),"")</f>
        <v/>
      </c>
      <c r="D52" s="6" t="inlineStr">
        <is>
          <t>PRJ-011</t>
        </is>
      </c>
      <c r="E52" s="7" t="inlineStr">
        <is>
          <t>Project oversight</t>
        </is>
      </c>
      <c r="F52" s="8" t="n">
        <v>46113</v>
      </c>
      <c r="G52" s="8" t="n">
        <v>46599</v>
      </c>
      <c r="H52" s="7" t="n">
        <v>0.1</v>
      </c>
      <c r="I52" s="7" t="n"/>
      <c r="J52" s="7" t="n"/>
      <c r="K52" s="7" t="n"/>
    </row>
    <row r="53">
      <c r="A53" s="6" t="inlineStr">
        <is>
          <t>ASG-052</t>
        </is>
      </c>
      <c r="B53" s="6" t="inlineStr">
        <is>
          <t>PSN-006</t>
        </is>
      </c>
      <c r="C53" s="7">
        <f>IFERROR(INDEX(Person!$B:$B,MATCH($B53,Person!$A:$A,0)),"")</f>
        <v/>
      </c>
      <c r="D53" s="6" t="inlineStr">
        <is>
          <t>PRJ-011</t>
        </is>
      </c>
      <c r="E53" s="7" t="inlineStr">
        <is>
          <t>Lead data manager</t>
        </is>
      </c>
      <c r="F53" s="8" t="n">
        <v>46113</v>
      </c>
      <c r="G53" s="8" t="n">
        <v>46568</v>
      </c>
      <c r="H53" s="7" t="n">
        <v>0.18</v>
      </c>
      <c r="I53" s="7" t="n"/>
      <c r="J53" s="7" t="n"/>
      <c r="K53" s="7" t="n"/>
    </row>
    <row r="54">
      <c r="A54" s="6" t="inlineStr">
        <is>
          <t>ASG-053</t>
        </is>
      </c>
      <c r="B54" s="6" t="inlineStr">
        <is>
          <t>PSN-008</t>
        </is>
      </c>
      <c r="C54" s="7">
        <f>IFERROR(INDEX(Person!$B:$B,MATCH($B54,Person!$A:$A,0)),"")</f>
        <v/>
      </c>
      <c r="D54" s="6" t="inlineStr">
        <is>
          <t>PRJ-011</t>
        </is>
      </c>
      <c r="E54" s="7" t="inlineStr">
        <is>
          <t>Clinical Data Associator</t>
        </is>
      </c>
      <c r="F54" s="8" t="n">
        <v>46113</v>
      </c>
      <c r="G54" s="8" t="n">
        <v>46599</v>
      </c>
      <c r="H54" s="7" t="n">
        <v>0.16</v>
      </c>
      <c r="I54" s="7" t="n"/>
      <c r="J54" s="7" t="n"/>
      <c r="K54" s="7" t="n"/>
    </row>
    <row r="55">
      <c r="A55" s="6" t="inlineStr">
        <is>
          <t>ASG-054</t>
        </is>
      </c>
      <c r="B55" s="6" t="inlineStr">
        <is>
          <t>PSN-015</t>
        </is>
      </c>
      <c r="C55" s="7">
        <f>IFERROR(INDEX(Person!$B:$B,MATCH($B55,Person!$A:$A,0)),"")</f>
        <v/>
      </c>
      <c r="D55" s="6" t="inlineStr">
        <is>
          <t>PRJ-011</t>
        </is>
      </c>
      <c r="E55" s="7" t="inlineStr">
        <is>
          <t>Clinical Database Programmer</t>
        </is>
      </c>
      <c r="F55" s="8" t="n">
        <v>46113</v>
      </c>
      <c r="G55" s="8" t="n">
        <v>46630</v>
      </c>
      <c r="H55" s="7" t="n">
        <v>0.1</v>
      </c>
      <c r="I55" s="7" t="n"/>
      <c r="J55" s="7" t="n"/>
      <c r="K55" s="7" t="n"/>
    </row>
    <row r="56">
      <c r="A56" s="6" t="inlineStr">
        <is>
          <t>ASG-055</t>
        </is>
      </c>
      <c r="B56" s="6" t="inlineStr">
        <is>
          <t>PSN-018</t>
        </is>
      </c>
      <c r="C56" s="7">
        <f>IFERROR(INDEX(Person!$B:$B,MATCH($B56,Person!$A:$A,0)),"")</f>
        <v/>
      </c>
      <c r="D56" s="6" t="inlineStr">
        <is>
          <t>PRJ-011</t>
        </is>
      </c>
      <c r="E56" s="7" t="inlineStr">
        <is>
          <t>Data Analyst</t>
        </is>
      </c>
      <c r="F56" s="8" t="n">
        <v>46082</v>
      </c>
      <c r="G56" s="8" t="n">
        <v>46568</v>
      </c>
      <c r="H56" s="7" t="n">
        <v>0.13</v>
      </c>
      <c r="I56" s="7" t="n"/>
      <c r="J56" s="7" t="n"/>
      <c r="K56" s="7" t="n"/>
    </row>
    <row r="57">
      <c r="A57" s="6" t="inlineStr">
        <is>
          <t>ASG-056</t>
        </is>
      </c>
      <c r="B57" s="6" t="inlineStr">
        <is>
          <t>PSN-003</t>
        </is>
      </c>
      <c r="C57" s="7">
        <f>IFERROR(INDEX(Person!$B:$B,MATCH($B57,Person!$A:$A,0)),"")</f>
        <v/>
      </c>
      <c r="D57" s="6" t="inlineStr">
        <is>
          <t>PRJ-012</t>
        </is>
      </c>
      <c r="E57" s="7" t="inlineStr">
        <is>
          <t>Project oversight</t>
        </is>
      </c>
      <c r="F57" s="8" t="n">
        <v>46784</v>
      </c>
      <c r="G57" s="8" t="n">
        <v>47786</v>
      </c>
      <c r="H57" s="7" t="n">
        <v>0.14</v>
      </c>
      <c r="I57" s="7" t="n"/>
      <c r="J57" s="7" t="n"/>
      <c r="K57" s="7" t="n"/>
    </row>
    <row r="58">
      <c r="A58" s="6" t="inlineStr">
        <is>
          <t>ASG-057</t>
        </is>
      </c>
      <c r="B58" s="6" t="inlineStr">
        <is>
          <t>PSN-007</t>
        </is>
      </c>
      <c r="C58" s="7">
        <f>IFERROR(INDEX(Person!$B:$B,MATCH($B58,Person!$A:$A,0)),"")</f>
        <v/>
      </c>
      <c r="D58" s="6" t="inlineStr">
        <is>
          <t>PRJ-012</t>
        </is>
      </c>
      <c r="E58" s="7" t="inlineStr">
        <is>
          <t>Lead data manager</t>
        </is>
      </c>
      <c r="F58" s="8" t="n">
        <v>46722</v>
      </c>
      <c r="G58" s="8" t="n">
        <v>47817</v>
      </c>
      <c r="H58" s="7" t="n">
        <v>0.16</v>
      </c>
      <c r="I58" s="7" t="n"/>
      <c r="J58" s="7" t="n"/>
      <c r="K58" s="7" t="n"/>
    </row>
    <row r="59">
      <c r="A59" s="6" t="inlineStr">
        <is>
          <t>ASG-058</t>
        </is>
      </c>
      <c r="B59" s="6" t="inlineStr">
        <is>
          <t>PSN-009</t>
        </is>
      </c>
      <c r="C59" s="7">
        <f>IFERROR(INDEX(Person!$B:$B,MATCH($B59,Person!$A:$A,0)),"")</f>
        <v/>
      </c>
      <c r="D59" s="6" t="inlineStr">
        <is>
          <t>PRJ-012</t>
        </is>
      </c>
      <c r="E59" s="7" t="inlineStr">
        <is>
          <t>Clinical Data Associator</t>
        </is>
      </c>
      <c r="F59" s="8" t="n">
        <v>46722</v>
      </c>
      <c r="G59" s="8" t="n">
        <v>47817</v>
      </c>
      <c r="H59" s="7" t="n">
        <v>0.13</v>
      </c>
      <c r="I59" s="7" t="n"/>
      <c r="J59" s="7" t="n"/>
      <c r="K59" s="7" t="n"/>
    </row>
    <row r="60">
      <c r="A60" s="6" t="inlineStr">
        <is>
          <t>ASG-059</t>
        </is>
      </c>
      <c r="B60" s="6" t="inlineStr">
        <is>
          <t>PSN-016</t>
        </is>
      </c>
      <c r="C60" s="7">
        <f>IFERROR(INDEX(Person!$B:$B,MATCH($B60,Person!$A:$A,0)),"")</f>
        <v/>
      </c>
      <c r="D60" s="6" t="inlineStr">
        <is>
          <t>PRJ-012</t>
        </is>
      </c>
      <c r="E60" s="7" t="inlineStr">
        <is>
          <t>Clinical Database Programmer</t>
        </is>
      </c>
      <c r="F60" s="8" t="n">
        <v>46722</v>
      </c>
      <c r="G60" s="8" t="n">
        <v>47756</v>
      </c>
      <c r="H60" s="7" t="n">
        <v>0.16</v>
      </c>
      <c r="I60" s="7" t="n"/>
      <c r="J60" s="7" t="n"/>
      <c r="K60" s="7" t="n"/>
    </row>
    <row r="61">
      <c r="A61" s="6" t="inlineStr">
        <is>
          <t>ASG-060</t>
        </is>
      </c>
      <c r="B61" s="6" t="inlineStr">
        <is>
          <t>PSN-019</t>
        </is>
      </c>
      <c r="C61" s="7">
        <f>IFERROR(INDEX(Person!$B:$B,MATCH($B61,Person!$A:$A,0)),"")</f>
        <v/>
      </c>
      <c r="D61" s="6" t="inlineStr">
        <is>
          <t>PRJ-012</t>
        </is>
      </c>
      <c r="E61" s="7" t="inlineStr">
        <is>
          <t>Data Analyst</t>
        </is>
      </c>
      <c r="F61" s="8" t="n">
        <v>46784</v>
      </c>
      <c r="G61" s="8" t="n">
        <v>47817</v>
      </c>
      <c r="H61" s="7" t="n">
        <v>0.12</v>
      </c>
      <c r="I61" s="7" t="n"/>
      <c r="J61" s="7" t="n"/>
      <c r="K61" s="7" t="n"/>
    </row>
    <row r="62">
      <c r="A62" s="6" t="inlineStr">
        <is>
          <t>ASG-061</t>
        </is>
      </c>
      <c r="B62" s="6" t="inlineStr">
        <is>
          <t>PSN-001</t>
        </is>
      </c>
      <c r="C62" s="7">
        <f>IFERROR(INDEX(Person!$B:$B,MATCH($B62,Person!$A:$A,0)),"")</f>
        <v/>
      </c>
      <c r="D62" s="6" t="inlineStr">
        <is>
          <t>PRJ-013</t>
        </is>
      </c>
      <c r="E62" s="7" t="inlineStr">
        <is>
          <t>Project oversight</t>
        </is>
      </c>
      <c r="F62" s="8" t="n">
        <v>46023</v>
      </c>
      <c r="G62" s="8" t="n">
        <v>46446</v>
      </c>
      <c r="H62" s="7" t="n">
        <v>0.15</v>
      </c>
      <c r="I62" s="7" t="n"/>
      <c r="J62" s="7" t="n"/>
      <c r="K62" s="7" t="n"/>
    </row>
    <row r="63">
      <c r="A63" s="6" t="inlineStr">
        <is>
          <t>ASG-062</t>
        </is>
      </c>
      <c r="B63" s="6" t="inlineStr">
        <is>
          <t>PSN-004</t>
        </is>
      </c>
      <c r="C63" s="7">
        <f>IFERROR(INDEX(Person!$B:$B,MATCH($B63,Person!$A:$A,0)),"")</f>
        <v/>
      </c>
      <c r="D63" s="6" t="inlineStr">
        <is>
          <t>PRJ-013</t>
        </is>
      </c>
      <c r="E63" s="7" t="inlineStr">
        <is>
          <t>Lead data manager</t>
        </is>
      </c>
      <c r="F63" s="8" t="n">
        <v>45962</v>
      </c>
      <c r="G63" s="8" t="n">
        <v>46476</v>
      </c>
      <c r="H63" s="7" t="n">
        <v>0.14</v>
      </c>
      <c r="I63" s="7" t="n"/>
      <c r="J63" s="7" t="n"/>
      <c r="K63" s="7" t="n"/>
    </row>
    <row r="64">
      <c r="A64" s="6" t="inlineStr">
        <is>
          <t>ASG-063</t>
        </is>
      </c>
      <c r="B64" s="6" t="inlineStr">
        <is>
          <t>PSN-010</t>
        </is>
      </c>
      <c r="C64" s="7">
        <f>IFERROR(INDEX(Person!$B:$B,MATCH($B64,Person!$A:$A,0)),"")</f>
        <v/>
      </c>
      <c r="D64" s="6" t="inlineStr">
        <is>
          <t>PRJ-013</t>
        </is>
      </c>
      <c r="E64" s="7" t="inlineStr">
        <is>
          <t>Clinical Data Associator</t>
        </is>
      </c>
      <c r="F64" s="8" t="n">
        <v>46023</v>
      </c>
      <c r="G64" s="8" t="n">
        <v>46446</v>
      </c>
      <c r="H64" s="7" t="n">
        <v>0.16</v>
      </c>
      <c r="I64" s="7" t="n"/>
      <c r="J64" s="7" t="n"/>
      <c r="K64" s="7" t="n"/>
    </row>
    <row r="65">
      <c r="A65" s="6" t="inlineStr">
        <is>
          <t>ASG-064</t>
        </is>
      </c>
      <c r="B65" s="6" t="inlineStr">
        <is>
          <t>PSN-013</t>
        </is>
      </c>
      <c r="C65" s="7">
        <f>IFERROR(INDEX(Person!$B:$B,MATCH($B65,Person!$A:$A,0)),"")</f>
        <v/>
      </c>
      <c r="D65" s="6" t="inlineStr">
        <is>
          <t>PRJ-013</t>
        </is>
      </c>
      <c r="E65" s="7" t="inlineStr">
        <is>
          <t>Clinical Database Programmer</t>
        </is>
      </c>
      <c r="F65" s="8" t="n">
        <v>46023</v>
      </c>
      <c r="G65" s="8" t="n">
        <v>46446</v>
      </c>
      <c r="H65" s="7" t="n">
        <v>0.17</v>
      </c>
      <c r="I65" s="7" t="n"/>
      <c r="J65" s="7" t="n"/>
      <c r="K65" s="7" t="n"/>
    </row>
    <row r="66">
      <c r="A66" s="6" t="inlineStr">
        <is>
          <t>ASG-065</t>
        </is>
      </c>
      <c r="B66" s="6" t="inlineStr">
        <is>
          <t>PSN-017</t>
        </is>
      </c>
      <c r="C66" s="7">
        <f>IFERROR(INDEX(Person!$B:$B,MATCH($B66,Person!$A:$A,0)),"")</f>
        <v/>
      </c>
      <c r="D66" s="6" t="inlineStr">
        <is>
          <t>PRJ-013</t>
        </is>
      </c>
      <c r="E66" s="7" t="inlineStr">
        <is>
          <t>Data Analyst</t>
        </is>
      </c>
      <c r="F66" s="8" t="n">
        <v>45992</v>
      </c>
      <c r="G66" s="8" t="n">
        <v>46446</v>
      </c>
      <c r="H66" s="7" t="n">
        <v>0.13</v>
      </c>
      <c r="I66" s="7" t="n"/>
      <c r="J66" s="7" t="n"/>
      <c r="K66" s="7" t="n"/>
    </row>
    <row r="67">
      <c r="A67" s="6" t="inlineStr">
        <is>
          <t>ASG-066</t>
        </is>
      </c>
      <c r="B67" s="6" t="inlineStr">
        <is>
          <t>PSN-002</t>
        </is>
      </c>
      <c r="C67" s="7">
        <f>IFERROR(INDEX(Person!$B:$B,MATCH($B67,Person!$A:$A,0)),"")</f>
        <v/>
      </c>
      <c r="D67" s="6" t="inlineStr">
        <is>
          <t>PRJ-014</t>
        </is>
      </c>
      <c r="E67" s="7" t="inlineStr">
        <is>
          <t>Project oversight</t>
        </is>
      </c>
      <c r="F67" s="8" t="n">
        <v>46235</v>
      </c>
      <c r="G67" s="8" t="n">
        <v>46690</v>
      </c>
      <c r="H67" s="7" t="n">
        <v>0.1</v>
      </c>
      <c r="I67" s="7" t="n"/>
      <c r="J67" s="7" t="n"/>
      <c r="K67" s="7" t="n"/>
    </row>
    <row r="68">
      <c r="A68" s="6" t="inlineStr">
        <is>
          <t>ASG-067</t>
        </is>
      </c>
      <c r="B68" s="6" t="inlineStr">
        <is>
          <t>PSN-005</t>
        </is>
      </c>
      <c r="C68" s="7">
        <f>IFERROR(INDEX(Person!$B:$B,MATCH($B68,Person!$A:$A,0)),"")</f>
        <v/>
      </c>
      <c r="D68" s="6" t="inlineStr">
        <is>
          <t>PRJ-014</t>
        </is>
      </c>
      <c r="E68" s="7" t="inlineStr">
        <is>
          <t>Lead data manager</t>
        </is>
      </c>
      <c r="F68" s="8" t="n">
        <v>46204</v>
      </c>
      <c r="G68" s="8" t="n">
        <v>46721</v>
      </c>
      <c r="H68" s="7" t="n">
        <v>0.15</v>
      </c>
      <c r="I68" s="7" t="n"/>
      <c r="J68" s="7" t="n"/>
      <c r="K68" s="7" t="n"/>
    </row>
    <row r="69">
      <c r="A69" s="6" t="inlineStr">
        <is>
          <t>ASG-068</t>
        </is>
      </c>
      <c r="B69" s="6" t="inlineStr">
        <is>
          <t>PSN-011</t>
        </is>
      </c>
      <c r="C69" s="7">
        <f>IFERROR(INDEX(Person!$B:$B,MATCH($B69,Person!$A:$A,0)),"")</f>
        <v/>
      </c>
      <c r="D69" s="6" t="inlineStr">
        <is>
          <t>PRJ-014</t>
        </is>
      </c>
      <c r="E69" s="7" t="inlineStr">
        <is>
          <t>Clinical Data Associator</t>
        </is>
      </c>
      <c r="F69" s="8" t="n">
        <v>46174</v>
      </c>
      <c r="G69" s="8" t="n">
        <v>46721</v>
      </c>
      <c r="H69" s="7" t="n">
        <v>0.14</v>
      </c>
      <c r="I69" s="7" t="n"/>
      <c r="J69" s="7" t="n"/>
      <c r="K69" s="7" t="n"/>
    </row>
    <row r="70">
      <c r="A70" s="6" t="inlineStr">
        <is>
          <t>ASG-069</t>
        </is>
      </c>
      <c r="B70" s="6" t="inlineStr">
        <is>
          <t>PSN-014</t>
        </is>
      </c>
      <c r="C70" s="7">
        <f>IFERROR(INDEX(Person!$B:$B,MATCH($B70,Person!$A:$A,0)),"")</f>
        <v/>
      </c>
      <c r="D70" s="6" t="inlineStr">
        <is>
          <t>PRJ-014</t>
        </is>
      </c>
      <c r="E70" s="7" t="inlineStr">
        <is>
          <t>Clinical Database Programmer</t>
        </is>
      </c>
      <c r="F70" s="8" t="n">
        <v>46204</v>
      </c>
      <c r="G70" s="8" t="n">
        <v>46721</v>
      </c>
      <c r="H70" s="7" t="n">
        <v>0.16</v>
      </c>
      <c r="I70" s="7" t="n"/>
      <c r="J70" s="7" t="n"/>
      <c r="K70" s="7" t="n"/>
    </row>
    <row r="71">
      <c r="A71" s="6" t="inlineStr">
        <is>
          <t>ASG-070</t>
        </is>
      </c>
      <c r="B71" s="6" t="inlineStr">
        <is>
          <t>PSN-018</t>
        </is>
      </c>
      <c r="C71" s="7">
        <f>IFERROR(INDEX(Person!$B:$B,MATCH($B71,Person!$A:$A,0)),"")</f>
        <v/>
      </c>
      <c r="D71" s="6" t="inlineStr">
        <is>
          <t>PRJ-014</t>
        </is>
      </c>
      <c r="E71" s="7" t="inlineStr">
        <is>
          <t>Data Analyst</t>
        </is>
      </c>
      <c r="F71" s="8" t="n">
        <v>46174</v>
      </c>
      <c r="G71" s="8" t="n">
        <v>46721</v>
      </c>
      <c r="H71" s="7" t="n">
        <v>0.16</v>
      </c>
      <c r="I71" s="7" t="n"/>
      <c r="J71" s="7" t="n"/>
      <c r="K71" s="7" t="n"/>
    </row>
    <row r="72">
      <c r="A72" s="6" t="inlineStr">
        <is>
          <t>ASG-071</t>
        </is>
      </c>
      <c r="B72" s="6" t="inlineStr">
        <is>
          <t>PSN-003</t>
        </is>
      </c>
      <c r="C72" s="7">
        <f>IFERROR(INDEX(Person!$B:$B,MATCH($B72,Person!$A:$A,0)),"")</f>
        <v/>
      </c>
      <c r="D72" s="6" t="inlineStr">
        <is>
          <t>PRJ-015</t>
        </is>
      </c>
      <c r="E72" s="7" t="inlineStr">
        <is>
          <t>Project oversight</t>
        </is>
      </c>
      <c r="F72" s="8" t="n">
        <v>46631</v>
      </c>
      <c r="G72" s="8" t="n">
        <v>47633</v>
      </c>
      <c r="H72" s="7" t="n">
        <v>0.15</v>
      </c>
      <c r="I72" s="7" t="n"/>
      <c r="J72" s="7" t="n"/>
      <c r="K72" s="7" t="n"/>
    </row>
    <row r="73">
      <c r="A73" s="6" t="inlineStr">
        <is>
          <t>ASG-072</t>
        </is>
      </c>
      <c r="B73" s="6" t="inlineStr">
        <is>
          <t>PSN-006</t>
        </is>
      </c>
      <c r="C73" s="7">
        <f>IFERROR(INDEX(Person!$B:$B,MATCH($B73,Person!$A:$A,0)),"")</f>
        <v/>
      </c>
      <c r="D73" s="6" t="inlineStr">
        <is>
          <t>PRJ-015</t>
        </is>
      </c>
      <c r="E73" s="7" t="inlineStr">
        <is>
          <t>Lead data manager</t>
        </is>
      </c>
      <c r="F73" s="8" t="n">
        <v>46600</v>
      </c>
      <c r="G73" s="8" t="n">
        <v>47664</v>
      </c>
      <c r="H73" s="7" t="n">
        <v>0.16</v>
      </c>
      <c r="I73" s="7" t="n"/>
      <c r="J73" s="7" t="n"/>
      <c r="K73" s="7" t="n"/>
    </row>
    <row r="74">
      <c r="A74" s="6" t="inlineStr">
        <is>
          <t>ASG-073</t>
        </is>
      </c>
      <c r="B74" s="6" t="inlineStr">
        <is>
          <t>PSN-012</t>
        </is>
      </c>
      <c r="C74" s="7">
        <f>IFERROR(INDEX(Person!$B:$B,MATCH($B74,Person!$A:$A,0)),"")</f>
        <v/>
      </c>
      <c r="D74" s="6" t="inlineStr">
        <is>
          <t>PRJ-015</t>
        </is>
      </c>
      <c r="E74" s="7" t="inlineStr">
        <is>
          <t>Clinical Data Associator</t>
        </is>
      </c>
      <c r="F74" s="8" t="n">
        <v>46600</v>
      </c>
      <c r="G74" s="8" t="n">
        <v>47664</v>
      </c>
      <c r="H74" s="7" t="n">
        <v>0.13</v>
      </c>
      <c r="I74" s="7" t="n"/>
      <c r="J74" s="7" t="n"/>
      <c r="K74" s="7" t="n"/>
    </row>
    <row r="75">
      <c r="A75" s="6" t="inlineStr">
        <is>
          <t>ASG-074</t>
        </is>
      </c>
      <c r="B75" s="6" t="inlineStr">
        <is>
          <t>PSN-015</t>
        </is>
      </c>
      <c r="C75" s="7">
        <f>IFERROR(INDEX(Person!$B:$B,MATCH($B75,Person!$A:$A,0)),"")</f>
        <v/>
      </c>
      <c r="D75" s="6" t="inlineStr">
        <is>
          <t>PRJ-015</t>
        </is>
      </c>
      <c r="E75" s="7" t="inlineStr">
        <is>
          <t>Clinical Database Programmer</t>
        </is>
      </c>
      <c r="F75" s="8" t="n">
        <v>46631</v>
      </c>
      <c r="G75" s="8" t="n">
        <v>47633</v>
      </c>
      <c r="H75" s="7" t="n">
        <v>0.11</v>
      </c>
      <c r="I75" s="7" t="n"/>
      <c r="J75" s="7" t="n"/>
      <c r="K75" s="7" t="n"/>
    </row>
    <row r="76">
      <c r="A76" s="6" t="inlineStr">
        <is>
          <t>ASG-075</t>
        </is>
      </c>
      <c r="B76" s="6" t="inlineStr">
        <is>
          <t>PSN-019</t>
        </is>
      </c>
      <c r="C76" s="7">
        <f>IFERROR(INDEX(Person!$B:$B,MATCH($B76,Person!$A:$A,0)),"")</f>
        <v/>
      </c>
      <c r="D76" s="6" t="inlineStr">
        <is>
          <t>PRJ-015</t>
        </is>
      </c>
      <c r="E76" s="7" t="inlineStr">
        <is>
          <t>Data Analyst</t>
        </is>
      </c>
      <c r="F76" s="8" t="n">
        <v>46631</v>
      </c>
      <c r="G76" s="8" t="n">
        <v>47664</v>
      </c>
      <c r="H76" s="7" t="n">
        <v>0.15</v>
      </c>
      <c r="I76" s="7" t="n"/>
      <c r="J76" s="7" t="n"/>
      <c r="K76" s="7" t="n"/>
    </row>
    <row r="77">
      <c r="A77" s="6" t="inlineStr">
        <is>
          <t>ASG-076</t>
        </is>
      </c>
      <c r="B77" s="6" t="inlineStr">
        <is>
          <t>PSN-001</t>
        </is>
      </c>
      <c r="C77" s="7">
        <f>IFERROR(INDEX(Person!$B:$B,MATCH($B77,Person!$A:$A,0)),"")</f>
        <v/>
      </c>
      <c r="D77" s="6" t="inlineStr">
        <is>
          <t>PRJ-016</t>
        </is>
      </c>
      <c r="E77" s="7" t="inlineStr">
        <is>
          <t>Project oversight</t>
        </is>
      </c>
      <c r="F77" s="8" t="n">
        <v>46296</v>
      </c>
      <c r="G77" s="8" t="n">
        <v>46752</v>
      </c>
      <c r="H77" s="7" t="n">
        <v>0.17</v>
      </c>
      <c r="I77" s="7" t="n"/>
      <c r="J77" s="7" t="n"/>
      <c r="K77" s="7" t="n"/>
    </row>
    <row r="78">
      <c r="A78" s="6" t="inlineStr">
        <is>
          <t>ASG-077</t>
        </is>
      </c>
      <c r="B78" s="6" t="inlineStr">
        <is>
          <t>PSN-007</t>
        </is>
      </c>
      <c r="C78" s="7">
        <f>IFERROR(INDEX(Person!$B:$B,MATCH($B78,Person!$A:$A,0)),"")</f>
        <v/>
      </c>
      <c r="D78" s="6" t="inlineStr">
        <is>
          <t>PRJ-016</t>
        </is>
      </c>
      <c r="E78" s="7" t="inlineStr">
        <is>
          <t>Lead data manager</t>
        </is>
      </c>
      <c r="F78" s="8" t="n">
        <v>46235</v>
      </c>
      <c r="G78" s="8" t="n">
        <v>46721</v>
      </c>
      <c r="H78" s="7" t="n">
        <v>0.15</v>
      </c>
      <c r="I78" s="7" t="n"/>
      <c r="J78" s="7" t="n"/>
      <c r="K78" s="7" t="n"/>
    </row>
    <row r="79">
      <c r="A79" s="6" t="inlineStr">
        <is>
          <t>ASG-078</t>
        </is>
      </c>
      <c r="B79" s="6" t="inlineStr">
        <is>
          <t>PSN-008</t>
        </is>
      </c>
      <c r="C79" s="7">
        <f>IFERROR(INDEX(Person!$B:$B,MATCH($B79,Person!$A:$A,0)),"")</f>
        <v/>
      </c>
      <c r="D79" s="6" t="inlineStr">
        <is>
          <t>PRJ-016</t>
        </is>
      </c>
      <c r="E79" s="7" t="inlineStr">
        <is>
          <t>Clinical Data Associator</t>
        </is>
      </c>
      <c r="F79" s="8" t="n">
        <v>46296</v>
      </c>
      <c r="G79" s="8" t="n">
        <v>46783</v>
      </c>
      <c r="H79" s="7" t="n">
        <v>0.14</v>
      </c>
      <c r="I79" s="7" t="n"/>
      <c r="J79" s="7" t="n"/>
      <c r="K79" s="7" t="n"/>
    </row>
    <row r="80">
      <c r="A80" s="6" t="inlineStr">
        <is>
          <t>ASG-079</t>
        </is>
      </c>
      <c r="B80" s="6" t="inlineStr">
        <is>
          <t>PSN-016</t>
        </is>
      </c>
      <c r="C80" s="7">
        <f>IFERROR(INDEX(Person!$B:$B,MATCH($B80,Person!$A:$A,0)),"")</f>
        <v/>
      </c>
      <c r="D80" s="6" t="inlineStr">
        <is>
          <t>PRJ-016</t>
        </is>
      </c>
      <c r="E80" s="7" t="inlineStr">
        <is>
          <t>Clinical Database Programmer</t>
        </is>
      </c>
      <c r="F80" s="8" t="n">
        <v>46235</v>
      </c>
      <c r="G80" s="8" t="n">
        <v>46721</v>
      </c>
      <c r="H80" s="7" t="n">
        <v>0.12</v>
      </c>
      <c r="I80" s="7" t="n"/>
      <c r="J80" s="7" t="n"/>
      <c r="K80" s="7" t="n"/>
    </row>
    <row r="81">
      <c r="A81" s="6" t="inlineStr">
        <is>
          <t>ASG-080</t>
        </is>
      </c>
      <c r="B81" s="6" t="inlineStr">
        <is>
          <t>PSN-017</t>
        </is>
      </c>
      <c r="C81" s="7">
        <f>IFERROR(INDEX(Person!$B:$B,MATCH($B81,Person!$A:$A,0)),"")</f>
        <v/>
      </c>
      <c r="D81" s="6" t="inlineStr">
        <is>
          <t>PRJ-016</t>
        </is>
      </c>
      <c r="E81" s="7" t="inlineStr">
        <is>
          <t>Data Analyst</t>
        </is>
      </c>
      <c r="F81" s="8" t="n">
        <v>46296</v>
      </c>
      <c r="G81" s="8" t="n">
        <v>46721</v>
      </c>
      <c r="H81" s="7" t="n">
        <v>0.11</v>
      </c>
      <c r="I81" s="7" t="n"/>
      <c r="J81" s="7" t="n"/>
      <c r="K81" s="7" t="n"/>
    </row>
    <row r="82">
      <c r="A82" s="6" t="inlineStr">
        <is>
          <t>ASG-081</t>
        </is>
      </c>
      <c r="B82" s="6" t="inlineStr">
        <is>
          <t>PSN-002</t>
        </is>
      </c>
      <c r="C82" s="7">
        <f>IFERROR(INDEX(Person!$B:$B,MATCH($B82,Person!$A:$A,0)),"")</f>
        <v/>
      </c>
      <c r="D82" s="6" t="inlineStr">
        <is>
          <t>PRJ-017</t>
        </is>
      </c>
      <c r="E82" s="7" t="inlineStr">
        <is>
          <t>Project oversight</t>
        </is>
      </c>
      <c r="F82" s="8" t="n">
        <v>46844</v>
      </c>
      <c r="G82" s="8" t="n">
        <v>47876</v>
      </c>
      <c r="H82" s="7" t="n">
        <v>0.14</v>
      </c>
      <c r="I82" s="7" t="n"/>
      <c r="J82" s="7" t="n"/>
      <c r="K82" s="7" t="n"/>
    </row>
    <row r="83">
      <c r="A83" s="6" t="inlineStr">
        <is>
          <t>ASG-082</t>
        </is>
      </c>
      <c r="B83" s="6" t="inlineStr">
        <is>
          <t>PSN-004</t>
        </is>
      </c>
      <c r="C83" s="7">
        <f>IFERROR(INDEX(Person!$B:$B,MATCH($B83,Person!$A:$A,0)),"")</f>
        <v/>
      </c>
      <c r="D83" s="6" t="inlineStr">
        <is>
          <t>PRJ-017</t>
        </is>
      </c>
      <c r="E83" s="7" t="inlineStr">
        <is>
          <t>Lead data manager</t>
        </is>
      </c>
      <c r="F83" s="8" t="n">
        <v>46844</v>
      </c>
      <c r="G83" s="8" t="n">
        <v>47876</v>
      </c>
      <c r="H83" s="7" t="n">
        <v>0.16</v>
      </c>
      <c r="I83" s="7" t="n"/>
      <c r="J83" s="7" t="n"/>
      <c r="K83" s="7" t="n"/>
    </row>
    <row r="84">
      <c r="A84" s="6" t="inlineStr">
        <is>
          <t>ASG-083</t>
        </is>
      </c>
      <c r="B84" s="6" t="inlineStr">
        <is>
          <t>PSN-009</t>
        </is>
      </c>
      <c r="C84" s="7">
        <f>IFERROR(INDEX(Person!$B:$B,MATCH($B84,Person!$A:$A,0)),"")</f>
        <v/>
      </c>
      <c r="D84" s="6" t="inlineStr">
        <is>
          <t>PRJ-017</t>
        </is>
      </c>
      <c r="E84" s="7" t="inlineStr">
        <is>
          <t>Clinical Data Associator</t>
        </is>
      </c>
      <c r="F84" s="8" t="n">
        <v>46844</v>
      </c>
      <c r="G84" s="8" t="n">
        <v>47876</v>
      </c>
      <c r="H84" s="7" t="n">
        <v>0.1</v>
      </c>
      <c r="I84" s="7" t="n"/>
      <c r="J84" s="7" t="n"/>
      <c r="K84" s="7" t="n"/>
    </row>
    <row r="85">
      <c r="A85" s="6" t="inlineStr">
        <is>
          <t>ASG-084</t>
        </is>
      </c>
      <c r="B85" s="6" t="inlineStr">
        <is>
          <t>PSN-013</t>
        </is>
      </c>
      <c r="C85" s="7">
        <f>IFERROR(INDEX(Person!$B:$B,MATCH($B85,Person!$A:$A,0)),"")</f>
        <v/>
      </c>
      <c r="D85" s="6" t="inlineStr">
        <is>
          <t>PRJ-017</t>
        </is>
      </c>
      <c r="E85" s="7" t="inlineStr">
        <is>
          <t>Clinical Database Programmer</t>
        </is>
      </c>
      <c r="F85" s="8" t="n">
        <v>46813</v>
      </c>
      <c r="G85" s="8" t="n">
        <v>47845</v>
      </c>
      <c r="H85" s="7" t="n">
        <v>0.15</v>
      </c>
      <c r="I85" s="7" t="n"/>
      <c r="J85" s="7" t="n"/>
      <c r="K85" s="7" t="n"/>
    </row>
    <row r="86">
      <c r="A86" s="6" t="inlineStr">
        <is>
          <t>ASG-085</t>
        </is>
      </c>
      <c r="B86" s="6" t="inlineStr">
        <is>
          <t>PSN-018</t>
        </is>
      </c>
      <c r="C86" s="7">
        <f>IFERROR(INDEX(Person!$B:$B,MATCH($B86,Person!$A:$A,0)),"")</f>
        <v/>
      </c>
      <c r="D86" s="6" t="inlineStr">
        <is>
          <t>PRJ-017</t>
        </is>
      </c>
      <c r="E86" s="7" t="inlineStr">
        <is>
          <t>Data Analyst</t>
        </is>
      </c>
      <c r="F86" s="8" t="n">
        <v>46874</v>
      </c>
      <c r="G86" s="8" t="n">
        <v>47876</v>
      </c>
      <c r="H86" s="7" t="n">
        <v>0.17</v>
      </c>
      <c r="I86" s="7" t="n"/>
      <c r="J86" s="7" t="n"/>
      <c r="K86" s="7" t="n"/>
    </row>
    <row r="87">
      <c r="A87" s="6" t="inlineStr">
        <is>
          <t>ASG-086</t>
        </is>
      </c>
      <c r="B87" s="6" t="inlineStr">
        <is>
          <t>PSN-003</t>
        </is>
      </c>
      <c r="C87" s="7">
        <f>IFERROR(INDEX(Person!$B:$B,MATCH($B87,Person!$A:$A,0)),"")</f>
        <v/>
      </c>
      <c r="D87" s="6" t="inlineStr">
        <is>
          <t>PRJ-018</t>
        </is>
      </c>
      <c r="E87" s="7" t="inlineStr">
        <is>
          <t>Project oversight</t>
        </is>
      </c>
      <c r="F87" s="8" t="n">
        <v>46023</v>
      </c>
      <c r="G87" s="8" t="n">
        <v>46873</v>
      </c>
      <c r="H87" s="7" t="n">
        <v>0.14</v>
      </c>
      <c r="I87" s="7" t="n"/>
      <c r="J87" s="7" t="n"/>
      <c r="K87" s="7" t="n"/>
    </row>
    <row r="88">
      <c r="A88" s="6" t="inlineStr">
        <is>
          <t>ASG-087</t>
        </is>
      </c>
      <c r="B88" s="6" t="inlineStr">
        <is>
          <t>PSN-005</t>
        </is>
      </c>
      <c r="C88" s="7">
        <f>IFERROR(INDEX(Person!$B:$B,MATCH($B88,Person!$A:$A,0)),"")</f>
        <v/>
      </c>
      <c r="D88" s="6" t="inlineStr">
        <is>
          <t>PRJ-018</t>
        </is>
      </c>
      <c r="E88" s="7" t="inlineStr">
        <is>
          <t>Lead data manager</t>
        </is>
      </c>
      <c r="F88" s="8" t="n">
        <v>45992</v>
      </c>
      <c r="G88" s="8" t="n">
        <v>46812</v>
      </c>
      <c r="H88" s="7" t="n">
        <v>0.16</v>
      </c>
      <c r="I88" s="7" t="n"/>
      <c r="J88" s="7" t="n"/>
      <c r="K88" s="7" t="n"/>
    </row>
    <row r="89">
      <c r="A89" s="6" t="inlineStr">
        <is>
          <t>ASG-088</t>
        </is>
      </c>
      <c r="B89" s="6" t="inlineStr">
        <is>
          <t>PSN-010</t>
        </is>
      </c>
      <c r="C89" s="7">
        <f>IFERROR(INDEX(Person!$B:$B,MATCH($B89,Person!$A:$A,0)),"")</f>
        <v/>
      </c>
      <c r="D89" s="6" t="inlineStr">
        <is>
          <t>PRJ-018</t>
        </is>
      </c>
      <c r="E89" s="7" t="inlineStr">
        <is>
          <t>Clinical Data Associator</t>
        </is>
      </c>
      <c r="F89" s="8" t="n">
        <v>45992</v>
      </c>
      <c r="G89" s="8" t="n">
        <v>46812</v>
      </c>
      <c r="H89" s="7" t="n">
        <v>0.15</v>
      </c>
      <c r="I89" s="7" t="n"/>
      <c r="J89" s="7" t="n"/>
      <c r="K89" s="7" t="n"/>
    </row>
    <row r="90">
      <c r="A90" s="6" t="inlineStr">
        <is>
          <t>ASG-089</t>
        </is>
      </c>
      <c r="B90" s="6" t="inlineStr">
        <is>
          <t>PSN-014</t>
        </is>
      </c>
      <c r="C90" s="7">
        <f>IFERROR(INDEX(Person!$B:$B,MATCH($B90,Person!$A:$A,0)),"")</f>
        <v/>
      </c>
      <c r="D90" s="6" t="inlineStr">
        <is>
          <t>PRJ-018</t>
        </is>
      </c>
      <c r="E90" s="7" t="inlineStr">
        <is>
          <t>Clinical Database Programmer</t>
        </is>
      </c>
      <c r="F90" s="8" t="n">
        <v>45992</v>
      </c>
      <c r="G90" s="8" t="n">
        <v>46873</v>
      </c>
      <c r="H90" s="7" t="n">
        <v>0.16</v>
      </c>
      <c r="I90" s="7" t="n"/>
      <c r="J90" s="7" t="n"/>
      <c r="K90" s="7" t="n"/>
    </row>
    <row r="91">
      <c r="A91" s="6" t="inlineStr">
        <is>
          <t>ASG-090</t>
        </is>
      </c>
      <c r="B91" s="6" t="inlineStr">
        <is>
          <t>PSN-019</t>
        </is>
      </c>
      <c r="C91" s="7">
        <f>IFERROR(INDEX(Person!$B:$B,MATCH($B91,Person!$A:$A,0)),"")</f>
        <v/>
      </c>
      <c r="D91" s="6" t="inlineStr">
        <is>
          <t>PRJ-018</t>
        </is>
      </c>
      <c r="E91" s="7" t="inlineStr">
        <is>
          <t>Data Analyst</t>
        </is>
      </c>
      <c r="F91" s="8" t="n">
        <v>45992</v>
      </c>
      <c r="G91" s="8" t="n">
        <v>46842</v>
      </c>
      <c r="H91" s="7" t="n">
        <v>0.14</v>
      </c>
      <c r="I91" s="7" t="n"/>
      <c r="J91" s="7" t="n"/>
      <c r="K91" s="7" t="n"/>
    </row>
    <row r="92">
      <c r="A92" s="6" t="inlineStr">
        <is>
          <t>ASG-091</t>
        </is>
      </c>
      <c r="B92" s="6" t="inlineStr">
        <is>
          <t>PSN-001</t>
        </is>
      </c>
      <c r="C92" s="7">
        <f>IFERROR(INDEX(Person!$B:$B,MATCH($B92,Person!$A:$A,0)),"")</f>
        <v/>
      </c>
      <c r="D92" s="6" t="inlineStr">
        <is>
          <t>PRJ-019</t>
        </is>
      </c>
      <c r="E92" s="7" t="inlineStr">
        <is>
          <t>Project oversight</t>
        </is>
      </c>
      <c r="F92" s="8" t="n">
        <v>46113</v>
      </c>
      <c r="G92" s="8" t="n">
        <v>47299</v>
      </c>
      <c r="H92" s="7" t="n">
        <v>0.14</v>
      </c>
      <c r="I92" s="7" t="n"/>
      <c r="J92" s="7" t="n"/>
      <c r="K92" s="7" t="n"/>
    </row>
    <row r="93">
      <c r="A93" s="6" t="inlineStr">
        <is>
          <t>ASG-092</t>
        </is>
      </c>
      <c r="B93" s="6" t="inlineStr">
        <is>
          <t>PSN-006</t>
        </is>
      </c>
      <c r="C93" s="7">
        <f>IFERROR(INDEX(Person!$B:$B,MATCH($B93,Person!$A:$A,0)),"")</f>
        <v/>
      </c>
      <c r="D93" s="6" t="inlineStr">
        <is>
          <t>PRJ-019</t>
        </is>
      </c>
      <c r="E93" s="7" t="inlineStr">
        <is>
          <t>Lead data manager</t>
        </is>
      </c>
      <c r="F93" s="8" t="n">
        <v>46082</v>
      </c>
      <c r="G93" s="8" t="n">
        <v>47361</v>
      </c>
      <c r="H93" s="7" t="n">
        <v>0.2</v>
      </c>
      <c r="I93" s="7" t="n"/>
      <c r="J93" s="7" t="n"/>
      <c r="K93" s="7" t="n"/>
    </row>
    <row r="94">
      <c r="A94" s="6" t="inlineStr">
        <is>
          <t>ASG-093</t>
        </is>
      </c>
      <c r="B94" s="6" t="inlineStr">
        <is>
          <t>PSN-011</t>
        </is>
      </c>
      <c r="C94" s="7">
        <f>IFERROR(INDEX(Person!$B:$B,MATCH($B94,Person!$A:$A,0)),"")</f>
        <v/>
      </c>
      <c r="D94" s="6" t="inlineStr">
        <is>
          <t>PRJ-019</t>
        </is>
      </c>
      <c r="E94" s="7" t="inlineStr">
        <is>
          <t>Clinical Data Associator</t>
        </is>
      </c>
      <c r="F94" s="8" t="n">
        <v>46113</v>
      </c>
      <c r="G94" s="8" t="n">
        <v>47361</v>
      </c>
      <c r="H94" s="7" t="n">
        <v>0.12</v>
      </c>
      <c r="I94" s="7" t="n"/>
      <c r="J94" s="7" t="n"/>
      <c r="K94" s="7" t="n"/>
    </row>
    <row r="95">
      <c r="A95" s="6" t="inlineStr">
        <is>
          <t>ASG-094</t>
        </is>
      </c>
      <c r="B95" s="6" t="inlineStr">
        <is>
          <t>PSN-015</t>
        </is>
      </c>
      <c r="C95" s="7">
        <f>IFERROR(INDEX(Person!$B:$B,MATCH($B95,Person!$A:$A,0)),"")</f>
        <v/>
      </c>
      <c r="D95" s="6" t="inlineStr">
        <is>
          <t>PRJ-019</t>
        </is>
      </c>
      <c r="E95" s="7" t="inlineStr">
        <is>
          <t>Clinical Database Programmer</t>
        </is>
      </c>
      <c r="F95" s="8" t="n">
        <v>46143</v>
      </c>
      <c r="G95" s="8" t="n">
        <v>47330</v>
      </c>
      <c r="H95" s="7" t="n">
        <v>0.12</v>
      </c>
      <c r="I95" s="7" t="n"/>
      <c r="J95" s="7" t="n"/>
      <c r="K95" s="7" t="n"/>
    </row>
    <row r="96">
      <c r="A96" s="6" t="inlineStr">
        <is>
          <t>ASG-095</t>
        </is>
      </c>
      <c r="B96" s="6" t="inlineStr">
        <is>
          <t>PSN-017</t>
        </is>
      </c>
      <c r="C96" s="7">
        <f>IFERROR(INDEX(Person!$B:$B,MATCH($B96,Person!$A:$A,0)),"")</f>
        <v/>
      </c>
      <c r="D96" s="6" t="inlineStr">
        <is>
          <t>PRJ-019</t>
        </is>
      </c>
      <c r="E96" s="7" t="inlineStr">
        <is>
          <t>Data Analyst</t>
        </is>
      </c>
      <c r="F96" s="8" t="n">
        <v>46143</v>
      </c>
      <c r="G96" s="8" t="n">
        <v>47361</v>
      </c>
      <c r="H96" s="7" t="n">
        <v>0.16</v>
      </c>
      <c r="I96" s="7" t="n"/>
      <c r="J96" s="7" t="n"/>
      <c r="K96" s="7" t="n"/>
    </row>
    <row r="97">
      <c r="A97" s="6" t="inlineStr">
        <is>
          <t>ASG-096</t>
        </is>
      </c>
      <c r="B97" s="6" t="inlineStr">
        <is>
          <t>PSN-002</t>
        </is>
      </c>
      <c r="C97" s="7">
        <f>IFERROR(INDEX(Person!$B:$B,MATCH($B97,Person!$A:$A,0)),"")</f>
        <v/>
      </c>
      <c r="D97" s="6" t="inlineStr">
        <is>
          <t>PRJ-020</t>
        </is>
      </c>
      <c r="E97" s="7" t="inlineStr">
        <is>
          <t>Project oversight</t>
        </is>
      </c>
      <c r="F97" s="8" t="n">
        <v>45870</v>
      </c>
      <c r="G97" s="8" t="n">
        <v>47087</v>
      </c>
      <c r="H97" s="7" t="n">
        <v>0.13</v>
      </c>
      <c r="I97" s="7" t="n"/>
      <c r="J97" s="7" t="n"/>
      <c r="K97" s="7" t="n"/>
    </row>
    <row r="98">
      <c r="A98" s="6" t="inlineStr">
        <is>
          <t>ASG-097</t>
        </is>
      </c>
      <c r="B98" s="6" t="inlineStr">
        <is>
          <t>PSN-007</t>
        </is>
      </c>
      <c r="C98" s="7">
        <f>IFERROR(INDEX(Person!$B:$B,MATCH($B98,Person!$A:$A,0)),"")</f>
        <v/>
      </c>
      <c r="D98" s="6" t="inlineStr">
        <is>
          <t>PRJ-020</t>
        </is>
      </c>
      <c r="E98" s="7" t="inlineStr">
        <is>
          <t>Lead data manager</t>
        </is>
      </c>
      <c r="F98" s="8" t="n">
        <v>45809</v>
      </c>
      <c r="G98" s="8" t="n">
        <v>47026</v>
      </c>
      <c r="H98" s="7" t="n">
        <v>0.16</v>
      </c>
      <c r="I98" s="7" t="n"/>
      <c r="J98" s="7" t="n"/>
      <c r="K98" s="7" t="n"/>
    </row>
    <row r="99">
      <c r="A99" s="6" t="inlineStr">
        <is>
          <t>ASG-098</t>
        </is>
      </c>
      <c r="B99" s="6" t="inlineStr">
        <is>
          <t>PSN-012</t>
        </is>
      </c>
      <c r="C99" s="7">
        <f>IFERROR(INDEX(Person!$B:$B,MATCH($B99,Person!$A:$A,0)),"")</f>
        <v/>
      </c>
      <c r="D99" s="6" t="inlineStr">
        <is>
          <t>PRJ-020</t>
        </is>
      </c>
      <c r="E99" s="7" t="inlineStr">
        <is>
          <t>Clinical Data Associator</t>
        </is>
      </c>
      <c r="F99" s="8" t="n">
        <v>45870</v>
      </c>
      <c r="G99" s="8" t="n">
        <v>47026</v>
      </c>
      <c r="H99" s="7" t="n">
        <v>0.13</v>
      </c>
      <c r="I99" s="7" t="n"/>
      <c r="J99" s="7" t="n"/>
      <c r="K99" s="7" t="n"/>
    </row>
    <row r="100">
      <c r="A100" s="6" t="inlineStr">
        <is>
          <t>ASG-099</t>
        </is>
      </c>
      <c r="B100" s="6" t="inlineStr">
        <is>
          <t>PSN-016</t>
        </is>
      </c>
      <c r="C100" s="7">
        <f>IFERROR(INDEX(Person!$B:$B,MATCH($B100,Person!$A:$A,0)),"")</f>
        <v/>
      </c>
      <c r="D100" s="6" t="inlineStr">
        <is>
          <t>PRJ-020</t>
        </is>
      </c>
      <c r="E100" s="7" t="inlineStr">
        <is>
          <t>Clinical Database Programmer</t>
        </is>
      </c>
      <c r="F100" s="8" t="n">
        <v>45809</v>
      </c>
      <c r="G100" s="8" t="n">
        <v>47087</v>
      </c>
      <c r="H100" s="7" t="n">
        <v>0.13</v>
      </c>
      <c r="I100" s="7" t="n"/>
      <c r="J100" s="7" t="n"/>
      <c r="K100" s="7" t="n"/>
    </row>
    <row r="101">
      <c r="A101" s="6" t="inlineStr">
        <is>
          <t>ASG-100</t>
        </is>
      </c>
      <c r="B101" s="6" t="inlineStr">
        <is>
          <t>PSN-018</t>
        </is>
      </c>
      <c r="C101" s="7">
        <f>IFERROR(INDEX(Person!$B:$B,MATCH($B101,Person!$A:$A,0)),"")</f>
        <v/>
      </c>
      <c r="D101" s="6" t="inlineStr">
        <is>
          <t>PRJ-020</t>
        </is>
      </c>
      <c r="E101" s="7" t="inlineStr">
        <is>
          <t>Data Analyst</t>
        </is>
      </c>
      <c r="F101" s="8" t="n">
        <v>45839</v>
      </c>
      <c r="G101" s="8" t="n">
        <v>47056</v>
      </c>
      <c r="H101" s="7" t="n">
        <v>0.15</v>
      </c>
      <c r="I101" s="7" t="n"/>
      <c r="J101" s="7" t="n"/>
      <c r="K101" s="7" t="n"/>
    </row>
    <row r="102">
      <c r="A102" s="6" t="inlineStr">
        <is>
          <t>ASG-101</t>
        </is>
      </c>
      <c r="B102" s="6" t="inlineStr">
        <is>
          <t>PSN-003</t>
        </is>
      </c>
      <c r="C102" s="7">
        <f>IFERROR(INDEX(Person!$B:$B,MATCH($B102,Person!$A:$A,0)),"")</f>
        <v/>
      </c>
      <c r="D102" s="6" t="inlineStr">
        <is>
          <t>PRJ-021</t>
        </is>
      </c>
      <c r="E102" s="7" t="inlineStr">
        <is>
          <t>Project oversight</t>
        </is>
      </c>
      <c r="F102" s="8" t="n">
        <v>45931</v>
      </c>
      <c r="G102" s="8" t="n">
        <v>46415</v>
      </c>
      <c r="H102" s="7" t="n">
        <v>0.12</v>
      </c>
      <c r="I102" s="7" t="n"/>
      <c r="J102" s="7" t="n"/>
      <c r="K102" s="7" t="n"/>
    </row>
    <row r="103">
      <c r="A103" s="6" t="inlineStr">
        <is>
          <t>ASG-102</t>
        </is>
      </c>
      <c r="B103" s="6" t="inlineStr">
        <is>
          <t>PSN-004</t>
        </is>
      </c>
      <c r="C103" s="7">
        <f>IFERROR(INDEX(Person!$B:$B,MATCH($B103,Person!$A:$A,0)),"")</f>
        <v/>
      </c>
      <c r="D103" s="6" t="inlineStr">
        <is>
          <t>PRJ-021</t>
        </is>
      </c>
      <c r="E103" s="7" t="inlineStr">
        <is>
          <t>Lead data manager</t>
        </is>
      </c>
      <c r="F103" s="8" t="n">
        <v>45962</v>
      </c>
      <c r="G103" s="8" t="n">
        <v>46446</v>
      </c>
      <c r="H103" s="7" t="n">
        <v>0.17</v>
      </c>
      <c r="I103" s="7" t="n"/>
      <c r="J103" s="7" t="n"/>
      <c r="K103" s="7" t="n"/>
    </row>
    <row r="104">
      <c r="A104" s="6" t="inlineStr">
        <is>
          <t>ASG-103</t>
        </is>
      </c>
      <c r="B104" s="6" t="inlineStr">
        <is>
          <t>PSN-008</t>
        </is>
      </c>
      <c r="C104" s="7">
        <f>IFERROR(INDEX(Person!$B:$B,MATCH($B104,Person!$A:$A,0)),"")</f>
        <v/>
      </c>
      <c r="D104" s="6" t="inlineStr">
        <is>
          <t>PRJ-021</t>
        </is>
      </c>
      <c r="E104" s="7" t="inlineStr">
        <is>
          <t>Clinical Data Associator</t>
        </is>
      </c>
      <c r="F104" s="8" t="n">
        <v>45931</v>
      </c>
      <c r="G104" s="8" t="n">
        <v>46446</v>
      </c>
      <c r="H104" s="7" t="n">
        <v>0.15</v>
      </c>
      <c r="I104" s="7" t="n"/>
      <c r="J104" s="7" t="n"/>
      <c r="K104" s="7" t="n"/>
    </row>
    <row r="105">
      <c r="A105" s="6" t="inlineStr">
        <is>
          <t>ASG-104</t>
        </is>
      </c>
      <c r="B105" s="6" t="inlineStr">
        <is>
          <t>PSN-013</t>
        </is>
      </c>
      <c r="C105" s="7">
        <f>IFERROR(INDEX(Person!$B:$B,MATCH($B105,Person!$A:$A,0)),"")</f>
        <v/>
      </c>
      <c r="D105" s="6" t="inlineStr">
        <is>
          <t>PRJ-021</t>
        </is>
      </c>
      <c r="E105" s="7" t="inlineStr">
        <is>
          <t>Clinical Database Programmer</t>
        </is>
      </c>
      <c r="F105" s="8" t="n">
        <v>45962</v>
      </c>
      <c r="G105" s="8" t="n">
        <v>46415</v>
      </c>
      <c r="H105" s="7" t="n">
        <v>0.11</v>
      </c>
      <c r="I105" s="7" t="n"/>
      <c r="J105" s="7" t="n"/>
      <c r="K105" s="7" t="n"/>
    </row>
    <row r="106">
      <c r="A106" s="6" t="inlineStr">
        <is>
          <t>ASG-105</t>
        </is>
      </c>
      <c r="B106" s="6" t="inlineStr">
        <is>
          <t>PSN-019</t>
        </is>
      </c>
      <c r="C106" s="7">
        <f>IFERROR(INDEX(Person!$B:$B,MATCH($B106,Person!$A:$A,0)),"")</f>
        <v/>
      </c>
      <c r="D106" s="6" t="inlineStr">
        <is>
          <t>PRJ-021</t>
        </is>
      </c>
      <c r="E106" s="7" t="inlineStr">
        <is>
          <t>Data Analyst</t>
        </is>
      </c>
      <c r="F106" s="8" t="n">
        <v>45962</v>
      </c>
      <c r="G106" s="8" t="n">
        <v>46415</v>
      </c>
      <c r="H106" s="7" t="n">
        <v>0.15</v>
      </c>
      <c r="I106" s="7" t="n"/>
      <c r="J106" s="7" t="n"/>
      <c r="K106" s="7" t="n"/>
    </row>
    <row r="107">
      <c r="A107" s="6" t="inlineStr">
        <is>
          <t>ASG-106</t>
        </is>
      </c>
      <c r="B107" s="6" t="inlineStr">
        <is>
          <t>PSN-001</t>
        </is>
      </c>
      <c r="C107" s="7">
        <f>IFERROR(INDEX(Person!$B:$B,MATCH($B107,Person!$A:$A,0)),"")</f>
        <v/>
      </c>
      <c r="D107" s="6" t="inlineStr">
        <is>
          <t>PRJ-022</t>
        </is>
      </c>
      <c r="E107" s="7" t="inlineStr">
        <is>
          <t>Project oversight</t>
        </is>
      </c>
      <c r="F107" s="8" t="n">
        <v>46082</v>
      </c>
      <c r="G107" s="8" t="n">
        <v>46783</v>
      </c>
      <c r="H107" s="7" t="n">
        <v>0.12</v>
      </c>
      <c r="I107" s="7" t="n"/>
      <c r="J107" s="7" t="n"/>
      <c r="K107" s="7" t="n"/>
    </row>
    <row r="108">
      <c r="A108" s="6" t="inlineStr">
        <is>
          <t>ASG-107</t>
        </is>
      </c>
      <c r="B108" s="6" t="inlineStr">
        <is>
          <t>PSN-005</t>
        </is>
      </c>
      <c r="C108" s="7">
        <f>IFERROR(INDEX(Person!$B:$B,MATCH($B108,Person!$A:$A,0)),"")</f>
        <v/>
      </c>
      <c r="D108" s="6" t="inlineStr">
        <is>
          <t>PRJ-022</t>
        </is>
      </c>
      <c r="E108" s="7" t="inlineStr">
        <is>
          <t>Lead data manager</t>
        </is>
      </c>
      <c r="F108" s="8" t="n">
        <v>46113</v>
      </c>
      <c r="G108" s="8" t="n">
        <v>46752</v>
      </c>
      <c r="H108" s="7" t="n">
        <v>0.17</v>
      </c>
      <c r="I108" s="7" t="n"/>
      <c r="J108" s="7" t="n"/>
      <c r="K108" s="7" t="n"/>
    </row>
    <row r="109">
      <c r="A109" s="6" t="inlineStr">
        <is>
          <t>ASG-108</t>
        </is>
      </c>
      <c r="B109" s="6" t="inlineStr">
        <is>
          <t>PSN-009</t>
        </is>
      </c>
      <c r="C109" s="7">
        <f>IFERROR(INDEX(Person!$B:$B,MATCH($B109,Person!$A:$A,0)),"")</f>
        <v/>
      </c>
      <c r="D109" s="6" t="inlineStr">
        <is>
          <t>PRJ-022</t>
        </is>
      </c>
      <c r="E109" s="7" t="inlineStr">
        <is>
          <t>Clinical Data Associator</t>
        </is>
      </c>
      <c r="F109" s="8" t="n">
        <v>46082</v>
      </c>
      <c r="G109" s="8" t="n">
        <v>46752</v>
      </c>
      <c r="H109" s="7" t="n">
        <v>0.12</v>
      </c>
      <c r="I109" s="7" t="n"/>
      <c r="J109" s="7" t="n"/>
      <c r="K109" s="7" t="n"/>
    </row>
    <row r="110">
      <c r="A110" s="6" t="inlineStr">
        <is>
          <t>ASG-109</t>
        </is>
      </c>
      <c r="B110" s="6" t="inlineStr">
        <is>
          <t>PSN-014</t>
        </is>
      </c>
      <c r="C110" s="7">
        <f>IFERROR(INDEX(Person!$B:$B,MATCH($B110,Person!$A:$A,0)),"")</f>
        <v/>
      </c>
      <c r="D110" s="6" t="inlineStr">
        <is>
          <t>PRJ-022</t>
        </is>
      </c>
      <c r="E110" s="7" t="inlineStr">
        <is>
          <t>Clinical Database Programmer</t>
        </is>
      </c>
      <c r="F110" s="8" t="n">
        <v>46113</v>
      </c>
      <c r="G110" s="8" t="n">
        <v>46721</v>
      </c>
      <c r="H110" s="7" t="n">
        <v>0.15</v>
      </c>
      <c r="I110" s="7" t="n"/>
      <c r="J110" s="7" t="n"/>
      <c r="K110" s="7" t="n"/>
    </row>
    <row r="111">
      <c r="A111" s="6" t="inlineStr">
        <is>
          <t>ASG-110</t>
        </is>
      </c>
      <c r="B111" s="6" t="inlineStr">
        <is>
          <t>PSN-017</t>
        </is>
      </c>
      <c r="C111" s="7">
        <f>IFERROR(INDEX(Person!$B:$B,MATCH($B111,Person!$A:$A,0)),"")</f>
        <v/>
      </c>
      <c r="D111" s="6" t="inlineStr">
        <is>
          <t>PRJ-022</t>
        </is>
      </c>
      <c r="E111" s="7" t="inlineStr">
        <is>
          <t>Data Analyst</t>
        </is>
      </c>
      <c r="F111" s="8" t="n">
        <v>46054</v>
      </c>
      <c r="G111" s="8" t="n">
        <v>46752</v>
      </c>
      <c r="H111" s="7" t="n">
        <v>0.17</v>
      </c>
      <c r="I111" s="7" t="n"/>
      <c r="J111" s="7" t="n"/>
      <c r="K111" s="7" t="n"/>
    </row>
    <row r="112">
      <c r="A112" s="6" t="inlineStr">
        <is>
          <t>ASG-111</t>
        </is>
      </c>
      <c r="B112" s="6" t="inlineStr">
        <is>
          <t>PSN-002</t>
        </is>
      </c>
      <c r="C112" s="7">
        <f>IFERROR(INDEX(Person!$B:$B,MATCH($B112,Person!$A:$A,0)),"")</f>
        <v/>
      </c>
      <c r="D112" s="6" t="inlineStr">
        <is>
          <t>PRJ-023</t>
        </is>
      </c>
      <c r="E112" s="7" t="inlineStr">
        <is>
          <t>Project oversight</t>
        </is>
      </c>
      <c r="F112" s="8" t="n">
        <v>46419</v>
      </c>
      <c r="G112" s="8" t="n">
        <v>46873</v>
      </c>
      <c r="H112" s="7" t="n">
        <v>0.15</v>
      </c>
      <c r="I112" s="7" t="n"/>
      <c r="J112" s="7" t="n"/>
      <c r="K112" s="7" t="n"/>
    </row>
    <row r="113">
      <c r="A113" s="6" t="inlineStr">
        <is>
          <t>ASG-112</t>
        </is>
      </c>
      <c r="B113" s="6" t="inlineStr">
        <is>
          <t>PSN-006</t>
        </is>
      </c>
      <c r="C113" s="7">
        <f>IFERROR(INDEX(Person!$B:$B,MATCH($B113,Person!$A:$A,0)),"")</f>
        <v/>
      </c>
      <c r="D113" s="6" t="inlineStr">
        <is>
          <t>PRJ-023</t>
        </is>
      </c>
      <c r="E113" s="7" t="inlineStr">
        <is>
          <t>Lead data manager</t>
        </is>
      </c>
      <c r="F113" s="8" t="n">
        <v>46419</v>
      </c>
      <c r="G113" s="8" t="n">
        <v>46904</v>
      </c>
      <c r="H113" s="7" t="n">
        <v>0.16</v>
      </c>
      <c r="I113" s="7" t="n"/>
      <c r="J113" s="7" t="n"/>
      <c r="K113" s="7" t="n"/>
    </row>
    <row r="114">
      <c r="A114" s="6" t="inlineStr">
        <is>
          <t>ASG-113</t>
        </is>
      </c>
      <c r="B114" s="6" t="inlineStr">
        <is>
          <t>PSN-010</t>
        </is>
      </c>
      <c r="C114" s="7">
        <f>IFERROR(INDEX(Person!$B:$B,MATCH($B114,Person!$A:$A,0)),"")</f>
        <v/>
      </c>
      <c r="D114" s="6" t="inlineStr">
        <is>
          <t>PRJ-023</t>
        </is>
      </c>
      <c r="E114" s="7" t="inlineStr">
        <is>
          <t>Clinical Data Associator</t>
        </is>
      </c>
      <c r="F114" s="8" t="n">
        <v>46419</v>
      </c>
      <c r="G114" s="8" t="n">
        <v>46873</v>
      </c>
      <c r="H114" s="7" t="n">
        <v>0.12</v>
      </c>
      <c r="I114" s="7" t="n"/>
      <c r="J114" s="7" t="n"/>
      <c r="K114" s="7" t="n"/>
    </row>
    <row r="115">
      <c r="A115" s="6" t="inlineStr">
        <is>
          <t>ASG-114</t>
        </is>
      </c>
      <c r="B115" s="6" t="inlineStr">
        <is>
          <t>PSN-015</t>
        </is>
      </c>
      <c r="C115" s="7">
        <f>IFERROR(INDEX(Person!$B:$B,MATCH($B115,Person!$A:$A,0)),"")</f>
        <v/>
      </c>
      <c r="D115" s="6" t="inlineStr">
        <is>
          <t>PRJ-023</t>
        </is>
      </c>
      <c r="E115" s="7" t="inlineStr">
        <is>
          <t>Clinical Database Programmer</t>
        </is>
      </c>
      <c r="F115" s="8" t="n">
        <v>46388</v>
      </c>
      <c r="G115" s="8" t="n">
        <v>46873</v>
      </c>
      <c r="H115" s="7" t="n">
        <v>0.15</v>
      </c>
      <c r="I115" s="7" t="n"/>
      <c r="J115" s="7" t="n"/>
      <c r="K115" s="7" t="n"/>
    </row>
    <row r="116">
      <c r="A116" s="6" t="inlineStr">
        <is>
          <t>ASG-115</t>
        </is>
      </c>
      <c r="B116" s="6" t="inlineStr">
        <is>
          <t>PSN-018</t>
        </is>
      </c>
      <c r="C116" s="7">
        <f>IFERROR(INDEX(Person!$B:$B,MATCH($B116,Person!$A:$A,0)),"")</f>
        <v/>
      </c>
      <c r="D116" s="6" t="inlineStr">
        <is>
          <t>PRJ-023</t>
        </is>
      </c>
      <c r="E116" s="7" t="inlineStr">
        <is>
          <t>Data Analyst</t>
        </is>
      </c>
      <c r="F116" s="8" t="n">
        <v>46419</v>
      </c>
      <c r="G116" s="8" t="n">
        <v>46843</v>
      </c>
      <c r="H116" s="7" t="n">
        <v>0.16</v>
      </c>
      <c r="I116" s="7" t="n"/>
      <c r="J116" s="7" t="n"/>
      <c r="K116" s="7" t="n"/>
    </row>
    <row r="117">
      <c r="A117" s="6" t="inlineStr">
        <is>
          <t>ASG-116</t>
        </is>
      </c>
      <c r="B117" s="6" t="inlineStr">
        <is>
          <t>PSN-003</t>
        </is>
      </c>
      <c r="C117" s="7">
        <f>IFERROR(INDEX(Person!$B:$B,MATCH($B117,Person!$A:$A,0)),"")</f>
        <v/>
      </c>
      <c r="D117" s="6" t="inlineStr">
        <is>
          <t>PRJ-024</t>
        </is>
      </c>
      <c r="E117" s="7" t="inlineStr">
        <is>
          <t>Project oversight</t>
        </is>
      </c>
      <c r="F117" s="8" t="n">
        <v>46023</v>
      </c>
      <c r="G117" s="8" t="n">
        <v>46904</v>
      </c>
      <c r="H117" s="7" t="n">
        <v>0.14</v>
      </c>
      <c r="I117" s="7" t="n"/>
      <c r="J117" s="7" t="n"/>
      <c r="K117" s="7" t="n"/>
    </row>
    <row r="118">
      <c r="A118" s="6" t="inlineStr">
        <is>
          <t>ASG-117</t>
        </is>
      </c>
      <c r="B118" s="6" t="inlineStr">
        <is>
          <t>PSN-007</t>
        </is>
      </c>
      <c r="C118" s="7">
        <f>IFERROR(INDEX(Person!$B:$B,MATCH($B118,Person!$A:$A,0)),"")</f>
        <v/>
      </c>
      <c r="D118" s="6" t="inlineStr">
        <is>
          <t>PRJ-024</t>
        </is>
      </c>
      <c r="E118" s="7" t="inlineStr">
        <is>
          <t>Lead data manager</t>
        </is>
      </c>
      <c r="F118" s="8" t="n">
        <v>46023</v>
      </c>
      <c r="G118" s="8" t="n">
        <v>46904</v>
      </c>
      <c r="H118" s="7" t="n">
        <v>0.15</v>
      </c>
      <c r="I118" s="7" t="n"/>
      <c r="J118" s="7" t="n"/>
      <c r="K118" s="7" t="n"/>
    </row>
    <row r="119">
      <c r="A119" s="6" t="inlineStr">
        <is>
          <t>ASG-118</t>
        </is>
      </c>
      <c r="B119" s="6" t="inlineStr">
        <is>
          <t>PSN-011</t>
        </is>
      </c>
      <c r="C119" s="7">
        <f>IFERROR(INDEX(Person!$B:$B,MATCH($B119,Person!$A:$A,0)),"")</f>
        <v/>
      </c>
      <c r="D119" s="6" t="inlineStr">
        <is>
          <t>PRJ-024</t>
        </is>
      </c>
      <c r="E119" s="7" t="inlineStr">
        <is>
          <t>Clinical Data Associator</t>
        </is>
      </c>
      <c r="F119" s="8" t="n">
        <v>45992</v>
      </c>
      <c r="G119" s="8" t="n">
        <v>46904</v>
      </c>
      <c r="H119" s="7" t="n">
        <v>0.15</v>
      </c>
      <c r="I119" s="7" t="n"/>
      <c r="J119" s="7" t="n"/>
      <c r="K119" s="7" t="n"/>
    </row>
    <row r="120">
      <c r="A120" s="6" t="inlineStr">
        <is>
          <t>ASG-119</t>
        </is>
      </c>
      <c r="B120" s="6" t="inlineStr">
        <is>
          <t>PSN-016</t>
        </is>
      </c>
      <c r="C120" s="7">
        <f>IFERROR(INDEX(Person!$B:$B,MATCH($B120,Person!$A:$A,0)),"")</f>
        <v/>
      </c>
      <c r="D120" s="6" t="inlineStr">
        <is>
          <t>PRJ-024</t>
        </is>
      </c>
      <c r="E120" s="7" t="inlineStr">
        <is>
          <t>Clinical Database Programmer</t>
        </is>
      </c>
      <c r="F120" s="8" t="n">
        <v>46023</v>
      </c>
      <c r="G120" s="8" t="n">
        <v>46843</v>
      </c>
      <c r="H120" s="7" t="n">
        <v>0.12</v>
      </c>
      <c r="I120" s="7" t="n"/>
      <c r="J120" s="7" t="n"/>
      <c r="K120" s="7" t="n"/>
    </row>
    <row r="121">
      <c r="A121" s="6" t="inlineStr">
        <is>
          <t>ASG-120</t>
        </is>
      </c>
      <c r="B121" s="6" t="inlineStr">
        <is>
          <t>PSN-019</t>
        </is>
      </c>
      <c r="C121" s="7">
        <f>IFERROR(INDEX(Person!$B:$B,MATCH($B121,Person!$A:$A,0)),"")</f>
        <v/>
      </c>
      <c r="D121" s="6" t="inlineStr">
        <is>
          <t>PRJ-024</t>
        </is>
      </c>
      <c r="E121" s="7" t="inlineStr">
        <is>
          <t>Data Analyst</t>
        </is>
      </c>
      <c r="F121" s="8" t="n">
        <v>45992</v>
      </c>
      <c r="G121" s="8" t="n">
        <v>46843</v>
      </c>
      <c r="H121" s="7" t="n">
        <v>0.17</v>
      </c>
      <c r="I121" s="7" t="n"/>
      <c r="J121" s="7" t="n"/>
      <c r="K121" s="7" t="n"/>
    </row>
    <row r="122">
      <c r="A122" s="6" t="inlineStr">
        <is>
          <t>ASG-121</t>
        </is>
      </c>
      <c r="B122" s="6" t="inlineStr">
        <is>
          <t>PSN-001</t>
        </is>
      </c>
      <c r="C122" s="7">
        <f>IFERROR(INDEX(Person!$B:$B,MATCH($B122,Person!$A:$A,0)),"")</f>
        <v/>
      </c>
      <c r="D122" s="6" t="inlineStr">
        <is>
          <t>PRJ-025</t>
        </is>
      </c>
      <c r="E122" s="7" t="inlineStr">
        <is>
          <t>Project oversight</t>
        </is>
      </c>
      <c r="F122" s="8" t="n">
        <v>46661</v>
      </c>
      <c r="G122" s="8" t="n">
        <v>47573</v>
      </c>
      <c r="H122" s="7" t="n">
        <v>0.1</v>
      </c>
      <c r="I122" s="7" t="n"/>
      <c r="J122" s="7" t="n"/>
      <c r="K122" s="7" t="n"/>
    </row>
    <row r="123">
      <c r="A123" s="6" t="inlineStr">
        <is>
          <t>ASG-122</t>
        </is>
      </c>
      <c r="B123" s="6" t="inlineStr">
        <is>
          <t>PSN-004</t>
        </is>
      </c>
      <c r="C123" s="7">
        <f>IFERROR(INDEX(Person!$B:$B,MATCH($B123,Person!$A:$A,0)),"")</f>
        <v/>
      </c>
      <c r="D123" s="6" t="inlineStr">
        <is>
          <t>PRJ-025</t>
        </is>
      </c>
      <c r="E123" s="7" t="inlineStr">
        <is>
          <t>Lead data manager</t>
        </is>
      </c>
      <c r="F123" s="8" t="n">
        <v>46692</v>
      </c>
      <c r="G123" s="8" t="n">
        <v>47514</v>
      </c>
      <c r="H123" s="7" t="n">
        <v>0.16</v>
      </c>
      <c r="I123" s="7" t="n"/>
      <c r="J123" s="7" t="n"/>
      <c r="K123" s="7" t="n"/>
    </row>
    <row r="124">
      <c r="A124" s="6" t="inlineStr">
        <is>
          <t>ASG-123</t>
        </is>
      </c>
      <c r="B124" s="6" t="inlineStr">
        <is>
          <t>PSN-012</t>
        </is>
      </c>
      <c r="C124" s="7">
        <f>IFERROR(INDEX(Person!$B:$B,MATCH($B124,Person!$A:$A,0)),"")</f>
        <v/>
      </c>
      <c r="D124" s="6" t="inlineStr">
        <is>
          <t>PRJ-025</t>
        </is>
      </c>
      <c r="E124" s="7" t="inlineStr">
        <is>
          <t>Clinical Data Associator</t>
        </is>
      </c>
      <c r="F124" s="8" t="n">
        <v>46661</v>
      </c>
      <c r="G124" s="8" t="n">
        <v>47573</v>
      </c>
      <c r="H124" s="7" t="n">
        <v>0.15</v>
      </c>
      <c r="I124" s="7" t="n"/>
      <c r="J124" s="7" t="n"/>
      <c r="K124" s="7" t="n"/>
    </row>
    <row r="125">
      <c r="A125" s="6" t="inlineStr">
        <is>
          <t>ASG-124</t>
        </is>
      </c>
      <c r="B125" s="6" t="inlineStr">
        <is>
          <t>PSN-013</t>
        </is>
      </c>
      <c r="C125" s="7">
        <f>IFERROR(INDEX(Person!$B:$B,MATCH($B125,Person!$A:$A,0)),"")</f>
        <v/>
      </c>
      <c r="D125" s="6" t="inlineStr">
        <is>
          <t>PRJ-025</t>
        </is>
      </c>
      <c r="E125" s="7" t="inlineStr">
        <is>
          <t>Clinical Database Programmer</t>
        </is>
      </c>
      <c r="F125" s="8" t="n">
        <v>46661</v>
      </c>
      <c r="G125" s="8" t="n">
        <v>47573</v>
      </c>
      <c r="H125" s="7" t="n">
        <v>0.15</v>
      </c>
      <c r="I125" s="7" t="n"/>
      <c r="J125" s="7" t="n"/>
      <c r="K125" s="7" t="n"/>
    </row>
    <row r="126">
      <c r="A126" s="6" t="inlineStr">
        <is>
          <t>ASG-125</t>
        </is>
      </c>
      <c r="B126" s="6" t="inlineStr">
        <is>
          <t>PSN-017</t>
        </is>
      </c>
      <c r="C126" s="7">
        <f>IFERROR(INDEX(Person!$B:$B,MATCH($B126,Person!$A:$A,0)),"")</f>
        <v/>
      </c>
      <c r="D126" s="6" t="inlineStr">
        <is>
          <t>PRJ-025</t>
        </is>
      </c>
      <c r="E126" s="7" t="inlineStr">
        <is>
          <t>Data Analyst</t>
        </is>
      </c>
      <c r="F126" s="8" t="n">
        <v>46661</v>
      </c>
      <c r="G126" s="8" t="n">
        <v>47514</v>
      </c>
      <c r="H126" s="7" t="n">
        <v>0.14</v>
      </c>
      <c r="I126" s="7" t="n"/>
      <c r="J126" s="7" t="n"/>
      <c r="K126" s="7" t="n"/>
    </row>
    <row r="127">
      <c r="A127" s="6" t="inlineStr">
        <is>
          <t>ASG-126</t>
        </is>
      </c>
      <c r="B127" s="6" t="inlineStr">
        <is>
          <t>PSN-002</t>
        </is>
      </c>
      <c r="C127" s="7">
        <f>IFERROR(INDEX(Person!$B:$B,MATCH($B127,Person!$A:$A,0)),"")</f>
        <v/>
      </c>
      <c r="D127" s="6" t="inlineStr">
        <is>
          <t>PRJ-026</t>
        </is>
      </c>
      <c r="E127" s="7" t="inlineStr">
        <is>
          <t>Project oversight</t>
        </is>
      </c>
      <c r="F127" s="8" t="n">
        <v>46508</v>
      </c>
      <c r="G127" s="8" t="n">
        <v>47480</v>
      </c>
      <c r="H127" s="7" t="n">
        <v>0.16</v>
      </c>
      <c r="I127" s="7" t="n"/>
      <c r="J127" s="7" t="n"/>
      <c r="K127" s="7" t="n"/>
    </row>
    <row r="128">
      <c r="A128" s="6" t="inlineStr">
        <is>
          <t>ASG-127</t>
        </is>
      </c>
      <c r="B128" s="6" t="inlineStr">
        <is>
          <t>PSN-005</t>
        </is>
      </c>
      <c r="C128" s="7">
        <f>IFERROR(INDEX(Person!$B:$B,MATCH($B128,Person!$A:$A,0)),"")</f>
        <v/>
      </c>
      <c r="D128" s="6" t="inlineStr">
        <is>
          <t>PRJ-026</t>
        </is>
      </c>
      <c r="E128" s="7" t="inlineStr">
        <is>
          <t>Lead data manager</t>
        </is>
      </c>
      <c r="F128" s="8" t="n">
        <v>46508</v>
      </c>
      <c r="G128" s="8" t="n">
        <v>47480</v>
      </c>
      <c r="H128" s="7" t="n">
        <v>0.18</v>
      </c>
      <c r="I128" s="7" t="n"/>
      <c r="J128" s="7" t="n"/>
      <c r="K128" s="7" t="n"/>
    </row>
    <row r="129">
      <c r="A129" s="6" t="inlineStr">
        <is>
          <t>ASG-128</t>
        </is>
      </c>
      <c r="B129" s="6" t="inlineStr">
        <is>
          <t>PSN-008</t>
        </is>
      </c>
      <c r="C129" s="7">
        <f>IFERROR(INDEX(Person!$B:$B,MATCH($B129,Person!$A:$A,0)),"")</f>
        <v/>
      </c>
      <c r="D129" s="6" t="inlineStr">
        <is>
          <t>PRJ-026</t>
        </is>
      </c>
      <c r="E129" s="7" t="inlineStr">
        <is>
          <t>Clinical Data Associator</t>
        </is>
      </c>
      <c r="F129" s="8" t="n">
        <v>46508</v>
      </c>
      <c r="G129" s="8" t="n">
        <v>47480</v>
      </c>
      <c r="H129" s="7" t="n">
        <v>0.14</v>
      </c>
      <c r="I129" s="7" t="n"/>
      <c r="J129" s="7" t="n"/>
      <c r="K129" s="7" t="n"/>
    </row>
    <row r="130">
      <c r="A130" s="6" t="inlineStr">
        <is>
          <t>ASG-129</t>
        </is>
      </c>
      <c r="B130" s="6" t="inlineStr">
        <is>
          <t>PSN-014</t>
        </is>
      </c>
      <c r="C130" s="7">
        <f>IFERROR(INDEX(Person!$B:$B,MATCH($B130,Person!$A:$A,0)),"")</f>
        <v/>
      </c>
      <c r="D130" s="6" t="inlineStr">
        <is>
          <t>PRJ-026</t>
        </is>
      </c>
      <c r="E130" s="7" t="inlineStr">
        <is>
          <t>Clinical Database Programmer</t>
        </is>
      </c>
      <c r="F130" s="8" t="n">
        <v>46508</v>
      </c>
      <c r="G130" s="8" t="n">
        <v>47511</v>
      </c>
      <c r="H130" s="7" t="n">
        <v>0.16</v>
      </c>
      <c r="I130" s="7" t="n"/>
      <c r="J130" s="7" t="n"/>
      <c r="K130" s="7" t="n"/>
    </row>
    <row r="131">
      <c r="A131" s="6" t="inlineStr">
        <is>
          <t>ASG-130</t>
        </is>
      </c>
      <c r="B131" s="6" t="inlineStr">
        <is>
          <t>PSN-018</t>
        </is>
      </c>
      <c r="C131" s="7">
        <f>IFERROR(INDEX(Person!$B:$B,MATCH($B131,Person!$A:$A,0)),"")</f>
        <v/>
      </c>
      <c r="D131" s="6" t="inlineStr">
        <is>
          <t>PRJ-026</t>
        </is>
      </c>
      <c r="E131" s="7" t="inlineStr">
        <is>
          <t>Data Analyst</t>
        </is>
      </c>
      <c r="F131" s="8" t="n">
        <v>46447</v>
      </c>
      <c r="G131" s="8" t="n">
        <v>47480</v>
      </c>
      <c r="H131" s="7" t="n">
        <v>0.15</v>
      </c>
      <c r="I131" s="7" t="n"/>
      <c r="J131" s="7" t="n"/>
      <c r="K131" s="7" t="n"/>
    </row>
    <row r="132">
      <c r="A132" s="6" t="inlineStr">
        <is>
          <t>ASG-131</t>
        </is>
      </c>
      <c r="B132" s="6" t="inlineStr">
        <is>
          <t>PSN-003</t>
        </is>
      </c>
      <c r="C132" s="7">
        <f>IFERROR(INDEX(Person!$B:$B,MATCH($B132,Person!$A:$A,0)),"")</f>
        <v/>
      </c>
      <c r="D132" s="6" t="inlineStr">
        <is>
          <t>PRJ-027</t>
        </is>
      </c>
      <c r="E132" s="7" t="inlineStr">
        <is>
          <t>Project oversight</t>
        </is>
      </c>
      <c r="F132" s="8" t="n">
        <v>46569</v>
      </c>
      <c r="G132" s="8" t="n">
        <v>47483</v>
      </c>
      <c r="H132" s="7" t="n">
        <v>0.12</v>
      </c>
      <c r="I132" s="7" t="n"/>
      <c r="J132" s="7" t="n"/>
      <c r="K132" s="7" t="n"/>
    </row>
    <row r="133">
      <c r="A133" s="6" t="inlineStr">
        <is>
          <t>ASG-132</t>
        </is>
      </c>
      <c r="B133" s="6" t="inlineStr">
        <is>
          <t>PSN-006</t>
        </is>
      </c>
      <c r="C133" s="7">
        <f>IFERROR(INDEX(Person!$B:$B,MATCH($B133,Person!$A:$A,0)),"")</f>
        <v/>
      </c>
      <c r="D133" s="6" t="inlineStr">
        <is>
          <t>PRJ-027</t>
        </is>
      </c>
      <c r="E133" s="7" t="inlineStr">
        <is>
          <t>Lead data manager</t>
        </is>
      </c>
      <c r="F133" s="8" t="n">
        <v>46631</v>
      </c>
      <c r="G133" s="8" t="n">
        <v>47452</v>
      </c>
      <c r="H133" s="7" t="n">
        <v>0.16</v>
      </c>
      <c r="I133" s="7" t="n"/>
      <c r="J133" s="7" t="n"/>
      <c r="K133" s="7" t="n"/>
    </row>
    <row r="134">
      <c r="A134" s="6" t="inlineStr">
        <is>
          <t>ASG-133</t>
        </is>
      </c>
      <c r="B134" s="6" t="inlineStr">
        <is>
          <t>PSN-009</t>
        </is>
      </c>
      <c r="C134" s="7">
        <f>IFERROR(INDEX(Person!$B:$B,MATCH($B134,Person!$A:$A,0)),"")</f>
        <v/>
      </c>
      <c r="D134" s="6" t="inlineStr">
        <is>
          <t>PRJ-027</t>
        </is>
      </c>
      <c r="E134" s="7" t="inlineStr">
        <is>
          <t>Clinical Data Associator</t>
        </is>
      </c>
      <c r="F134" s="8" t="n">
        <v>46631</v>
      </c>
      <c r="G134" s="8" t="n">
        <v>47422</v>
      </c>
      <c r="H134" s="7" t="n">
        <v>0.11</v>
      </c>
      <c r="I134" s="7" t="n"/>
      <c r="J134" s="7" t="n"/>
      <c r="K134" s="7" t="n"/>
    </row>
    <row r="135">
      <c r="A135" s="6" t="inlineStr">
        <is>
          <t>ASG-134</t>
        </is>
      </c>
      <c r="B135" s="6" t="inlineStr">
        <is>
          <t>PSN-015</t>
        </is>
      </c>
      <c r="C135" s="7">
        <f>IFERROR(INDEX(Person!$B:$B,MATCH($B135,Person!$A:$A,0)),"")</f>
        <v/>
      </c>
      <c r="D135" s="6" t="inlineStr">
        <is>
          <t>PRJ-027</t>
        </is>
      </c>
      <c r="E135" s="7" t="inlineStr">
        <is>
          <t>Clinical Database Programmer</t>
        </is>
      </c>
      <c r="F135" s="8" t="n">
        <v>46631</v>
      </c>
      <c r="G135" s="8" t="n">
        <v>47422</v>
      </c>
      <c r="H135" s="7" t="n">
        <v>0.16</v>
      </c>
      <c r="I135" s="7" t="n"/>
      <c r="J135" s="7" t="n"/>
      <c r="K135" s="7" t="n"/>
    </row>
    <row r="136">
      <c r="A136" s="6" t="inlineStr">
        <is>
          <t>ASG-135</t>
        </is>
      </c>
      <c r="B136" s="6" t="inlineStr">
        <is>
          <t>PSN-019</t>
        </is>
      </c>
      <c r="C136" s="7">
        <f>IFERROR(INDEX(Person!$B:$B,MATCH($B136,Person!$A:$A,0)),"")</f>
        <v/>
      </c>
      <c r="D136" s="6" t="inlineStr">
        <is>
          <t>PRJ-027</t>
        </is>
      </c>
      <c r="E136" s="7" t="inlineStr">
        <is>
          <t>Data Analyst</t>
        </is>
      </c>
      <c r="F136" s="8" t="n">
        <v>46631</v>
      </c>
      <c r="G136" s="8" t="n">
        <v>47452</v>
      </c>
      <c r="H136" s="7" t="n">
        <v>0.16</v>
      </c>
      <c r="I136" s="7" t="n"/>
      <c r="J136" s="7" t="n"/>
      <c r="K136" s="7" t="n"/>
    </row>
    <row r="137">
      <c r="A137" s="6" t="inlineStr">
        <is>
          <t>ASG-136</t>
        </is>
      </c>
      <c r="B137" s="6" t="inlineStr">
        <is>
          <t>PSN-001</t>
        </is>
      </c>
      <c r="C137" s="7">
        <f>IFERROR(INDEX(Person!$B:$B,MATCH($B137,Person!$A:$A,0)),"")</f>
        <v/>
      </c>
      <c r="D137" s="6" t="inlineStr">
        <is>
          <t>PRJ-028</t>
        </is>
      </c>
      <c r="E137" s="7" t="inlineStr">
        <is>
          <t>Project oversight</t>
        </is>
      </c>
      <c r="F137" s="8" t="n">
        <v>46054</v>
      </c>
      <c r="G137" s="8" t="n">
        <v>47208</v>
      </c>
      <c r="H137" s="7" t="n">
        <v>0.12</v>
      </c>
      <c r="I137" s="7" t="n"/>
      <c r="J137" s="7" t="n"/>
      <c r="K137" s="7" t="n"/>
    </row>
    <row r="138">
      <c r="A138" s="6" t="inlineStr">
        <is>
          <t>ASG-137</t>
        </is>
      </c>
      <c r="B138" s="6" t="inlineStr">
        <is>
          <t>PSN-007</t>
        </is>
      </c>
      <c r="C138" s="7">
        <f>IFERROR(INDEX(Person!$B:$B,MATCH($B138,Person!$A:$A,0)),"")</f>
        <v/>
      </c>
      <c r="D138" s="6" t="inlineStr">
        <is>
          <t>PRJ-028</t>
        </is>
      </c>
      <c r="E138" s="7" t="inlineStr">
        <is>
          <t>Lead data manager</t>
        </is>
      </c>
      <c r="F138" s="8" t="n">
        <v>46054</v>
      </c>
      <c r="G138" s="8" t="n">
        <v>47208</v>
      </c>
      <c r="H138" s="7" t="n">
        <v>0.15</v>
      </c>
      <c r="I138" s="7" t="n"/>
      <c r="J138" s="7" t="n"/>
      <c r="K138" s="7" t="n"/>
    </row>
    <row r="139">
      <c r="A139" s="6" t="inlineStr">
        <is>
          <t>ASG-138</t>
        </is>
      </c>
      <c r="B139" s="6" t="inlineStr">
        <is>
          <t>PSN-010</t>
        </is>
      </c>
      <c r="C139" s="7">
        <f>IFERROR(INDEX(Person!$B:$B,MATCH($B139,Person!$A:$A,0)),"")</f>
        <v/>
      </c>
      <c r="D139" s="6" t="inlineStr">
        <is>
          <t>PRJ-028</t>
        </is>
      </c>
      <c r="E139" s="7" t="inlineStr">
        <is>
          <t>Clinical Data Associator</t>
        </is>
      </c>
      <c r="F139" s="8" t="n">
        <v>45992</v>
      </c>
      <c r="G139" s="8" t="n">
        <v>47238</v>
      </c>
      <c r="H139" s="7" t="n">
        <v>0.12</v>
      </c>
      <c r="I139" s="7" t="n"/>
      <c r="J139" s="7" t="n"/>
      <c r="K139" s="7" t="n"/>
    </row>
    <row r="140">
      <c r="A140" s="6" t="inlineStr">
        <is>
          <t>ASG-139</t>
        </is>
      </c>
      <c r="B140" s="6" t="inlineStr">
        <is>
          <t>PSN-016</t>
        </is>
      </c>
      <c r="C140" s="7">
        <f>IFERROR(INDEX(Person!$B:$B,MATCH($B140,Person!$A:$A,0)),"")</f>
        <v/>
      </c>
      <c r="D140" s="6" t="inlineStr">
        <is>
          <t>PRJ-028</t>
        </is>
      </c>
      <c r="E140" s="7" t="inlineStr">
        <is>
          <t>Clinical Database Programmer</t>
        </is>
      </c>
      <c r="F140" s="8" t="n">
        <v>46054</v>
      </c>
      <c r="G140" s="8" t="n">
        <v>47269</v>
      </c>
      <c r="H140" s="7" t="n">
        <v>0.17</v>
      </c>
      <c r="I140" s="7" t="n"/>
      <c r="J140" s="7" t="n"/>
      <c r="K140" s="7" t="n"/>
    </row>
    <row r="141">
      <c r="A141" s="6" t="inlineStr">
        <is>
          <t>ASG-140</t>
        </is>
      </c>
      <c r="B141" s="6" t="inlineStr">
        <is>
          <t>PSN-017</t>
        </is>
      </c>
      <c r="C141" s="7">
        <f>IFERROR(INDEX(Person!$B:$B,MATCH($B141,Person!$A:$A,0)),"")</f>
        <v/>
      </c>
      <c r="D141" s="6" t="inlineStr">
        <is>
          <t>PRJ-028</t>
        </is>
      </c>
      <c r="E141" s="7" t="inlineStr">
        <is>
          <t>Data Analyst</t>
        </is>
      </c>
      <c r="F141" s="8" t="n">
        <v>45992</v>
      </c>
      <c r="G141" s="8" t="n">
        <v>47269</v>
      </c>
      <c r="H141" s="7" t="n">
        <v>0.17</v>
      </c>
      <c r="I141" s="7" t="n"/>
      <c r="J141" s="7" t="n"/>
      <c r="K141" s="7" t="n"/>
    </row>
    <row r="142">
      <c r="A142" s="6" t="inlineStr">
        <is>
          <t>ASG-141</t>
        </is>
      </c>
      <c r="B142" s="6" t="inlineStr">
        <is>
          <t>PSN-002</t>
        </is>
      </c>
      <c r="C142" s="7">
        <f>IFERROR(INDEX(Person!$B:$B,MATCH($B142,Person!$A:$A,0)),"")</f>
        <v/>
      </c>
      <c r="D142" s="6" t="inlineStr">
        <is>
          <t>PRJ-029</t>
        </is>
      </c>
      <c r="E142" s="7" t="inlineStr">
        <is>
          <t>Project oversight</t>
        </is>
      </c>
      <c r="F142" s="8" t="n">
        <v>46631</v>
      </c>
      <c r="G142" s="8" t="n">
        <v>47633</v>
      </c>
      <c r="H142" s="7" t="n">
        <v>0.15</v>
      </c>
      <c r="I142" s="7" t="n"/>
      <c r="J142" s="7" t="n"/>
      <c r="K142" s="7" t="n"/>
    </row>
    <row r="143">
      <c r="A143" s="6" t="inlineStr">
        <is>
          <t>ASG-142</t>
        </is>
      </c>
      <c r="B143" s="6" t="inlineStr">
        <is>
          <t>PSN-004</t>
        </is>
      </c>
      <c r="C143" s="7">
        <f>IFERROR(INDEX(Person!$B:$B,MATCH($B143,Person!$A:$A,0)),"")</f>
        <v/>
      </c>
      <c r="D143" s="6" t="inlineStr">
        <is>
          <t>PRJ-029</t>
        </is>
      </c>
      <c r="E143" s="7" t="inlineStr">
        <is>
          <t>Lead data manager</t>
        </is>
      </c>
      <c r="F143" s="8" t="n">
        <v>46631</v>
      </c>
      <c r="G143" s="8" t="n">
        <v>47664</v>
      </c>
      <c r="H143" s="7" t="n">
        <v>0.14</v>
      </c>
      <c r="I143" s="7" t="n"/>
      <c r="J143" s="7" t="n"/>
      <c r="K143" s="7" t="n"/>
    </row>
    <row r="144">
      <c r="A144" s="6" t="inlineStr">
        <is>
          <t>ASG-143</t>
        </is>
      </c>
      <c r="B144" s="6" t="inlineStr">
        <is>
          <t>PSN-011</t>
        </is>
      </c>
      <c r="C144" s="7">
        <f>IFERROR(INDEX(Person!$B:$B,MATCH($B144,Person!$A:$A,0)),"")</f>
        <v/>
      </c>
      <c r="D144" s="6" t="inlineStr">
        <is>
          <t>PRJ-029</t>
        </is>
      </c>
      <c r="E144" s="7" t="inlineStr">
        <is>
          <t>Clinical Data Associator</t>
        </is>
      </c>
      <c r="F144" s="8" t="n">
        <v>46631</v>
      </c>
      <c r="G144" s="8" t="n">
        <v>47633</v>
      </c>
      <c r="H144" s="7" t="n">
        <v>0.16</v>
      </c>
      <c r="I144" s="7" t="n"/>
      <c r="J144" s="7" t="n"/>
      <c r="K144" s="7" t="n"/>
    </row>
    <row r="145">
      <c r="A145" s="6" t="inlineStr">
        <is>
          <t>ASG-144</t>
        </is>
      </c>
      <c r="B145" s="6" t="inlineStr">
        <is>
          <t>PSN-013</t>
        </is>
      </c>
      <c r="C145" s="7">
        <f>IFERROR(INDEX(Person!$B:$B,MATCH($B145,Person!$A:$A,0)),"")</f>
        <v/>
      </c>
      <c r="D145" s="6" t="inlineStr">
        <is>
          <t>PRJ-029</t>
        </is>
      </c>
      <c r="E145" s="7" t="inlineStr">
        <is>
          <t>Clinical Database Programmer</t>
        </is>
      </c>
      <c r="F145" s="8" t="n">
        <v>46631</v>
      </c>
      <c r="G145" s="8" t="n">
        <v>47664</v>
      </c>
      <c r="H145" s="7" t="n">
        <v>0.1</v>
      </c>
      <c r="I145" s="7" t="n"/>
      <c r="J145" s="7" t="n"/>
      <c r="K145" s="7" t="n"/>
    </row>
    <row r="146">
      <c r="A146" s="6" t="inlineStr">
        <is>
          <t>ASG-145</t>
        </is>
      </c>
      <c r="B146" s="6" t="inlineStr">
        <is>
          <t>PSN-018</t>
        </is>
      </c>
      <c r="C146" s="7">
        <f>IFERROR(INDEX(Person!$B:$B,MATCH($B146,Person!$A:$A,0)),"")</f>
        <v/>
      </c>
      <c r="D146" s="6" t="inlineStr">
        <is>
          <t>PRJ-029</t>
        </is>
      </c>
      <c r="E146" s="7" t="inlineStr">
        <is>
          <t>Data Analyst</t>
        </is>
      </c>
      <c r="F146" s="8" t="n">
        <v>46600</v>
      </c>
      <c r="G146" s="8" t="n">
        <v>47603</v>
      </c>
      <c r="H146" s="7" t="n">
        <v>0.12</v>
      </c>
      <c r="I146" s="7" t="n"/>
      <c r="J146" s="7" t="n"/>
      <c r="K146" s="7" t="n"/>
    </row>
    <row r="147">
      <c r="A147" s="6" t="inlineStr">
        <is>
          <t>ASG-146</t>
        </is>
      </c>
      <c r="B147" s="6" t="inlineStr">
        <is>
          <t>PSN-003</t>
        </is>
      </c>
      <c r="C147" s="7">
        <f>IFERROR(INDEX(Person!$B:$B,MATCH($B147,Person!$A:$A,0)),"")</f>
        <v/>
      </c>
      <c r="D147" s="6" t="inlineStr">
        <is>
          <t>PRJ-030</t>
        </is>
      </c>
      <c r="E147" s="7" t="inlineStr">
        <is>
          <t>Project oversight</t>
        </is>
      </c>
      <c r="F147" s="8" t="n">
        <v>45901</v>
      </c>
      <c r="G147" s="8" t="n">
        <v>46599</v>
      </c>
      <c r="H147" s="7" t="n">
        <v>0.15</v>
      </c>
      <c r="I147" s="7" t="n"/>
      <c r="J147" s="7" t="n"/>
      <c r="K147" s="7" t="n"/>
    </row>
    <row r="148">
      <c r="A148" s="6" t="inlineStr">
        <is>
          <t>ASG-147</t>
        </is>
      </c>
      <c r="B148" s="6" t="inlineStr">
        <is>
          <t>PSN-005</t>
        </is>
      </c>
      <c r="C148" s="7">
        <f>IFERROR(INDEX(Person!$B:$B,MATCH($B148,Person!$A:$A,0)),"")</f>
        <v/>
      </c>
      <c r="D148" s="6" t="inlineStr">
        <is>
          <t>PRJ-030</t>
        </is>
      </c>
      <c r="E148" s="7" t="inlineStr">
        <is>
          <t>Lead data manager</t>
        </is>
      </c>
      <c r="F148" s="8" t="n">
        <v>45962</v>
      </c>
      <c r="G148" s="8" t="n">
        <v>46630</v>
      </c>
      <c r="H148" s="7" t="n">
        <v>0.19</v>
      </c>
      <c r="I148" s="7" t="n"/>
      <c r="J148" s="7" t="n"/>
      <c r="K148" s="7" t="n"/>
    </row>
    <row r="149">
      <c r="A149" s="6" t="inlineStr">
        <is>
          <t>ASG-148</t>
        </is>
      </c>
      <c r="B149" s="6" t="inlineStr">
        <is>
          <t>PSN-012</t>
        </is>
      </c>
      <c r="C149" s="7">
        <f>IFERROR(INDEX(Person!$B:$B,MATCH($B149,Person!$A:$A,0)),"")</f>
        <v/>
      </c>
      <c r="D149" s="6" t="inlineStr">
        <is>
          <t>PRJ-030</t>
        </is>
      </c>
      <c r="E149" s="7" t="inlineStr">
        <is>
          <t>Clinical Data Associator</t>
        </is>
      </c>
      <c r="F149" s="8" t="n">
        <v>45901</v>
      </c>
      <c r="G149" s="8" t="n">
        <v>46630</v>
      </c>
      <c r="H149" s="7" t="n">
        <v>0.15</v>
      </c>
      <c r="I149" s="7" t="n"/>
      <c r="J149" s="7" t="n"/>
      <c r="K149" s="7" t="n"/>
    </row>
    <row r="150">
      <c r="A150" s="6" t="inlineStr">
        <is>
          <t>ASG-149</t>
        </is>
      </c>
      <c r="B150" s="6" t="inlineStr">
        <is>
          <t>PSN-014</t>
        </is>
      </c>
      <c r="C150" s="7">
        <f>IFERROR(INDEX(Person!$B:$B,MATCH($B150,Person!$A:$A,0)),"")</f>
        <v/>
      </c>
      <c r="D150" s="6" t="inlineStr">
        <is>
          <t>PRJ-030</t>
        </is>
      </c>
      <c r="E150" s="7" t="inlineStr">
        <is>
          <t>Clinical Database Programmer</t>
        </is>
      </c>
      <c r="F150" s="8" t="n">
        <v>45962</v>
      </c>
      <c r="G150" s="8" t="n">
        <v>46568</v>
      </c>
      <c r="H150" s="7" t="n">
        <v>0.17</v>
      </c>
      <c r="I150" s="7" t="n"/>
      <c r="J150" s="7" t="n"/>
      <c r="K150" s="7" t="n"/>
    </row>
    <row r="151">
      <c r="A151" s="6" t="inlineStr">
        <is>
          <t>ASG-150</t>
        </is>
      </c>
      <c r="B151" s="6" t="inlineStr">
        <is>
          <t>PSN-019</t>
        </is>
      </c>
      <c r="C151" s="7">
        <f>IFERROR(INDEX(Person!$B:$B,MATCH($B151,Person!$A:$A,0)),"")</f>
        <v/>
      </c>
      <c r="D151" s="6" t="inlineStr">
        <is>
          <t>PRJ-030</t>
        </is>
      </c>
      <c r="E151" s="7" t="inlineStr">
        <is>
          <t>Data Analyst</t>
        </is>
      </c>
      <c r="F151" s="8" t="n">
        <v>45931</v>
      </c>
      <c r="G151" s="8" t="n">
        <v>46630</v>
      </c>
      <c r="H151" s="7" t="n">
        <v>0.15</v>
      </c>
      <c r="I151" s="7" t="n"/>
      <c r="J151" s="7" t="n"/>
      <c r="K151" s="7" t="n"/>
    </row>
    <row r="152">
      <c r="A152" s="6" t="inlineStr">
        <is>
          <t>ASG-151</t>
        </is>
      </c>
      <c r="B152" s="6" t="inlineStr">
        <is>
          <t>PSN-001</t>
        </is>
      </c>
      <c r="C152" s="7">
        <f>IFERROR(INDEX(Person!$B:$B,MATCH($B152,Person!$A:$A,0)),"")</f>
        <v/>
      </c>
      <c r="D152" s="6" t="inlineStr">
        <is>
          <t>PRJ-031</t>
        </is>
      </c>
      <c r="E152" s="7" t="inlineStr">
        <is>
          <t>Project oversight</t>
        </is>
      </c>
      <c r="F152" s="8" t="n">
        <v>46539</v>
      </c>
      <c r="G152" s="8" t="n">
        <v>47208</v>
      </c>
      <c r="H152" s="7" t="n">
        <v>0.11</v>
      </c>
      <c r="I152" s="7" t="n"/>
      <c r="J152" s="7" t="n"/>
      <c r="K152" s="7" t="n"/>
    </row>
    <row r="153">
      <c r="A153" s="6" t="inlineStr">
        <is>
          <t>ASG-152</t>
        </is>
      </c>
      <c r="B153" s="6" t="inlineStr">
        <is>
          <t>PSN-006</t>
        </is>
      </c>
      <c r="C153" s="7">
        <f>IFERROR(INDEX(Person!$B:$B,MATCH($B153,Person!$A:$A,0)),"")</f>
        <v/>
      </c>
      <c r="D153" s="6" t="inlineStr">
        <is>
          <t>PRJ-031</t>
        </is>
      </c>
      <c r="E153" s="7" t="inlineStr">
        <is>
          <t>Lead data manager</t>
        </is>
      </c>
      <c r="F153" s="8" t="n">
        <v>46508</v>
      </c>
      <c r="G153" s="8" t="n">
        <v>47177</v>
      </c>
      <c r="H153" s="7" t="n">
        <v>0.2</v>
      </c>
      <c r="I153" s="7" t="n"/>
      <c r="J153" s="7" t="n"/>
      <c r="K153" s="7" t="n"/>
    </row>
    <row r="154">
      <c r="A154" s="6" t="inlineStr">
        <is>
          <t>ASG-153</t>
        </is>
      </c>
      <c r="B154" s="6" t="inlineStr">
        <is>
          <t>PSN-008</t>
        </is>
      </c>
      <c r="C154" s="7">
        <f>IFERROR(INDEX(Person!$B:$B,MATCH($B154,Person!$A:$A,0)),"")</f>
        <v/>
      </c>
      <c r="D154" s="6" t="inlineStr">
        <is>
          <t>PRJ-031</t>
        </is>
      </c>
      <c r="E154" s="7" t="inlineStr">
        <is>
          <t>Clinical Data Associator</t>
        </is>
      </c>
      <c r="F154" s="8" t="n">
        <v>46478</v>
      </c>
      <c r="G154" s="8" t="n">
        <v>47177</v>
      </c>
      <c r="H154" s="7" t="n">
        <v>0.12</v>
      </c>
      <c r="I154" s="7" t="n"/>
      <c r="J154" s="7" t="n"/>
      <c r="K154" s="7" t="n"/>
    </row>
    <row r="155">
      <c r="A155" s="6" t="inlineStr">
        <is>
          <t>ASG-154</t>
        </is>
      </c>
      <c r="B155" s="6" t="inlineStr">
        <is>
          <t>PSN-015</t>
        </is>
      </c>
      <c r="C155" s="7">
        <f>IFERROR(INDEX(Person!$B:$B,MATCH($B155,Person!$A:$A,0)),"")</f>
        <v/>
      </c>
      <c r="D155" s="6" t="inlineStr">
        <is>
          <t>PRJ-031</t>
        </is>
      </c>
      <c r="E155" s="7" t="inlineStr">
        <is>
          <t>Clinical Database Programmer</t>
        </is>
      </c>
      <c r="F155" s="8" t="n">
        <v>46508</v>
      </c>
      <c r="G155" s="8" t="n">
        <v>47177</v>
      </c>
      <c r="H155" s="7" t="n">
        <v>0.1</v>
      </c>
      <c r="I155" s="7" t="n"/>
      <c r="J155" s="7" t="n"/>
      <c r="K155" s="7" t="n"/>
    </row>
    <row r="156">
      <c r="A156" s="6" t="inlineStr">
        <is>
          <t>ASG-155</t>
        </is>
      </c>
      <c r="B156" s="6" t="inlineStr">
        <is>
          <t>PSN-017</t>
        </is>
      </c>
      <c r="C156" s="7">
        <f>IFERROR(INDEX(Person!$B:$B,MATCH($B156,Person!$A:$A,0)),"")</f>
        <v/>
      </c>
      <c r="D156" s="6" t="inlineStr">
        <is>
          <t>PRJ-031</t>
        </is>
      </c>
      <c r="E156" s="7" t="inlineStr">
        <is>
          <t>Data Analyst</t>
        </is>
      </c>
      <c r="F156" s="8" t="n">
        <v>46508</v>
      </c>
      <c r="G156" s="8" t="n">
        <v>47177</v>
      </c>
      <c r="H156" s="7" t="n">
        <v>0.15</v>
      </c>
      <c r="I156" s="7" t="n"/>
      <c r="J156" s="7" t="n"/>
      <c r="K156" s="7" t="n"/>
    </row>
    <row r="157">
      <c r="A157" s="6" t="inlineStr">
        <is>
          <t>ASG-156</t>
        </is>
      </c>
      <c r="B157" s="6" t="inlineStr">
        <is>
          <t>PSN-002</t>
        </is>
      </c>
      <c r="C157" s="7">
        <f>IFERROR(INDEX(Person!$B:$B,MATCH($B157,Person!$A:$A,0)),"")</f>
        <v/>
      </c>
      <c r="D157" s="6" t="inlineStr">
        <is>
          <t>PRJ-032</t>
        </is>
      </c>
      <c r="E157" s="7" t="inlineStr">
        <is>
          <t>Project oversight</t>
        </is>
      </c>
      <c r="F157" s="8" t="n">
        <v>46874</v>
      </c>
      <c r="G157" s="8" t="n">
        <v>47391</v>
      </c>
      <c r="H157" s="7" t="n">
        <v>0.15</v>
      </c>
      <c r="I157" s="7" t="n"/>
      <c r="J157" s="7" t="n"/>
      <c r="K157" s="7" t="n"/>
    </row>
    <row r="158">
      <c r="A158" s="6" t="inlineStr">
        <is>
          <t>ASG-157</t>
        </is>
      </c>
      <c r="B158" s="6" t="inlineStr">
        <is>
          <t>PSN-007</t>
        </is>
      </c>
      <c r="C158" s="7">
        <f>IFERROR(INDEX(Person!$B:$B,MATCH($B158,Person!$A:$A,0)),"")</f>
        <v/>
      </c>
      <c r="D158" s="6" t="inlineStr">
        <is>
          <t>PRJ-032</t>
        </is>
      </c>
      <c r="E158" s="7" t="inlineStr">
        <is>
          <t>Lead data manager</t>
        </is>
      </c>
      <c r="F158" s="8" t="n">
        <v>46905</v>
      </c>
      <c r="G158" s="8" t="n">
        <v>47361</v>
      </c>
      <c r="H158" s="7" t="n">
        <v>0.16</v>
      </c>
      <c r="I158" s="7" t="n"/>
      <c r="J158" s="7" t="n"/>
      <c r="K158" s="7" t="n"/>
    </row>
    <row r="159">
      <c r="A159" s="6" t="inlineStr">
        <is>
          <t>ASG-158</t>
        </is>
      </c>
      <c r="B159" s="6" t="inlineStr">
        <is>
          <t>PSN-009</t>
        </is>
      </c>
      <c r="C159" s="7">
        <f>IFERROR(INDEX(Person!$B:$B,MATCH($B159,Person!$A:$A,0)),"")</f>
        <v/>
      </c>
      <c r="D159" s="6" t="inlineStr">
        <is>
          <t>PRJ-032</t>
        </is>
      </c>
      <c r="E159" s="7" t="inlineStr">
        <is>
          <t>Clinical Data Associator</t>
        </is>
      </c>
      <c r="F159" s="8" t="n">
        <v>46874</v>
      </c>
      <c r="G159" s="8" t="n">
        <v>47361</v>
      </c>
      <c r="H159" s="7" t="n">
        <v>0.15</v>
      </c>
      <c r="I159" s="7" t="n"/>
      <c r="J159" s="7" t="n"/>
      <c r="K159" s="7" t="n"/>
    </row>
    <row r="160">
      <c r="A160" s="6" t="inlineStr">
        <is>
          <t>ASG-159</t>
        </is>
      </c>
      <c r="B160" s="6" t="inlineStr">
        <is>
          <t>PSN-016</t>
        </is>
      </c>
      <c r="C160" s="7">
        <f>IFERROR(INDEX(Person!$B:$B,MATCH($B160,Person!$A:$A,0)),"")</f>
        <v/>
      </c>
      <c r="D160" s="6" t="inlineStr">
        <is>
          <t>PRJ-032</t>
        </is>
      </c>
      <c r="E160" s="7" t="inlineStr">
        <is>
          <t>Clinical Database Programmer</t>
        </is>
      </c>
      <c r="F160" s="8" t="n">
        <v>46905</v>
      </c>
      <c r="G160" s="8" t="n">
        <v>47361</v>
      </c>
      <c r="H160" s="7" t="n">
        <v>0.16</v>
      </c>
      <c r="I160" s="7" t="n"/>
      <c r="J160" s="7" t="n"/>
      <c r="K160" s="7" t="n"/>
    </row>
    <row r="161">
      <c r="A161" s="6" t="inlineStr">
        <is>
          <t>ASG-160</t>
        </is>
      </c>
      <c r="B161" s="6" t="inlineStr">
        <is>
          <t>PSN-018</t>
        </is>
      </c>
      <c r="C161" s="7">
        <f>IFERROR(INDEX(Person!$B:$B,MATCH($B161,Person!$A:$A,0)),"")</f>
        <v/>
      </c>
      <c r="D161" s="6" t="inlineStr">
        <is>
          <t>PRJ-032</t>
        </is>
      </c>
      <c r="E161" s="7" t="inlineStr">
        <is>
          <t>Data Analyst</t>
        </is>
      </c>
      <c r="F161" s="8" t="n">
        <v>46874</v>
      </c>
      <c r="G161" s="8" t="n">
        <v>47422</v>
      </c>
      <c r="H161" s="7" t="n">
        <v>0.15</v>
      </c>
      <c r="I161" s="7" t="n"/>
      <c r="J161" s="7" t="n"/>
      <c r="K161" s="7" t="n"/>
    </row>
    <row r="162">
      <c r="A162" s="6" t="inlineStr">
        <is>
          <t>ASG-161</t>
        </is>
      </c>
      <c r="B162" s="6" t="inlineStr">
        <is>
          <t>PSN-003</t>
        </is>
      </c>
      <c r="C162" s="7">
        <f>IFERROR(INDEX(Person!$B:$B,MATCH($B162,Person!$A:$A,0)),"")</f>
        <v/>
      </c>
      <c r="D162" s="6" t="inlineStr">
        <is>
          <t>PRJ-033</t>
        </is>
      </c>
      <c r="E162" s="7" t="inlineStr">
        <is>
          <t>Project oversight</t>
        </is>
      </c>
      <c r="F162" s="8" t="n">
        <v>46419</v>
      </c>
      <c r="G162" s="8" t="n">
        <v>46934</v>
      </c>
      <c r="H162" s="7" t="n">
        <v>0.1</v>
      </c>
      <c r="I162" s="7" t="n"/>
      <c r="J162" s="7" t="n"/>
      <c r="K162" s="7" t="n"/>
    </row>
    <row r="163">
      <c r="A163" s="6" t="inlineStr">
        <is>
          <t>ASG-162</t>
        </is>
      </c>
      <c r="B163" s="6" t="inlineStr">
        <is>
          <t>PSN-004</t>
        </is>
      </c>
      <c r="C163" s="7">
        <f>IFERROR(INDEX(Person!$B:$B,MATCH($B163,Person!$A:$A,0)),"")</f>
        <v/>
      </c>
      <c r="D163" s="6" t="inlineStr">
        <is>
          <t>PRJ-033</t>
        </is>
      </c>
      <c r="E163" s="7" t="inlineStr">
        <is>
          <t>Lead data manager</t>
        </is>
      </c>
      <c r="F163" s="8" t="n">
        <v>46419</v>
      </c>
      <c r="G163" s="8" t="n">
        <v>46965</v>
      </c>
      <c r="H163" s="7" t="n">
        <v>0.16</v>
      </c>
      <c r="I163" s="7" t="n"/>
      <c r="J163" s="7" t="n"/>
      <c r="K163" s="7" t="n"/>
    </row>
    <row r="164">
      <c r="A164" s="6" t="inlineStr">
        <is>
          <t>ASG-163</t>
        </is>
      </c>
      <c r="B164" s="6" t="inlineStr">
        <is>
          <t>PSN-010</t>
        </is>
      </c>
      <c r="C164" s="7">
        <f>IFERROR(INDEX(Person!$B:$B,MATCH($B164,Person!$A:$A,0)),"")</f>
        <v/>
      </c>
      <c r="D164" s="6" t="inlineStr">
        <is>
          <t>PRJ-033</t>
        </is>
      </c>
      <c r="E164" s="7" t="inlineStr">
        <is>
          <t>Clinical Data Associator</t>
        </is>
      </c>
      <c r="F164" s="8" t="n">
        <v>46447</v>
      </c>
      <c r="G164" s="8" t="n">
        <v>46965</v>
      </c>
      <c r="H164" s="7" t="n">
        <v>0.14</v>
      </c>
      <c r="I164" s="7" t="n"/>
      <c r="J164" s="7" t="n"/>
      <c r="K164" s="7" t="n"/>
    </row>
    <row r="165">
      <c r="A165" s="6" t="inlineStr">
        <is>
          <t>ASG-164</t>
        </is>
      </c>
      <c r="B165" s="6" t="inlineStr">
        <is>
          <t>PSN-013</t>
        </is>
      </c>
      <c r="C165" s="7">
        <f>IFERROR(INDEX(Person!$B:$B,MATCH($B165,Person!$A:$A,0)),"")</f>
        <v/>
      </c>
      <c r="D165" s="6" t="inlineStr">
        <is>
          <t>PRJ-033</t>
        </is>
      </c>
      <c r="E165" s="7" t="inlineStr">
        <is>
          <t>Clinical Database Programmer</t>
        </is>
      </c>
      <c r="F165" s="8" t="n">
        <v>46419</v>
      </c>
      <c r="G165" s="8" t="n">
        <v>46904</v>
      </c>
      <c r="H165" s="7" t="n">
        <v>0.15</v>
      </c>
      <c r="I165" s="7" t="n"/>
      <c r="J165" s="7" t="n"/>
      <c r="K165" s="7" t="n"/>
    </row>
    <row r="166">
      <c r="A166" s="6" t="inlineStr">
        <is>
          <t>ASG-165</t>
        </is>
      </c>
      <c r="B166" s="6" t="inlineStr">
        <is>
          <t>PSN-019</t>
        </is>
      </c>
      <c r="C166" s="7">
        <f>IFERROR(INDEX(Person!$B:$B,MATCH($B166,Person!$A:$A,0)),"")</f>
        <v/>
      </c>
      <c r="D166" s="6" t="inlineStr">
        <is>
          <t>PRJ-033</t>
        </is>
      </c>
      <c r="E166" s="7" t="inlineStr">
        <is>
          <t>Data Analyst</t>
        </is>
      </c>
      <c r="F166" s="8" t="n">
        <v>46447</v>
      </c>
      <c r="G166" s="8" t="n">
        <v>46904</v>
      </c>
      <c r="H166" s="7" t="n">
        <v>0.13</v>
      </c>
      <c r="I166" s="7" t="n"/>
      <c r="J166" s="7" t="n"/>
      <c r="K166" s="7" t="n"/>
    </row>
    <row r="167">
      <c r="A167" s="6" t="inlineStr">
        <is>
          <t>ASG-166</t>
        </is>
      </c>
      <c r="B167" s="6" t="inlineStr">
        <is>
          <t>PSN-001</t>
        </is>
      </c>
      <c r="C167" s="7">
        <f>IFERROR(INDEX(Person!$B:$B,MATCH($B167,Person!$A:$A,0)),"")</f>
        <v/>
      </c>
      <c r="D167" s="6" t="inlineStr">
        <is>
          <t>PRJ-034</t>
        </is>
      </c>
      <c r="E167" s="7" t="inlineStr">
        <is>
          <t>Project oversight</t>
        </is>
      </c>
      <c r="F167" s="8" t="n">
        <v>46661</v>
      </c>
      <c r="G167" s="8" t="n">
        <v>47694</v>
      </c>
      <c r="H167" s="7" t="n">
        <v>0.13</v>
      </c>
      <c r="I167" s="7" t="n"/>
      <c r="J167" s="7" t="n"/>
      <c r="K167" s="7" t="n"/>
    </row>
    <row r="168">
      <c r="A168" s="6" t="inlineStr">
        <is>
          <t>ASG-167</t>
        </is>
      </c>
      <c r="B168" s="6" t="inlineStr">
        <is>
          <t>PSN-005</t>
        </is>
      </c>
      <c r="C168" s="7">
        <f>IFERROR(INDEX(Person!$B:$B,MATCH($B168,Person!$A:$A,0)),"")</f>
        <v/>
      </c>
      <c r="D168" s="6" t="inlineStr">
        <is>
          <t>PRJ-034</t>
        </is>
      </c>
      <c r="E168" s="7" t="inlineStr">
        <is>
          <t>Lead data manager</t>
        </is>
      </c>
      <c r="F168" s="8" t="n">
        <v>46661</v>
      </c>
      <c r="G168" s="8" t="n">
        <v>47756</v>
      </c>
      <c r="H168" s="7" t="n">
        <v>0.15</v>
      </c>
      <c r="I168" s="7" t="n"/>
      <c r="J168" s="7" t="n"/>
      <c r="K168" s="7" t="n"/>
    </row>
    <row r="169">
      <c r="A169" s="6" t="inlineStr">
        <is>
          <t>ASG-168</t>
        </is>
      </c>
      <c r="B169" s="6" t="inlineStr">
        <is>
          <t>PSN-011</t>
        </is>
      </c>
      <c r="C169" s="7">
        <f>IFERROR(INDEX(Person!$B:$B,MATCH($B169,Person!$A:$A,0)),"")</f>
        <v/>
      </c>
      <c r="D169" s="6" t="inlineStr">
        <is>
          <t>PRJ-034</t>
        </is>
      </c>
      <c r="E169" s="7" t="inlineStr">
        <is>
          <t>Clinical Data Associator</t>
        </is>
      </c>
      <c r="F169" s="8" t="n">
        <v>46692</v>
      </c>
      <c r="G169" s="8" t="n">
        <v>47725</v>
      </c>
      <c r="H169" s="7" t="n">
        <v>0.11</v>
      </c>
      <c r="I169" s="7" t="n"/>
      <c r="J169" s="7" t="n"/>
      <c r="K169" s="7" t="n"/>
    </row>
    <row r="170">
      <c r="A170" s="6" t="inlineStr">
        <is>
          <t>ASG-169</t>
        </is>
      </c>
      <c r="B170" s="6" t="inlineStr">
        <is>
          <t>PSN-014</t>
        </is>
      </c>
      <c r="C170" s="7">
        <f>IFERROR(INDEX(Person!$B:$B,MATCH($B170,Person!$A:$A,0)),"")</f>
        <v/>
      </c>
      <c r="D170" s="6" t="inlineStr">
        <is>
          <t>PRJ-034</t>
        </is>
      </c>
      <c r="E170" s="7" t="inlineStr">
        <is>
          <t>Clinical Database Programmer</t>
        </is>
      </c>
      <c r="F170" s="8" t="n">
        <v>46661</v>
      </c>
      <c r="G170" s="8" t="n">
        <v>47756</v>
      </c>
      <c r="H170" s="7" t="n">
        <v>0.13</v>
      </c>
      <c r="I170" s="7" t="n"/>
      <c r="J170" s="7" t="n"/>
      <c r="K170" s="7" t="n"/>
    </row>
    <row r="171">
      <c r="A171" s="6" t="inlineStr">
        <is>
          <t>ASG-170</t>
        </is>
      </c>
      <c r="B171" s="6" t="inlineStr">
        <is>
          <t>PSN-017</t>
        </is>
      </c>
      <c r="C171" s="7">
        <f>IFERROR(INDEX(Person!$B:$B,MATCH($B171,Person!$A:$A,0)),"")</f>
        <v/>
      </c>
      <c r="D171" s="6" t="inlineStr">
        <is>
          <t>PRJ-034</t>
        </is>
      </c>
      <c r="E171" s="7" t="inlineStr">
        <is>
          <t>Data Analyst</t>
        </is>
      </c>
      <c r="F171" s="8" t="n">
        <v>46692</v>
      </c>
      <c r="G171" s="8" t="n">
        <v>47756</v>
      </c>
      <c r="H171" s="7" t="n">
        <v>0.17</v>
      </c>
      <c r="I171" s="7" t="n"/>
      <c r="J171" s="7" t="n"/>
      <c r="K171" s="7" t="n"/>
    </row>
    <row r="172">
      <c r="A172" s="6" t="inlineStr">
        <is>
          <t>ASG-171</t>
        </is>
      </c>
      <c r="B172" s="6" t="inlineStr">
        <is>
          <t>PSN-002</t>
        </is>
      </c>
      <c r="C172" s="7">
        <f>IFERROR(INDEX(Person!$B:$B,MATCH($B172,Person!$A:$A,0)),"")</f>
        <v/>
      </c>
      <c r="D172" s="6" t="inlineStr">
        <is>
          <t>PRJ-035</t>
        </is>
      </c>
      <c r="E172" s="7" t="inlineStr">
        <is>
          <t>Project oversight</t>
        </is>
      </c>
      <c r="F172" s="8" t="n">
        <v>45717</v>
      </c>
      <c r="G172" s="8" t="n">
        <v>46903</v>
      </c>
      <c r="H172" s="7" t="n">
        <v>0.15</v>
      </c>
      <c r="I172" s="7" t="n"/>
      <c r="J172" s="7" t="n"/>
      <c r="K172" s="7" t="n"/>
    </row>
    <row r="173">
      <c r="A173" s="6" t="inlineStr">
        <is>
          <t>ASG-172</t>
        </is>
      </c>
      <c r="B173" s="6" t="inlineStr">
        <is>
          <t>PSN-006</t>
        </is>
      </c>
      <c r="C173" s="7">
        <f>IFERROR(INDEX(Person!$B:$B,MATCH($B173,Person!$A:$A,0)),"")</f>
        <v/>
      </c>
      <c r="D173" s="6" t="inlineStr">
        <is>
          <t>PRJ-035</t>
        </is>
      </c>
      <c r="E173" s="7" t="inlineStr">
        <is>
          <t>Lead data manager</t>
        </is>
      </c>
      <c r="F173" s="8" t="n">
        <v>45658</v>
      </c>
      <c r="G173" s="8" t="n">
        <v>46934</v>
      </c>
      <c r="H173" s="7" t="n">
        <v>0.18</v>
      </c>
      <c r="I173" s="7" t="n"/>
      <c r="J173" s="7" t="n"/>
      <c r="K173" s="7" t="n"/>
    </row>
    <row r="174">
      <c r="A174" s="6" t="inlineStr">
        <is>
          <t>ASG-173</t>
        </is>
      </c>
      <c r="B174" s="6" t="inlineStr">
        <is>
          <t>PSN-012</t>
        </is>
      </c>
      <c r="C174" s="7">
        <f>IFERROR(INDEX(Person!$B:$B,MATCH($B174,Person!$A:$A,0)),"")</f>
        <v/>
      </c>
      <c r="D174" s="6" t="inlineStr">
        <is>
          <t>PRJ-035</t>
        </is>
      </c>
      <c r="E174" s="7" t="inlineStr">
        <is>
          <t>Clinical Data Associator</t>
        </is>
      </c>
      <c r="F174" s="8" t="n">
        <v>45717</v>
      </c>
      <c r="G174" s="8" t="n">
        <v>46873</v>
      </c>
      <c r="H174" s="7" t="n">
        <v>0.11</v>
      </c>
      <c r="I174" s="7" t="n"/>
      <c r="J174" s="7" t="n"/>
      <c r="K174" s="7" t="n"/>
    </row>
    <row r="175">
      <c r="A175" s="6" t="inlineStr">
        <is>
          <t>ASG-174</t>
        </is>
      </c>
      <c r="B175" s="6" t="inlineStr">
        <is>
          <t>PSN-015</t>
        </is>
      </c>
      <c r="C175" s="7">
        <f>IFERROR(INDEX(Person!$B:$B,MATCH($B175,Person!$A:$A,0)),"")</f>
        <v/>
      </c>
      <c r="D175" s="6" t="inlineStr">
        <is>
          <t>PRJ-035</t>
        </is>
      </c>
      <c r="E175" s="7" t="inlineStr">
        <is>
          <t>Clinical Database Programmer</t>
        </is>
      </c>
      <c r="F175" s="8" t="n">
        <v>45689</v>
      </c>
      <c r="G175" s="8" t="n">
        <v>46873</v>
      </c>
      <c r="H175" s="7" t="n">
        <v>0.13</v>
      </c>
      <c r="I175" s="7" t="n"/>
      <c r="J175" s="7" t="n"/>
      <c r="K175" s="7" t="n"/>
    </row>
    <row r="176">
      <c r="A176" s="6" t="inlineStr">
        <is>
          <t>ASG-175</t>
        </is>
      </c>
      <c r="B176" s="6" t="inlineStr">
        <is>
          <t>PSN-018</t>
        </is>
      </c>
      <c r="C176" s="7">
        <f>IFERROR(INDEX(Person!$B:$B,MATCH($B176,Person!$A:$A,0)),"")</f>
        <v/>
      </c>
      <c r="D176" s="6" t="inlineStr">
        <is>
          <t>PRJ-035</t>
        </is>
      </c>
      <c r="E176" s="7" t="inlineStr">
        <is>
          <t>Data Analyst</t>
        </is>
      </c>
      <c r="F176" s="8" t="n">
        <v>45658</v>
      </c>
      <c r="G176" s="8" t="n">
        <v>46903</v>
      </c>
      <c r="H176" s="7" t="n">
        <v>0.11</v>
      </c>
      <c r="I176" s="7" t="n"/>
      <c r="J176" s="7" t="n"/>
      <c r="K176" s="7" t="n"/>
    </row>
    <row r="177">
      <c r="A177" s="6" t="inlineStr">
        <is>
          <t>ASG-176</t>
        </is>
      </c>
      <c r="B177" s="6" t="inlineStr">
        <is>
          <t>PSN-003</t>
        </is>
      </c>
      <c r="C177" s="7">
        <f>IFERROR(INDEX(Person!$B:$B,MATCH($B177,Person!$A:$A,0)),"")</f>
        <v/>
      </c>
      <c r="D177" s="6" t="inlineStr">
        <is>
          <t>PRJ-036</t>
        </is>
      </c>
      <c r="E177" s="7" t="inlineStr">
        <is>
          <t>Project oversight</t>
        </is>
      </c>
      <c r="F177" s="8" t="n">
        <v>45962</v>
      </c>
      <c r="G177" s="8" t="n">
        <v>46843</v>
      </c>
      <c r="H177" s="7" t="n">
        <v>0.11</v>
      </c>
      <c r="I177" s="7" t="n"/>
      <c r="J177" s="7" t="n"/>
      <c r="K177" s="7" t="n"/>
    </row>
    <row r="178">
      <c r="A178" s="6" t="inlineStr">
        <is>
          <t>ASG-177</t>
        </is>
      </c>
      <c r="B178" s="6" t="inlineStr">
        <is>
          <t>PSN-007</t>
        </is>
      </c>
      <c r="C178" s="7">
        <f>IFERROR(INDEX(Person!$B:$B,MATCH($B178,Person!$A:$A,0)),"")</f>
        <v/>
      </c>
      <c r="D178" s="6" t="inlineStr">
        <is>
          <t>PRJ-036</t>
        </is>
      </c>
      <c r="E178" s="7" t="inlineStr">
        <is>
          <t>Lead data manager</t>
        </is>
      </c>
      <c r="F178" s="8" t="n">
        <v>45992</v>
      </c>
      <c r="G178" s="8" t="n">
        <v>46783</v>
      </c>
      <c r="H178" s="7" t="n">
        <v>0.15</v>
      </c>
      <c r="I178" s="7" t="n"/>
      <c r="J178" s="7" t="n"/>
      <c r="K178" s="7" t="n"/>
    </row>
    <row r="179">
      <c r="A179" s="6" t="inlineStr">
        <is>
          <t>ASG-178</t>
        </is>
      </c>
      <c r="B179" s="6" t="inlineStr">
        <is>
          <t>PSN-008</t>
        </is>
      </c>
      <c r="C179" s="7">
        <f>IFERROR(INDEX(Person!$B:$B,MATCH($B179,Person!$A:$A,0)),"")</f>
        <v/>
      </c>
      <c r="D179" s="6" t="inlineStr">
        <is>
          <t>PRJ-036</t>
        </is>
      </c>
      <c r="E179" s="7" t="inlineStr">
        <is>
          <t>Clinical Data Associator</t>
        </is>
      </c>
      <c r="F179" s="8" t="n">
        <v>45962</v>
      </c>
      <c r="G179" s="8" t="n">
        <v>46812</v>
      </c>
      <c r="H179" s="7" t="n">
        <v>0.11</v>
      </c>
      <c r="I179" s="7" t="n"/>
      <c r="J179" s="7" t="n"/>
      <c r="K179" s="7" t="n"/>
    </row>
    <row r="180">
      <c r="A180" s="6" t="inlineStr">
        <is>
          <t>ASG-179</t>
        </is>
      </c>
      <c r="B180" s="6" t="inlineStr">
        <is>
          <t>PSN-016</t>
        </is>
      </c>
      <c r="C180" s="7">
        <f>IFERROR(INDEX(Person!$B:$B,MATCH($B180,Person!$A:$A,0)),"")</f>
        <v/>
      </c>
      <c r="D180" s="6" t="inlineStr">
        <is>
          <t>PRJ-036</t>
        </is>
      </c>
      <c r="E180" s="7" t="inlineStr">
        <is>
          <t>Clinical Database Programmer</t>
        </is>
      </c>
      <c r="F180" s="8" t="n">
        <v>45962</v>
      </c>
      <c r="G180" s="8" t="n">
        <v>46783</v>
      </c>
      <c r="H180" s="7" t="n">
        <v>0.15</v>
      </c>
      <c r="I180" s="7" t="n"/>
      <c r="J180" s="7" t="n"/>
      <c r="K180" s="7" t="n"/>
    </row>
    <row r="181">
      <c r="A181" s="6" t="inlineStr">
        <is>
          <t>ASG-180</t>
        </is>
      </c>
      <c r="B181" s="6" t="inlineStr">
        <is>
          <t>PSN-019</t>
        </is>
      </c>
      <c r="C181" s="7">
        <f>IFERROR(INDEX(Person!$B:$B,MATCH($B181,Person!$A:$A,0)),"")</f>
        <v/>
      </c>
      <c r="D181" s="6" t="inlineStr">
        <is>
          <t>PRJ-036</t>
        </is>
      </c>
      <c r="E181" s="7" t="inlineStr">
        <is>
          <t>Data Analyst</t>
        </is>
      </c>
      <c r="F181" s="8" t="n">
        <v>45931</v>
      </c>
      <c r="G181" s="8" t="n">
        <v>46783</v>
      </c>
      <c r="H181" s="7" t="n">
        <v>0.13</v>
      </c>
      <c r="I181" s="7" t="n"/>
      <c r="J181" s="7" t="n"/>
      <c r="K181" s="7" t="n"/>
    </row>
    <row r="182">
      <c r="A182" s="6" t="inlineStr">
        <is>
          <t>ASG-181</t>
        </is>
      </c>
      <c r="B182" s="6" t="inlineStr">
        <is>
          <t>PSN-001</t>
        </is>
      </c>
      <c r="C182" s="7">
        <f>IFERROR(INDEX(Person!$B:$B,MATCH($B182,Person!$A:$A,0)),"")</f>
        <v/>
      </c>
      <c r="D182" s="6" t="inlineStr">
        <is>
          <t>PRJ-037</t>
        </is>
      </c>
      <c r="E182" s="7" t="inlineStr">
        <is>
          <t>Project oversight</t>
        </is>
      </c>
      <c r="F182" s="8" t="n">
        <v>46113</v>
      </c>
      <c r="G182" s="8" t="n">
        <v>46965</v>
      </c>
      <c r="H182" s="7" t="n">
        <v>0.15</v>
      </c>
      <c r="I182" s="7" t="n"/>
      <c r="J182" s="7" t="n"/>
      <c r="K182" s="7" t="n"/>
    </row>
    <row r="183">
      <c r="A183" s="6" t="inlineStr">
        <is>
          <t>ASG-182</t>
        </is>
      </c>
      <c r="B183" s="6" t="inlineStr">
        <is>
          <t>PSN-004</t>
        </is>
      </c>
      <c r="C183" s="7">
        <f>IFERROR(INDEX(Person!$B:$B,MATCH($B183,Person!$A:$A,0)),"")</f>
        <v/>
      </c>
      <c r="D183" s="6" t="inlineStr">
        <is>
          <t>PRJ-037</t>
        </is>
      </c>
      <c r="E183" s="7" t="inlineStr">
        <is>
          <t>Lead data manager</t>
        </is>
      </c>
      <c r="F183" s="8" t="n">
        <v>46054</v>
      </c>
      <c r="G183" s="8" t="n">
        <v>46965</v>
      </c>
      <c r="H183" s="7" t="n">
        <v>0.21</v>
      </c>
      <c r="I183" s="7" t="n"/>
      <c r="J183" s="7" t="n"/>
      <c r="K183" s="7" t="n"/>
    </row>
    <row r="184">
      <c r="A184" s="6" t="inlineStr">
        <is>
          <t>ASG-183</t>
        </is>
      </c>
      <c r="B184" s="6" t="inlineStr">
        <is>
          <t>PSN-009</t>
        </is>
      </c>
      <c r="C184" s="7">
        <f>IFERROR(INDEX(Person!$B:$B,MATCH($B184,Person!$A:$A,0)),"")</f>
        <v/>
      </c>
      <c r="D184" s="6" t="inlineStr">
        <is>
          <t>PRJ-037</t>
        </is>
      </c>
      <c r="E184" s="7" t="inlineStr">
        <is>
          <t>Clinical Data Associator</t>
        </is>
      </c>
      <c r="F184" s="8" t="n">
        <v>46082</v>
      </c>
      <c r="G184" s="8" t="n">
        <v>46934</v>
      </c>
      <c r="H184" s="7" t="n">
        <v>0.11</v>
      </c>
      <c r="I184" s="7" t="n"/>
      <c r="J184" s="7" t="n"/>
      <c r="K184" s="7" t="n"/>
    </row>
    <row r="185">
      <c r="A185" s="6" t="inlineStr">
        <is>
          <t>ASG-184</t>
        </is>
      </c>
      <c r="B185" s="6" t="inlineStr">
        <is>
          <t>PSN-013</t>
        </is>
      </c>
      <c r="C185" s="7">
        <f>IFERROR(INDEX(Person!$B:$B,MATCH($B185,Person!$A:$A,0)),"")</f>
        <v/>
      </c>
      <c r="D185" s="6" t="inlineStr">
        <is>
          <t>PRJ-037</t>
        </is>
      </c>
      <c r="E185" s="7" t="inlineStr">
        <is>
          <t>Clinical Database Programmer</t>
        </is>
      </c>
      <c r="F185" s="8" t="n">
        <v>46082</v>
      </c>
      <c r="G185" s="8" t="n">
        <v>46934</v>
      </c>
      <c r="H185" s="7" t="n">
        <v>0.12</v>
      </c>
      <c r="I185" s="7" t="n"/>
      <c r="J185" s="7" t="n"/>
      <c r="K185" s="7" t="n"/>
    </row>
    <row r="186">
      <c r="A186" s="6" t="inlineStr">
        <is>
          <t>ASG-185</t>
        </is>
      </c>
      <c r="B186" s="6" t="inlineStr">
        <is>
          <t>PSN-017</t>
        </is>
      </c>
      <c r="C186" s="7">
        <f>IFERROR(INDEX(Person!$B:$B,MATCH($B186,Person!$A:$A,0)),"")</f>
        <v/>
      </c>
      <c r="D186" s="6" t="inlineStr">
        <is>
          <t>PRJ-037</t>
        </is>
      </c>
      <c r="E186" s="7" t="inlineStr">
        <is>
          <t>Data Analyst</t>
        </is>
      </c>
      <c r="F186" s="8" t="n">
        <v>46113</v>
      </c>
      <c r="G186" s="8" t="n">
        <v>46904</v>
      </c>
      <c r="H186" s="7" t="n">
        <v>0.17</v>
      </c>
      <c r="I186" s="7" t="n"/>
      <c r="J186" s="7" t="n"/>
      <c r="K186" s="7" t="n"/>
    </row>
    <row r="187">
      <c r="A187" s="6" t="inlineStr">
        <is>
          <t>ASG-186</t>
        </is>
      </c>
      <c r="B187" s="6" t="inlineStr">
        <is>
          <t>PSN-002</t>
        </is>
      </c>
      <c r="C187" s="7">
        <f>IFERROR(INDEX(Person!$B:$B,MATCH($B187,Person!$A:$A,0)),"")</f>
        <v/>
      </c>
      <c r="D187" s="6" t="inlineStr">
        <is>
          <t>PRJ-038</t>
        </is>
      </c>
      <c r="E187" s="7" t="inlineStr">
        <is>
          <t>Project oversight</t>
        </is>
      </c>
      <c r="F187" s="8" t="n">
        <v>46023</v>
      </c>
      <c r="G187" s="8" t="n">
        <v>46996</v>
      </c>
      <c r="H187" s="7" t="n">
        <v>0.17</v>
      </c>
      <c r="I187" s="7" t="n"/>
      <c r="J187" s="7" t="n"/>
      <c r="K187" s="7" t="n"/>
    </row>
    <row r="188">
      <c r="A188" s="6" t="inlineStr">
        <is>
          <t>ASG-187</t>
        </is>
      </c>
      <c r="B188" s="6" t="inlineStr">
        <is>
          <t>PSN-005</t>
        </is>
      </c>
      <c r="C188" s="7">
        <f>IFERROR(INDEX(Person!$B:$B,MATCH($B188,Person!$A:$A,0)),"")</f>
        <v/>
      </c>
      <c r="D188" s="6" t="inlineStr">
        <is>
          <t>PRJ-038</t>
        </is>
      </c>
      <c r="E188" s="7" t="inlineStr">
        <is>
          <t>Lead data manager</t>
        </is>
      </c>
      <c r="F188" s="8" t="n">
        <v>45962</v>
      </c>
      <c r="G188" s="8" t="n">
        <v>46996</v>
      </c>
      <c r="H188" s="7" t="n">
        <v>0.14</v>
      </c>
      <c r="I188" s="7" t="n"/>
      <c r="J188" s="7" t="n"/>
      <c r="K188" s="7" t="n"/>
    </row>
    <row r="189">
      <c r="A189" s="6" t="inlineStr">
        <is>
          <t>ASG-188</t>
        </is>
      </c>
      <c r="B189" s="6" t="inlineStr">
        <is>
          <t>PSN-010</t>
        </is>
      </c>
      <c r="C189" s="7">
        <f>IFERROR(INDEX(Person!$B:$B,MATCH($B189,Person!$A:$A,0)),"")</f>
        <v/>
      </c>
      <c r="D189" s="6" t="inlineStr">
        <is>
          <t>PRJ-038</t>
        </is>
      </c>
      <c r="E189" s="7" t="inlineStr">
        <is>
          <t>Clinical Data Associator</t>
        </is>
      </c>
      <c r="F189" s="8" t="n">
        <v>46023</v>
      </c>
      <c r="G189" s="8" t="n">
        <v>47026</v>
      </c>
      <c r="H189" s="7" t="n">
        <v>0.13</v>
      </c>
      <c r="I189" s="7" t="n"/>
      <c r="J189" s="7" t="n"/>
      <c r="K189" s="7" t="n"/>
    </row>
    <row r="190">
      <c r="A190" s="6" t="inlineStr">
        <is>
          <t>ASG-189</t>
        </is>
      </c>
      <c r="B190" s="6" t="inlineStr">
        <is>
          <t>PSN-014</t>
        </is>
      </c>
      <c r="C190" s="7">
        <f>IFERROR(INDEX(Person!$B:$B,MATCH($B190,Person!$A:$A,0)),"")</f>
        <v/>
      </c>
      <c r="D190" s="6" t="inlineStr">
        <is>
          <t>PRJ-038</t>
        </is>
      </c>
      <c r="E190" s="7" t="inlineStr">
        <is>
          <t>Clinical Database Programmer</t>
        </is>
      </c>
      <c r="F190" s="8" t="n">
        <v>45962</v>
      </c>
      <c r="G190" s="8" t="n">
        <v>46996</v>
      </c>
      <c r="H190" s="7" t="n">
        <v>0.12</v>
      </c>
      <c r="I190" s="7" t="n"/>
      <c r="J190" s="7" t="n"/>
      <c r="K190" s="7" t="n"/>
    </row>
    <row r="191">
      <c r="A191" s="6" t="inlineStr">
        <is>
          <t>ASG-190</t>
        </is>
      </c>
      <c r="B191" s="6" t="inlineStr">
        <is>
          <t>PSN-018</t>
        </is>
      </c>
      <c r="C191" s="7">
        <f>IFERROR(INDEX(Person!$B:$B,MATCH($B191,Person!$A:$A,0)),"")</f>
        <v/>
      </c>
      <c r="D191" s="6" t="inlineStr">
        <is>
          <t>PRJ-038</t>
        </is>
      </c>
      <c r="E191" s="7" t="inlineStr">
        <is>
          <t>Data Analyst</t>
        </is>
      </c>
      <c r="F191" s="8" t="n">
        <v>46023</v>
      </c>
      <c r="G191" s="8" t="n">
        <v>47057</v>
      </c>
      <c r="H191" s="7" t="n">
        <v>0.12</v>
      </c>
      <c r="I191" s="7" t="n"/>
      <c r="J191" s="7" t="n"/>
      <c r="K191" s="7" t="n"/>
    </row>
    <row r="192">
      <c r="A192" s="6" t="inlineStr">
        <is>
          <t>ASG-191</t>
        </is>
      </c>
      <c r="B192" s="6" t="inlineStr">
        <is>
          <t>PSN-003</t>
        </is>
      </c>
      <c r="C192" s="7">
        <f>IFERROR(INDEX(Person!$B:$B,MATCH($B192,Person!$A:$A,0)),"")</f>
        <v/>
      </c>
      <c r="D192" s="6" t="inlineStr">
        <is>
          <t>PRJ-039</t>
        </is>
      </c>
      <c r="E192" s="7" t="inlineStr">
        <is>
          <t>Project oversight</t>
        </is>
      </c>
      <c r="F192" s="8" t="n">
        <v>46266</v>
      </c>
      <c r="G192" s="8" t="n">
        <v>47542</v>
      </c>
      <c r="H192" s="7" t="n">
        <v>0.1</v>
      </c>
      <c r="I192" s="7" t="n"/>
      <c r="J192" s="7" t="n"/>
      <c r="K192" s="7" t="n"/>
    </row>
    <row r="193">
      <c r="A193" s="6" t="inlineStr">
        <is>
          <t>ASG-192</t>
        </is>
      </c>
      <c r="B193" s="6" t="inlineStr">
        <is>
          <t>PSN-006</t>
        </is>
      </c>
      <c r="C193" s="7">
        <f>IFERROR(INDEX(Person!$B:$B,MATCH($B193,Person!$A:$A,0)),"")</f>
        <v/>
      </c>
      <c r="D193" s="6" t="inlineStr">
        <is>
          <t>PRJ-039</t>
        </is>
      </c>
      <c r="E193" s="7" t="inlineStr">
        <is>
          <t>Lead data manager</t>
        </is>
      </c>
      <c r="F193" s="8" t="n">
        <v>46266</v>
      </c>
      <c r="G193" s="8" t="n">
        <v>47480</v>
      </c>
      <c r="H193" s="7" t="n">
        <v>0.2</v>
      </c>
      <c r="I193" s="7" t="n"/>
      <c r="J193" s="7" t="n"/>
      <c r="K193" s="7" t="n"/>
    </row>
    <row r="194">
      <c r="A194" s="6" t="inlineStr">
        <is>
          <t>ASG-193</t>
        </is>
      </c>
      <c r="B194" s="6" t="inlineStr">
        <is>
          <t>PSN-011</t>
        </is>
      </c>
      <c r="C194" s="7">
        <f>IFERROR(INDEX(Person!$B:$B,MATCH($B194,Person!$A:$A,0)),"")</f>
        <v/>
      </c>
      <c r="D194" s="6" t="inlineStr">
        <is>
          <t>PRJ-039</t>
        </is>
      </c>
      <c r="E194" s="7" t="inlineStr">
        <is>
          <t>Clinical Data Associator</t>
        </is>
      </c>
      <c r="F194" s="8" t="n">
        <v>46266</v>
      </c>
      <c r="G194" s="8" t="n">
        <v>47542</v>
      </c>
      <c r="H194" s="7" t="n">
        <v>0.11</v>
      </c>
      <c r="I194" s="7" t="n"/>
      <c r="J194" s="7" t="n"/>
      <c r="K194" s="7" t="n"/>
    </row>
    <row r="195">
      <c r="A195" s="6" t="inlineStr">
        <is>
          <t>ASG-194</t>
        </is>
      </c>
      <c r="B195" s="6" t="inlineStr">
        <is>
          <t>PSN-015</t>
        </is>
      </c>
      <c r="C195" s="7">
        <f>IFERROR(INDEX(Person!$B:$B,MATCH($B195,Person!$A:$A,0)),"")</f>
        <v/>
      </c>
      <c r="D195" s="6" t="inlineStr">
        <is>
          <t>PRJ-039</t>
        </is>
      </c>
      <c r="E195" s="7" t="inlineStr">
        <is>
          <t>Clinical Database Programmer</t>
        </is>
      </c>
      <c r="F195" s="8" t="n">
        <v>46266</v>
      </c>
      <c r="G195" s="8" t="n">
        <v>47511</v>
      </c>
      <c r="H195" s="7" t="n">
        <v>0.16</v>
      </c>
      <c r="I195" s="7" t="n"/>
      <c r="J195" s="7" t="n"/>
      <c r="K195" s="7" t="n"/>
    </row>
    <row r="196">
      <c r="A196" s="6" t="inlineStr">
        <is>
          <t>ASG-195</t>
        </is>
      </c>
      <c r="B196" s="6" t="inlineStr">
        <is>
          <t>PSN-019</t>
        </is>
      </c>
      <c r="C196" s="7">
        <f>IFERROR(INDEX(Person!$B:$B,MATCH($B196,Person!$A:$A,0)),"")</f>
        <v/>
      </c>
      <c r="D196" s="6" t="inlineStr">
        <is>
          <t>PRJ-039</t>
        </is>
      </c>
      <c r="E196" s="7" t="inlineStr">
        <is>
          <t>Data Analyst</t>
        </is>
      </c>
      <c r="F196" s="8" t="n">
        <v>46327</v>
      </c>
      <c r="G196" s="8" t="n">
        <v>47480</v>
      </c>
      <c r="H196" s="7" t="n">
        <v>0.12</v>
      </c>
      <c r="I196" s="7" t="n"/>
      <c r="J196" s="7" t="n"/>
      <c r="K196" s="7" t="n"/>
    </row>
    <row r="197">
      <c r="A197" s="6" t="inlineStr">
        <is>
          <t>ASG-196</t>
        </is>
      </c>
      <c r="B197" s="6" t="inlineStr">
        <is>
          <t>PSN-001</t>
        </is>
      </c>
      <c r="C197" s="7">
        <f>IFERROR(INDEX(Person!$B:$B,MATCH($B197,Person!$A:$A,0)),"")</f>
        <v/>
      </c>
      <c r="D197" s="6" t="inlineStr">
        <is>
          <t>PRJ-040</t>
        </is>
      </c>
      <c r="E197" s="7" t="inlineStr">
        <is>
          <t>Project oversight</t>
        </is>
      </c>
      <c r="F197" s="8" t="n">
        <v>45901</v>
      </c>
      <c r="G197" s="8" t="n">
        <v>46418</v>
      </c>
      <c r="H197" s="7" t="n">
        <v>0.11</v>
      </c>
      <c r="I197" s="7" t="n"/>
      <c r="J197" s="7" t="n"/>
      <c r="K197" s="7" t="n"/>
    </row>
    <row r="198">
      <c r="A198" s="6" t="inlineStr">
        <is>
          <t>ASG-197</t>
        </is>
      </c>
      <c r="B198" s="6" t="inlineStr">
        <is>
          <t>PSN-007</t>
        </is>
      </c>
      <c r="C198" s="7">
        <f>IFERROR(INDEX(Person!$B:$B,MATCH($B198,Person!$A:$A,0)),"")</f>
        <v/>
      </c>
      <c r="D198" s="6" t="inlineStr">
        <is>
          <t>PRJ-040</t>
        </is>
      </c>
      <c r="E198" s="7" t="inlineStr">
        <is>
          <t>Lead data manager</t>
        </is>
      </c>
      <c r="F198" s="8" t="n">
        <v>45901</v>
      </c>
      <c r="G198" s="8" t="n">
        <v>46387</v>
      </c>
      <c r="H198" s="7" t="n">
        <v>0.2</v>
      </c>
      <c r="I198" s="7" t="n"/>
      <c r="J198" s="7" t="n"/>
      <c r="K198" s="7" t="n"/>
    </row>
    <row r="199">
      <c r="A199" s="6" t="inlineStr">
        <is>
          <t>ASG-198</t>
        </is>
      </c>
      <c r="B199" s="6" t="inlineStr">
        <is>
          <t>PSN-012</t>
        </is>
      </c>
      <c r="C199" s="7">
        <f>IFERROR(INDEX(Person!$B:$B,MATCH($B199,Person!$A:$A,0)),"")</f>
        <v/>
      </c>
      <c r="D199" s="6" t="inlineStr">
        <is>
          <t>PRJ-040</t>
        </is>
      </c>
      <c r="E199" s="7" t="inlineStr">
        <is>
          <t>Clinical Data Associator</t>
        </is>
      </c>
      <c r="F199" s="8" t="n">
        <v>45901</v>
      </c>
      <c r="G199" s="8" t="n">
        <v>46356</v>
      </c>
      <c r="H199" s="7" t="n">
        <v>0.15</v>
      </c>
      <c r="I199" s="7" t="n"/>
      <c r="J199" s="7" t="n"/>
      <c r="K199" s="7" t="n"/>
    </row>
    <row r="200">
      <c r="A200" s="6" t="inlineStr">
        <is>
          <t>ASG-199</t>
        </is>
      </c>
      <c r="B200" s="6" t="inlineStr">
        <is>
          <t>PSN-016</t>
        </is>
      </c>
      <c r="C200" s="7">
        <f>IFERROR(INDEX(Person!$B:$B,MATCH($B200,Person!$A:$A,0)),"")</f>
        <v/>
      </c>
      <c r="D200" s="6" t="inlineStr">
        <is>
          <t>PRJ-040</t>
        </is>
      </c>
      <c r="E200" s="7" t="inlineStr">
        <is>
          <t>Clinical Database Programmer</t>
        </is>
      </c>
      <c r="F200" s="8" t="n">
        <v>45901</v>
      </c>
      <c r="G200" s="8" t="n">
        <v>46387</v>
      </c>
      <c r="H200" s="7" t="n">
        <v>0.12</v>
      </c>
      <c r="I200" s="7" t="n"/>
      <c r="J200" s="7" t="n"/>
      <c r="K200" s="7" t="n"/>
    </row>
    <row r="201">
      <c r="A201" s="6" t="inlineStr">
        <is>
          <t>ASG-200</t>
        </is>
      </c>
      <c r="B201" s="6" t="inlineStr">
        <is>
          <t>PSN-017</t>
        </is>
      </c>
      <c r="C201" s="7">
        <f>IFERROR(INDEX(Person!$B:$B,MATCH($B201,Person!$A:$A,0)),"")</f>
        <v/>
      </c>
      <c r="D201" s="6" t="inlineStr">
        <is>
          <t>PRJ-040</t>
        </is>
      </c>
      <c r="E201" s="7" t="inlineStr">
        <is>
          <t>Data Analyst</t>
        </is>
      </c>
      <c r="F201" s="8" t="n">
        <v>45931</v>
      </c>
      <c r="G201" s="8" t="n">
        <v>46418</v>
      </c>
      <c r="H201" s="7" t="n">
        <v>0.11</v>
      </c>
      <c r="I201" s="7" t="n"/>
      <c r="J201" s="7" t="n"/>
      <c r="K201" s="7" t="n"/>
    </row>
    <row r="202">
      <c r="A202" s="6" t="inlineStr">
        <is>
          <t>ASG-201</t>
        </is>
      </c>
      <c r="B202" s="6" t="inlineStr">
        <is>
          <t>PSN-002</t>
        </is>
      </c>
      <c r="C202" s="7">
        <f>IFERROR(INDEX(Person!$B:$B,MATCH($B202,Person!$A:$A,0)),"")</f>
        <v/>
      </c>
      <c r="D202" s="6" t="inlineStr">
        <is>
          <t>PRJ-041</t>
        </is>
      </c>
      <c r="E202" s="7" t="inlineStr">
        <is>
          <t>Project oversight</t>
        </is>
      </c>
      <c r="F202" s="8" t="n">
        <v>46419</v>
      </c>
      <c r="G202" s="8" t="n">
        <v>47633</v>
      </c>
      <c r="H202" s="7" t="n">
        <v>0.1</v>
      </c>
      <c r="I202" s="7" t="n"/>
      <c r="J202" s="7" t="n"/>
      <c r="K202" s="7" t="n"/>
    </row>
    <row r="203">
      <c r="A203" s="6" t="inlineStr">
        <is>
          <t>ASG-202</t>
        </is>
      </c>
      <c r="B203" s="6" t="inlineStr">
        <is>
          <t>PSN-004</t>
        </is>
      </c>
      <c r="C203" s="7">
        <f>IFERROR(INDEX(Person!$B:$B,MATCH($B203,Person!$A:$A,0)),"")</f>
        <v/>
      </c>
      <c r="D203" s="6" t="inlineStr">
        <is>
          <t>PRJ-041</t>
        </is>
      </c>
      <c r="E203" s="7" t="inlineStr">
        <is>
          <t>Lead data manager</t>
        </is>
      </c>
      <c r="F203" s="8" t="n">
        <v>46419</v>
      </c>
      <c r="G203" s="8" t="n">
        <v>47664</v>
      </c>
      <c r="H203" s="7" t="n">
        <v>0.18</v>
      </c>
      <c r="I203" s="7" t="n"/>
      <c r="J203" s="7" t="n"/>
      <c r="K203" s="7" t="n"/>
    </row>
    <row r="204">
      <c r="A204" s="6" t="inlineStr">
        <is>
          <t>ASG-203</t>
        </is>
      </c>
      <c r="B204" s="6" t="inlineStr">
        <is>
          <t>PSN-008</t>
        </is>
      </c>
      <c r="C204" s="7">
        <f>IFERROR(INDEX(Person!$B:$B,MATCH($B204,Person!$A:$A,0)),"")</f>
        <v/>
      </c>
      <c r="D204" s="6" t="inlineStr">
        <is>
          <t>PRJ-041</t>
        </is>
      </c>
      <c r="E204" s="7" t="inlineStr">
        <is>
          <t>Clinical Data Associator</t>
        </is>
      </c>
      <c r="F204" s="8" t="n">
        <v>46419</v>
      </c>
      <c r="G204" s="8" t="n">
        <v>47603</v>
      </c>
      <c r="H204" s="7" t="n">
        <v>0.15</v>
      </c>
      <c r="I204" s="7" t="n"/>
      <c r="J204" s="7" t="n"/>
      <c r="K204" s="7" t="n"/>
    </row>
    <row r="205">
      <c r="A205" s="6" t="inlineStr">
        <is>
          <t>ASG-204</t>
        </is>
      </c>
      <c r="B205" s="6" t="inlineStr">
        <is>
          <t>PSN-013</t>
        </is>
      </c>
      <c r="C205" s="7">
        <f>IFERROR(INDEX(Person!$B:$B,MATCH($B205,Person!$A:$A,0)),"")</f>
        <v/>
      </c>
      <c r="D205" s="6" t="inlineStr">
        <is>
          <t>PRJ-041</t>
        </is>
      </c>
      <c r="E205" s="7" t="inlineStr">
        <is>
          <t>Clinical Database Programmer</t>
        </is>
      </c>
      <c r="F205" s="8" t="n">
        <v>46447</v>
      </c>
      <c r="G205" s="8" t="n">
        <v>47603</v>
      </c>
      <c r="H205" s="7" t="n">
        <v>0.11</v>
      </c>
      <c r="I205" s="7" t="n"/>
      <c r="J205" s="7" t="n"/>
      <c r="K205" s="7" t="n"/>
    </row>
    <row r="206">
      <c r="A206" s="6" t="inlineStr">
        <is>
          <t>ASG-205</t>
        </is>
      </c>
      <c r="B206" s="6" t="inlineStr">
        <is>
          <t>PSN-018</t>
        </is>
      </c>
      <c r="C206" s="7">
        <f>IFERROR(INDEX(Person!$B:$B,MATCH($B206,Person!$A:$A,0)),"")</f>
        <v/>
      </c>
      <c r="D206" s="6" t="inlineStr">
        <is>
          <t>PRJ-041</t>
        </is>
      </c>
      <c r="E206" s="7" t="inlineStr">
        <is>
          <t>Data Analyst</t>
        </is>
      </c>
      <c r="F206" s="8" t="n">
        <v>46419</v>
      </c>
      <c r="G206" s="8" t="n">
        <v>47664</v>
      </c>
      <c r="H206" s="7" t="n">
        <v>0.15</v>
      </c>
      <c r="I206" s="7" t="n"/>
      <c r="J206" s="7" t="n"/>
      <c r="K206" s="7" t="n"/>
    </row>
    <row r="207">
      <c r="A207" s="6" t="inlineStr">
        <is>
          <t>ASG-206</t>
        </is>
      </c>
      <c r="B207" s="6" t="inlineStr">
        <is>
          <t>PSN-003</t>
        </is>
      </c>
      <c r="C207" s="7">
        <f>IFERROR(INDEX(Person!$B:$B,MATCH($B207,Person!$A:$A,0)),"")</f>
        <v/>
      </c>
      <c r="D207" s="6" t="inlineStr">
        <is>
          <t>PRJ-042</t>
        </is>
      </c>
      <c r="E207" s="7" t="inlineStr">
        <is>
          <t>Project oversight</t>
        </is>
      </c>
      <c r="F207" s="8" t="n">
        <v>46508</v>
      </c>
      <c r="G207" s="8" t="n">
        <v>47329</v>
      </c>
      <c r="H207" s="7" t="n">
        <v>0.17</v>
      </c>
      <c r="I207" s="7" t="n"/>
      <c r="J207" s="7" t="n"/>
      <c r="K207" s="7" t="n"/>
    </row>
    <row r="208">
      <c r="A208" s="6" t="inlineStr">
        <is>
          <t>ASG-207</t>
        </is>
      </c>
      <c r="B208" s="6" t="inlineStr">
        <is>
          <t>PSN-005</t>
        </is>
      </c>
      <c r="C208" s="7">
        <f>IFERROR(INDEX(Person!$B:$B,MATCH($B208,Person!$A:$A,0)),"")</f>
        <v/>
      </c>
      <c r="D208" s="6" t="inlineStr">
        <is>
          <t>PRJ-042</t>
        </is>
      </c>
      <c r="E208" s="7" t="inlineStr">
        <is>
          <t>Lead data manager</t>
        </is>
      </c>
      <c r="F208" s="8" t="n">
        <v>46478</v>
      </c>
      <c r="G208" s="8" t="n">
        <v>47360</v>
      </c>
      <c r="H208" s="7" t="n">
        <v>0.15</v>
      </c>
      <c r="I208" s="7" t="n"/>
      <c r="J208" s="7" t="n"/>
      <c r="K208" s="7" t="n"/>
    </row>
    <row r="209">
      <c r="A209" s="6" t="inlineStr">
        <is>
          <t>ASG-208</t>
        </is>
      </c>
      <c r="B209" s="6" t="inlineStr">
        <is>
          <t>PSN-009</t>
        </is>
      </c>
      <c r="C209" s="7">
        <f>IFERROR(INDEX(Person!$B:$B,MATCH($B209,Person!$A:$A,0)),"")</f>
        <v/>
      </c>
      <c r="D209" s="6" t="inlineStr">
        <is>
          <t>PRJ-042</t>
        </is>
      </c>
      <c r="E209" s="7" t="inlineStr">
        <is>
          <t>Clinical Data Associator</t>
        </is>
      </c>
      <c r="F209" s="8" t="n">
        <v>46508</v>
      </c>
      <c r="G209" s="8" t="n">
        <v>47329</v>
      </c>
      <c r="H209" s="7" t="n">
        <v>0.11</v>
      </c>
      <c r="I209" s="7" t="n"/>
      <c r="J209" s="7" t="n"/>
      <c r="K209" s="7" t="n"/>
    </row>
    <row r="210">
      <c r="A210" s="6" t="inlineStr">
        <is>
          <t>ASG-209</t>
        </is>
      </c>
      <c r="B210" s="6" t="inlineStr">
        <is>
          <t>PSN-014</t>
        </is>
      </c>
      <c r="C210" s="7">
        <f>IFERROR(INDEX(Person!$B:$B,MATCH($B210,Person!$A:$A,0)),"")</f>
        <v/>
      </c>
      <c r="D210" s="6" t="inlineStr">
        <is>
          <t>PRJ-042</t>
        </is>
      </c>
      <c r="E210" s="7" t="inlineStr">
        <is>
          <t>Clinical Database Programmer</t>
        </is>
      </c>
      <c r="F210" s="8" t="n">
        <v>46478</v>
      </c>
      <c r="G210" s="8" t="n">
        <v>47360</v>
      </c>
      <c r="H210" s="7" t="n">
        <v>0.13</v>
      </c>
      <c r="I210" s="7" t="n"/>
      <c r="J210" s="7" t="n"/>
      <c r="K210" s="7" t="n"/>
    </row>
    <row r="211">
      <c r="A211" s="6" t="inlineStr">
        <is>
          <t>ASG-210</t>
        </is>
      </c>
      <c r="B211" s="6" t="inlineStr">
        <is>
          <t>PSN-019</t>
        </is>
      </c>
      <c r="C211" s="7">
        <f>IFERROR(INDEX(Person!$B:$B,MATCH($B211,Person!$A:$A,0)),"")</f>
        <v/>
      </c>
      <c r="D211" s="6" t="inlineStr">
        <is>
          <t>PRJ-042</t>
        </is>
      </c>
      <c r="E211" s="7" t="inlineStr">
        <is>
          <t>Data Analyst</t>
        </is>
      </c>
      <c r="F211" s="8" t="n">
        <v>46508</v>
      </c>
      <c r="G211" s="8" t="n">
        <v>47391</v>
      </c>
      <c r="H211" s="7" t="n">
        <v>0.12</v>
      </c>
      <c r="I211" s="7" t="n"/>
      <c r="J211" s="7" t="n"/>
      <c r="K211" s="7" t="n"/>
    </row>
    <row r="212">
      <c r="A212" s="6" t="inlineStr">
        <is>
          <t>ASG-211</t>
        </is>
      </c>
      <c r="B212" s="6" t="inlineStr">
        <is>
          <t>PSN-001</t>
        </is>
      </c>
      <c r="C212" s="7">
        <f>IFERROR(INDEX(Person!$B:$B,MATCH($B212,Person!$A:$A,0)),"")</f>
        <v/>
      </c>
      <c r="D212" s="6" t="inlineStr">
        <is>
          <t>PRJ-043</t>
        </is>
      </c>
      <c r="E212" s="7" t="inlineStr">
        <is>
          <t>Project oversight</t>
        </is>
      </c>
      <c r="F212" s="8" t="n">
        <v>46600</v>
      </c>
      <c r="G212" s="8" t="n">
        <v>47664</v>
      </c>
      <c r="H212" s="7" t="n">
        <v>0.16</v>
      </c>
      <c r="I212" s="7" t="n"/>
      <c r="J212" s="7" t="n"/>
      <c r="K212" s="7" t="n"/>
    </row>
    <row r="213">
      <c r="A213" s="6" t="inlineStr">
        <is>
          <t>ASG-212</t>
        </is>
      </c>
      <c r="B213" s="6" t="inlineStr">
        <is>
          <t>PSN-006</t>
        </is>
      </c>
      <c r="C213" s="7">
        <f>IFERROR(INDEX(Person!$B:$B,MATCH($B213,Person!$A:$A,0)),"")</f>
        <v/>
      </c>
      <c r="D213" s="6" t="inlineStr">
        <is>
          <t>PRJ-043</t>
        </is>
      </c>
      <c r="E213" s="7" t="inlineStr">
        <is>
          <t>Lead data manager</t>
        </is>
      </c>
      <c r="F213" s="8" t="n">
        <v>46569</v>
      </c>
      <c r="G213" s="8" t="n">
        <v>47633</v>
      </c>
      <c r="H213" s="7" t="n">
        <v>0.18</v>
      </c>
      <c r="I213" s="7" t="n"/>
      <c r="J213" s="7" t="n"/>
      <c r="K213" s="7" t="n"/>
    </row>
    <row r="214">
      <c r="A214" s="6" t="inlineStr">
        <is>
          <t>ASG-213</t>
        </is>
      </c>
      <c r="B214" s="6" t="inlineStr">
        <is>
          <t>PSN-010</t>
        </is>
      </c>
      <c r="C214" s="7">
        <f>IFERROR(INDEX(Person!$B:$B,MATCH($B214,Person!$A:$A,0)),"")</f>
        <v/>
      </c>
      <c r="D214" s="6" t="inlineStr">
        <is>
          <t>PRJ-043</t>
        </is>
      </c>
      <c r="E214" s="7" t="inlineStr">
        <is>
          <t>Clinical Data Associator</t>
        </is>
      </c>
      <c r="F214" s="8" t="n">
        <v>46569</v>
      </c>
      <c r="G214" s="8" t="n">
        <v>47664</v>
      </c>
      <c r="H214" s="7" t="n">
        <v>0.12</v>
      </c>
      <c r="I214" s="7" t="n"/>
      <c r="J214" s="7" t="n"/>
      <c r="K214" s="7" t="n"/>
    </row>
    <row r="215">
      <c r="A215" s="6" t="inlineStr">
        <is>
          <t>ASG-214</t>
        </is>
      </c>
      <c r="B215" s="6" t="inlineStr">
        <is>
          <t>PSN-015</t>
        </is>
      </c>
      <c r="C215" s="7">
        <f>IFERROR(INDEX(Person!$B:$B,MATCH($B215,Person!$A:$A,0)),"")</f>
        <v/>
      </c>
      <c r="D215" s="6" t="inlineStr">
        <is>
          <t>PRJ-043</t>
        </is>
      </c>
      <c r="E215" s="7" t="inlineStr">
        <is>
          <t>Clinical Database Programmer</t>
        </is>
      </c>
      <c r="F215" s="8" t="n">
        <v>46569</v>
      </c>
      <c r="G215" s="8" t="n">
        <v>47664</v>
      </c>
      <c r="H215" s="7" t="n">
        <v>0.15</v>
      </c>
      <c r="I215" s="7" t="n"/>
      <c r="J215" s="7" t="n"/>
      <c r="K215" s="7" t="n"/>
    </row>
    <row r="216">
      <c r="A216" s="6" t="inlineStr">
        <is>
          <t>ASG-215</t>
        </is>
      </c>
      <c r="B216" s="6" t="inlineStr">
        <is>
          <t>PSN-017</t>
        </is>
      </c>
      <c r="C216" s="7">
        <f>IFERROR(INDEX(Person!$B:$B,MATCH($B216,Person!$A:$A,0)),"")</f>
        <v/>
      </c>
      <c r="D216" s="6" t="inlineStr">
        <is>
          <t>PRJ-043</t>
        </is>
      </c>
      <c r="E216" s="7" t="inlineStr">
        <is>
          <t>Data Analyst</t>
        </is>
      </c>
      <c r="F216" s="8" t="n">
        <v>46600</v>
      </c>
      <c r="G216" s="8" t="n">
        <v>47664</v>
      </c>
      <c r="H216" s="7" t="n">
        <v>0.11</v>
      </c>
      <c r="I216" s="7" t="n"/>
      <c r="J216" s="7" t="n"/>
      <c r="K216" s="7" t="n"/>
    </row>
    <row r="217">
      <c r="A217" s="6" t="inlineStr">
        <is>
          <t>ASG-216</t>
        </is>
      </c>
      <c r="B217" s="6" t="inlineStr">
        <is>
          <t>PSN-002</t>
        </is>
      </c>
      <c r="C217" s="7">
        <f>IFERROR(INDEX(Person!$B:$B,MATCH($B217,Person!$A:$A,0)),"")</f>
        <v/>
      </c>
      <c r="D217" s="6" t="inlineStr">
        <is>
          <t>PRJ-044</t>
        </is>
      </c>
      <c r="E217" s="7" t="inlineStr">
        <is>
          <t>Project oversight</t>
        </is>
      </c>
      <c r="F217" s="8" t="n">
        <v>46054</v>
      </c>
      <c r="G217" s="8" t="n">
        <v>46538</v>
      </c>
      <c r="H217" s="7" t="n">
        <v>0.12</v>
      </c>
      <c r="I217" s="7" t="n"/>
      <c r="J217" s="7" t="n"/>
      <c r="K217" s="7" t="n"/>
    </row>
    <row r="218">
      <c r="A218" s="6" t="inlineStr">
        <is>
          <t>ASG-217</t>
        </is>
      </c>
      <c r="B218" s="6" t="inlineStr">
        <is>
          <t>PSN-007</t>
        </is>
      </c>
      <c r="C218" s="7">
        <f>IFERROR(INDEX(Person!$B:$B,MATCH($B218,Person!$A:$A,0)),"")</f>
        <v/>
      </c>
      <c r="D218" s="6" t="inlineStr">
        <is>
          <t>PRJ-044</t>
        </is>
      </c>
      <c r="E218" s="7" t="inlineStr">
        <is>
          <t>Lead data manager</t>
        </is>
      </c>
      <c r="F218" s="8" t="n">
        <v>45992</v>
      </c>
      <c r="G218" s="8" t="n">
        <v>46507</v>
      </c>
      <c r="H218" s="7" t="n">
        <v>0.16</v>
      </c>
      <c r="I218" s="7" t="n"/>
      <c r="J218" s="7" t="n"/>
      <c r="K218" s="7" t="n"/>
    </row>
    <row r="219">
      <c r="A219" s="6" t="inlineStr">
        <is>
          <t>ASG-218</t>
        </is>
      </c>
      <c r="B219" s="6" t="inlineStr">
        <is>
          <t>PSN-011</t>
        </is>
      </c>
      <c r="C219" s="7">
        <f>IFERROR(INDEX(Person!$B:$B,MATCH($B219,Person!$A:$A,0)),"")</f>
        <v/>
      </c>
      <c r="D219" s="6" t="inlineStr">
        <is>
          <t>PRJ-044</t>
        </is>
      </c>
      <c r="E219" s="7" t="inlineStr">
        <is>
          <t>Clinical Data Associator</t>
        </is>
      </c>
      <c r="F219" s="8" t="n">
        <v>45992</v>
      </c>
      <c r="G219" s="8" t="n">
        <v>46507</v>
      </c>
      <c r="H219" s="7" t="n">
        <v>0.11</v>
      </c>
      <c r="I219" s="7" t="n"/>
      <c r="J219" s="7" t="n"/>
      <c r="K219" s="7" t="n"/>
    </row>
    <row r="220">
      <c r="A220" s="6" t="inlineStr">
        <is>
          <t>ASG-219</t>
        </is>
      </c>
      <c r="B220" s="6" t="inlineStr">
        <is>
          <t>PSN-016</t>
        </is>
      </c>
      <c r="C220" s="7">
        <f>IFERROR(INDEX(Person!$B:$B,MATCH($B220,Person!$A:$A,0)),"")</f>
        <v/>
      </c>
      <c r="D220" s="6" t="inlineStr">
        <is>
          <t>PRJ-044</t>
        </is>
      </c>
      <c r="E220" s="7" t="inlineStr">
        <is>
          <t>Clinical Database Programmer</t>
        </is>
      </c>
      <c r="F220" s="8" t="n">
        <v>46054</v>
      </c>
      <c r="G220" s="8" t="n">
        <v>46507</v>
      </c>
      <c r="H220" s="7" t="n">
        <v>0.13</v>
      </c>
      <c r="I220" s="7" t="n"/>
      <c r="J220" s="7" t="n"/>
      <c r="K220" s="7" t="n"/>
    </row>
    <row r="221">
      <c r="A221" s="6" t="inlineStr">
        <is>
          <t>ASG-220</t>
        </is>
      </c>
      <c r="B221" s="6" t="inlineStr">
        <is>
          <t>PSN-018</t>
        </is>
      </c>
      <c r="C221" s="7">
        <f>IFERROR(INDEX(Person!$B:$B,MATCH($B221,Person!$A:$A,0)),"")</f>
        <v/>
      </c>
      <c r="D221" s="6" t="inlineStr">
        <is>
          <t>PRJ-044</t>
        </is>
      </c>
      <c r="E221" s="7" t="inlineStr">
        <is>
          <t>Data Analyst</t>
        </is>
      </c>
      <c r="F221" s="8" t="n">
        <v>46054</v>
      </c>
      <c r="G221" s="8" t="n">
        <v>46507</v>
      </c>
      <c r="H221" s="7" t="n">
        <v>0.15</v>
      </c>
      <c r="I221" s="7" t="n"/>
      <c r="J221" s="7" t="n"/>
      <c r="K221" s="7" t="n"/>
    </row>
    <row r="222">
      <c r="A222" s="6" t="inlineStr">
        <is>
          <t>ASG-221</t>
        </is>
      </c>
      <c r="B222" s="6" t="inlineStr">
        <is>
          <t>PSN-003</t>
        </is>
      </c>
      <c r="C222" s="7">
        <f>IFERROR(INDEX(Person!$B:$B,MATCH($B222,Person!$A:$A,0)),"")</f>
        <v/>
      </c>
      <c r="D222" s="6" t="inlineStr">
        <is>
          <t>PRJ-045</t>
        </is>
      </c>
      <c r="E222" s="7" t="inlineStr">
        <is>
          <t>Project oversight</t>
        </is>
      </c>
      <c r="F222" s="8" t="n">
        <v>46113</v>
      </c>
      <c r="G222" s="8" t="n">
        <v>46630</v>
      </c>
      <c r="H222" s="7" t="n">
        <v>0.12</v>
      </c>
      <c r="I222" s="7" t="n"/>
      <c r="J222" s="7" t="n"/>
      <c r="K222" s="7" t="n"/>
    </row>
    <row r="223">
      <c r="A223" s="6" t="inlineStr">
        <is>
          <t>ASG-222</t>
        </is>
      </c>
      <c r="B223" s="6" t="inlineStr">
        <is>
          <t>PSN-004</t>
        </is>
      </c>
      <c r="C223" s="7">
        <f>IFERROR(INDEX(Person!$B:$B,MATCH($B223,Person!$A:$A,0)),"")</f>
        <v/>
      </c>
      <c r="D223" s="6" t="inlineStr">
        <is>
          <t>PRJ-045</t>
        </is>
      </c>
      <c r="E223" s="7" t="inlineStr">
        <is>
          <t>Lead data manager</t>
        </is>
      </c>
      <c r="F223" s="8" t="n">
        <v>46113</v>
      </c>
      <c r="G223" s="8" t="n">
        <v>46630</v>
      </c>
      <c r="H223" s="7" t="n">
        <v>0.16</v>
      </c>
      <c r="I223" s="7" t="n"/>
      <c r="J223" s="7" t="n"/>
      <c r="K223" s="7" t="n"/>
    </row>
    <row r="224">
      <c r="A224" s="6" t="inlineStr">
        <is>
          <t>ASG-223</t>
        </is>
      </c>
      <c r="B224" s="6" t="inlineStr">
        <is>
          <t>PSN-012</t>
        </is>
      </c>
      <c r="C224" s="7">
        <f>IFERROR(INDEX(Person!$B:$B,MATCH($B224,Person!$A:$A,0)),"")</f>
        <v/>
      </c>
      <c r="D224" s="6" t="inlineStr">
        <is>
          <t>PRJ-045</t>
        </is>
      </c>
      <c r="E224" s="7" t="inlineStr">
        <is>
          <t>Clinical Data Associator</t>
        </is>
      </c>
      <c r="F224" s="8" t="n">
        <v>46113</v>
      </c>
      <c r="G224" s="8" t="n">
        <v>46568</v>
      </c>
      <c r="H224" s="7" t="n">
        <v>0.14</v>
      </c>
      <c r="I224" s="7" t="n"/>
      <c r="J224" s="7" t="n"/>
      <c r="K224" s="7" t="n"/>
    </row>
    <row r="225">
      <c r="A225" s="6" t="inlineStr">
        <is>
          <t>ASG-224</t>
        </is>
      </c>
      <c r="B225" s="6" t="inlineStr">
        <is>
          <t>PSN-013</t>
        </is>
      </c>
      <c r="C225" s="7">
        <f>IFERROR(INDEX(Person!$B:$B,MATCH($B225,Person!$A:$A,0)),"")</f>
        <v/>
      </c>
      <c r="D225" s="6" t="inlineStr">
        <is>
          <t>PRJ-045</t>
        </is>
      </c>
      <c r="E225" s="7" t="inlineStr">
        <is>
          <t>Clinical Database Programmer</t>
        </is>
      </c>
      <c r="F225" s="8" t="n">
        <v>46143</v>
      </c>
      <c r="G225" s="8" t="n">
        <v>46568</v>
      </c>
      <c r="H225" s="7" t="n">
        <v>0.16</v>
      </c>
      <c r="I225" s="7" t="n"/>
      <c r="J225" s="7" t="n"/>
      <c r="K225" s="7" t="n"/>
    </row>
    <row r="226">
      <c r="A226" s="6" t="inlineStr">
        <is>
          <t>ASG-225</t>
        </is>
      </c>
      <c r="B226" s="6" t="inlineStr">
        <is>
          <t>PSN-019</t>
        </is>
      </c>
      <c r="C226" s="7">
        <f>IFERROR(INDEX(Person!$B:$B,MATCH($B226,Person!$A:$A,0)),"")</f>
        <v/>
      </c>
      <c r="D226" s="6" t="inlineStr">
        <is>
          <t>PRJ-045</t>
        </is>
      </c>
      <c r="E226" s="7" t="inlineStr">
        <is>
          <t>Data Analyst</t>
        </is>
      </c>
      <c r="F226" s="8" t="n">
        <v>46082</v>
      </c>
      <c r="G226" s="8" t="n">
        <v>46568</v>
      </c>
      <c r="H226" s="7" t="n">
        <v>0.16</v>
      </c>
      <c r="I226" s="7" t="n"/>
      <c r="J226" s="7" t="n"/>
      <c r="K226" s="7" t="n"/>
    </row>
    <row r="227">
      <c r="A227" s="6" t="inlineStr">
        <is>
          <t>ASG-226</t>
        </is>
      </c>
      <c r="B227" s="6" t="inlineStr">
        <is>
          <t>PSN-001</t>
        </is>
      </c>
      <c r="C227" s="7">
        <f>IFERROR(INDEX(Person!$B:$B,MATCH($B227,Person!$A:$A,0)),"")</f>
        <v/>
      </c>
      <c r="D227" s="6" t="inlineStr">
        <is>
          <t>PRJ-046</t>
        </is>
      </c>
      <c r="E227" s="7" t="inlineStr">
        <is>
          <t>Project oversight</t>
        </is>
      </c>
      <c r="F227" s="8" t="n">
        <v>46174</v>
      </c>
      <c r="G227" s="8" t="n">
        <v>46996</v>
      </c>
      <c r="H227" s="7" t="n">
        <v>0.12</v>
      </c>
      <c r="I227" s="7" t="n"/>
      <c r="J227" s="7" t="n"/>
      <c r="K227" s="7" t="n"/>
    </row>
    <row r="228">
      <c r="A228" s="6" t="inlineStr">
        <is>
          <t>ASG-227</t>
        </is>
      </c>
      <c r="B228" s="6" t="inlineStr">
        <is>
          <t>PSN-005</t>
        </is>
      </c>
      <c r="C228" s="7">
        <f>IFERROR(INDEX(Person!$B:$B,MATCH($B228,Person!$A:$A,0)),"")</f>
        <v/>
      </c>
      <c r="D228" s="6" t="inlineStr">
        <is>
          <t>PRJ-046</t>
        </is>
      </c>
      <c r="E228" s="7" t="inlineStr">
        <is>
          <t>Lead data manager</t>
        </is>
      </c>
      <c r="F228" s="8" t="n">
        <v>46204</v>
      </c>
      <c r="G228" s="8" t="n">
        <v>46996</v>
      </c>
      <c r="H228" s="7" t="n">
        <v>0.2</v>
      </c>
      <c r="I228" s="7" t="n"/>
      <c r="J228" s="7" t="n"/>
      <c r="K228" s="7" t="n"/>
    </row>
    <row r="229">
      <c r="A229" s="6" t="inlineStr">
        <is>
          <t>ASG-228</t>
        </is>
      </c>
      <c r="B229" s="6" t="inlineStr">
        <is>
          <t>PSN-008</t>
        </is>
      </c>
      <c r="C229" s="7">
        <f>IFERROR(INDEX(Person!$B:$B,MATCH($B229,Person!$A:$A,0)),"")</f>
        <v/>
      </c>
      <c r="D229" s="6" t="inlineStr">
        <is>
          <t>PRJ-046</t>
        </is>
      </c>
      <c r="E229" s="7" t="inlineStr">
        <is>
          <t>Clinical Data Associator</t>
        </is>
      </c>
      <c r="F229" s="8" t="n">
        <v>46143</v>
      </c>
      <c r="G229" s="8" t="n">
        <v>46996</v>
      </c>
      <c r="H229" s="7" t="n">
        <v>0.13</v>
      </c>
      <c r="I229" s="7" t="n"/>
      <c r="J229" s="7" t="n"/>
      <c r="K229" s="7" t="n"/>
    </row>
    <row r="230">
      <c r="A230" s="6" t="inlineStr">
        <is>
          <t>ASG-229</t>
        </is>
      </c>
      <c r="B230" s="6" t="inlineStr">
        <is>
          <t>PSN-014</t>
        </is>
      </c>
      <c r="C230" s="7">
        <f>IFERROR(INDEX(Person!$B:$B,MATCH($B230,Person!$A:$A,0)),"")</f>
        <v/>
      </c>
      <c r="D230" s="6" t="inlineStr">
        <is>
          <t>PRJ-046</t>
        </is>
      </c>
      <c r="E230" s="7" t="inlineStr">
        <is>
          <t>Clinical Database Programmer</t>
        </is>
      </c>
      <c r="F230" s="8" t="n">
        <v>46143</v>
      </c>
      <c r="G230" s="8" t="n">
        <v>46996</v>
      </c>
      <c r="H230" s="7" t="n">
        <v>0.16</v>
      </c>
      <c r="I230" s="7" t="n"/>
      <c r="J230" s="7" t="n"/>
      <c r="K230" s="7" t="n"/>
    </row>
    <row r="231">
      <c r="A231" s="6" t="inlineStr">
        <is>
          <t>ASG-230</t>
        </is>
      </c>
      <c r="B231" s="6" t="inlineStr">
        <is>
          <t>PSN-017</t>
        </is>
      </c>
      <c r="C231" s="7">
        <f>IFERROR(INDEX(Person!$B:$B,MATCH($B231,Person!$A:$A,0)),"")</f>
        <v/>
      </c>
      <c r="D231" s="6" t="inlineStr">
        <is>
          <t>PRJ-046</t>
        </is>
      </c>
      <c r="E231" s="7" t="inlineStr">
        <is>
          <t>Data Analyst</t>
        </is>
      </c>
      <c r="F231" s="8" t="n">
        <v>46204</v>
      </c>
      <c r="G231" s="8" t="n">
        <v>46996</v>
      </c>
      <c r="H231" s="7" t="n">
        <v>0.1</v>
      </c>
      <c r="I231" s="7" t="n"/>
      <c r="J231" s="7" t="n"/>
      <c r="K231" s="7" t="n"/>
    </row>
    <row r="232">
      <c r="A232" s="6" t="inlineStr">
        <is>
          <t>ASG-231</t>
        </is>
      </c>
      <c r="B232" s="6" t="inlineStr">
        <is>
          <t>PSN-002</t>
        </is>
      </c>
      <c r="C232" s="7">
        <f>IFERROR(INDEX(Person!$B:$B,MATCH($B232,Person!$A:$A,0)),"")</f>
        <v/>
      </c>
      <c r="D232" s="6" t="inlineStr">
        <is>
          <t>PRJ-047</t>
        </is>
      </c>
      <c r="E232" s="7" t="inlineStr">
        <is>
          <t>Project oversight</t>
        </is>
      </c>
      <c r="F232" s="8" t="n">
        <v>46419</v>
      </c>
      <c r="G232" s="8" t="n">
        <v>47391</v>
      </c>
      <c r="H232" s="7" t="n">
        <v>0.15</v>
      </c>
      <c r="I232" s="7" t="n"/>
      <c r="J232" s="7" t="n"/>
      <c r="K232" s="7" t="n"/>
    </row>
    <row r="233">
      <c r="A233" s="6" t="inlineStr">
        <is>
          <t>ASG-232</t>
        </is>
      </c>
      <c r="B233" s="6" t="inlineStr">
        <is>
          <t>PSN-006</t>
        </is>
      </c>
      <c r="C233" s="7">
        <f>IFERROR(INDEX(Person!$B:$B,MATCH($B233,Person!$A:$A,0)),"")</f>
        <v/>
      </c>
      <c r="D233" s="6" t="inlineStr">
        <is>
          <t>PRJ-047</t>
        </is>
      </c>
      <c r="E233" s="7" t="inlineStr">
        <is>
          <t>Lead data manager</t>
        </is>
      </c>
      <c r="F233" s="8" t="n">
        <v>46357</v>
      </c>
      <c r="G233" s="8" t="n">
        <v>47391</v>
      </c>
      <c r="H233" s="7" t="n">
        <v>0.16</v>
      </c>
      <c r="I233" s="7" t="n"/>
      <c r="J233" s="7" t="n"/>
      <c r="K233" s="7" t="n"/>
    </row>
    <row r="234">
      <c r="A234" s="6" t="inlineStr">
        <is>
          <t>ASG-233</t>
        </is>
      </c>
      <c r="B234" s="6" t="inlineStr">
        <is>
          <t>PSN-009</t>
        </is>
      </c>
      <c r="C234" s="7">
        <f>IFERROR(INDEX(Person!$B:$B,MATCH($B234,Person!$A:$A,0)),"")</f>
        <v/>
      </c>
      <c r="D234" s="6" t="inlineStr">
        <is>
          <t>PRJ-047</t>
        </is>
      </c>
      <c r="E234" s="7" t="inlineStr">
        <is>
          <t>Clinical Data Associator</t>
        </is>
      </c>
      <c r="F234" s="8" t="n">
        <v>46357</v>
      </c>
      <c r="G234" s="8" t="n">
        <v>47391</v>
      </c>
      <c r="H234" s="7" t="n">
        <v>0.16</v>
      </c>
      <c r="I234" s="7" t="n"/>
      <c r="J234" s="7" t="n"/>
      <c r="K234" s="7" t="n"/>
    </row>
    <row r="235">
      <c r="A235" s="6" t="inlineStr">
        <is>
          <t>ASG-234</t>
        </is>
      </c>
      <c r="B235" s="6" t="inlineStr">
        <is>
          <t>PSN-015</t>
        </is>
      </c>
      <c r="C235" s="7">
        <f>IFERROR(INDEX(Person!$B:$B,MATCH($B235,Person!$A:$A,0)),"")</f>
        <v/>
      </c>
      <c r="D235" s="6" t="inlineStr">
        <is>
          <t>PRJ-047</t>
        </is>
      </c>
      <c r="E235" s="7" t="inlineStr">
        <is>
          <t>Clinical Database Programmer</t>
        </is>
      </c>
      <c r="F235" s="8" t="n">
        <v>46388</v>
      </c>
      <c r="G235" s="8" t="n">
        <v>47391</v>
      </c>
      <c r="H235" s="7" t="n">
        <v>0.1</v>
      </c>
      <c r="I235" s="7" t="n"/>
      <c r="J235" s="7" t="n"/>
      <c r="K235" s="7" t="n"/>
    </row>
    <row r="236">
      <c r="A236" s="6" t="inlineStr">
        <is>
          <t>ASG-235</t>
        </is>
      </c>
      <c r="B236" s="6" t="inlineStr">
        <is>
          <t>PSN-018</t>
        </is>
      </c>
      <c r="C236" s="7">
        <f>IFERROR(INDEX(Person!$B:$B,MATCH($B236,Person!$A:$A,0)),"")</f>
        <v/>
      </c>
      <c r="D236" s="6" t="inlineStr">
        <is>
          <t>PRJ-047</t>
        </is>
      </c>
      <c r="E236" s="7" t="inlineStr">
        <is>
          <t>Data Analyst</t>
        </is>
      </c>
      <c r="F236" s="8" t="n">
        <v>46388</v>
      </c>
      <c r="G236" s="8" t="n">
        <v>47452</v>
      </c>
      <c r="H236" s="7" t="n">
        <v>0.14</v>
      </c>
      <c r="I236" s="7" t="n"/>
      <c r="J236" s="7" t="n"/>
      <c r="K236" s="7" t="n"/>
    </row>
    <row r="237">
      <c r="A237" s="6" t="inlineStr">
        <is>
          <t>ASG-236</t>
        </is>
      </c>
      <c r="B237" s="6" t="inlineStr">
        <is>
          <t>PSN-003</t>
        </is>
      </c>
      <c r="C237" s="7">
        <f>IFERROR(INDEX(Person!$B:$B,MATCH($B237,Person!$A:$A,0)),"")</f>
        <v/>
      </c>
      <c r="D237" s="6" t="inlineStr">
        <is>
          <t>PRJ-048</t>
        </is>
      </c>
      <c r="E237" s="7" t="inlineStr">
        <is>
          <t>Project oversight</t>
        </is>
      </c>
      <c r="F237" s="8" t="n">
        <v>46661</v>
      </c>
      <c r="G237" s="8" t="n">
        <v>47725</v>
      </c>
      <c r="H237" s="7" t="n">
        <v>0.16</v>
      </c>
      <c r="I237" s="7" t="n"/>
      <c r="J237" s="7" t="n"/>
      <c r="K237" s="7" t="n"/>
    </row>
    <row r="238">
      <c r="A238" s="6" t="inlineStr">
        <is>
          <t>ASG-237</t>
        </is>
      </c>
      <c r="B238" s="6" t="inlineStr">
        <is>
          <t>PSN-007</t>
        </is>
      </c>
      <c r="C238" s="7">
        <f>IFERROR(INDEX(Person!$B:$B,MATCH($B238,Person!$A:$A,0)),"")</f>
        <v/>
      </c>
      <c r="D238" s="6" t="inlineStr">
        <is>
          <t>PRJ-048</t>
        </is>
      </c>
      <c r="E238" s="7" t="inlineStr">
        <is>
          <t>Lead data manager</t>
        </is>
      </c>
      <c r="F238" s="8" t="n">
        <v>46692</v>
      </c>
      <c r="G238" s="8" t="n">
        <v>47694</v>
      </c>
      <c r="H238" s="7" t="n">
        <v>0.15</v>
      </c>
      <c r="I238" s="7" t="n"/>
      <c r="J238" s="7" t="n"/>
      <c r="K238" s="7" t="n"/>
    </row>
    <row r="239">
      <c r="A239" s="6" t="inlineStr">
        <is>
          <t>ASG-238</t>
        </is>
      </c>
      <c r="B239" s="6" t="inlineStr">
        <is>
          <t>PSN-010</t>
        </is>
      </c>
      <c r="C239" s="7">
        <f>IFERROR(INDEX(Person!$B:$B,MATCH($B239,Person!$A:$A,0)),"")</f>
        <v/>
      </c>
      <c r="D239" s="6" t="inlineStr">
        <is>
          <t>PRJ-048</t>
        </is>
      </c>
      <c r="E239" s="7" t="inlineStr">
        <is>
          <t>Clinical Data Associator</t>
        </is>
      </c>
      <c r="F239" s="8" t="n">
        <v>46722</v>
      </c>
      <c r="G239" s="8" t="n">
        <v>47694</v>
      </c>
      <c r="H239" s="7" t="n">
        <v>0.11</v>
      </c>
      <c r="I239" s="7" t="n"/>
      <c r="J239" s="7" t="n"/>
      <c r="K239" s="7" t="n"/>
    </row>
    <row r="240">
      <c r="A240" s="6" t="inlineStr">
        <is>
          <t>ASG-239</t>
        </is>
      </c>
      <c r="B240" s="6" t="inlineStr">
        <is>
          <t>PSN-016</t>
        </is>
      </c>
      <c r="C240" s="7">
        <f>IFERROR(INDEX(Person!$B:$B,MATCH($B240,Person!$A:$A,0)),"")</f>
        <v/>
      </c>
      <c r="D240" s="6" t="inlineStr">
        <is>
          <t>PRJ-048</t>
        </is>
      </c>
      <c r="E240" s="7" t="inlineStr">
        <is>
          <t>Clinical Database Programmer</t>
        </is>
      </c>
      <c r="F240" s="8" t="n">
        <v>46722</v>
      </c>
      <c r="G240" s="8" t="n">
        <v>47725</v>
      </c>
      <c r="H240" s="7" t="n">
        <v>0.16</v>
      </c>
      <c r="I240" s="7" t="n"/>
      <c r="J240" s="7" t="n"/>
      <c r="K240" s="7" t="n"/>
    </row>
    <row r="241">
      <c r="A241" s="6" t="inlineStr">
        <is>
          <t>ASG-240</t>
        </is>
      </c>
      <c r="B241" s="6" t="inlineStr">
        <is>
          <t>PSN-019</t>
        </is>
      </c>
      <c r="C241" s="7">
        <f>IFERROR(INDEX(Person!$B:$B,MATCH($B241,Person!$A:$A,0)),"")</f>
        <v/>
      </c>
      <c r="D241" s="6" t="inlineStr">
        <is>
          <t>PRJ-048</t>
        </is>
      </c>
      <c r="E241" s="7" t="inlineStr">
        <is>
          <t>Data Analyst</t>
        </is>
      </c>
      <c r="F241" s="8" t="n">
        <v>46722</v>
      </c>
      <c r="G241" s="8" t="n">
        <v>47725</v>
      </c>
      <c r="H241" s="7" t="n">
        <v>0.14</v>
      </c>
      <c r="I241" s="7" t="n"/>
      <c r="J241" s="7" t="n"/>
      <c r="K241" s="7" t="n"/>
    </row>
    <row r="242">
      <c r="A242" s="6" t="inlineStr">
        <is>
          <t>ASG-241</t>
        </is>
      </c>
      <c r="B242" s="6" t="inlineStr">
        <is>
          <t>PSN-001</t>
        </is>
      </c>
      <c r="C242" s="7">
        <f>IFERROR(INDEX(Person!$B:$B,MATCH($B242,Person!$A:$A,0)),"")</f>
        <v/>
      </c>
      <c r="D242" s="6" t="inlineStr">
        <is>
          <t>PRJ-049</t>
        </is>
      </c>
      <c r="E242" s="7" t="inlineStr">
        <is>
          <t>Project oversight</t>
        </is>
      </c>
      <c r="F242" s="8" t="n">
        <v>46784</v>
      </c>
      <c r="G242" s="8" t="n">
        <v>47391</v>
      </c>
      <c r="H242" s="7" t="n">
        <v>0.12</v>
      </c>
      <c r="I242" s="7" t="n"/>
      <c r="J242" s="7" t="n"/>
      <c r="K242" s="7" t="n"/>
    </row>
    <row r="243">
      <c r="A243" s="6" t="inlineStr">
        <is>
          <t>ASG-242</t>
        </is>
      </c>
      <c r="B243" s="6" t="inlineStr">
        <is>
          <t>PSN-004</t>
        </is>
      </c>
      <c r="C243" s="7">
        <f>IFERROR(INDEX(Person!$B:$B,MATCH($B243,Person!$A:$A,0)),"")</f>
        <v/>
      </c>
      <c r="D243" s="6" t="inlineStr">
        <is>
          <t>PRJ-049</t>
        </is>
      </c>
      <c r="E243" s="7" t="inlineStr">
        <is>
          <t>Lead data manager</t>
        </is>
      </c>
      <c r="F243" s="8" t="n">
        <v>46753</v>
      </c>
      <c r="G243" s="8" t="n">
        <v>47452</v>
      </c>
      <c r="H243" s="7" t="n">
        <v>0.15</v>
      </c>
      <c r="I243" s="7" t="n"/>
      <c r="J243" s="7" t="n"/>
      <c r="K243" s="7" t="n"/>
    </row>
    <row r="244">
      <c r="A244" s="6" t="inlineStr">
        <is>
          <t>ASG-243</t>
        </is>
      </c>
      <c r="B244" s="6" t="inlineStr">
        <is>
          <t>PSN-011</t>
        </is>
      </c>
      <c r="C244" s="7">
        <f>IFERROR(INDEX(Person!$B:$B,MATCH($B244,Person!$A:$A,0)),"")</f>
        <v/>
      </c>
      <c r="D244" s="6" t="inlineStr">
        <is>
          <t>PRJ-049</t>
        </is>
      </c>
      <c r="E244" s="7" t="inlineStr">
        <is>
          <t>Clinical Data Associator</t>
        </is>
      </c>
      <c r="F244" s="8" t="n">
        <v>46784</v>
      </c>
      <c r="G244" s="8" t="n">
        <v>47391</v>
      </c>
      <c r="H244" s="7" t="n">
        <v>0.12</v>
      </c>
      <c r="I244" s="7" t="n"/>
      <c r="J244" s="7" t="n"/>
      <c r="K244" s="7" t="n"/>
    </row>
    <row r="245">
      <c r="A245" s="6" t="inlineStr">
        <is>
          <t>ASG-244</t>
        </is>
      </c>
      <c r="B245" s="6" t="inlineStr">
        <is>
          <t>PSN-013</t>
        </is>
      </c>
      <c r="C245" s="7">
        <f>IFERROR(INDEX(Person!$B:$B,MATCH($B245,Person!$A:$A,0)),"")</f>
        <v/>
      </c>
      <c r="D245" s="6" t="inlineStr">
        <is>
          <t>PRJ-049</t>
        </is>
      </c>
      <c r="E245" s="7" t="inlineStr">
        <is>
          <t>Clinical Database Programmer</t>
        </is>
      </c>
      <c r="F245" s="8" t="n">
        <v>46722</v>
      </c>
      <c r="G245" s="8" t="n">
        <v>47391</v>
      </c>
      <c r="H245" s="7" t="n">
        <v>0.16</v>
      </c>
      <c r="I245" s="7" t="n"/>
      <c r="J245" s="7" t="n"/>
      <c r="K245" s="7" t="n"/>
    </row>
    <row r="246">
      <c r="A246" s="6" t="inlineStr">
        <is>
          <t>ASG-245</t>
        </is>
      </c>
      <c r="B246" s="6" t="inlineStr">
        <is>
          <t>PSN-017</t>
        </is>
      </c>
      <c r="C246" s="7">
        <f>IFERROR(INDEX(Person!$B:$B,MATCH($B246,Person!$A:$A,0)),"")</f>
        <v/>
      </c>
      <c r="D246" s="6" t="inlineStr">
        <is>
          <t>PRJ-049</t>
        </is>
      </c>
      <c r="E246" s="7" t="inlineStr">
        <is>
          <t>Data Analyst</t>
        </is>
      </c>
      <c r="F246" s="8" t="n">
        <v>46722</v>
      </c>
      <c r="G246" s="8" t="n">
        <v>47391</v>
      </c>
      <c r="H246" s="7" t="n">
        <v>0.12</v>
      </c>
      <c r="I246" s="7" t="n"/>
      <c r="J246" s="7" t="n"/>
      <c r="K246" s="7" t="n"/>
    </row>
    <row r="247">
      <c r="A247" s="6" t="inlineStr">
        <is>
          <t>ASG-246</t>
        </is>
      </c>
      <c r="B247" s="6" t="inlineStr">
        <is>
          <t>PSN-002</t>
        </is>
      </c>
      <c r="C247" s="7">
        <f>IFERROR(INDEX(Person!$B:$B,MATCH($B247,Person!$A:$A,0)),"")</f>
        <v/>
      </c>
      <c r="D247" s="6" t="inlineStr">
        <is>
          <t>PRJ-050</t>
        </is>
      </c>
      <c r="E247" s="7" t="inlineStr">
        <is>
          <t>Project oversight</t>
        </is>
      </c>
      <c r="F247" s="8" t="n">
        <v>45778</v>
      </c>
      <c r="G247" s="8" t="n">
        <v>46599</v>
      </c>
      <c r="H247" s="7" t="n">
        <v>0.15</v>
      </c>
      <c r="I247" s="7" t="n"/>
      <c r="J247" s="7" t="n"/>
      <c r="K247" s="7" t="n"/>
    </row>
    <row r="248">
      <c r="A248" s="6" t="inlineStr">
        <is>
          <t>ASG-247</t>
        </is>
      </c>
      <c r="B248" s="6" t="inlineStr">
        <is>
          <t>PSN-005</t>
        </is>
      </c>
      <c r="C248" s="7">
        <f>IFERROR(INDEX(Person!$B:$B,MATCH($B248,Person!$A:$A,0)),"")</f>
        <v/>
      </c>
      <c r="D248" s="6" t="inlineStr">
        <is>
          <t>PRJ-050</t>
        </is>
      </c>
      <c r="E248" s="7" t="inlineStr">
        <is>
          <t>Lead data manager</t>
        </is>
      </c>
      <c r="F248" s="8" t="n">
        <v>45748</v>
      </c>
      <c r="G248" s="8" t="n">
        <v>46568</v>
      </c>
      <c r="H248" s="7" t="n">
        <v>0.15</v>
      </c>
      <c r="I248" s="7" t="n"/>
      <c r="J248" s="7" t="n"/>
      <c r="K248" s="7" t="n"/>
    </row>
    <row r="249">
      <c r="A249" s="6" t="inlineStr">
        <is>
          <t>ASG-248</t>
        </is>
      </c>
      <c r="B249" s="6" t="inlineStr">
        <is>
          <t>PSN-012</t>
        </is>
      </c>
      <c r="C249" s="7">
        <f>IFERROR(INDEX(Person!$B:$B,MATCH($B249,Person!$A:$A,0)),"")</f>
        <v/>
      </c>
      <c r="D249" s="6" t="inlineStr">
        <is>
          <t>PRJ-050</t>
        </is>
      </c>
      <c r="E249" s="7" t="inlineStr">
        <is>
          <t>Clinical Data Associator</t>
        </is>
      </c>
      <c r="F249" s="8" t="n">
        <v>45778</v>
      </c>
      <c r="G249" s="8" t="n">
        <v>46599</v>
      </c>
      <c r="H249" s="7" t="n">
        <v>0.17</v>
      </c>
      <c r="I249" s="7" t="n"/>
      <c r="J249" s="7" t="n"/>
      <c r="K249" s="7" t="n"/>
    </row>
    <row r="250">
      <c r="A250" s="6" t="inlineStr">
        <is>
          <t>ASG-249</t>
        </is>
      </c>
      <c r="B250" s="6" t="inlineStr">
        <is>
          <t>PSN-014</t>
        </is>
      </c>
      <c r="C250" s="7">
        <f>IFERROR(INDEX(Person!$B:$B,MATCH($B250,Person!$A:$A,0)),"")</f>
        <v/>
      </c>
      <c r="D250" s="6" t="inlineStr">
        <is>
          <t>PRJ-050</t>
        </is>
      </c>
      <c r="E250" s="7" t="inlineStr">
        <is>
          <t>Clinical Database Programmer</t>
        </is>
      </c>
      <c r="F250" s="8" t="n">
        <v>45778</v>
      </c>
      <c r="G250" s="8" t="n">
        <v>46568</v>
      </c>
      <c r="H250" s="7" t="n">
        <v>0.11</v>
      </c>
      <c r="I250" s="7" t="n"/>
      <c r="J250" s="7" t="n"/>
      <c r="K250" s="7" t="n"/>
    </row>
    <row r="251">
      <c r="A251" s="6" t="inlineStr">
        <is>
          <t>ASG-250</t>
        </is>
      </c>
      <c r="B251" s="6" t="inlineStr">
        <is>
          <t>PSN-018</t>
        </is>
      </c>
      <c r="C251" s="7">
        <f>IFERROR(INDEX(Person!$B:$B,MATCH($B251,Person!$A:$A,0)),"")</f>
        <v/>
      </c>
      <c r="D251" s="6" t="inlineStr">
        <is>
          <t>PRJ-050</t>
        </is>
      </c>
      <c r="E251" s="7" t="inlineStr">
        <is>
          <t>Data Analyst</t>
        </is>
      </c>
      <c r="F251" s="8" t="n">
        <v>45778</v>
      </c>
      <c r="G251" s="8" t="n">
        <v>46568</v>
      </c>
      <c r="H251" s="7" t="n">
        <v>0.15</v>
      </c>
      <c r="I251" s="7" t="n"/>
      <c r="J251" s="7" t="n"/>
      <c r="K251" s="7" t="n"/>
    </row>
    <row r="252">
      <c r="A252" s="6" t="inlineStr">
        <is>
          <t>ASG-251</t>
        </is>
      </c>
      <c r="B252" s="6" t="inlineStr">
        <is>
          <t>PSN-001</t>
        </is>
      </c>
      <c r="C252" s="7">
        <f>IFERROR(INDEX(Person!$B:$B,MATCH($B252,Person!$A:$A,0)),"")</f>
        <v/>
      </c>
      <c r="D252" s="6" t="inlineStr">
        <is>
          <t>PRJ-051</t>
        </is>
      </c>
      <c r="E252" s="7" t="inlineStr">
        <is>
          <t>Project lead</t>
        </is>
      </c>
      <c r="F252" s="8" t="n">
        <v>46692</v>
      </c>
      <c r="G252" s="8" t="n">
        <v>47207</v>
      </c>
      <c r="H252" s="7" t="n">
        <v>0.21</v>
      </c>
      <c r="I252" s="7" t="n"/>
      <c r="J252" s="7" t="n"/>
      <c r="K252" s="7" t="n"/>
    </row>
    <row r="253">
      <c r="A253" s="6" t="inlineStr">
        <is>
          <t>ASG-252</t>
        </is>
      </c>
      <c r="B253" s="6" t="inlineStr">
        <is>
          <t>PSN-008</t>
        </is>
      </c>
      <c r="C253" s="7">
        <f>IFERROR(INDEX(Person!$B:$B,MATCH($B253,Person!$A:$A,0)),"")</f>
        <v/>
      </c>
      <c r="D253" s="6" t="inlineStr">
        <is>
          <t>PRJ-051</t>
        </is>
      </c>
      <c r="E253" s="7" t="inlineStr">
        <is>
          <t>Main staff</t>
        </is>
      </c>
      <c r="F253" s="8" t="n">
        <v>46753</v>
      </c>
      <c r="G253" s="8" t="n">
        <v>47207</v>
      </c>
      <c r="H253" s="7" t="n">
        <v>0.12</v>
      </c>
      <c r="I253" s="7" t="n"/>
      <c r="J253" s="7" t="n"/>
      <c r="K253" s="7" t="n"/>
    </row>
    <row r="254">
      <c r="A254" s="6" t="inlineStr">
        <is>
          <t>ASG-253</t>
        </is>
      </c>
      <c r="B254" s="6" t="inlineStr">
        <is>
          <t>PSN-011</t>
        </is>
      </c>
      <c r="C254" s="7">
        <f>IFERROR(INDEX(Person!$B:$B,MATCH($B254,Person!$A:$A,0)),"")</f>
        <v/>
      </c>
      <c r="D254" s="6" t="inlineStr">
        <is>
          <t>PRJ-051</t>
        </is>
      </c>
      <c r="E254" s="7" t="inlineStr">
        <is>
          <t>Other staff</t>
        </is>
      </c>
      <c r="F254" s="8" t="n">
        <v>46722</v>
      </c>
      <c r="G254" s="8" t="n">
        <v>47177</v>
      </c>
      <c r="H254" s="7" t="n">
        <v>0.13</v>
      </c>
      <c r="I254" s="7" t="n"/>
      <c r="J254" s="7" t="n"/>
      <c r="K254" s="7" t="n"/>
    </row>
    <row r="255">
      <c r="A255" s="6" t="inlineStr">
        <is>
          <t>ASG-254</t>
        </is>
      </c>
      <c r="B255" s="6" t="inlineStr">
        <is>
          <t>PSN-004</t>
        </is>
      </c>
      <c r="C255" s="7">
        <f>IFERROR(INDEX(Person!$B:$B,MATCH($B255,Person!$A:$A,0)),"")</f>
        <v/>
      </c>
      <c r="D255" s="6" t="inlineStr">
        <is>
          <t>PRJ-052</t>
        </is>
      </c>
      <c r="E255" s="7" t="inlineStr">
        <is>
          <t>Project lead</t>
        </is>
      </c>
      <c r="F255" s="8" t="n">
        <v>46722</v>
      </c>
      <c r="G255" s="8" t="n">
        <v>46934</v>
      </c>
      <c r="H255" s="7" t="n">
        <v>0.16</v>
      </c>
      <c r="I255" s="7" t="n"/>
      <c r="J255" s="7" t="n"/>
      <c r="K255" s="7" t="n"/>
    </row>
    <row r="256">
      <c r="A256" s="6" t="inlineStr">
        <is>
          <t>ASG-255</t>
        </is>
      </c>
      <c r="B256" s="6" t="inlineStr">
        <is>
          <t>PSN-013</t>
        </is>
      </c>
      <c r="C256" s="7">
        <f>IFERROR(INDEX(Person!$B:$B,MATCH($B256,Person!$A:$A,0)),"")</f>
        <v/>
      </c>
      <c r="D256" s="6" t="inlineStr">
        <is>
          <t>PRJ-052</t>
        </is>
      </c>
      <c r="E256" s="7" t="inlineStr">
        <is>
          <t>Main staff</t>
        </is>
      </c>
      <c r="F256" s="8" t="n">
        <v>46722</v>
      </c>
      <c r="G256" s="8" t="n">
        <v>46996</v>
      </c>
      <c r="H256" s="7" t="n">
        <v>0.14</v>
      </c>
      <c r="I256" s="7" t="n"/>
      <c r="J256" s="7" t="n"/>
      <c r="K256" s="7" t="n"/>
    </row>
    <row r="257">
      <c r="A257" s="6" t="inlineStr">
        <is>
          <t>ASG-256</t>
        </is>
      </c>
      <c r="B257" s="6" t="inlineStr">
        <is>
          <t>PSN-016</t>
        </is>
      </c>
      <c r="C257" s="7">
        <f>IFERROR(INDEX(Person!$B:$B,MATCH($B257,Person!$A:$A,0)),"")</f>
        <v/>
      </c>
      <c r="D257" s="6" t="inlineStr">
        <is>
          <t>PRJ-052</t>
        </is>
      </c>
      <c r="E257" s="7" t="inlineStr">
        <is>
          <t>Other staff</t>
        </is>
      </c>
      <c r="F257" s="8" t="n">
        <v>46753</v>
      </c>
      <c r="G257" s="8" t="n">
        <v>46934</v>
      </c>
      <c r="H257" s="7" t="n">
        <v>0.15</v>
      </c>
      <c r="I257" s="7" t="n"/>
      <c r="J257" s="7" t="n"/>
      <c r="K257" s="7" t="n"/>
    </row>
    <row r="258">
      <c r="A258" s="6" t="inlineStr">
        <is>
          <t>ASG-257</t>
        </is>
      </c>
      <c r="B258" s="6" t="inlineStr">
        <is>
          <t>PSN-001</t>
        </is>
      </c>
      <c r="C258" s="7">
        <f>IFERROR(INDEX(Person!$B:$B,MATCH($B258,Person!$A:$A,0)),"")</f>
        <v/>
      </c>
      <c r="D258" s="6" t="inlineStr">
        <is>
          <t>PRJ-053</t>
        </is>
      </c>
      <c r="E258" s="7" t="inlineStr">
        <is>
          <t>Project lead</t>
        </is>
      </c>
      <c r="F258" s="8" t="n">
        <v>46447</v>
      </c>
      <c r="G258" s="8" t="n">
        <v>46752</v>
      </c>
      <c r="H258" s="7" t="n">
        <v>0.2</v>
      </c>
      <c r="I258" s="7" t="n"/>
      <c r="J258" s="7" t="n"/>
      <c r="K258" s="7" t="n"/>
    </row>
    <row r="259">
      <c r="A259" s="6" t="inlineStr">
        <is>
          <t>ASG-258</t>
        </is>
      </c>
      <c r="B259" s="6" t="inlineStr">
        <is>
          <t>PSN-017</t>
        </is>
      </c>
      <c r="C259" s="7">
        <f>IFERROR(INDEX(Person!$B:$B,MATCH($B259,Person!$A:$A,0)),"")</f>
        <v/>
      </c>
      <c r="D259" s="6" t="inlineStr">
        <is>
          <t>PRJ-053</t>
        </is>
      </c>
      <c r="E259" s="7" t="inlineStr">
        <is>
          <t>Main staff</t>
        </is>
      </c>
      <c r="F259" s="8" t="n">
        <v>46447</v>
      </c>
      <c r="G259" s="8" t="n">
        <v>46752</v>
      </c>
      <c r="H259" s="7" t="n">
        <v>0.12</v>
      </c>
      <c r="I259" s="7" t="n"/>
      <c r="J259" s="7" t="n"/>
      <c r="K259" s="7" t="n"/>
    </row>
    <row r="260">
      <c r="A260" s="6" t="inlineStr">
        <is>
          <t>ASG-259</t>
        </is>
      </c>
      <c r="B260" s="6" t="inlineStr">
        <is>
          <t>PSN-011</t>
        </is>
      </c>
      <c r="C260" s="7">
        <f>IFERROR(INDEX(Person!$B:$B,MATCH($B260,Person!$A:$A,0)),"")</f>
        <v/>
      </c>
      <c r="D260" s="6" t="inlineStr">
        <is>
          <t>PRJ-053</t>
        </is>
      </c>
      <c r="E260" s="7" t="inlineStr">
        <is>
          <t>Other staff</t>
        </is>
      </c>
      <c r="F260" s="8" t="n">
        <v>46419</v>
      </c>
      <c r="G260" s="8" t="n">
        <v>46721</v>
      </c>
      <c r="H260" s="7" t="n">
        <v>0.17</v>
      </c>
      <c r="I260" s="7" t="n"/>
      <c r="J260" s="7" t="n"/>
      <c r="K260" s="7" t="n"/>
    </row>
    <row r="261">
      <c r="A261" s="6" t="inlineStr">
        <is>
          <t>ASG-260</t>
        </is>
      </c>
      <c r="B261" s="6" t="inlineStr">
        <is>
          <t>PSN-004</t>
        </is>
      </c>
      <c r="C261" s="7">
        <f>IFERROR(INDEX(Person!$B:$B,MATCH($B261,Person!$A:$A,0)),"")</f>
        <v/>
      </c>
      <c r="D261" s="6" t="inlineStr">
        <is>
          <t>PRJ-054</t>
        </is>
      </c>
      <c r="E261" s="7" t="inlineStr">
        <is>
          <t>Project lead</t>
        </is>
      </c>
      <c r="F261" s="8" t="n">
        <v>46478</v>
      </c>
      <c r="G261" s="8" t="n">
        <v>46964</v>
      </c>
      <c r="H261" s="7" t="n">
        <v>0.19</v>
      </c>
      <c r="I261" s="7" t="n"/>
      <c r="J261" s="7" t="n"/>
      <c r="K261" s="7" t="n"/>
    </row>
    <row r="262">
      <c r="A262" s="6" t="inlineStr">
        <is>
          <t>ASG-261</t>
        </is>
      </c>
      <c r="B262" s="6" t="inlineStr">
        <is>
          <t>PSN-008</t>
        </is>
      </c>
      <c r="C262" s="7">
        <f>IFERROR(INDEX(Person!$B:$B,MATCH($B262,Person!$A:$A,0)),"")</f>
        <v/>
      </c>
      <c r="D262" s="6" t="inlineStr">
        <is>
          <t>PRJ-054</t>
        </is>
      </c>
      <c r="E262" s="7" t="inlineStr">
        <is>
          <t>Main staff</t>
        </is>
      </c>
      <c r="F262" s="8" t="n">
        <v>46539</v>
      </c>
      <c r="G262" s="8" t="n">
        <v>46964</v>
      </c>
      <c r="H262" s="7" t="n">
        <v>0.16</v>
      </c>
      <c r="I262" s="7" t="n"/>
      <c r="J262" s="7" t="n"/>
      <c r="K262" s="7" t="n"/>
    </row>
    <row r="263">
      <c r="A263" s="6" t="inlineStr">
        <is>
          <t>ASG-262</t>
        </is>
      </c>
      <c r="B263" s="6" t="inlineStr">
        <is>
          <t>PSN-016</t>
        </is>
      </c>
      <c r="C263" s="7">
        <f>IFERROR(INDEX(Person!$B:$B,MATCH($B263,Person!$A:$A,0)),"")</f>
        <v/>
      </c>
      <c r="D263" s="6" t="inlineStr">
        <is>
          <t>PRJ-054</t>
        </is>
      </c>
      <c r="E263" s="7" t="inlineStr">
        <is>
          <t>Other staff</t>
        </is>
      </c>
      <c r="F263" s="8" t="n">
        <v>46508</v>
      </c>
      <c r="G263" s="8" t="n">
        <v>47026</v>
      </c>
      <c r="H263" s="7" t="n">
        <v>0.12</v>
      </c>
      <c r="I263" s="7" t="n"/>
      <c r="J263" s="7" t="n"/>
      <c r="K263" s="7" t="n"/>
    </row>
    <row r="264">
      <c r="A264" s="6" t="inlineStr">
        <is>
          <t>ASG-263</t>
        </is>
      </c>
      <c r="B264" s="6" t="inlineStr">
        <is>
          <t>PSN-001</t>
        </is>
      </c>
      <c r="C264" s="7">
        <f>IFERROR(INDEX(Person!$B:$B,MATCH($B264,Person!$A:$A,0)),"")</f>
        <v/>
      </c>
      <c r="D264" s="6" t="inlineStr">
        <is>
          <t>PRJ-055</t>
        </is>
      </c>
      <c r="E264" s="7" t="inlineStr">
        <is>
          <t>Project lead</t>
        </is>
      </c>
      <c r="F264" s="8" t="n">
        <v>46569</v>
      </c>
      <c r="G264" s="8" t="n">
        <v>46752</v>
      </c>
      <c r="H264" s="7" t="n">
        <v>0.19</v>
      </c>
      <c r="I264" s="7" t="n"/>
      <c r="J264" s="7" t="n"/>
      <c r="K264" s="7" t="n"/>
    </row>
    <row r="265">
      <c r="A265" s="6" t="inlineStr">
        <is>
          <t>ASG-264</t>
        </is>
      </c>
      <c r="B265" s="6" t="inlineStr">
        <is>
          <t>PSN-013</t>
        </is>
      </c>
      <c r="C265" s="7">
        <f>IFERROR(INDEX(Person!$B:$B,MATCH($B265,Person!$A:$A,0)),"")</f>
        <v/>
      </c>
      <c r="D265" s="6" t="inlineStr">
        <is>
          <t>PRJ-055</t>
        </is>
      </c>
      <c r="E265" s="7" t="inlineStr">
        <is>
          <t>Main staff</t>
        </is>
      </c>
      <c r="F265" s="8" t="n">
        <v>46539</v>
      </c>
      <c r="G265" s="8" t="n">
        <v>46783</v>
      </c>
      <c r="H265" s="7" t="n">
        <v>0.11</v>
      </c>
      <c r="I265" s="7" t="n"/>
      <c r="J265" s="7" t="n"/>
      <c r="K265" s="7" t="n"/>
    </row>
    <row r="266">
      <c r="A266" s="6" t="inlineStr">
        <is>
          <t>ASG-265</t>
        </is>
      </c>
      <c r="B266" s="6" t="inlineStr">
        <is>
          <t>PSN-011</t>
        </is>
      </c>
      <c r="C266" s="7">
        <f>IFERROR(INDEX(Person!$B:$B,MATCH($B266,Person!$A:$A,0)),"")</f>
        <v/>
      </c>
      <c r="D266" s="6" t="inlineStr">
        <is>
          <t>PRJ-055</t>
        </is>
      </c>
      <c r="E266" s="7" t="inlineStr">
        <is>
          <t>Other staff</t>
        </is>
      </c>
      <c r="F266" s="8" t="n">
        <v>46539</v>
      </c>
      <c r="G266" s="8" t="n">
        <v>46752</v>
      </c>
      <c r="H266" s="7" t="n">
        <v>0.12</v>
      </c>
      <c r="I266" s="7" t="n"/>
      <c r="J266" s="7" t="n"/>
      <c r="K266" s="7" t="n"/>
    </row>
    <row r="267">
      <c r="A267" s="6" t="inlineStr">
        <is>
          <t>ASG-266</t>
        </is>
      </c>
      <c r="B267" s="6" t="inlineStr">
        <is>
          <t>PSN-004</t>
        </is>
      </c>
      <c r="C267" s="7">
        <f>IFERROR(INDEX(Person!$B:$B,MATCH($B267,Person!$A:$A,0)),"")</f>
        <v/>
      </c>
      <c r="D267" s="6" t="inlineStr">
        <is>
          <t>PRJ-056</t>
        </is>
      </c>
      <c r="E267" s="7" t="inlineStr">
        <is>
          <t>Project lead</t>
        </is>
      </c>
      <c r="F267" s="8" t="n">
        <v>45962</v>
      </c>
      <c r="G267" s="8" t="n">
        <v>46418</v>
      </c>
      <c r="H267" s="7" t="n">
        <v>0.17</v>
      </c>
      <c r="I267" s="7" t="n"/>
      <c r="J267" s="7" t="n"/>
      <c r="K267" s="7" t="n"/>
    </row>
    <row r="268">
      <c r="A268" s="6" t="inlineStr">
        <is>
          <t>ASG-267</t>
        </is>
      </c>
      <c r="B268" s="6" t="inlineStr">
        <is>
          <t>PSN-017</t>
        </is>
      </c>
      <c r="C268" s="7">
        <f>IFERROR(INDEX(Person!$B:$B,MATCH($B268,Person!$A:$A,0)),"")</f>
        <v/>
      </c>
      <c r="D268" s="6" t="inlineStr">
        <is>
          <t>PRJ-056</t>
        </is>
      </c>
      <c r="E268" s="7" t="inlineStr">
        <is>
          <t>Main staff</t>
        </is>
      </c>
      <c r="F268" s="8" t="n">
        <v>45992</v>
      </c>
      <c r="G268" s="8" t="n">
        <v>46477</v>
      </c>
      <c r="H268" s="7" t="n">
        <v>0.15</v>
      </c>
      <c r="I268" s="7" t="n"/>
      <c r="J268" s="7" t="n"/>
      <c r="K268" s="7" t="n"/>
    </row>
    <row r="269">
      <c r="A269" s="6" t="inlineStr">
        <is>
          <t>ASG-268</t>
        </is>
      </c>
      <c r="B269" s="6" t="inlineStr">
        <is>
          <t>PSN-016</t>
        </is>
      </c>
      <c r="C269" s="7">
        <f>IFERROR(INDEX(Person!$B:$B,MATCH($B269,Person!$A:$A,0)),"")</f>
        <v/>
      </c>
      <c r="D269" s="6" t="inlineStr">
        <is>
          <t>PRJ-056</t>
        </is>
      </c>
      <c r="E269" s="7" t="inlineStr">
        <is>
          <t>Other staff</t>
        </is>
      </c>
      <c r="F269" s="8" t="n">
        <v>45992</v>
      </c>
      <c r="G269" s="8" t="n">
        <v>46418</v>
      </c>
      <c r="H269" s="7" t="n">
        <v>0.15</v>
      </c>
      <c r="I269" s="7" t="n"/>
      <c r="J269" s="7" t="n"/>
      <c r="K269" s="7" t="n"/>
    </row>
    <row r="270">
      <c r="A270" s="6" t="inlineStr">
        <is>
          <t>ASG-269</t>
        </is>
      </c>
      <c r="B270" s="6" t="inlineStr">
        <is>
          <t>PSN-001</t>
        </is>
      </c>
      <c r="C270" s="7">
        <f>IFERROR(INDEX(Person!$B:$B,MATCH($B270,Person!$A:$A,0)),"")</f>
        <v/>
      </c>
      <c r="D270" s="6" t="inlineStr">
        <is>
          <t>PRJ-057</t>
        </is>
      </c>
      <c r="E270" s="7" t="inlineStr">
        <is>
          <t>Project lead</t>
        </is>
      </c>
      <c r="F270" s="8" t="n">
        <v>46784</v>
      </c>
      <c r="G270" s="8" t="n">
        <v>46843</v>
      </c>
      <c r="H270" s="7" t="n">
        <v>0.15</v>
      </c>
      <c r="I270" s="7" t="n"/>
      <c r="J270" s="7" t="n"/>
      <c r="K270" s="7" t="n"/>
    </row>
    <row r="271">
      <c r="A271" s="6" t="inlineStr">
        <is>
          <t>ASG-270</t>
        </is>
      </c>
      <c r="B271" s="6" t="inlineStr">
        <is>
          <t>PSN-008</t>
        </is>
      </c>
      <c r="C271" s="7">
        <f>IFERROR(INDEX(Person!$B:$B,MATCH($B271,Person!$A:$A,0)),"")</f>
        <v/>
      </c>
      <c r="D271" s="6" t="inlineStr">
        <is>
          <t>PRJ-057</t>
        </is>
      </c>
      <c r="E271" s="7" t="inlineStr">
        <is>
          <t>Main staff</t>
        </is>
      </c>
      <c r="F271" s="8" t="n">
        <v>46753</v>
      </c>
      <c r="G271" s="8" t="n">
        <v>46843</v>
      </c>
      <c r="H271" s="7" t="n">
        <v>0.16</v>
      </c>
      <c r="I271" s="7" t="n"/>
      <c r="J271" s="7" t="n"/>
      <c r="K271" s="7" t="n"/>
    </row>
    <row r="272">
      <c r="A272" s="6" t="inlineStr">
        <is>
          <t>ASG-271</t>
        </is>
      </c>
      <c r="B272" s="6" t="inlineStr">
        <is>
          <t>PSN-011</t>
        </is>
      </c>
      <c r="C272" s="7">
        <f>IFERROR(INDEX(Person!$B:$B,MATCH($B272,Person!$A:$A,0)),"")</f>
        <v/>
      </c>
      <c r="D272" s="6" t="inlineStr">
        <is>
          <t>PRJ-057</t>
        </is>
      </c>
      <c r="E272" s="7" t="inlineStr">
        <is>
          <t>Other staff</t>
        </is>
      </c>
      <c r="F272" s="8" t="n">
        <v>46722</v>
      </c>
      <c r="G272" s="8" t="n">
        <v>46873</v>
      </c>
      <c r="H272" s="7" t="n">
        <v>0.14</v>
      </c>
      <c r="I272" s="7" t="n"/>
      <c r="J272" s="7" t="n"/>
      <c r="K272" s="7" t="n"/>
    </row>
    <row r="273">
      <c r="A273" s="6" t="inlineStr">
        <is>
          <t>ASG-272</t>
        </is>
      </c>
      <c r="B273" s="6" t="inlineStr">
        <is>
          <t>PSN-004</t>
        </is>
      </c>
      <c r="C273" s="7">
        <f>IFERROR(INDEX(Person!$B:$B,MATCH($B273,Person!$A:$A,0)),"")</f>
        <v/>
      </c>
      <c r="D273" s="6" t="inlineStr">
        <is>
          <t>PRJ-058</t>
        </is>
      </c>
      <c r="E273" s="7" t="inlineStr">
        <is>
          <t>Project lead</t>
        </is>
      </c>
      <c r="F273" s="8" t="n">
        <v>45901</v>
      </c>
      <c r="G273" s="8" t="n">
        <v>46418</v>
      </c>
      <c r="H273" s="7" t="n">
        <v>0.19</v>
      </c>
      <c r="I273" s="7" t="n"/>
      <c r="J273" s="7" t="n"/>
      <c r="K273" s="7" t="n"/>
    </row>
    <row r="274">
      <c r="A274" s="6" t="inlineStr">
        <is>
          <t>ASG-273</t>
        </is>
      </c>
      <c r="B274" s="6" t="inlineStr">
        <is>
          <t>PSN-013</t>
        </is>
      </c>
      <c r="C274" s="7">
        <f>IFERROR(INDEX(Person!$B:$B,MATCH($B274,Person!$A:$A,0)),"")</f>
        <v/>
      </c>
      <c r="D274" s="6" t="inlineStr">
        <is>
          <t>PRJ-058</t>
        </is>
      </c>
      <c r="E274" s="7" t="inlineStr">
        <is>
          <t>Main staff</t>
        </is>
      </c>
      <c r="F274" s="8" t="n">
        <v>45931</v>
      </c>
      <c r="G274" s="8" t="n">
        <v>46387</v>
      </c>
      <c r="H274" s="7" t="n">
        <v>0.17</v>
      </c>
      <c r="I274" s="7" t="n"/>
      <c r="J274" s="7" t="n"/>
      <c r="K274" s="7" t="n"/>
    </row>
    <row r="275">
      <c r="A275" s="6" t="inlineStr">
        <is>
          <t>ASG-274</t>
        </is>
      </c>
      <c r="B275" s="6" t="inlineStr">
        <is>
          <t>PSN-016</t>
        </is>
      </c>
      <c r="C275" s="7">
        <f>IFERROR(INDEX(Person!$B:$B,MATCH($B275,Person!$A:$A,0)),"")</f>
        <v/>
      </c>
      <c r="D275" s="6" t="inlineStr">
        <is>
          <t>PRJ-058</t>
        </is>
      </c>
      <c r="E275" s="7" t="inlineStr">
        <is>
          <t>Other staff</t>
        </is>
      </c>
      <c r="F275" s="8" t="n">
        <v>45870</v>
      </c>
      <c r="G275" s="8" t="n">
        <v>46418</v>
      </c>
      <c r="H275" s="7" t="n">
        <v>0.16</v>
      </c>
      <c r="I275" s="7" t="n"/>
      <c r="J275" s="7" t="n"/>
      <c r="K275" s="7" t="n"/>
    </row>
    <row r="276">
      <c r="A276" s="6" t="inlineStr">
        <is>
          <t>ASG-275</t>
        </is>
      </c>
      <c r="B276" s="6" t="inlineStr">
        <is>
          <t>PSN-001</t>
        </is>
      </c>
      <c r="C276" s="7">
        <f>IFERROR(INDEX(Person!$B:$B,MATCH($B276,Person!$A:$A,0)),"")</f>
        <v/>
      </c>
      <c r="D276" s="6" t="inlineStr">
        <is>
          <t>PRJ-059</t>
        </is>
      </c>
      <c r="E276" s="7" t="inlineStr">
        <is>
          <t>Project lead</t>
        </is>
      </c>
      <c r="F276" s="8" t="n">
        <v>46784</v>
      </c>
      <c r="G276" s="8" t="n">
        <v>47057</v>
      </c>
      <c r="H276" s="7" t="n">
        <v>0.16</v>
      </c>
      <c r="I276" s="7" t="n"/>
      <c r="J276" s="7" t="n"/>
      <c r="K276" s="7" t="n"/>
    </row>
    <row r="277">
      <c r="A277" s="6" t="inlineStr">
        <is>
          <t>ASG-276</t>
        </is>
      </c>
      <c r="B277" s="6" t="inlineStr">
        <is>
          <t>PSN-017</t>
        </is>
      </c>
      <c r="C277" s="7">
        <f>IFERROR(INDEX(Person!$B:$B,MATCH($B277,Person!$A:$A,0)),"")</f>
        <v/>
      </c>
      <c r="D277" s="6" t="inlineStr">
        <is>
          <t>PRJ-059</t>
        </is>
      </c>
      <c r="E277" s="7" t="inlineStr">
        <is>
          <t>Main staff</t>
        </is>
      </c>
      <c r="F277" s="8" t="n">
        <v>46784</v>
      </c>
      <c r="G277" s="8" t="n">
        <v>47087</v>
      </c>
      <c r="H277" s="7" t="n">
        <v>0.11</v>
      </c>
      <c r="I277" s="7" t="n"/>
      <c r="J277" s="7" t="n"/>
      <c r="K277" s="7" t="n"/>
    </row>
    <row r="278">
      <c r="A278" s="6" t="inlineStr">
        <is>
          <t>ASG-277</t>
        </is>
      </c>
      <c r="B278" s="6" t="inlineStr">
        <is>
          <t>PSN-011</t>
        </is>
      </c>
      <c r="C278" s="7">
        <f>IFERROR(INDEX(Person!$B:$B,MATCH($B278,Person!$A:$A,0)),"")</f>
        <v/>
      </c>
      <c r="D278" s="6" t="inlineStr">
        <is>
          <t>PRJ-059</t>
        </is>
      </c>
      <c r="E278" s="7" t="inlineStr">
        <is>
          <t>Other staff</t>
        </is>
      </c>
      <c r="F278" s="8" t="n">
        <v>46784</v>
      </c>
      <c r="G278" s="8" t="n">
        <v>47057</v>
      </c>
      <c r="H278" s="7" t="n">
        <v>0.12</v>
      </c>
      <c r="I278" s="7" t="n"/>
      <c r="J278" s="7" t="n"/>
      <c r="K278" s="7" t="n"/>
    </row>
    <row r="279">
      <c r="A279" s="6" t="inlineStr">
        <is>
          <t>ASG-278</t>
        </is>
      </c>
      <c r="B279" s="6" t="inlineStr">
        <is>
          <t>PSN-004</t>
        </is>
      </c>
      <c r="C279" s="7">
        <f>IFERROR(INDEX(Person!$B:$B,MATCH($B279,Person!$A:$A,0)),"")</f>
        <v/>
      </c>
      <c r="D279" s="6" t="inlineStr">
        <is>
          <t>PRJ-060</t>
        </is>
      </c>
      <c r="E279" s="7" t="inlineStr">
        <is>
          <t>Project lead</t>
        </is>
      </c>
      <c r="F279" s="8" t="n">
        <v>46935</v>
      </c>
      <c r="G279" s="8" t="n">
        <v>47115</v>
      </c>
      <c r="H279" s="7" t="n">
        <v>0.2</v>
      </c>
      <c r="I279" s="7" t="n"/>
      <c r="J279" s="7" t="n"/>
      <c r="K279" s="7" t="n"/>
    </row>
    <row r="280">
      <c r="A280" s="6" t="inlineStr">
        <is>
          <t>ASG-279</t>
        </is>
      </c>
      <c r="B280" s="6" t="inlineStr">
        <is>
          <t>PSN-008</t>
        </is>
      </c>
      <c r="C280" s="7">
        <f>IFERROR(INDEX(Person!$B:$B,MATCH($B280,Person!$A:$A,0)),"")</f>
        <v/>
      </c>
      <c r="D280" s="6" t="inlineStr">
        <is>
          <t>PRJ-060</t>
        </is>
      </c>
      <c r="E280" s="7" t="inlineStr">
        <is>
          <t>Main staff</t>
        </is>
      </c>
      <c r="F280" s="8" t="n">
        <v>46966</v>
      </c>
      <c r="G280" s="8" t="n">
        <v>47146</v>
      </c>
      <c r="H280" s="7" t="n">
        <v>0.14</v>
      </c>
      <c r="I280" s="7" t="n"/>
      <c r="J280" s="7" t="n"/>
      <c r="K280" s="7" t="n"/>
    </row>
    <row r="281">
      <c r="A281" s="6" t="inlineStr">
        <is>
          <t>ASG-280</t>
        </is>
      </c>
      <c r="B281" s="6" t="inlineStr">
        <is>
          <t>PSN-016</t>
        </is>
      </c>
      <c r="C281" s="7">
        <f>IFERROR(INDEX(Person!$B:$B,MATCH($B281,Person!$A:$A,0)),"")</f>
        <v/>
      </c>
      <c r="D281" s="6" t="inlineStr">
        <is>
          <t>PRJ-060</t>
        </is>
      </c>
      <c r="E281" s="7" t="inlineStr">
        <is>
          <t>Other staff</t>
        </is>
      </c>
      <c r="F281" s="8" t="n">
        <v>46966</v>
      </c>
      <c r="G281" s="8" t="n">
        <v>47115</v>
      </c>
      <c r="H281" s="7" t="n">
        <v>0.12</v>
      </c>
      <c r="I281" s="7" t="n"/>
      <c r="J281" s="7" t="n"/>
      <c r="K281" s="7" t="n"/>
    </row>
    <row r="282">
      <c r="A282" s="6" t="inlineStr">
        <is>
          <t>ASG-281</t>
        </is>
      </c>
      <c r="B282" s="6" t="inlineStr">
        <is>
          <t>PSN-001</t>
        </is>
      </c>
      <c r="C282" s="7">
        <f>IFERROR(INDEX(Person!$B:$B,MATCH($B282,Person!$A:$A,0)),"")</f>
        <v/>
      </c>
      <c r="D282" s="6" t="inlineStr">
        <is>
          <t>PRJ-061</t>
        </is>
      </c>
      <c r="E282" s="7" t="inlineStr">
        <is>
          <t>Project lead</t>
        </is>
      </c>
      <c r="F282" s="8" t="n">
        <v>46235</v>
      </c>
      <c r="G282" s="8" t="n">
        <v>46752</v>
      </c>
      <c r="H282" s="7" t="n">
        <v>0.2</v>
      </c>
      <c r="I282" s="7" t="n"/>
      <c r="J282" s="7" t="n"/>
      <c r="K282" s="7" t="n"/>
    </row>
    <row r="283">
      <c r="A283" s="6" t="inlineStr">
        <is>
          <t>ASG-282</t>
        </is>
      </c>
      <c r="B283" s="6" t="inlineStr">
        <is>
          <t>PSN-013</t>
        </is>
      </c>
      <c r="C283" s="7">
        <f>IFERROR(INDEX(Person!$B:$B,MATCH($B283,Person!$A:$A,0)),"")</f>
        <v/>
      </c>
      <c r="D283" s="6" t="inlineStr">
        <is>
          <t>PRJ-061</t>
        </is>
      </c>
      <c r="E283" s="7" t="inlineStr">
        <is>
          <t>Main staff</t>
        </is>
      </c>
      <c r="F283" s="8" t="n">
        <v>46204</v>
      </c>
      <c r="G283" s="8" t="n">
        <v>46691</v>
      </c>
      <c r="H283" s="7" t="n">
        <v>0.12</v>
      </c>
      <c r="I283" s="7" t="n"/>
      <c r="J283" s="7" t="n"/>
      <c r="K283" s="7" t="n"/>
    </row>
    <row r="284">
      <c r="A284" s="6" t="inlineStr">
        <is>
          <t>ASG-283</t>
        </is>
      </c>
      <c r="B284" s="6" t="inlineStr">
        <is>
          <t>PSN-011</t>
        </is>
      </c>
      <c r="C284" s="7">
        <f>IFERROR(INDEX(Person!$B:$B,MATCH($B284,Person!$A:$A,0)),"")</f>
        <v/>
      </c>
      <c r="D284" s="6" t="inlineStr">
        <is>
          <t>PRJ-061</t>
        </is>
      </c>
      <c r="E284" s="7" t="inlineStr">
        <is>
          <t>Other staff</t>
        </is>
      </c>
      <c r="F284" s="8" t="n">
        <v>46266</v>
      </c>
      <c r="G284" s="8" t="n">
        <v>46752</v>
      </c>
      <c r="H284" s="7" t="n">
        <v>0.16</v>
      </c>
      <c r="I284" s="7" t="n"/>
      <c r="J284" s="7" t="n"/>
      <c r="K284" s="7" t="n"/>
    </row>
    <row r="285">
      <c r="A285" s="6" t="inlineStr">
        <is>
          <t>ASG-284</t>
        </is>
      </c>
      <c r="B285" s="6" t="inlineStr">
        <is>
          <t>PSN-004</t>
        </is>
      </c>
      <c r="C285" s="7">
        <f>IFERROR(INDEX(Person!$B:$B,MATCH($B285,Person!$A:$A,0)),"")</f>
        <v/>
      </c>
      <c r="D285" s="6" t="inlineStr">
        <is>
          <t>PRJ-062</t>
        </is>
      </c>
      <c r="E285" s="7" t="inlineStr">
        <is>
          <t>Project lead</t>
        </is>
      </c>
      <c r="F285" s="8" t="n">
        <v>46419</v>
      </c>
      <c r="G285" s="8" t="n">
        <v>46934</v>
      </c>
      <c r="H285" s="7" t="n">
        <v>0.16</v>
      </c>
      <c r="I285" s="7" t="n"/>
      <c r="J285" s="7" t="n"/>
      <c r="K285" s="7" t="n"/>
    </row>
    <row r="286">
      <c r="A286" s="6" t="inlineStr">
        <is>
          <t>ASG-285</t>
        </is>
      </c>
      <c r="B286" s="6" t="inlineStr">
        <is>
          <t>PSN-017</t>
        </is>
      </c>
      <c r="C286" s="7">
        <f>IFERROR(INDEX(Person!$B:$B,MATCH($B286,Person!$A:$A,0)),"")</f>
        <v/>
      </c>
      <c r="D286" s="6" t="inlineStr">
        <is>
          <t>PRJ-062</t>
        </is>
      </c>
      <c r="E286" s="7" t="inlineStr">
        <is>
          <t>Main staff</t>
        </is>
      </c>
      <c r="F286" s="8" t="n">
        <v>46447</v>
      </c>
      <c r="G286" s="8" t="n">
        <v>46965</v>
      </c>
      <c r="H286" s="7" t="n">
        <v>0.13</v>
      </c>
      <c r="I286" s="7" t="n"/>
      <c r="J286" s="7" t="n"/>
      <c r="K286" s="7" t="n"/>
    </row>
    <row r="287">
      <c r="A287" s="6" t="inlineStr">
        <is>
          <t>ASG-286</t>
        </is>
      </c>
      <c r="B287" s="6" t="inlineStr">
        <is>
          <t>PSN-016</t>
        </is>
      </c>
      <c r="C287" s="7">
        <f>IFERROR(INDEX(Person!$B:$B,MATCH($B287,Person!$A:$A,0)),"")</f>
        <v/>
      </c>
      <c r="D287" s="6" t="inlineStr">
        <is>
          <t>PRJ-062</t>
        </is>
      </c>
      <c r="E287" s="7" t="inlineStr">
        <is>
          <t>Other staff</t>
        </is>
      </c>
      <c r="F287" s="8" t="n">
        <v>46478</v>
      </c>
      <c r="G287" s="8" t="n">
        <v>46934</v>
      </c>
      <c r="H287" s="7" t="n">
        <v>0.15</v>
      </c>
      <c r="I287" s="7" t="n"/>
      <c r="J287" s="7" t="n"/>
      <c r="K287" s="7" t="n"/>
    </row>
    <row r="288">
      <c r="A288" s="6" t="inlineStr">
        <is>
          <t>ASG-901</t>
        </is>
      </c>
      <c r="B288" s="6" t="inlineStr">
        <is>
          <t>PSN-020</t>
        </is>
      </c>
      <c r="C288" s="7">
        <f>IFERROR(INDEX(Person!$B:$B,MATCH($B288,Person!$A:$A,0)),"")</f>
        <v/>
      </c>
      <c r="D288" s="6" t="inlineStr">
        <is>
          <t>PRJ-051</t>
        </is>
      </c>
      <c r="E288" s="7" t="inlineStr">
        <is>
          <t>Other staff</t>
        </is>
      </c>
      <c r="F288" s="8" t="n">
        <v>46023</v>
      </c>
      <c r="G288" s="8" t="n">
        <v>46568</v>
      </c>
      <c r="H288" s="7" t="n">
        <v>0.18</v>
      </c>
      <c r="I288" s="7" t="n"/>
      <c r="J288" s="7" t="n"/>
      <c r="K288" s="7" t="n"/>
    </row>
    <row r="289">
      <c r="A289" s="6" t="inlineStr">
        <is>
          <t>ASG-902</t>
        </is>
      </c>
      <c r="B289" s="6" t="inlineStr">
        <is>
          <t>PSN-001</t>
        </is>
      </c>
      <c r="C289" s="7">
        <f>IFERROR(INDEX(Person!$B:$B,MATCH($B289,Person!$A:$A,0)),"")</f>
        <v/>
      </c>
      <c r="D289" s="6" t="inlineStr">
        <is>
          <t>PRJ-002</t>
        </is>
      </c>
      <c r="E289" s="7" t="inlineStr">
        <is>
          <t>Project oversight</t>
        </is>
      </c>
      <c r="F289" s="8" t="n">
        <v>46113</v>
      </c>
      <c r="G289" s="8" t="n">
        <v>46477</v>
      </c>
      <c r="H289" s="7" t="n">
        <v>0.35</v>
      </c>
      <c r="I289" s="7" t="n"/>
      <c r="J289" s="7" t="n"/>
      <c r="K289" s="7" t="n"/>
    </row>
    <row r="290">
      <c r="A290" s="6" t="inlineStr">
        <is>
          <t>ASG-903</t>
        </is>
      </c>
      <c r="B290" s="6" t="inlineStr">
        <is>
          <t>PSN-001</t>
        </is>
      </c>
      <c r="C290" s="7">
        <f>IFERROR(INDEX(Person!$B:$B,MATCH($B290,Person!$A:$A,0)),"")</f>
        <v/>
      </c>
      <c r="D290" s="6" t="inlineStr">
        <is>
          <t>PRJ-006</t>
        </is>
      </c>
      <c r="E290" s="7" t="inlineStr">
        <is>
          <t>Project oversight</t>
        </is>
      </c>
      <c r="F290" s="8" t="n">
        <v>46113</v>
      </c>
      <c r="G290" s="8" t="n">
        <v>46477</v>
      </c>
      <c r="H290" s="7" t="n">
        <v>0.35</v>
      </c>
      <c r="I290" s="7" t="n"/>
      <c r="J290" s="7" t="n"/>
      <c r="K290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ASG-902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A3" s="6" t="inlineStr">
        <is>
          <t>ASG-903</t>
        </is>
      </c>
      <c r="B3" s="8" t="n">
        <v>46296</v>
      </c>
      <c r="C3" s="8" t="n">
        <v>46387</v>
      </c>
      <c r="D3" s="7" t="n">
        <v>0.45</v>
      </c>
      <c r="E3" s="7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6" t="inlineStr">
        <is>
          <t>project_type</t>
        </is>
      </c>
      <c r="B2" s="7" t="inlineStr">
        <is>
          <t>NewDrug CT</t>
        </is>
      </c>
      <c r="C2" s="7" t="n"/>
    </row>
    <row r="3">
      <c r="A3" s="6" t="inlineStr">
        <is>
          <t>project_type</t>
        </is>
      </c>
      <c r="B3" s="7" t="inlineStr">
        <is>
          <t>Biosimilar CT</t>
        </is>
      </c>
      <c r="C3" s="7" t="n"/>
    </row>
    <row r="4">
      <c r="A4" s="6" t="inlineStr">
        <is>
          <t>project_type</t>
        </is>
      </c>
      <c r="B4" s="7" t="inlineStr">
        <is>
          <t>Others</t>
        </is>
      </c>
      <c r="C4" s="7" t="n"/>
    </row>
    <row r="5">
      <c r="A5" s="6" t="inlineStr">
        <is>
          <t>clinical_phase</t>
        </is>
      </c>
      <c r="B5" s="7" t="inlineStr">
        <is>
          <t>Phase 1</t>
        </is>
      </c>
      <c r="C5" s="7" t="n"/>
    </row>
    <row r="6">
      <c r="A6" s="6" t="inlineStr">
        <is>
          <t>clinical_phase</t>
        </is>
      </c>
      <c r="B6" s="7" t="inlineStr">
        <is>
          <t>Phase 2</t>
        </is>
      </c>
      <c r="C6" s="7" t="n"/>
    </row>
    <row r="7">
      <c r="A7" s="6" t="inlineStr">
        <is>
          <t>clinical_phase</t>
        </is>
      </c>
      <c r="B7" s="7" t="inlineStr">
        <is>
          <t>Phase 3</t>
        </is>
      </c>
      <c r="C7" s="7" t="n"/>
    </row>
    <row r="8">
      <c r="A8" s="6" t="inlineStr">
        <is>
          <t>clinical_phase</t>
        </is>
      </c>
      <c r="B8" s="7" t="inlineStr">
        <is>
          <t>Phase 4</t>
        </is>
      </c>
      <c r="C8" s="7" t="n"/>
    </row>
    <row r="9">
      <c r="A9" s="6" t="inlineStr">
        <is>
          <t>outsourcing_type</t>
        </is>
      </c>
      <c r="B9" s="7" t="inlineStr">
        <is>
          <t>Full outsourcing</t>
        </is>
      </c>
      <c r="C9" s="7" t="n"/>
    </row>
    <row r="10">
      <c r="A10" s="6" t="inlineStr">
        <is>
          <t>outsourcing_type</t>
        </is>
      </c>
      <c r="B10" s="7" t="inlineStr">
        <is>
          <t>Partial outsourcing</t>
        </is>
      </c>
      <c r="C10" s="7" t="n"/>
    </row>
    <row r="11">
      <c r="A11" s="6" t="inlineStr">
        <is>
          <t>outsourcing_type</t>
        </is>
      </c>
      <c r="B11" s="7" t="inlineStr">
        <is>
          <t>Full In-house</t>
        </is>
      </c>
      <c r="C11" s="7" t="n"/>
    </row>
    <row r="12">
      <c r="A12" s="6" t="inlineStr">
        <is>
          <t>setup_party</t>
        </is>
      </c>
      <c r="B12" s="7" t="inlineStr">
        <is>
          <t>by CRO</t>
        </is>
      </c>
      <c r="C12" s="7" t="n"/>
    </row>
    <row r="13">
      <c r="A13" s="6" t="inlineStr">
        <is>
          <t>setup_party</t>
        </is>
      </c>
      <c r="B13" s="7" t="inlineStr">
        <is>
          <t>by SB</t>
        </is>
      </c>
      <c r="C13" s="7" t="n"/>
    </row>
    <row r="14">
      <c r="A14" s="6" t="inlineStr">
        <is>
          <t>EDC_system</t>
        </is>
      </c>
      <c r="B14" s="7" t="inlineStr">
        <is>
          <t>Veeva EDC</t>
        </is>
      </c>
      <c r="C14" s="7" t="n"/>
    </row>
    <row r="15">
      <c r="A15" s="6" t="inlineStr">
        <is>
          <t>EDC_system</t>
        </is>
      </c>
      <c r="B15" s="7" t="inlineStr">
        <is>
          <t>Rave</t>
        </is>
      </c>
      <c r="C15" s="7" t="n"/>
    </row>
    <row r="16">
      <c r="A16" s="6" t="inlineStr">
        <is>
          <t>EDC_system</t>
        </is>
      </c>
      <c r="B16" s="7" t="inlineStr">
        <is>
          <t>eSOURCE</t>
        </is>
      </c>
      <c r="C16" s="7" t="n"/>
    </row>
    <row r="17">
      <c r="A17" s="6" t="inlineStr">
        <is>
          <t>DataReviewSystem</t>
        </is>
      </c>
      <c r="B17" s="7" t="inlineStr">
        <is>
          <t>Veeva DQS</t>
        </is>
      </c>
      <c r="C17" s="7" t="n"/>
    </row>
    <row r="18">
      <c r="A18" s="6" t="inlineStr">
        <is>
          <t>DataReviewSystem</t>
        </is>
      </c>
      <c r="B18" s="7" t="inlineStr">
        <is>
          <t>Medidata CDS</t>
        </is>
      </c>
      <c r="C18" s="7" t="n"/>
    </row>
    <row r="19">
      <c r="A19" s="6" t="inlineStr">
        <is>
          <t>DataReviewSystem</t>
        </is>
      </c>
      <c r="B19" s="7" t="inlineStr">
        <is>
          <t>No system (manual)</t>
        </is>
      </c>
      <c r="C19" s="7" t="n"/>
    </row>
    <row r="20">
      <c r="A20" s="6" t="inlineStr">
        <is>
          <t>RBQM_system</t>
        </is>
      </c>
      <c r="B20" s="7" t="inlineStr">
        <is>
          <t>CluePoints</t>
        </is>
      </c>
      <c r="C20" s="7" t="n"/>
    </row>
    <row r="21">
      <c r="A21" s="6" t="inlineStr">
        <is>
          <t>RBQM_system</t>
        </is>
      </c>
      <c r="B21" s="7" t="inlineStr">
        <is>
          <t>Medidata CDS</t>
        </is>
      </c>
      <c r="C21" s="7" t="n"/>
    </row>
    <row r="22">
      <c r="A22" s="6" t="inlineStr">
        <is>
          <t>RBQM_system</t>
        </is>
      </c>
      <c r="B22" s="7" t="inlineStr">
        <is>
          <t>No system (manual)</t>
        </is>
      </c>
      <c r="C22" s="7" t="n"/>
    </row>
    <row r="23">
      <c r="A23" s="6" t="inlineStr">
        <is>
          <t>project_status</t>
        </is>
      </c>
      <c r="B23" s="7" t="inlineStr">
        <is>
          <t>Planned</t>
        </is>
      </c>
      <c r="C23" s="7" t="n"/>
    </row>
    <row r="24">
      <c r="A24" s="6" t="inlineStr">
        <is>
          <t>project_status</t>
        </is>
      </c>
      <c r="B24" s="7" t="inlineStr">
        <is>
          <t>Active</t>
        </is>
      </c>
      <c r="C24" s="7" t="n"/>
    </row>
    <row r="25">
      <c r="A25" s="6" t="inlineStr">
        <is>
          <t>project_status</t>
        </is>
      </c>
      <c r="B25" s="7" t="inlineStr">
        <is>
          <t>On hold</t>
        </is>
      </c>
      <c r="C25" s="7" t="n"/>
    </row>
    <row r="26">
      <c r="A26" s="6" t="inlineStr">
        <is>
          <t>project_status</t>
        </is>
      </c>
      <c r="B26" s="7" t="inlineStr">
        <is>
          <t>Completed</t>
        </is>
      </c>
      <c r="C26" s="7" t="n"/>
    </row>
    <row r="27">
      <c r="A27" s="6" t="inlineStr">
        <is>
          <t>milestone_name</t>
        </is>
      </c>
      <c r="B27" s="7" t="inlineStr">
        <is>
          <t>Protocol (v1)</t>
        </is>
      </c>
      <c r="C27" s="7" t="n"/>
    </row>
    <row r="28">
      <c r="A28" s="6" t="inlineStr">
        <is>
          <t>milestone_name</t>
        </is>
      </c>
      <c r="B28" s="7" t="inlineStr">
        <is>
          <t>CTA submission</t>
        </is>
      </c>
      <c r="C28" s="7" t="n"/>
    </row>
    <row r="29">
      <c r="A29" s="6" t="inlineStr">
        <is>
          <t>milestone_name</t>
        </is>
      </c>
      <c r="B29" s="7" t="inlineStr">
        <is>
          <t>FPI</t>
        </is>
      </c>
      <c r="C29" s="7" t="n"/>
    </row>
    <row r="30">
      <c r="A30" s="6" t="inlineStr">
        <is>
          <t>milestone_name</t>
        </is>
      </c>
      <c r="B30" s="7" t="inlineStr">
        <is>
          <t>First SIV</t>
        </is>
      </c>
      <c r="C30" s="7" t="n"/>
    </row>
    <row r="31">
      <c r="A31" s="6" t="inlineStr">
        <is>
          <t>milestone_name</t>
        </is>
      </c>
      <c r="B31" s="7" t="inlineStr">
        <is>
          <t>LPI</t>
        </is>
      </c>
      <c r="C31" s="7" t="n"/>
    </row>
    <row r="32">
      <c r="A32" s="6" t="inlineStr">
        <is>
          <t>milestone_name</t>
        </is>
      </c>
      <c r="B32" s="7" t="inlineStr">
        <is>
          <t>interim DB lock cut-off</t>
        </is>
      </c>
      <c r="C32" s="7" t="n"/>
    </row>
    <row r="33">
      <c r="A33" s="6" t="inlineStr">
        <is>
          <t>milestone_name</t>
        </is>
      </c>
      <c r="B33" s="7" t="inlineStr">
        <is>
          <t>interim DB lock</t>
        </is>
      </c>
      <c r="C33" s="7" t="n"/>
    </row>
    <row r="34">
      <c r="A34" s="6" t="inlineStr">
        <is>
          <t>milestone_name</t>
        </is>
      </c>
      <c r="B34" s="7" t="inlineStr">
        <is>
          <t>final DB lock cut-off</t>
        </is>
      </c>
      <c r="C34" s="7" t="n"/>
    </row>
    <row r="35">
      <c r="A35" s="6" t="inlineStr">
        <is>
          <t>milestone_name</t>
        </is>
      </c>
      <c r="B35" s="7" t="inlineStr">
        <is>
          <t>final DB lock</t>
        </is>
      </c>
      <c r="C35" s="7" t="n"/>
    </row>
    <row r="36">
      <c r="A36" s="6" t="inlineStr">
        <is>
          <t>milestone_name</t>
        </is>
      </c>
      <c r="B36" s="7" t="inlineStr">
        <is>
          <t>Inspection</t>
        </is>
      </c>
      <c r="C36" s="7" t="n"/>
    </row>
    <row r="37">
      <c r="A37" s="6" t="inlineStr">
        <is>
          <t>period_name_clinical</t>
        </is>
      </c>
      <c r="B37" s="7" t="inlineStr">
        <is>
          <t>Before-Start-up</t>
        </is>
      </c>
      <c r="C37" s="7" t="n"/>
    </row>
    <row r="38">
      <c r="A38" s="6" t="inlineStr">
        <is>
          <t>period_name_clinical</t>
        </is>
      </c>
      <c r="B38" s="7" t="inlineStr">
        <is>
          <t>Start-up</t>
        </is>
      </c>
      <c r="C38" s="7" t="n"/>
    </row>
    <row r="39">
      <c r="A39" s="6" t="inlineStr">
        <is>
          <t>period_name_clinical</t>
        </is>
      </c>
      <c r="B39" s="7" t="inlineStr">
        <is>
          <t>Conduct (interim)</t>
        </is>
      </c>
      <c r="C39" s="7" t="n"/>
    </row>
    <row r="40">
      <c r="A40" s="6" t="inlineStr">
        <is>
          <t>period_name_clinical</t>
        </is>
      </c>
      <c r="B40" s="7" t="inlineStr">
        <is>
          <t>Close-out (interim)</t>
        </is>
      </c>
      <c r="C40" s="7" t="n"/>
    </row>
    <row r="41">
      <c r="A41" s="6" t="inlineStr">
        <is>
          <t>period_name_clinical</t>
        </is>
      </c>
      <c r="B41" s="7" t="inlineStr">
        <is>
          <t>Conduct (final)</t>
        </is>
      </c>
      <c r="C41" s="7" t="n"/>
    </row>
    <row r="42">
      <c r="A42" s="6" t="inlineStr">
        <is>
          <t>period_name_clinical</t>
        </is>
      </c>
      <c r="B42" s="7" t="inlineStr">
        <is>
          <t>Close-out (final)</t>
        </is>
      </c>
      <c r="C42" s="7" t="n"/>
    </row>
    <row r="43">
      <c r="A43" s="6" t="inlineStr">
        <is>
          <t>period_name_clinical</t>
        </is>
      </c>
      <c r="B43" s="7" t="inlineStr">
        <is>
          <t>After Close-out (final)</t>
        </is>
      </c>
      <c r="C43" s="7" t="n"/>
    </row>
    <row r="44">
      <c r="A44" s="6" t="inlineStr">
        <is>
          <t>period_name_others</t>
        </is>
      </c>
      <c r="B44" s="7" t="inlineStr">
        <is>
          <t>Planning</t>
        </is>
      </c>
      <c r="C44" s="7" t="n"/>
    </row>
    <row r="45">
      <c r="A45" s="6" t="inlineStr">
        <is>
          <t>period_name_others</t>
        </is>
      </c>
      <c r="B45" s="7" t="inlineStr">
        <is>
          <t>Develop</t>
        </is>
      </c>
      <c r="C45" s="7" t="n"/>
    </row>
    <row r="46">
      <c r="A46" s="6" t="inlineStr">
        <is>
          <t>period_name_others</t>
        </is>
      </c>
      <c r="B46" s="7" t="inlineStr">
        <is>
          <t>Close</t>
        </is>
      </c>
      <c r="C46" s="7" t="n"/>
    </row>
    <row r="47">
      <c r="A47" s="6" t="inlineStr">
        <is>
          <t>role_clinical</t>
        </is>
      </c>
      <c r="B47" s="7" t="inlineStr">
        <is>
          <t>Project oversight</t>
        </is>
      </c>
      <c r="C47" s="7" t="n"/>
    </row>
    <row r="48">
      <c r="A48" s="6" t="inlineStr">
        <is>
          <t>role_clinical</t>
        </is>
      </c>
      <c r="B48" s="7" t="inlineStr">
        <is>
          <t>Lead data manager</t>
        </is>
      </c>
      <c r="C48" s="7" t="n"/>
    </row>
    <row r="49">
      <c r="A49" s="6" t="inlineStr">
        <is>
          <t>role_clinical</t>
        </is>
      </c>
      <c r="B49" s="7" t="inlineStr">
        <is>
          <t>Clinical Data Associator</t>
        </is>
      </c>
      <c r="C49" s="7" t="n"/>
    </row>
    <row r="50">
      <c r="A50" s="6" t="inlineStr">
        <is>
          <t>role_clinical</t>
        </is>
      </c>
      <c r="B50" s="7" t="inlineStr">
        <is>
          <t>Clinical Database Programmer</t>
        </is>
      </c>
      <c r="C50" s="7" t="n"/>
    </row>
    <row r="51">
      <c r="A51" s="6" t="inlineStr">
        <is>
          <t>role_clinical</t>
        </is>
      </c>
      <c r="B51" s="7" t="inlineStr">
        <is>
          <t>Data Analyst</t>
        </is>
      </c>
      <c r="C51" s="7" t="n"/>
    </row>
    <row r="52">
      <c r="A52" s="6" t="inlineStr">
        <is>
          <t>role_others</t>
        </is>
      </c>
      <c r="B52" s="7" t="inlineStr">
        <is>
          <t>Project lead</t>
        </is>
      </c>
      <c r="C52" s="7" t="n"/>
    </row>
    <row r="53">
      <c r="A53" s="6" t="inlineStr">
        <is>
          <t>role_others</t>
        </is>
      </c>
      <c r="B53" s="7" t="inlineStr">
        <is>
          <t>Main staff</t>
        </is>
      </c>
      <c r="C53" s="7" t="n"/>
    </row>
    <row r="54">
      <c r="A54" s="6" t="inlineStr">
        <is>
          <t>role_others</t>
        </is>
      </c>
      <c r="B54" s="7" t="inlineStr">
        <is>
          <t>Other staff</t>
        </is>
      </c>
      <c r="C54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6" t="inlineStr">
        <is>
          <t>schema_version</t>
        </is>
      </c>
      <c r="B2" s="7" t="n">
        <v>5</v>
      </c>
      <c r="C2" s="7" t="inlineStr">
        <is>
          <t>Structure version of this workbook. The application warns on a mismatch.</t>
        </is>
      </c>
    </row>
    <row r="3">
      <c r="A3" s="6" t="inlineStr">
        <is>
          <t>fte_hours_per_month</t>
        </is>
      </c>
      <c r="B3" s="7" t="n">
        <v>160</v>
      </c>
      <c r="C3" s="7" t="inlineStr">
        <is>
          <t>Hours equal to 1.00 FTE: 8 h/day x 5 days/week x 20 days/month.</t>
        </is>
      </c>
    </row>
    <row r="4">
      <c r="A4" s="6" t="inlineStr">
        <is>
          <t>over_allocation_fte</t>
        </is>
      </c>
      <c r="B4" s="7" t="n">
        <v>1.5</v>
      </c>
      <c r="C4" s="7" t="inlineStr">
        <is>
          <t>A person-month total above this is flagged as over-allocated. Absolute, not scaled by capacity (S2-01).</t>
        </is>
      </c>
    </row>
    <row r="5">
      <c r="A5" s="6" t="inlineStr">
        <is>
          <t>under_allocation_fte</t>
        </is>
      </c>
      <c r="B5" s="7" t="n">
        <v>0.6</v>
      </c>
      <c r="C5" s="7" t="inlineStr">
        <is>
          <t>A person-month total below this counts toward an under-allocated run. Absolute, not scaled by capacity (S2-01).</t>
        </is>
      </c>
    </row>
    <row r="6">
      <c r="A6" s="6" t="inlineStr">
        <is>
          <t>under_allocation_min_months</t>
        </is>
      </c>
      <c r="B6" s="7" t="n">
        <v>3</v>
      </c>
      <c r="C6" s="7" t="inlineStr">
        <is>
          <t>Consecutive months below the threshold before a run is flagged.</t>
        </is>
      </c>
    </row>
    <row r="7">
      <c r="A7" s="6" t="inlineStr">
        <is>
          <t>default_horizon_months</t>
        </is>
      </c>
      <c r="B7" s="7" t="n">
        <v>24</v>
      </c>
      <c r="C7" s="7" t="inlineStr">
        <is>
          <t>Months shown when the dashboard opens.</t>
        </is>
      </c>
    </row>
    <row r="8">
      <c r="A8" s="6" t="inlineStr">
        <is>
          <t>capacity_unit</t>
        </is>
      </c>
      <c r="B8" s="7" t="inlineStr">
        <is>
          <t>FTE</t>
        </is>
      </c>
      <c r="C8" s="7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2026-08-02T04:08:50Z</dcterms:created>
  <dcterms:modified xsi:type="dcterms:W3CDTF">2026-08-02T04:08:51Z</dcterms:modified>
</cp:coreProperties>
</file>