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8.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PeriodWeightStandard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IS IN THIS FILE</t>
        </is>
      </c>
    </row>
    <row r="119">
      <c r="A119" s="4" t="inlineStr">
        <is>
          <t xml:space="preserve">   10 projects   8 clinical trials (PRJ-001..008) + 2 'Others' (PRJ-009..010)</t>
        </is>
      </c>
    </row>
    <row r="120">
      <c r="A120" s="4" t="inlineStr">
        <is>
          <t xml:space="preserve">   10 people     PSN-001..010, including PSN-004 at 0.80, PSN-010 at 0.60 capacity</t>
        </is>
      </c>
    </row>
    <row r="121">
      <c r="A121" s="4" t="inlineStr">
        <is>
          <t xml:space="preserve">   48 assignments, 60 milestones, 50 periods, spanning 50 months (Feb 2025 to Mar 2029)</t>
        </is>
      </c>
    </row>
    <row r="122">
      <c r="A122" s="4" t="inlineStr">
        <is>
          <t xml:space="preserve">   Types: Biosimilar CT (Healthy), Biosimilar CT (Patient), NewDrug CT.  Phases: Phase 1, Phase 2, Phase 3, Phase 4.</t>
        </is>
      </c>
    </row>
    <row r="123">
      <c r="A123" s="2" t="inlineStr"/>
    </row>
    <row r="124">
      <c r="A124" s="3" t="inlineStr">
        <is>
          <t>WHAT IT DEMONSTRATES</t>
        </is>
      </c>
    </row>
    <row r="125">
      <c r="A125" s="4" t="inlineStr">
        <is>
          <t xml:space="preserve">   - 5 of the 8 trials carry an interim DB lock, so each has TWO 'Conduct'</t>
        </is>
      </c>
    </row>
    <row r="126">
      <c r="A126" s="4" t="inlineStr">
        <is>
          <t xml:space="preserve">     stretches and two close-outs. The other 3 run Conduct once.</t>
        </is>
      </c>
    </row>
    <row r="127">
      <c r="A127" s="4" t="inlineStr">
        <is>
          <t xml:space="preserve">   - 2 trials record an 'Inspection' after the final DB lock and so carry the</t>
        </is>
      </c>
    </row>
    <row r="128">
      <c r="A128" s="4" t="inlineStr">
        <is>
          <t xml:space="preserve">     seventh period, 'After Close-out (final)'.</t>
        </is>
      </c>
    </row>
    <row r="129">
      <c r="A129" s="4" t="inlineStr">
        <is>
          <t xml:space="preserve">   - The 2 'Others' projects have hand-entered periods and no milestones.</t>
        </is>
      </c>
    </row>
    <row r="130">
      <c r="A130" s="4" t="inlineStr">
        <is>
          <t xml:space="preserve">   - PSN-001 carries two extra oversight assignments on top of a full round-robin</t>
        </is>
      </c>
    </row>
    <row r="131">
      <c r="A131" s="4" t="inlineStr">
        <is>
          <t xml:space="preserve">     share, and so crosses the 1.50 FTE ceiling at the peaks.</t>
        </is>
      </c>
    </row>
    <row r="132">
      <c r="A132" s="4" t="inlineStr">
        <is>
          <t xml:space="preserve">   - PSN-009 is the busiest by row count, at 8 assignments - every trial, as the only</t>
        </is>
      </c>
    </row>
    <row r="133">
      <c r="A133" s="4" t="inlineStr">
        <is>
          <t xml:space="preserve">     Data Analyst. Their share of each is set lower to match.</t>
        </is>
      </c>
    </row>
    <row r="134">
      <c r="A134" s="4" t="inlineStr">
        <is>
          <t xml:space="preserve">   - PSN-010 is a part-timer carrying 2 light assignments, so an under-allocation</t>
        </is>
      </c>
    </row>
    <row r="135">
      <c r="A135" s="4" t="inlineStr">
        <is>
          <t xml:space="preserve">     run is raised. With the floor at 0.60 they CAN clear it, but only at full utilisation -</t>
        </is>
      </c>
    </row>
    <row r="136">
      <c r="A136" s="4" t="inlineStr">
        <is>
          <t xml:space="preserve">     V-22 warns if anyone is recorded below the floor and so could never clear it.</t>
        </is>
      </c>
    </row>
    <row r="137">
      <c r="A137" s="4" t="inlineStr">
        <is>
          <t xml:space="preserve">   - 2 assignments carry PersonPeriodWeight overrides, one of them with 2 separate</t>
        </is>
      </c>
    </row>
    <row r="138">
      <c r="A138" s="4" t="inlineStr">
        <is>
          <t xml:space="preserve">     windows, which is why that sheet is keyed on assignment_id AND period_start.</t>
        </is>
      </c>
    </row>
    <row r="139">
      <c r="A139" s="4" t="inlineStr">
        <is>
          <t xml:space="preserve">   - The months at either end of the span are naturally light: with few projects</t>
        </is>
      </c>
    </row>
    <row r="140">
      <c r="A140" s="4" t="inlineStr">
        <is>
          <t xml:space="preserve">     overlapping there, most under-allocation runs sit in the ramp-up and wind-down.</t>
        </is>
      </c>
    </row>
    <row r="141">
      <c r="A141" s="2" t="inlineStr"/>
    </row>
    <row r="142">
      <c r="A142" s="4" t="inlineStr">
        <is>
          <t xml:space="preserve">   The weights and role factors here are ILLUSTRATIVE, so the numbers can be exercised.</t>
        </is>
      </c>
    </row>
    <row r="143">
      <c r="A143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note_1</t>
        </is>
      </c>
      <c r="U1" s="5" t="inlineStr">
        <is>
          <t>note_2</t>
        </is>
      </c>
      <c r="V1" s="5" t="inlineStr">
        <is>
          <t>note_3</t>
        </is>
      </c>
      <c r="W1" s="5" t="inlineStr">
        <is>
          <t>note_4</t>
        </is>
      </c>
      <c r="X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45717</v>
      </c>
      <c r="Q2" s="8" t="n">
        <v>46446</v>
      </c>
      <c r="R2" s="9">
        <f>IF(OR($O2="",$P2=""),"",(YEAR($P2)-YEAR($O2))*12+MONTH($P2)-MONTH($O2)+1)</f>
        <v/>
      </c>
      <c r="S2" s="7" t="inlineStr">
        <is>
          <t>Active</t>
        </is>
      </c>
      <c r="T2" s="7" t="n"/>
      <c r="U2" s="7" t="n"/>
      <c r="V2" s="7" t="n"/>
      <c r="W2" s="7" t="n"/>
      <c r="X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3</v>
      </c>
      <c r="P3" s="8" t="n">
        <v>45962</v>
      </c>
      <c r="Q3" s="8" t="n">
        <v>46873</v>
      </c>
      <c r="R3" s="9">
        <f>IF(OR($O3="",$P3=""),"",(YEAR($P3)-YEAR($O3))*12+MONTH($P3)-MONTH($O3)+1)</f>
        <v/>
      </c>
      <c r="S3" s="7" t="inlineStr">
        <is>
          <t>Active</t>
        </is>
      </c>
      <c r="T3" s="7" t="n"/>
      <c r="U3" s="7" t="n"/>
      <c r="V3" s="7" t="n"/>
      <c r="W3" s="7" t="n"/>
      <c r="X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8</v>
      </c>
      <c r="P4" s="8" t="n">
        <v>46023</v>
      </c>
      <c r="Q4" s="8" t="n">
        <v>46934</v>
      </c>
      <c r="R4" s="9">
        <f>IF(OR($O4="",$P4=""),"",(YEAR($P4)-YEAR($O4))*12+MONTH($P4)-MONTH($O4)+1)</f>
        <v/>
      </c>
      <c r="S4" s="7" t="inlineStr">
        <is>
          <t>Active</t>
        </is>
      </c>
      <c r="T4" s="7" t="n"/>
      <c r="U4" s="7" t="n"/>
      <c r="V4" s="7" t="n"/>
      <c r="W4" s="7" t="n"/>
      <c r="X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8</v>
      </c>
      <c r="P5" s="8" t="n">
        <v>45809</v>
      </c>
      <c r="Q5" s="8" t="n">
        <v>46721</v>
      </c>
      <c r="R5" s="9">
        <f>IF(OR($O5="",$P5=""),"",(YEAR($P5)-YEAR($O5))*12+MONTH($P5)-MONTH($O5)+1)</f>
        <v/>
      </c>
      <c r="S5" s="7" t="inlineStr">
        <is>
          <t>On hold</t>
        </is>
      </c>
      <c r="T5" s="7" t="n"/>
      <c r="U5" s="7" t="n"/>
      <c r="V5" s="7" t="n"/>
      <c r="W5" s="7" t="n"/>
      <c r="X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4</v>
      </c>
      <c r="P6" s="8" t="n">
        <v>46023</v>
      </c>
      <c r="Q6" s="8" t="n">
        <v>46934</v>
      </c>
      <c r="R6" s="9">
        <f>IF(OR($O6="",$P6=""),"",(YEAR($P6)-YEAR($O6))*12+MONTH($P6)-MONTH($O6)+1)</f>
        <v/>
      </c>
      <c r="S6" s="7" t="inlineStr">
        <is>
          <t>Completed</t>
        </is>
      </c>
      <c r="T6" s="7" t="n"/>
      <c r="U6" s="7" t="n"/>
      <c r="V6" s="7" t="n"/>
      <c r="W6" s="7" t="n"/>
      <c r="X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4</v>
      </c>
      <c r="P7" s="8" t="n">
        <v>45689</v>
      </c>
      <c r="Q7" s="8" t="n">
        <v>46418</v>
      </c>
      <c r="R7" s="9">
        <f>IF(OR($O7="",$P7=""),"",(YEAR($P7)-YEAR($O7))*12+MONTH($P7)-MONTH($O7)+1)</f>
        <v/>
      </c>
      <c r="S7" s="7" t="inlineStr">
        <is>
          <t>Planned</t>
        </is>
      </c>
      <c r="T7" s="7" t="n"/>
      <c r="U7" s="7" t="n"/>
      <c r="V7" s="7" t="n"/>
      <c r="W7" s="7" t="n"/>
      <c r="X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5</v>
      </c>
      <c r="P8" s="8" t="n">
        <v>45931</v>
      </c>
      <c r="Q8" s="8" t="n">
        <v>47208</v>
      </c>
      <c r="R8" s="9">
        <f>IF(OR($O8="",$P8=""),"",(YEAR($P8)-YEAR($O8))*12+MONTH($P8)-MONTH($O8)+1)</f>
        <v/>
      </c>
      <c r="S8" s="7" t="inlineStr">
        <is>
          <t>Active</t>
        </is>
      </c>
      <c r="T8" s="7" t="n"/>
      <c r="U8" s="7" t="n"/>
      <c r="V8" s="7" t="n"/>
      <c r="W8" s="7" t="n"/>
      <c r="X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3</v>
      </c>
      <c r="P9" s="8" t="n">
        <v>45931</v>
      </c>
      <c r="Q9" s="8" t="n">
        <v>47208</v>
      </c>
      <c r="R9" s="9">
        <f>IF(OR($O9="",$P9=""),"",(YEAR($P9)-YEAR($O9))*12+MONTH($P9)-MONTH($O9)+1)</f>
        <v/>
      </c>
      <c r="S9" s="7" t="inlineStr">
        <is>
          <t>Active</t>
        </is>
      </c>
      <c r="T9" s="7" t="n"/>
      <c r="U9" s="7" t="n"/>
      <c r="V9" s="7" t="n"/>
      <c r="W9" s="7" t="n"/>
      <c r="X9" s="7" t="n"/>
    </row>
    <row r="10">
      <c r="A10" s="6" t="inlineStr">
        <is>
          <t>PRJ-009</t>
        </is>
      </c>
      <c r="B10" s="6" t="inlineStr">
        <is>
          <t>CDISC library migration</t>
        </is>
      </c>
      <c r="C10" s="7" t="inlineStr">
        <is>
          <t>Others</t>
        </is>
      </c>
      <c r="D10" s="7" t="inlineStr"/>
      <c r="E10" s="7" t="inlineStr"/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n">
        <v>5</v>
      </c>
      <c r="P10" s="8" t="n">
        <v>46419</v>
      </c>
      <c r="Q10" s="8" t="n">
        <v>46599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n"/>
      <c r="U10" s="7" t="n"/>
      <c r="V10" s="7" t="n"/>
      <c r="W10" s="7" t="n"/>
      <c r="X10" s="7" t="n"/>
    </row>
    <row r="11">
      <c r="A11" s="6" t="inlineStr">
        <is>
          <t>PRJ-010</t>
        </is>
      </c>
      <c r="B11" s="6" t="inlineStr">
        <is>
          <t>eTMF rollout</t>
        </is>
      </c>
      <c r="C11" s="7" t="inlineStr">
        <is>
          <t>Others</t>
        </is>
      </c>
      <c r="D11" s="7" t="inlineStr"/>
      <c r="E11" s="7" t="inlineStr"/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n">
        <v>2</v>
      </c>
      <c r="P11" s="8" t="n">
        <v>46388</v>
      </c>
      <c r="Q11" s="8" t="n">
        <v>46660</v>
      </c>
      <c r="R11" s="9">
        <f>IF(OR($O11="",$P11=""),"",(YEAR($P11)-YEAR($O11))*12+MONTH($P11)-MONTH($O11)+1)</f>
        <v/>
      </c>
      <c r="S11" s="7" t="inlineStr">
        <is>
          <t>Active</t>
        </is>
      </c>
      <c r="T11" s="7" t="n"/>
      <c r="U11" s="7" t="n"/>
      <c r="V11" s="7" t="n"/>
      <c r="W11" s="7" t="n"/>
      <c r="X11" s="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45748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45809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45931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46143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46143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46204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46327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46388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45992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46054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46174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46508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46508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46569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46753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46813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46054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46113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46235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46569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46813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46874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45839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45901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46023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46357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46600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46661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46722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46054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46113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46235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46569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46569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46631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46813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46874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45717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45778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45901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46113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46113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46174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46296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46357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45962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46023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46143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46692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46722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46784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47088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47150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45962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46023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46143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46692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47088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47150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47209</v>
      </c>
      <c r="E61" s="7" t="n">
        <v>7</v>
      </c>
      <c r="F61" s="7" t="inlineStr">
        <is>
          <t>Regulatory inspection</t>
        </is>
      </c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45717</v>
      </c>
      <c r="E2" s="12" t="n">
        <v>45748</v>
      </c>
      <c r="F2" s="9" t="n">
        <v>0.41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45749</v>
      </c>
      <c r="E3" s="12" t="n">
        <v>45931</v>
      </c>
      <c r="F3" s="9" t="n">
        <v>0.88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45932</v>
      </c>
      <c r="E4" s="12" t="n">
        <v>46112</v>
      </c>
      <c r="F4" s="9" t="n">
        <v>0.68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46113</v>
      </c>
      <c r="E5" s="12" t="n">
        <v>46204</v>
      </c>
      <c r="F5" s="9" t="n">
        <v>0.82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46205</v>
      </c>
      <c r="E6" s="12" t="n">
        <v>46295</v>
      </c>
      <c r="F6" s="9" t="n">
        <v>0.68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46296</v>
      </c>
      <c r="E7" s="12" t="n">
        <v>46446</v>
      </c>
      <c r="F7" s="9" t="n">
        <v>0.95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45962</v>
      </c>
      <c r="E8" s="12" t="n">
        <v>45992</v>
      </c>
      <c r="F8" s="9" t="n">
        <v>0.64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45993</v>
      </c>
      <c r="E9" s="12" t="n">
        <v>46174</v>
      </c>
      <c r="F9" s="9" t="n">
        <v>1.29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46175</v>
      </c>
      <c r="E10" s="12" t="n">
        <v>46477</v>
      </c>
      <c r="F10" s="9" t="n">
        <v>1.01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46478</v>
      </c>
      <c r="E11" s="12" t="n">
        <v>46569</v>
      </c>
      <c r="F11" s="9" t="n">
        <v>1.2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46570</v>
      </c>
      <c r="E12" s="12" t="n">
        <v>46721</v>
      </c>
      <c r="F12" s="9" t="n">
        <v>1.01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46722</v>
      </c>
      <c r="E13" s="12" t="n">
        <v>46873</v>
      </c>
      <c r="F13" s="9" t="n">
        <v>1.38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46023</v>
      </c>
      <c r="E14" s="12" t="n">
        <v>46054</v>
      </c>
      <c r="F14" s="9" t="n">
        <v>0.92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46055</v>
      </c>
      <c r="E15" s="12" t="n">
        <v>46235</v>
      </c>
      <c r="F15" s="9" t="n">
        <v>1.84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46236</v>
      </c>
      <c r="E16" s="12" t="n">
        <v>46783</v>
      </c>
      <c r="F16" s="9" t="n">
        <v>1.38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46784</v>
      </c>
      <c r="E17" s="12" t="n">
        <v>46934</v>
      </c>
      <c r="F17" s="9" t="n">
        <v>1.95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45809</v>
      </c>
      <c r="E18" s="12" t="n">
        <v>45839</v>
      </c>
      <c r="F18" s="9" t="n">
        <v>0.34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45840</v>
      </c>
      <c r="E19" s="12" t="n">
        <v>46023</v>
      </c>
      <c r="F19" s="9" t="n">
        <v>0.75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46024</v>
      </c>
      <c r="E20" s="12" t="n">
        <v>46568</v>
      </c>
      <c r="F20" s="9" t="n">
        <v>0.61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46569</v>
      </c>
      <c r="E21" s="12" t="n">
        <v>46721</v>
      </c>
      <c r="F21" s="9" t="n">
        <v>0.82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46722</v>
      </c>
      <c r="E22" s="12" t="n">
        <v>46722</v>
      </c>
      <c r="F22" s="9" t="n">
        <v>0.49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46023</v>
      </c>
      <c r="E23" s="12" t="n">
        <v>46054</v>
      </c>
      <c r="F23" s="9" t="n">
        <v>0.55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46055</v>
      </c>
      <c r="E24" s="12" t="n">
        <v>46235</v>
      </c>
      <c r="F24" s="9" t="n">
        <v>1.2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46236</v>
      </c>
      <c r="E25" s="12" t="n">
        <v>46538</v>
      </c>
      <c r="F25" s="9" t="n">
        <v>0.92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46539</v>
      </c>
      <c r="E26" s="12" t="n">
        <v>46631</v>
      </c>
      <c r="F26" s="9" t="n">
        <v>1.1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46632</v>
      </c>
      <c r="E27" s="12" t="n">
        <v>46783</v>
      </c>
      <c r="F27" s="9" t="n">
        <v>0.92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46784</v>
      </c>
      <c r="E28" s="12" t="n">
        <v>46934</v>
      </c>
      <c r="F28" s="9" t="n">
        <v>1.29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45689</v>
      </c>
      <c r="E29" s="12" t="n">
        <v>45717</v>
      </c>
      <c r="F29" s="9" t="n">
        <v>0.8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45718</v>
      </c>
      <c r="E30" s="12" t="n">
        <v>45901</v>
      </c>
      <c r="F30" s="9" t="n">
        <v>1.61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45902</v>
      </c>
      <c r="E31" s="12" t="n">
        <v>46081</v>
      </c>
      <c r="F31" s="9" t="n">
        <v>1.26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46082</v>
      </c>
      <c r="E32" s="12" t="n">
        <v>46174</v>
      </c>
      <c r="F32" s="9" t="n">
        <v>1.49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46175</v>
      </c>
      <c r="E33" s="12" t="n">
        <v>46265</v>
      </c>
      <c r="F33" s="9" t="n">
        <v>1.26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46266</v>
      </c>
      <c r="E34" s="12" t="n">
        <v>46418</v>
      </c>
      <c r="F34" s="9" t="n">
        <v>1.72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45931</v>
      </c>
      <c r="E35" s="12" t="n">
        <v>45962</v>
      </c>
      <c r="F35" s="9" t="n">
        <v>0.54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45963</v>
      </c>
      <c r="E36" s="12" t="n">
        <v>46143</v>
      </c>
      <c r="F36" s="9" t="n">
        <v>1.09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46144</v>
      </c>
      <c r="E37" s="12" t="n">
        <v>46691</v>
      </c>
      <c r="F37" s="9" t="n">
        <v>0.82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46692</v>
      </c>
      <c r="E38" s="12" t="n">
        <v>46784</v>
      </c>
      <c r="F38" s="9" t="n">
        <v>0.95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46785</v>
      </c>
      <c r="E39" s="12" t="n">
        <v>47057</v>
      </c>
      <c r="F39" s="9" t="n">
        <v>0.82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47058</v>
      </c>
      <c r="E40" s="12" t="n">
        <v>47208</v>
      </c>
      <c r="F40" s="9" t="n">
        <v>1.16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45931</v>
      </c>
      <c r="E41" s="12" t="n">
        <v>45962</v>
      </c>
      <c r="F41" s="9" t="n">
        <v>0.46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45963</v>
      </c>
      <c r="E42" s="12" t="n">
        <v>46143</v>
      </c>
      <c r="F42" s="9" t="n">
        <v>1.01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46144</v>
      </c>
      <c r="E43" s="12" t="n">
        <v>47057</v>
      </c>
      <c r="F43" s="9" t="n">
        <v>0.83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47058</v>
      </c>
      <c r="E44" s="12" t="n">
        <v>47208</v>
      </c>
      <c r="F44" s="9" t="n">
        <v>1.1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47209</v>
      </c>
      <c r="E45" s="12" t="n">
        <v>47209</v>
      </c>
      <c r="F45" s="9" t="n">
        <v>0.66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Planning</t>
        </is>
      </c>
      <c r="C46" s="9" t="n">
        <v>1</v>
      </c>
      <c r="D46" s="12" t="n">
        <v>46419</v>
      </c>
      <c r="E46" s="12" t="n">
        <v>46464</v>
      </c>
      <c r="F46" s="9" t="n">
        <v>0.8</v>
      </c>
      <c r="G46" s="9" t="inlineStr">
        <is>
          <t>Entered by hand - no milestone mapping</t>
        </is>
      </c>
    </row>
    <row r="47">
      <c r="A47" s="11" t="inlineStr">
        <is>
          <t>PRJ-009</t>
        </is>
      </c>
      <c r="B47" s="11" t="inlineStr">
        <is>
          <t>Develop</t>
        </is>
      </c>
      <c r="C47" s="9" t="n">
        <v>2</v>
      </c>
      <c r="D47" s="12" t="n">
        <v>46465</v>
      </c>
      <c r="E47" s="12" t="n">
        <v>46563</v>
      </c>
      <c r="F47" s="9" t="n">
        <v>1.2</v>
      </c>
      <c r="G47" s="9" t="inlineStr">
        <is>
          <t>Entered by hand - no milestone mapping</t>
        </is>
      </c>
    </row>
    <row r="48">
      <c r="A48" s="11" t="inlineStr">
        <is>
          <t>PRJ-009</t>
        </is>
      </c>
      <c r="B48" s="11" t="inlineStr">
        <is>
          <t>Close</t>
        </is>
      </c>
      <c r="C48" s="9" t="n">
        <v>3</v>
      </c>
      <c r="D48" s="12" t="n">
        <v>46564</v>
      </c>
      <c r="E48" s="12" t="n">
        <v>46599</v>
      </c>
      <c r="F48" s="9" t="n">
        <v>0.9</v>
      </c>
      <c r="G48" s="9" t="inlineStr">
        <is>
          <t>Entered by hand - no milestone mapping</t>
        </is>
      </c>
    </row>
    <row r="49">
      <c r="A49" s="11" t="inlineStr">
        <is>
          <t>PRJ-010</t>
        </is>
      </c>
      <c r="B49" s="11" t="inlineStr">
        <is>
          <t>Planning</t>
        </is>
      </c>
      <c r="C49" s="9" t="n">
        <v>1</v>
      </c>
      <c r="D49" s="12" t="n">
        <v>46388</v>
      </c>
      <c r="E49" s="12" t="n">
        <v>46456</v>
      </c>
      <c r="F49" s="9" t="n">
        <v>0.8</v>
      </c>
      <c r="G49" s="9" t="inlineStr">
        <is>
          <t>Entered by hand - no milestone mapping</t>
        </is>
      </c>
    </row>
    <row r="50">
      <c r="A50" s="11" t="inlineStr">
        <is>
          <t>PRJ-010</t>
        </is>
      </c>
      <c r="B50" s="11" t="inlineStr">
        <is>
          <t>Develop</t>
        </is>
      </c>
      <c r="C50" s="9" t="n">
        <v>2</v>
      </c>
      <c r="D50" s="12" t="n">
        <v>46457</v>
      </c>
      <c r="E50" s="12" t="n">
        <v>46605</v>
      </c>
      <c r="F50" s="9" t="n">
        <v>1.2</v>
      </c>
      <c r="G50" s="9" t="inlineStr">
        <is>
          <t>Entered by hand - no milestone mapping</t>
        </is>
      </c>
    </row>
    <row r="51">
      <c r="A51" s="11" t="inlineStr">
        <is>
          <t>PRJ-010</t>
        </is>
      </c>
      <c r="B51" s="11" t="inlineStr">
        <is>
          <t>Close</t>
        </is>
      </c>
      <c r="C51" s="9" t="n">
        <v>3</v>
      </c>
      <c r="D51" s="12" t="n">
        <v>46606</v>
      </c>
      <c r="E51" s="12" t="n">
        <v>46660</v>
      </c>
      <c r="F51" s="9" t="n">
        <v>0.9</v>
      </c>
      <c r="G51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2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weight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0.6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1.3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1.2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1.4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0.84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0.7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1.4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1.1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1.3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1.1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1.5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0.9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0.8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1.6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1.2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1.4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1.2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1.7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1.02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0.5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1.1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0.9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0.9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1.2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0.72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0.51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1.1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0.85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1.02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0.85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1.19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0.71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0.59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1.19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0.9399999999999999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1.1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0.9399999999999999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1.27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0.77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0.68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1.36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1.02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1.19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1.02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1.44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0.87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0.42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0.9399999999999999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0.77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0.85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0.77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1.02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0.61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0.55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1.2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0.92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1.1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0.92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1.29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0.77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0.64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1.29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1.01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1.2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1.01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1.38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0.83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0.74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1.47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1.1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1.29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1.1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1.56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0.9399999999999999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0.46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1.01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0.83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0.92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0.83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1.1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0.66</v>
      </c>
      <c r="F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1</t>
        </is>
      </c>
      <c r="C86" s="11" t="inlineStr">
        <is>
          <t>fully in-housed</t>
        </is>
      </c>
      <c r="D86" s="11" t="inlineStr">
        <is>
          <t>Before-Start-up</t>
        </is>
      </c>
      <c r="E86" s="13" t="n">
        <v>0.6899999999999999</v>
      </c>
      <c r="F86" s="9" t="inlineStr">
        <is>
          <t>Illustrative - fully in-housed</t>
        </is>
      </c>
    </row>
    <row r="87">
      <c r="A87" s="11" t="inlineStr">
        <is>
          <t>NewDrug CT</t>
        </is>
      </c>
      <c r="B87" s="11" t="inlineStr">
        <is>
          <t>Phase 1</t>
        </is>
      </c>
      <c r="C87" s="11" t="inlineStr">
        <is>
          <t>fully in-housed</t>
        </is>
      </c>
      <c r="D87" s="11" t="inlineStr">
        <is>
          <t>Start-up</t>
        </is>
      </c>
      <c r="E87" s="13" t="n">
        <v>1.49</v>
      </c>
      <c r="F87" s="9" t="inlineStr">
        <is>
          <t>Illustrative - fully in-housed</t>
        </is>
      </c>
    </row>
    <row r="88">
      <c r="A88" s="11" t="inlineStr">
        <is>
          <t>NewDrug CT</t>
        </is>
      </c>
      <c r="B88" s="11" t="inlineStr">
        <is>
          <t>Phase 1</t>
        </is>
      </c>
      <c r="C88" s="11" t="inlineStr">
        <is>
          <t>fully in-housed</t>
        </is>
      </c>
      <c r="D88" s="11" t="inlineStr">
        <is>
          <t>Conduct (interim)</t>
        </is>
      </c>
      <c r="E88" s="13" t="n">
        <v>1.15</v>
      </c>
      <c r="F88" s="9" t="inlineStr">
        <is>
          <t>Illustrative - fully in-housed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Close-out (interim)</t>
        </is>
      </c>
      <c r="E89" s="13" t="n">
        <v>1.38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Conduct (final)</t>
        </is>
      </c>
      <c r="E90" s="13" t="n">
        <v>1.15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Close-out (final)</t>
        </is>
      </c>
      <c r="E91" s="13" t="n">
        <v>1.61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After Close-out (final)</t>
        </is>
      </c>
      <c r="E92" s="13" t="n">
        <v>0.97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2</t>
        </is>
      </c>
      <c r="C93" s="11" t="inlineStr">
        <is>
          <t>fully in-housed</t>
        </is>
      </c>
      <c r="D93" s="11" t="inlineStr">
        <is>
          <t>Before-Start-up</t>
        </is>
      </c>
      <c r="E93" s="13" t="n">
        <v>0.8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2</t>
        </is>
      </c>
      <c r="C94" s="11" t="inlineStr">
        <is>
          <t>fully in-housed</t>
        </is>
      </c>
      <c r="D94" s="11" t="inlineStr">
        <is>
          <t>Start-up</t>
        </is>
      </c>
      <c r="E94" s="13" t="n">
        <v>1.61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2</t>
        </is>
      </c>
      <c r="C95" s="11" t="inlineStr">
        <is>
          <t>fully in-housed</t>
        </is>
      </c>
      <c r="D95" s="11" t="inlineStr">
        <is>
          <t>Conduct (interim)</t>
        </is>
      </c>
      <c r="E95" s="13" t="n">
        <v>1.26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Close-out (interim)</t>
        </is>
      </c>
      <c r="E96" s="13" t="n">
        <v>1.49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Conduct (final)</t>
        </is>
      </c>
      <c r="E97" s="13" t="n">
        <v>1.26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Close-out (final)</t>
        </is>
      </c>
      <c r="E98" s="13" t="n">
        <v>1.72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After Close-out (final)</t>
        </is>
      </c>
      <c r="E99" s="13" t="n">
        <v>1.03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11" t="inlineStr">
        <is>
          <t>fully in-housed</t>
        </is>
      </c>
      <c r="D100" s="11" t="inlineStr">
        <is>
          <t>Before-Start-up</t>
        </is>
      </c>
      <c r="E100" s="13" t="n">
        <v>0.92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11" t="inlineStr">
        <is>
          <t>fully in-housed</t>
        </is>
      </c>
      <c r="D101" s="11" t="inlineStr">
        <is>
          <t>Start-up</t>
        </is>
      </c>
      <c r="E101" s="13" t="n">
        <v>1.84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11" t="inlineStr">
        <is>
          <t>fully in-housed</t>
        </is>
      </c>
      <c r="D102" s="11" t="inlineStr">
        <is>
          <t>Conduct (interim)</t>
        </is>
      </c>
      <c r="E102" s="13" t="n">
        <v>1.38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Close-out (interim)</t>
        </is>
      </c>
      <c r="E103" s="13" t="n">
        <v>1.61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Conduct (final)</t>
        </is>
      </c>
      <c r="E104" s="13" t="n">
        <v>1.38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Close-out (final)</t>
        </is>
      </c>
      <c r="E105" s="13" t="n">
        <v>1.95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After Close-out (final)</t>
        </is>
      </c>
      <c r="E106" s="13" t="n">
        <v>1.17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11" t="inlineStr">
        <is>
          <t>fully in-housed</t>
        </is>
      </c>
      <c r="D107" s="11" t="inlineStr">
        <is>
          <t>Before-Start-up</t>
        </is>
      </c>
      <c r="E107" s="13" t="n">
        <v>0.57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11" t="inlineStr">
        <is>
          <t>fully in-housed</t>
        </is>
      </c>
      <c r="D108" s="11" t="inlineStr">
        <is>
          <t>Start-up</t>
        </is>
      </c>
      <c r="E108" s="13" t="n">
        <v>1.26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11" t="inlineStr">
        <is>
          <t>fully in-housed</t>
        </is>
      </c>
      <c r="D109" s="11" t="inlineStr">
        <is>
          <t>Conduct (interim)</t>
        </is>
      </c>
      <c r="E109" s="13" t="n">
        <v>1.03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Close-out (interim)</t>
        </is>
      </c>
      <c r="E110" s="13" t="n">
        <v>1.15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Conduct (final)</t>
        </is>
      </c>
      <c r="E111" s="13" t="n">
        <v>1.03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Close-out (final)</t>
        </is>
      </c>
      <c r="E112" s="13" t="n">
        <v>1.38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After Close-out (final)</t>
        </is>
      </c>
      <c r="E113" s="13" t="n">
        <v>0.83</v>
      </c>
      <c r="F113" s="9" t="inlineStr">
        <is>
          <t>Illustrative - fully in-housed</t>
        </is>
      </c>
    </row>
    <row r="114">
      <c r="A114" s="11" t="inlineStr">
        <is>
          <t>Biosimilar CT (Healthy)</t>
        </is>
      </c>
      <c r="B114" s="11" t="inlineStr">
        <is>
          <t>Phase 1</t>
        </is>
      </c>
      <c r="C114" s="11" t="inlineStr">
        <is>
          <t>fully in-housed</t>
        </is>
      </c>
      <c r="D114" s="11" t="inlineStr">
        <is>
          <t>Before-Start-up</t>
        </is>
      </c>
      <c r="E114" s="13" t="n">
        <v>0.59</v>
      </c>
      <c r="F114" s="9" t="inlineStr">
        <is>
          <t>Illustrative - fully in-housed</t>
        </is>
      </c>
    </row>
    <row r="115">
      <c r="A115" s="11" t="inlineStr">
        <is>
          <t>Biosimilar CT (Healthy)</t>
        </is>
      </c>
      <c r="B115" s="11" t="inlineStr">
        <is>
          <t>Phase 1</t>
        </is>
      </c>
      <c r="C115" s="11" t="inlineStr">
        <is>
          <t>fully in-housed</t>
        </is>
      </c>
      <c r="D115" s="11" t="inlineStr">
        <is>
          <t>Start-up</t>
        </is>
      </c>
      <c r="E115" s="13" t="n">
        <v>1.26</v>
      </c>
      <c r="F115" s="9" t="inlineStr">
        <is>
          <t>Illustrative - fully in-housed</t>
        </is>
      </c>
    </row>
    <row r="116">
      <c r="A116" s="11" t="inlineStr">
        <is>
          <t>Biosimilar CT (Healthy)</t>
        </is>
      </c>
      <c r="B116" s="11" t="inlineStr">
        <is>
          <t>Phase 1</t>
        </is>
      </c>
      <c r="C116" s="11" t="inlineStr">
        <is>
          <t>fully in-housed</t>
        </is>
      </c>
      <c r="D116" s="11" t="inlineStr">
        <is>
          <t>Conduct (interim)</t>
        </is>
      </c>
      <c r="E116" s="13" t="n">
        <v>0.98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Close-out (interim)</t>
        </is>
      </c>
      <c r="E117" s="13" t="n">
        <v>1.17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Conduct (final)</t>
        </is>
      </c>
      <c r="E118" s="13" t="n">
        <v>0.98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Close-out (final)</t>
        </is>
      </c>
      <c r="E119" s="13" t="n">
        <v>1.37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After Close-out (final)</t>
        </is>
      </c>
      <c r="E120" s="13" t="n">
        <v>0.82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2</t>
        </is>
      </c>
      <c r="C121" s="11" t="inlineStr">
        <is>
          <t>fully in-housed</t>
        </is>
      </c>
      <c r="D121" s="11" t="inlineStr">
        <is>
          <t>Before-Start-up</t>
        </is>
      </c>
      <c r="E121" s="13" t="n">
        <v>0.68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2</t>
        </is>
      </c>
      <c r="C122" s="11" t="inlineStr">
        <is>
          <t>fully in-housed</t>
        </is>
      </c>
      <c r="D122" s="11" t="inlineStr">
        <is>
          <t>Start-up</t>
        </is>
      </c>
      <c r="E122" s="13" t="n">
        <v>1.37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2</t>
        </is>
      </c>
      <c r="C123" s="11" t="inlineStr">
        <is>
          <t>fully in-housed</t>
        </is>
      </c>
      <c r="D123" s="11" t="inlineStr">
        <is>
          <t>Conduct (interim)</t>
        </is>
      </c>
      <c r="E123" s="13" t="n">
        <v>1.08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Close-out (interim)</t>
        </is>
      </c>
      <c r="E124" s="13" t="n">
        <v>1.26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Conduct (final)</t>
        </is>
      </c>
      <c r="E125" s="13" t="n">
        <v>1.08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Close-out (final)</t>
        </is>
      </c>
      <c r="E126" s="13" t="n">
        <v>1.46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After Close-out (final)</t>
        </is>
      </c>
      <c r="E127" s="13" t="n">
        <v>0.89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3</t>
        </is>
      </c>
      <c r="C128" s="11" t="inlineStr">
        <is>
          <t>fully in-housed</t>
        </is>
      </c>
      <c r="D128" s="11" t="inlineStr">
        <is>
          <t>Before-Start-up</t>
        </is>
      </c>
      <c r="E128" s="13" t="n">
        <v>0.78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3</t>
        </is>
      </c>
      <c r="C129" s="11" t="inlineStr">
        <is>
          <t>fully in-housed</t>
        </is>
      </c>
      <c r="D129" s="11" t="inlineStr">
        <is>
          <t>Start-up</t>
        </is>
      </c>
      <c r="E129" s="13" t="n">
        <v>1.56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3</t>
        </is>
      </c>
      <c r="C130" s="11" t="inlineStr">
        <is>
          <t>fully in-housed</t>
        </is>
      </c>
      <c r="D130" s="11" t="inlineStr">
        <is>
          <t>Conduct (interim)</t>
        </is>
      </c>
      <c r="E130" s="13" t="n">
        <v>1.17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Close-out (interim)</t>
        </is>
      </c>
      <c r="E131" s="13" t="n">
        <v>1.37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Conduct (final)</t>
        </is>
      </c>
      <c r="E132" s="13" t="n">
        <v>1.17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Close-out (final)</t>
        </is>
      </c>
      <c r="E133" s="13" t="n">
        <v>1.66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After Close-out (final)</t>
        </is>
      </c>
      <c r="E134" s="13" t="n">
        <v>1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4</t>
        </is>
      </c>
      <c r="C135" s="11" t="inlineStr">
        <is>
          <t>fully in-housed</t>
        </is>
      </c>
      <c r="D135" s="11" t="inlineStr">
        <is>
          <t>Before-Start-up</t>
        </is>
      </c>
      <c r="E135" s="13" t="n">
        <v>0.48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4</t>
        </is>
      </c>
      <c r="C136" s="11" t="inlineStr">
        <is>
          <t>fully in-housed</t>
        </is>
      </c>
      <c r="D136" s="11" t="inlineStr">
        <is>
          <t>Start-up</t>
        </is>
      </c>
      <c r="E136" s="13" t="n">
        <v>1.08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4</t>
        </is>
      </c>
      <c r="C137" s="11" t="inlineStr">
        <is>
          <t>fully in-housed</t>
        </is>
      </c>
      <c r="D137" s="11" t="inlineStr">
        <is>
          <t>Conduct (interim)</t>
        </is>
      </c>
      <c r="E137" s="13" t="n">
        <v>0.89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Close-out (interim)</t>
        </is>
      </c>
      <c r="E138" s="13" t="n">
        <v>0.98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Conduct (final)</t>
        </is>
      </c>
      <c r="E139" s="13" t="n">
        <v>0.89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Close-out (final)</t>
        </is>
      </c>
      <c r="E140" s="13" t="n">
        <v>1.17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After Close-out (final)</t>
        </is>
      </c>
      <c r="E141" s="13" t="n">
        <v>0.7</v>
      </c>
      <c r="F141" s="9" t="inlineStr">
        <is>
          <t>Illustrative - fully in-housed</t>
        </is>
      </c>
    </row>
    <row r="142">
      <c r="A142" s="11" t="inlineStr">
        <is>
          <t>Biosimilar CT (Patient)</t>
        </is>
      </c>
      <c r="B142" s="11" t="inlineStr">
        <is>
          <t>Phase 1</t>
        </is>
      </c>
      <c r="C142" s="11" t="inlineStr">
        <is>
          <t>fully in-housed</t>
        </is>
      </c>
      <c r="D142" s="11" t="inlineStr">
        <is>
          <t>Before-Start-up</t>
        </is>
      </c>
      <c r="E142" s="13" t="n">
        <v>0.63</v>
      </c>
      <c r="F142" s="9" t="inlineStr">
        <is>
          <t>Illustrative - fully in-housed</t>
        </is>
      </c>
    </row>
    <row r="143">
      <c r="A143" s="11" t="inlineStr">
        <is>
          <t>Biosimilar CT (Patient)</t>
        </is>
      </c>
      <c r="B143" s="11" t="inlineStr">
        <is>
          <t>Phase 1</t>
        </is>
      </c>
      <c r="C143" s="11" t="inlineStr">
        <is>
          <t>fully in-housed</t>
        </is>
      </c>
      <c r="D143" s="11" t="inlineStr">
        <is>
          <t>Start-up</t>
        </is>
      </c>
      <c r="E143" s="13" t="n">
        <v>1.38</v>
      </c>
      <c r="F143" s="9" t="inlineStr">
        <is>
          <t>Illustrative - fully in-housed</t>
        </is>
      </c>
    </row>
    <row r="144">
      <c r="A144" s="11" t="inlineStr">
        <is>
          <t>Biosimilar CT (Patient)</t>
        </is>
      </c>
      <c r="B144" s="11" t="inlineStr">
        <is>
          <t>Phase 1</t>
        </is>
      </c>
      <c r="C144" s="11" t="inlineStr">
        <is>
          <t>fully in-housed</t>
        </is>
      </c>
      <c r="D144" s="11" t="inlineStr">
        <is>
          <t>Conduct (interim)</t>
        </is>
      </c>
      <c r="E144" s="13" t="n">
        <v>1.06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Close-out (interim)</t>
        </is>
      </c>
      <c r="E145" s="13" t="n">
        <v>1.26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Conduct (final)</t>
        </is>
      </c>
      <c r="E146" s="13" t="n">
        <v>1.06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Close-out (final)</t>
        </is>
      </c>
      <c r="E147" s="13" t="n">
        <v>1.48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After Close-out (final)</t>
        </is>
      </c>
      <c r="E148" s="13" t="n">
        <v>0.89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2</t>
        </is>
      </c>
      <c r="C149" s="11" t="inlineStr">
        <is>
          <t>fully in-housed</t>
        </is>
      </c>
      <c r="D149" s="11" t="inlineStr">
        <is>
          <t>Before-Start-up</t>
        </is>
      </c>
      <c r="E149" s="13" t="n">
        <v>0.74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2</t>
        </is>
      </c>
      <c r="C150" s="11" t="inlineStr">
        <is>
          <t>fully in-housed</t>
        </is>
      </c>
      <c r="D150" s="11" t="inlineStr">
        <is>
          <t>Start-up</t>
        </is>
      </c>
      <c r="E150" s="13" t="n">
        <v>1.48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2</t>
        </is>
      </c>
      <c r="C151" s="11" t="inlineStr">
        <is>
          <t>fully in-housed</t>
        </is>
      </c>
      <c r="D151" s="11" t="inlineStr">
        <is>
          <t>Conduct (interim)</t>
        </is>
      </c>
      <c r="E151" s="13" t="n">
        <v>1.16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Close-out (interim)</t>
        </is>
      </c>
      <c r="E152" s="13" t="n">
        <v>1.38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Conduct (final)</t>
        </is>
      </c>
      <c r="E153" s="13" t="n">
        <v>1.16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Close-out (final)</t>
        </is>
      </c>
      <c r="E154" s="13" t="n">
        <v>1.59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After Close-out (final)</t>
        </is>
      </c>
      <c r="E155" s="13" t="n">
        <v>0.95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3</t>
        </is>
      </c>
      <c r="C156" s="11" t="inlineStr">
        <is>
          <t>fully in-housed</t>
        </is>
      </c>
      <c r="D156" s="11" t="inlineStr">
        <is>
          <t>Before-Start-up</t>
        </is>
      </c>
      <c r="E156" s="13" t="n">
        <v>0.85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3</t>
        </is>
      </c>
      <c r="C157" s="11" t="inlineStr">
        <is>
          <t>fully in-housed</t>
        </is>
      </c>
      <c r="D157" s="11" t="inlineStr">
        <is>
          <t>Start-up</t>
        </is>
      </c>
      <c r="E157" s="13" t="n">
        <v>1.69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3</t>
        </is>
      </c>
      <c r="C158" s="11" t="inlineStr">
        <is>
          <t>fully in-housed</t>
        </is>
      </c>
      <c r="D158" s="11" t="inlineStr">
        <is>
          <t>Conduct (interim)</t>
        </is>
      </c>
      <c r="E158" s="13" t="n">
        <v>1.26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Close-out (interim)</t>
        </is>
      </c>
      <c r="E159" s="13" t="n">
        <v>1.48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Conduct (final)</t>
        </is>
      </c>
      <c r="E160" s="13" t="n">
        <v>1.26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Close-out (final)</t>
        </is>
      </c>
      <c r="E161" s="13" t="n">
        <v>1.79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After Close-out (final)</t>
        </is>
      </c>
      <c r="E162" s="13" t="n">
        <v>1.08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4</t>
        </is>
      </c>
      <c r="C163" s="11" t="inlineStr">
        <is>
          <t>fully in-housed</t>
        </is>
      </c>
      <c r="D163" s="11" t="inlineStr">
        <is>
          <t>Before-Start-up</t>
        </is>
      </c>
      <c r="E163" s="13" t="n">
        <v>0.53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4</t>
        </is>
      </c>
      <c r="C164" s="11" t="inlineStr">
        <is>
          <t>fully in-housed</t>
        </is>
      </c>
      <c r="D164" s="11" t="inlineStr">
        <is>
          <t>Start-up</t>
        </is>
      </c>
      <c r="E164" s="13" t="n">
        <v>1.16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4</t>
        </is>
      </c>
      <c r="C165" s="11" t="inlineStr">
        <is>
          <t>fully in-housed</t>
        </is>
      </c>
      <c r="D165" s="11" t="inlineStr">
        <is>
          <t>Conduct (interim)</t>
        </is>
      </c>
      <c r="E165" s="13" t="n">
        <v>0.95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Close-out (interim)</t>
        </is>
      </c>
      <c r="E166" s="13" t="n">
        <v>1.06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Conduct (final)</t>
        </is>
      </c>
      <c r="E167" s="13" t="n">
        <v>0.95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Close-out (final)</t>
        </is>
      </c>
      <c r="E168" s="13" t="n">
        <v>1.26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After Close-out (final)</t>
        </is>
      </c>
      <c r="E169" s="13" t="n">
        <v>0.76</v>
      </c>
      <c r="F169" s="9" t="inlineStr">
        <is>
          <t>Illustrative - fully in-housed</t>
        </is>
      </c>
    </row>
    <row r="170">
      <c r="A170" s="11" t="inlineStr">
        <is>
          <t>NewDrug CT</t>
        </is>
      </c>
      <c r="B170" s="11" t="inlineStr">
        <is>
          <t>Phase 1</t>
        </is>
      </c>
      <c r="C170" s="11" t="inlineStr">
        <is>
          <t>fully outsourced</t>
        </is>
      </c>
      <c r="D170" s="11" t="inlineStr">
        <is>
          <t>Before-Start-up</t>
        </is>
      </c>
      <c r="E170" s="13" t="n">
        <v>0.48</v>
      </c>
      <c r="F170" s="9" t="inlineStr">
        <is>
          <t>Illustrative - fully outsourced</t>
        </is>
      </c>
    </row>
    <row r="171">
      <c r="A171" s="11" t="inlineStr">
        <is>
          <t>NewDrug CT</t>
        </is>
      </c>
      <c r="B171" s="11" t="inlineStr">
        <is>
          <t>Phase 1</t>
        </is>
      </c>
      <c r="C171" s="11" t="inlineStr">
        <is>
          <t>fully outsourced</t>
        </is>
      </c>
      <c r="D171" s="11" t="inlineStr">
        <is>
          <t>Start-up</t>
        </is>
      </c>
      <c r="E171" s="13" t="n">
        <v>1.04</v>
      </c>
      <c r="F171" s="9" t="inlineStr">
        <is>
          <t>Illustrative - fully outsourced</t>
        </is>
      </c>
    </row>
    <row r="172">
      <c r="A172" s="11" t="inlineStr">
        <is>
          <t>NewDrug CT</t>
        </is>
      </c>
      <c r="B172" s="11" t="inlineStr">
        <is>
          <t>Phase 1</t>
        </is>
      </c>
      <c r="C172" s="11" t="inlineStr">
        <is>
          <t>fully outsourced</t>
        </is>
      </c>
      <c r="D172" s="11" t="inlineStr">
        <is>
          <t>Conduct (interim)</t>
        </is>
      </c>
      <c r="E172" s="13" t="n">
        <v>0.8</v>
      </c>
      <c r="F172" s="9" t="inlineStr">
        <is>
          <t>Illustrative - fully outsourced</t>
        </is>
      </c>
    </row>
    <row r="173">
      <c r="A173" s="11" t="inlineStr">
        <is>
          <t>NewDrug CT</t>
        </is>
      </c>
      <c r="B173" s="11" t="inlineStr">
        <is>
          <t>Phase 1</t>
        </is>
      </c>
      <c r="C173" s="11" t="inlineStr">
        <is>
          <t>fully outsourced</t>
        </is>
      </c>
      <c r="D173" s="11" t="inlineStr">
        <is>
          <t>Close-out (interim)</t>
        </is>
      </c>
      <c r="E173" s="13" t="n">
        <v>0.96</v>
      </c>
      <c r="F173" s="9" t="inlineStr">
        <is>
          <t>Illustrative - fully outsourced</t>
        </is>
      </c>
    </row>
    <row r="174">
      <c r="A174" s="11" t="inlineStr">
        <is>
          <t>NewDrug CT</t>
        </is>
      </c>
      <c r="B174" s="11" t="inlineStr">
        <is>
          <t>Phase 1</t>
        </is>
      </c>
      <c r="C174" s="11" t="inlineStr">
        <is>
          <t>fully outsourced</t>
        </is>
      </c>
      <c r="D174" s="11" t="inlineStr">
        <is>
          <t>Conduct (final)</t>
        </is>
      </c>
      <c r="E174" s="13" t="n">
        <v>0.8</v>
      </c>
      <c r="F174" s="9" t="inlineStr">
        <is>
          <t>Illustrative - fully outsourced</t>
        </is>
      </c>
    </row>
    <row r="175">
      <c r="A175" s="11" t="inlineStr">
        <is>
          <t>NewDrug CT</t>
        </is>
      </c>
      <c r="B175" s="11" t="inlineStr">
        <is>
          <t>Phase 1</t>
        </is>
      </c>
      <c r="C175" s="11" t="inlineStr">
        <is>
          <t>fully outsourced</t>
        </is>
      </c>
      <c r="D175" s="11" t="inlineStr">
        <is>
          <t>Close-out (final)</t>
        </is>
      </c>
      <c r="E175" s="13" t="n">
        <v>1.12</v>
      </c>
      <c r="F175" s="9" t="inlineStr">
        <is>
          <t>Illustrative - fully outsourced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After Close-out (final)</t>
        </is>
      </c>
      <c r="E176" s="13" t="n">
        <v>0.67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2</t>
        </is>
      </c>
      <c r="C177" s="11" t="inlineStr">
        <is>
          <t>fully outsourced</t>
        </is>
      </c>
      <c r="D177" s="11" t="inlineStr">
        <is>
          <t>Before-Start-up</t>
        </is>
      </c>
      <c r="E177" s="13" t="n">
        <v>0.5600000000000001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2</t>
        </is>
      </c>
      <c r="C178" s="11" t="inlineStr">
        <is>
          <t>fully outsourced</t>
        </is>
      </c>
      <c r="D178" s="11" t="inlineStr">
        <is>
          <t>Start-up</t>
        </is>
      </c>
      <c r="E178" s="13" t="n">
        <v>1.12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2</t>
        </is>
      </c>
      <c r="C179" s="11" t="inlineStr">
        <is>
          <t>fully outsourced</t>
        </is>
      </c>
      <c r="D179" s="11" t="inlineStr">
        <is>
          <t>Conduct (interim)</t>
        </is>
      </c>
      <c r="E179" s="13" t="n">
        <v>0.88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2</t>
        </is>
      </c>
      <c r="C180" s="11" t="inlineStr">
        <is>
          <t>fully outsourced</t>
        </is>
      </c>
      <c r="D180" s="11" t="inlineStr">
        <is>
          <t>Close-out (interim)</t>
        </is>
      </c>
      <c r="E180" s="13" t="n">
        <v>1.04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2</t>
        </is>
      </c>
      <c r="C181" s="11" t="inlineStr">
        <is>
          <t>fully outsourced</t>
        </is>
      </c>
      <c r="D181" s="11" t="inlineStr">
        <is>
          <t>Conduct (final)</t>
        </is>
      </c>
      <c r="E181" s="13" t="n">
        <v>0.88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2</t>
        </is>
      </c>
      <c r="C182" s="11" t="inlineStr">
        <is>
          <t>fully outsourced</t>
        </is>
      </c>
      <c r="D182" s="11" t="inlineStr">
        <is>
          <t>Close-out (final)</t>
        </is>
      </c>
      <c r="E182" s="13" t="n">
        <v>1.2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After Close-out (final)</t>
        </is>
      </c>
      <c r="E183" s="13" t="n">
        <v>0.72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3</t>
        </is>
      </c>
      <c r="C184" s="11" t="inlineStr">
        <is>
          <t>fully outsourced</t>
        </is>
      </c>
      <c r="D184" s="11" t="inlineStr">
        <is>
          <t>Before-Start-up</t>
        </is>
      </c>
      <c r="E184" s="13" t="n">
        <v>0.64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3</t>
        </is>
      </c>
      <c r="C185" s="11" t="inlineStr">
        <is>
          <t>fully outsourced</t>
        </is>
      </c>
      <c r="D185" s="11" t="inlineStr">
        <is>
          <t>Start-up</t>
        </is>
      </c>
      <c r="E185" s="13" t="n">
        <v>1.28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3</t>
        </is>
      </c>
      <c r="C186" s="11" t="inlineStr">
        <is>
          <t>fully outsourced</t>
        </is>
      </c>
      <c r="D186" s="11" t="inlineStr">
        <is>
          <t>Conduct (interim)</t>
        </is>
      </c>
      <c r="E186" s="13" t="n">
        <v>0.96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3</t>
        </is>
      </c>
      <c r="C187" s="11" t="inlineStr">
        <is>
          <t>fully outsourced</t>
        </is>
      </c>
      <c r="D187" s="11" t="inlineStr">
        <is>
          <t>Close-out (interim)</t>
        </is>
      </c>
      <c r="E187" s="13" t="n">
        <v>1.12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3</t>
        </is>
      </c>
      <c r="C188" s="11" t="inlineStr">
        <is>
          <t>fully outsourced</t>
        </is>
      </c>
      <c r="D188" s="11" t="inlineStr">
        <is>
          <t>Conduct (final)</t>
        </is>
      </c>
      <c r="E188" s="13" t="n">
        <v>0.96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3</t>
        </is>
      </c>
      <c r="C189" s="11" t="inlineStr">
        <is>
          <t>fully outsourced</t>
        </is>
      </c>
      <c r="D189" s="11" t="inlineStr">
        <is>
          <t>Close-out (final)</t>
        </is>
      </c>
      <c r="E189" s="13" t="n">
        <v>1.36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After Close-out (final)</t>
        </is>
      </c>
      <c r="E190" s="13" t="n">
        <v>0.82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4</t>
        </is>
      </c>
      <c r="C191" s="11" t="inlineStr">
        <is>
          <t>fully outsourced</t>
        </is>
      </c>
      <c r="D191" s="11" t="inlineStr">
        <is>
          <t>Before-Start-up</t>
        </is>
      </c>
      <c r="E191" s="13" t="n">
        <v>0.4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4</t>
        </is>
      </c>
      <c r="C192" s="11" t="inlineStr">
        <is>
          <t>fully outsourced</t>
        </is>
      </c>
      <c r="D192" s="11" t="inlineStr">
        <is>
          <t>Start-up</t>
        </is>
      </c>
      <c r="E192" s="13" t="n">
        <v>0.88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4</t>
        </is>
      </c>
      <c r="C193" s="11" t="inlineStr">
        <is>
          <t>fully outsourced</t>
        </is>
      </c>
      <c r="D193" s="11" t="inlineStr">
        <is>
          <t>Conduct (interim)</t>
        </is>
      </c>
      <c r="E193" s="13" t="n">
        <v>0.72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4</t>
        </is>
      </c>
      <c r="C194" s="11" t="inlineStr">
        <is>
          <t>fully outsourced</t>
        </is>
      </c>
      <c r="D194" s="11" t="inlineStr">
        <is>
          <t>Close-out (interim)</t>
        </is>
      </c>
      <c r="E194" s="13" t="n">
        <v>0.8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4</t>
        </is>
      </c>
      <c r="C195" s="11" t="inlineStr">
        <is>
          <t>fully outsourced</t>
        </is>
      </c>
      <c r="D195" s="11" t="inlineStr">
        <is>
          <t>Conduct (final)</t>
        </is>
      </c>
      <c r="E195" s="13" t="n">
        <v>0.72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4</t>
        </is>
      </c>
      <c r="C196" s="11" t="inlineStr">
        <is>
          <t>fully outsourced</t>
        </is>
      </c>
      <c r="D196" s="11" t="inlineStr">
        <is>
          <t>Close-out (final)</t>
        </is>
      </c>
      <c r="E196" s="13" t="n">
        <v>0.96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After Close-out (final)</t>
        </is>
      </c>
      <c r="E197" s="13" t="n">
        <v>0.58</v>
      </c>
      <c r="F197" s="9" t="inlineStr">
        <is>
          <t>Illustrative - fully outsourced</t>
        </is>
      </c>
    </row>
    <row r="198">
      <c r="A198" s="11" t="inlineStr">
        <is>
          <t>Biosimilar CT (Healthy)</t>
        </is>
      </c>
      <c r="B198" s="11" t="inlineStr">
        <is>
          <t>Phase 1</t>
        </is>
      </c>
      <c r="C198" s="11" t="inlineStr">
        <is>
          <t>fully outsourced</t>
        </is>
      </c>
      <c r="D198" s="11" t="inlineStr">
        <is>
          <t>Before-Start-up</t>
        </is>
      </c>
      <c r="E198" s="13" t="n">
        <v>0.41</v>
      </c>
      <c r="F198" s="9" t="inlineStr">
        <is>
          <t>Illustrative - fully outsourced</t>
        </is>
      </c>
    </row>
    <row r="199">
      <c r="A199" s="11" t="inlineStr">
        <is>
          <t>Biosimilar CT (Healthy)</t>
        </is>
      </c>
      <c r="B199" s="11" t="inlineStr">
        <is>
          <t>Phase 1</t>
        </is>
      </c>
      <c r="C199" s="11" t="inlineStr">
        <is>
          <t>fully outsourced</t>
        </is>
      </c>
      <c r="D199" s="11" t="inlineStr">
        <is>
          <t>Start-up</t>
        </is>
      </c>
      <c r="E199" s="13" t="n">
        <v>0.88</v>
      </c>
      <c r="F199" s="9" t="inlineStr">
        <is>
          <t>Illustrative - fully outsourced</t>
        </is>
      </c>
    </row>
    <row r="200">
      <c r="A200" s="11" t="inlineStr">
        <is>
          <t>Biosimilar CT (Healthy)</t>
        </is>
      </c>
      <c r="B200" s="11" t="inlineStr">
        <is>
          <t>Phase 1</t>
        </is>
      </c>
      <c r="C200" s="11" t="inlineStr">
        <is>
          <t>fully outsourced</t>
        </is>
      </c>
      <c r="D200" s="11" t="inlineStr">
        <is>
          <t>Conduct (interim)</t>
        </is>
      </c>
      <c r="E200" s="13" t="n">
        <v>0.68</v>
      </c>
      <c r="F200" s="9" t="inlineStr">
        <is>
          <t>Illustrative - fully outsourced</t>
        </is>
      </c>
    </row>
    <row r="201">
      <c r="A201" s="11" t="inlineStr">
        <is>
          <t>Biosimilar CT (Healthy)</t>
        </is>
      </c>
      <c r="B201" s="11" t="inlineStr">
        <is>
          <t>Phase 1</t>
        </is>
      </c>
      <c r="C201" s="11" t="inlineStr">
        <is>
          <t>fully outsourced</t>
        </is>
      </c>
      <c r="D201" s="11" t="inlineStr">
        <is>
          <t>Close-out (interim)</t>
        </is>
      </c>
      <c r="E201" s="13" t="n">
        <v>0.82</v>
      </c>
      <c r="F201" s="9" t="inlineStr">
        <is>
          <t>Illustrative - fully outsourced</t>
        </is>
      </c>
    </row>
    <row r="202">
      <c r="A202" s="11" t="inlineStr">
        <is>
          <t>Biosimilar CT (Healthy)</t>
        </is>
      </c>
      <c r="B202" s="11" t="inlineStr">
        <is>
          <t>Phase 1</t>
        </is>
      </c>
      <c r="C202" s="11" t="inlineStr">
        <is>
          <t>fully outsourced</t>
        </is>
      </c>
      <c r="D202" s="11" t="inlineStr">
        <is>
          <t>Conduct (final)</t>
        </is>
      </c>
      <c r="E202" s="13" t="n">
        <v>0.68</v>
      </c>
      <c r="F202" s="9" t="inlineStr">
        <is>
          <t>Illustrative - fully outsourced</t>
        </is>
      </c>
    </row>
    <row r="203">
      <c r="A203" s="11" t="inlineStr">
        <is>
          <t>Biosimilar CT (Healthy)</t>
        </is>
      </c>
      <c r="B203" s="11" t="inlineStr">
        <is>
          <t>Phase 1</t>
        </is>
      </c>
      <c r="C203" s="11" t="inlineStr">
        <is>
          <t>fully outsourced</t>
        </is>
      </c>
      <c r="D203" s="11" t="inlineStr">
        <is>
          <t>Close-out (final)</t>
        </is>
      </c>
      <c r="E203" s="13" t="n">
        <v>0.95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After Close-out (final)</t>
        </is>
      </c>
      <c r="E204" s="13" t="n">
        <v>0.57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11" t="inlineStr">
        <is>
          <t>fully outsourced</t>
        </is>
      </c>
      <c r="D205" s="11" t="inlineStr">
        <is>
          <t>Before-Start-up</t>
        </is>
      </c>
      <c r="E205" s="13" t="n">
        <v>0.47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11" t="inlineStr">
        <is>
          <t>fully outsourced</t>
        </is>
      </c>
      <c r="D206" s="11" t="inlineStr">
        <is>
          <t>Start-up</t>
        </is>
      </c>
      <c r="E206" s="13" t="n">
        <v>0.95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11" t="inlineStr">
        <is>
          <t>fully outsourced</t>
        </is>
      </c>
      <c r="D207" s="11" t="inlineStr">
        <is>
          <t>Conduct (interim)</t>
        </is>
      </c>
      <c r="E207" s="13" t="n">
        <v>0.75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11" t="inlineStr">
        <is>
          <t>fully outsourced</t>
        </is>
      </c>
      <c r="D208" s="11" t="inlineStr">
        <is>
          <t>Close-out (interim)</t>
        </is>
      </c>
      <c r="E208" s="13" t="n">
        <v>0.88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11" t="inlineStr">
        <is>
          <t>fully outsourced</t>
        </is>
      </c>
      <c r="D209" s="11" t="inlineStr">
        <is>
          <t>Conduct (final)</t>
        </is>
      </c>
      <c r="E209" s="13" t="n">
        <v>0.75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11" t="inlineStr">
        <is>
          <t>fully outsourced</t>
        </is>
      </c>
      <c r="D210" s="11" t="inlineStr">
        <is>
          <t>Close-out (final)</t>
        </is>
      </c>
      <c r="E210" s="13" t="n">
        <v>1.02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After Close-out (final)</t>
        </is>
      </c>
      <c r="E211" s="13" t="n">
        <v>0.62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11" t="inlineStr">
        <is>
          <t>fully outsourced</t>
        </is>
      </c>
      <c r="D212" s="11" t="inlineStr">
        <is>
          <t>Before-Start-up</t>
        </is>
      </c>
      <c r="E212" s="13" t="n">
        <v>0.54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11" t="inlineStr">
        <is>
          <t>fully outsourced</t>
        </is>
      </c>
      <c r="D213" s="11" t="inlineStr">
        <is>
          <t>Start-up</t>
        </is>
      </c>
      <c r="E213" s="13" t="n">
        <v>1.09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11" t="inlineStr">
        <is>
          <t>fully outsourced</t>
        </is>
      </c>
      <c r="D214" s="11" t="inlineStr">
        <is>
          <t>Conduct (interim)</t>
        </is>
      </c>
      <c r="E214" s="13" t="n">
        <v>0.82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11" t="inlineStr">
        <is>
          <t>fully outsourced</t>
        </is>
      </c>
      <c r="D215" s="11" t="inlineStr">
        <is>
          <t>Close-out (interim)</t>
        </is>
      </c>
      <c r="E215" s="13" t="n">
        <v>0.95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11" t="inlineStr">
        <is>
          <t>fully outsourced</t>
        </is>
      </c>
      <c r="D216" s="11" t="inlineStr">
        <is>
          <t>Conduct (final)</t>
        </is>
      </c>
      <c r="E216" s="13" t="n">
        <v>0.82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11" t="inlineStr">
        <is>
          <t>fully outsourced</t>
        </is>
      </c>
      <c r="D217" s="11" t="inlineStr">
        <is>
          <t>Close-out (final)</t>
        </is>
      </c>
      <c r="E217" s="13" t="n">
        <v>1.15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After Close-out (final)</t>
        </is>
      </c>
      <c r="E218" s="13" t="n">
        <v>0.7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4</t>
        </is>
      </c>
      <c r="C219" s="11" t="inlineStr">
        <is>
          <t>fully outsourced</t>
        </is>
      </c>
      <c r="D219" s="11" t="inlineStr">
        <is>
          <t>Before-Start-up</t>
        </is>
      </c>
      <c r="E219" s="13" t="n">
        <v>0.34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4</t>
        </is>
      </c>
      <c r="C220" s="11" t="inlineStr">
        <is>
          <t>fully outsourced</t>
        </is>
      </c>
      <c r="D220" s="11" t="inlineStr">
        <is>
          <t>Start-up</t>
        </is>
      </c>
      <c r="E220" s="13" t="n">
        <v>0.75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4</t>
        </is>
      </c>
      <c r="C221" s="11" t="inlineStr">
        <is>
          <t>fully outsourced</t>
        </is>
      </c>
      <c r="D221" s="11" t="inlineStr">
        <is>
          <t>Conduct (interim)</t>
        </is>
      </c>
      <c r="E221" s="13" t="n">
        <v>0.62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4</t>
        </is>
      </c>
      <c r="C222" s="11" t="inlineStr">
        <is>
          <t>fully outsourced</t>
        </is>
      </c>
      <c r="D222" s="11" t="inlineStr">
        <is>
          <t>Close-out (interim)</t>
        </is>
      </c>
      <c r="E222" s="13" t="n">
        <v>0.68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4</t>
        </is>
      </c>
      <c r="C223" s="11" t="inlineStr">
        <is>
          <t>fully outsourced</t>
        </is>
      </c>
      <c r="D223" s="11" t="inlineStr">
        <is>
          <t>Conduct (final)</t>
        </is>
      </c>
      <c r="E223" s="13" t="n">
        <v>0.62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4</t>
        </is>
      </c>
      <c r="C224" s="11" t="inlineStr">
        <is>
          <t>fully outsourced</t>
        </is>
      </c>
      <c r="D224" s="11" t="inlineStr">
        <is>
          <t>Close-out (final)</t>
        </is>
      </c>
      <c r="E224" s="13" t="n">
        <v>0.82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After Close-out (final)</t>
        </is>
      </c>
      <c r="E225" s="13" t="n">
        <v>0.49</v>
      </c>
      <c r="F225" s="9" t="inlineStr">
        <is>
          <t>Illustrative - fully outsourced</t>
        </is>
      </c>
    </row>
    <row r="226">
      <c r="A226" s="11" t="inlineStr">
        <is>
          <t>Biosimilar CT (Patient)</t>
        </is>
      </c>
      <c r="B226" s="11" t="inlineStr">
        <is>
          <t>Phase 1</t>
        </is>
      </c>
      <c r="C226" s="11" t="inlineStr">
        <is>
          <t>fully outsourced</t>
        </is>
      </c>
      <c r="D226" s="11" t="inlineStr">
        <is>
          <t>Before-Start-up</t>
        </is>
      </c>
      <c r="E226" s="13" t="n">
        <v>0.44</v>
      </c>
      <c r="F226" s="9" t="inlineStr">
        <is>
          <t>Illustrative - fully outsourced</t>
        </is>
      </c>
    </row>
    <row r="227">
      <c r="A227" s="11" t="inlineStr">
        <is>
          <t>Biosimilar CT (Patient)</t>
        </is>
      </c>
      <c r="B227" s="11" t="inlineStr">
        <is>
          <t>Phase 1</t>
        </is>
      </c>
      <c r="C227" s="11" t="inlineStr">
        <is>
          <t>fully outsourced</t>
        </is>
      </c>
      <c r="D227" s="11" t="inlineStr">
        <is>
          <t>Start-up</t>
        </is>
      </c>
      <c r="E227" s="13" t="n">
        <v>0.96</v>
      </c>
      <c r="F227" s="9" t="inlineStr">
        <is>
          <t>Illustrative - fully outsourced</t>
        </is>
      </c>
    </row>
    <row r="228">
      <c r="A228" s="11" t="inlineStr">
        <is>
          <t>Biosimilar CT (Patient)</t>
        </is>
      </c>
      <c r="B228" s="11" t="inlineStr">
        <is>
          <t>Phase 1</t>
        </is>
      </c>
      <c r="C228" s="11" t="inlineStr">
        <is>
          <t>fully outsourced</t>
        </is>
      </c>
      <c r="D228" s="11" t="inlineStr">
        <is>
          <t>Conduct (interim)</t>
        </is>
      </c>
      <c r="E228" s="13" t="n">
        <v>0.74</v>
      </c>
      <c r="F228" s="9" t="inlineStr">
        <is>
          <t>Illustrative - fully outsourced</t>
        </is>
      </c>
    </row>
    <row r="229">
      <c r="A229" s="11" t="inlineStr">
        <is>
          <t>Biosimilar CT (Patient)</t>
        </is>
      </c>
      <c r="B229" s="11" t="inlineStr">
        <is>
          <t>Phase 1</t>
        </is>
      </c>
      <c r="C229" s="11" t="inlineStr">
        <is>
          <t>fully outsourced</t>
        </is>
      </c>
      <c r="D229" s="11" t="inlineStr">
        <is>
          <t>Close-out (interim)</t>
        </is>
      </c>
      <c r="E229" s="13" t="n">
        <v>0.88</v>
      </c>
      <c r="F229" s="9" t="inlineStr">
        <is>
          <t>Illustrative - fully outsourced</t>
        </is>
      </c>
    </row>
    <row r="230">
      <c r="A230" s="11" t="inlineStr">
        <is>
          <t>Biosimilar CT (Patient)</t>
        </is>
      </c>
      <c r="B230" s="11" t="inlineStr">
        <is>
          <t>Phase 1</t>
        </is>
      </c>
      <c r="C230" s="11" t="inlineStr">
        <is>
          <t>fully outsourced</t>
        </is>
      </c>
      <c r="D230" s="11" t="inlineStr">
        <is>
          <t>Conduct (final)</t>
        </is>
      </c>
      <c r="E230" s="13" t="n">
        <v>0.74</v>
      </c>
      <c r="F230" s="9" t="inlineStr">
        <is>
          <t>Illustrative - fully outsourced</t>
        </is>
      </c>
    </row>
    <row r="231">
      <c r="A231" s="11" t="inlineStr">
        <is>
          <t>Biosimilar CT (Patient)</t>
        </is>
      </c>
      <c r="B231" s="11" t="inlineStr">
        <is>
          <t>Phase 1</t>
        </is>
      </c>
      <c r="C231" s="11" t="inlineStr">
        <is>
          <t>fully outsourced</t>
        </is>
      </c>
      <c r="D231" s="11" t="inlineStr">
        <is>
          <t>Close-out (final)</t>
        </is>
      </c>
      <c r="E231" s="13" t="n">
        <v>1.03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After Close-out (final)</t>
        </is>
      </c>
      <c r="E232" s="13" t="n">
        <v>0.62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2</t>
        </is>
      </c>
      <c r="C233" s="11" t="inlineStr">
        <is>
          <t>fully outsourced</t>
        </is>
      </c>
      <c r="D233" s="11" t="inlineStr">
        <is>
          <t>Before-Start-up</t>
        </is>
      </c>
      <c r="E233" s="13" t="n">
        <v>0.51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2</t>
        </is>
      </c>
      <c r="C234" s="11" t="inlineStr">
        <is>
          <t>fully outsourced</t>
        </is>
      </c>
      <c r="D234" s="11" t="inlineStr">
        <is>
          <t>Start-up</t>
        </is>
      </c>
      <c r="E234" s="13" t="n">
        <v>1.03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2</t>
        </is>
      </c>
      <c r="C235" s="11" t="inlineStr">
        <is>
          <t>fully outsourced</t>
        </is>
      </c>
      <c r="D235" s="11" t="inlineStr">
        <is>
          <t>Conduct (interim)</t>
        </is>
      </c>
      <c r="E235" s="13" t="n">
        <v>0.8100000000000001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2</t>
        </is>
      </c>
      <c r="C236" s="11" t="inlineStr">
        <is>
          <t>fully outsourced</t>
        </is>
      </c>
      <c r="D236" s="11" t="inlineStr">
        <is>
          <t>Close-out (interim)</t>
        </is>
      </c>
      <c r="E236" s="13" t="n">
        <v>0.96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2</t>
        </is>
      </c>
      <c r="C237" s="11" t="inlineStr">
        <is>
          <t>fully outsourced</t>
        </is>
      </c>
      <c r="D237" s="11" t="inlineStr">
        <is>
          <t>Conduct (final)</t>
        </is>
      </c>
      <c r="E237" s="13" t="n">
        <v>0.8100000000000001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2</t>
        </is>
      </c>
      <c r="C238" s="11" t="inlineStr">
        <is>
          <t>fully outsourced</t>
        </is>
      </c>
      <c r="D238" s="11" t="inlineStr">
        <is>
          <t>Close-out (final)</t>
        </is>
      </c>
      <c r="E238" s="13" t="n">
        <v>1.1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After Close-out (final)</t>
        </is>
      </c>
      <c r="E239" s="13" t="n">
        <v>0.66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3</t>
        </is>
      </c>
      <c r="C240" s="11" t="inlineStr">
        <is>
          <t>fully outsourced</t>
        </is>
      </c>
      <c r="D240" s="11" t="inlineStr">
        <is>
          <t>Before-Start-up</t>
        </is>
      </c>
      <c r="E240" s="13" t="n">
        <v>0.59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3</t>
        </is>
      </c>
      <c r="C241" s="11" t="inlineStr">
        <is>
          <t>fully outsourced</t>
        </is>
      </c>
      <c r="D241" s="11" t="inlineStr">
        <is>
          <t>Start-up</t>
        </is>
      </c>
      <c r="E241" s="13" t="n">
        <v>1.18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3</t>
        </is>
      </c>
      <c r="C242" s="11" t="inlineStr">
        <is>
          <t>fully outsourced</t>
        </is>
      </c>
      <c r="D242" s="11" t="inlineStr">
        <is>
          <t>Conduct (interim)</t>
        </is>
      </c>
      <c r="E242" s="13" t="n">
        <v>0.88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3</t>
        </is>
      </c>
      <c r="C243" s="11" t="inlineStr">
        <is>
          <t>fully outsourced</t>
        </is>
      </c>
      <c r="D243" s="11" t="inlineStr">
        <is>
          <t>Close-out (interim)</t>
        </is>
      </c>
      <c r="E243" s="13" t="n">
        <v>1.03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3</t>
        </is>
      </c>
      <c r="C244" s="11" t="inlineStr">
        <is>
          <t>fully outsourced</t>
        </is>
      </c>
      <c r="D244" s="11" t="inlineStr">
        <is>
          <t>Conduct (final)</t>
        </is>
      </c>
      <c r="E244" s="13" t="n">
        <v>0.88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3</t>
        </is>
      </c>
      <c r="C245" s="11" t="inlineStr">
        <is>
          <t>fully outsourced</t>
        </is>
      </c>
      <c r="D245" s="11" t="inlineStr">
        <is>
          <t>Close-out (final)</t>
        </is>
      </c>
      <c r="E245" s="13" t="n">
        <v>1.25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After Close-out (final)</t>
        </is>
      </c>
      <c r="E246" s="13" t="n">
        <v>0.75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4</t>
        </is>
      </c>
      <c r="C247" s="11" t="inlineStr">
        <is>
          <t>fully outsourced</t>
        </is>
      </c>
      <c r="D247" s="11" t="inlineStr">
        <is>
          <t>Before-Start-up</t>
        </is>
      </c>
      <c r="E247" s="13" t="n">
        <v>0.37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4</t>
        </is>
      </c>
      <c r="C248" s="11" t="inlineStr">
        <is>
          <t>fully outsourced</t>
        </is>
      </c>
      <c r="D248" s="11" t="inlineStr">
        <is>
          <t>Start-up</t>
        </is>
      </c>
      <c r="E248" s="13" t="n">
        <v>0.8100000000000001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4</t>
        </is>
      </c>
      <c r="C249" s="11" t="inlineStr">
        <is>
          <t>fully outsourced</t>
        </is>
      </c>
      <c r="D249" s="11" t="inlineStr">
        <is>
          <t>Conduct (interim)</t>
        </is>
      </c>
      <c r="E249" s="13" t="n">
        <v>0.66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4</t>
        </is>
      </c>
      <c r="C250" s="11" t="inlineStr">
        <is>
          <t>fully outsourced</t>
        </is>
      </c>
      <c r="D250" s="11" t="inlineStr">
        <is>
          <t>Close-out (interim)</t>
        </is>
      </c>
      <c r="E250" s="13" t="n">
        <v>0.74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4</t>
        </is>
      </c>
      <c r="C251" s="11" t="inlineStr">
        <is>
          <t>fully outsourced</t>
        </is>
      </c>
      <c r="D251" s="11" t="inlineStr">
        <is>
          <t>Conduct (final)</t>
        </is>
      </c>
      <c r="E251" s="13" t="n">
        <v>0.66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4</t>
        </is>
      </c>
      <c r="C252" s="11" t="inlineStr">
        <is>
          <t>fully outsourced</t>
        </is>
      </c>
      <c r="D252" s="11" t="inlineStr">
        <is>
          <t>Close-out (final)</t>
        </is>
      </c>
      <c r="E252" s="13" t="n">
        <v>0.88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After Close-out (final)</t>
        </is>
      </c>
      <c r="E253" s="13" t="n">
        <v>0.53</v>
      </c>
      <c r="F253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Data Management</t>
        </is>
      </c>
      <c r="D4" s="9" t="inlineStr">
        <is>
          <t>Lead data manager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Clinical Data Associator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Clinical Data Associator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Programming</t>
        </is>
      </c>
      <c r="D8" s="9" t="inlineStr">
        <is>
          <t>Clinical Database Programmer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Programming</t>
        </is>
      </c>
      <c r="D9" s="9" t="inlineStr">
        <is>
          <t>Clinical Database Programmer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Biostatistics</t>
        </is>
      </c>
      <c r="D10" s="9" t="inlineStr">
        <is>
          <t>Data Analyst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Business Systems</t>
        </is>
      </c>
      <c r="D11" s="9" t="inlineStr">
        <is>
          <t>Other staff</t>
        </is>
      </c>
      <c r="E11" s="9" t="n">
        <v>0.6</v>
      </c>
      <c r="F11" s="12" t="n"/>
      <c r="G11" s="12" t="n"/>
      <c r="H11" s="9" t="n"/>
      <c r="I11" s="9" t="n"/>
      <c r="J11" s="9" t="n"/>
      <c r="K11" s="9" t="n"/>
      <c r="L1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0.31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PSN-003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45778</v>
      </c>
      <c r="G3" s="8" t="n">
        <v>46446</v>
      </c>
      <c r="H3" s="7" t="n">
        <v>0.38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PSN-005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45778</v>
      </c>
      <c r="G4" s="8" t="n">
        <v>46446</v>
      </c>
      <c r="H4" s="7" t="n">
        <v>0.27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PSN-007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0.28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PSN-009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45778</v>
      </c>
      <c r="G6" s="8" t="n">
        <v>46415</v>
      </c>
      <c r="H6" s="7" t="n">
        <v>0.13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46023</v>
      </c>
      <c r="G7" s="8" t="n">
        <v>46812</v>
      </c>
      <c r="H7" s="7" t="n">
        <v>0.31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PSN-004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0.36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PSN-006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46023</v>
      </c>
      <c r="G9" s="8" t="n">
        <v>46873</v>
      </c>
      <c r="H9" s="7" t="n">
        <v>0.33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PSN-008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45992</v>
      </c>
      <c r="G10" s="8" t="n">
        <v>46873</v>
      </c>
      <c r="H10" s="7" t="n">
        <v>0.23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PSN-009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0.17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PSN-001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46023</v>
      </c>
      <c r="G12" s="8" t="n">
        <v>46903</v>
      </c>
      <c r="H12" s="7" t="n">
        <v>0.31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PSN-003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46082</v>
      </c>
      <c r="G13" s="8" t="n">
        <v>46903</v>
      </c>
      <c r="H13" s="7" t="n">
        <v>0.32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PSN-005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0.31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PSN-007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46873</v>
      </c>
      <c r="H15" s="7" t="n">
        <v>0.34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PSN-009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0.15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PSN-002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0.28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PSN-004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45809</v>
      </c>
      <c r="G18" s="8" t="n">
        <v>46721</v>
      </c>
      <c r="H18" s="7" t="n">
        <v>0.28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PSN-006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45839</v>
      </c>
      <c r="G19" s="8" t="n">
        <v>46721</v>
      </c>
      <c r="H19" s="7" t="n">
        <v>0.31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PSN-008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0.28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PSN-009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45809</v>
      </c>
      <c r="G21" s="8" t="n">
        <v>46690</v>
      </c>
      <c r="H21" s="7" t="n">
        <v>0.13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PSN-001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46054</v>
      </c>
      <c r="G22" s="8" t="n">
        <v>46903</v>
      </c>
      <c r="H22" s="7" t="n">
        <v>0.26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PSN-003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0.38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PSN-007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46082</v>
      </c>
      <c r="G24" s="8" t="n">
        <v>46903</v>
      </c>
      <c r="H24" s="7" t="n">
        <v>0.3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PSN-009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46023</v>
      </c>
      <c r="G25" s="8" t="n">
        <v>46934</v>
      </c>
      <c r="H25" s="7" t="n">
        <v>0.18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PSN-002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0.25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PSN-004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45689</v>
      </c>
      <c r="G27" s="8" t="n">
        <v>46356</v>
      </c>
      <c r="H27" s="7" t="n">
        <v>0.37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PSN-005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45748</v>
      </c>
      <c r="G28" s="8" t="n">
        <v>46418</v>
      </c>
      <c r="H28" s="7" t="n">
        <v>0.29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PSN-008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0.28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PSN-009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45689</v>
      </c>
      <c r="G30" s="8" t="n">
        <v>46387</v>
      </c>
      <c r="H30" s="7" t="n">
        <v>0.14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45962</v>
      </c>
      <c r="G31" s="8" t="n">
        <v>47149</v>
      </c>
      <c r="H31" s="7" t="n">
        <v>0.29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PSN-003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0.3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PSN-006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45992</v>
      </c>
      <c r="G33" s="8" t="n">
        <v>47177</v>
      </c>
      <c r="H33" s="7" t="n">
        <v>0.24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PSN-007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45931</v>
      </c>
      <c r="G34" s="8" t="n">
        <v>47149</v>
      </c>
      <c r="H34" s="7" t="n">
        <v>0.31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PSN-009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0.14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45992</v>
      </c>
      <c r="G36" s="8" t="n">
        <v>47177</v>
      </c>
      <c r="H36" s="7" t="n">
        <v>0.34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PSN-004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45992</v>
      </c>
      <c r="G37" s="8" t="n">
        <v>47208</v>
      </c>
      <c r="H37" s="7" t="n">
        <v>0.37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PSN-005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0.34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PSN-008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45992</v>
      </c>
      <c r="G39" s="8" t="n">
        <v>47208</v>
      </c>
      <c r="H39" s="7" t="n">
        <v>0.28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PSN-009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45931</v>
      </c>
      <c r="G40" s="8" t="n">
        <v>47149</v>
      </c>
      <c r="H40" s="7" t="n">
        <v>0.13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PSN-001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lead</t>
        </is>
      </c>
      <c r="F41" s="8" t="n"/>
      <c r="G41" s="8" t="n"/>
      <c r="H41" s="7" t="n">
        <v>0.39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PSN-005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Main staff</t>
        </is>
      </c>
      <c r="F42" s="8" t="n">
        <v>46478</v>
      </c>
      <c r="G42" s="8" t="n">
        <v>46568</v>
      </c>
      <c r="H42" s="7" t="n">
        <v>0.28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PSN-006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Other staff</t>
        </is>
      </c>
      <c r="F43" s="8" t="n">
        <v>46419</v>
      </c>
      <c r="G43" s="8" t="n">
        <v>46538</v>
      </c>
      <c r="H43" s="7" t="n">
        <v>0.28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PSN-003</t>
        </is>
      </c>
      <c r="C44" s="9">
        <f>IFERROR(INDEX(Person!$B:$B,MATCH($B44,Person!$A:$A,0)),"")</f>
        <v/>
      </c>
      <c r="D44" s="6" t="inlineStr">
        <is>
          <t>PRJ-010</t>
        </is>
      </c>
      <c r="E44" s="7" t="inlineStr">
        <is>
          <t>Project lead</t>
        </is>
      </c>
      <c r="F44" s="8" t="n"/>
      <c r="G44" s="8" t="n"/>
      <c r="H44" s="7" t="n">
        <v>0.32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PSN-007</t>
        </is>
      </c>
      <c r="C45" s="9">
        <f>IFERROR(INDEX(Person!$B:$B,MATCH($B45,Person!$A:$A,0)),"")</f>
        <v/>
      </c>
      <c r="D45" s="6" t="inlineStr">
        <is>
          <t>PRJ-010</t>
        </is>
      </c>
      <c r="E45" s="7" t="inlineStr">
        <is>
          <t>Main staff</t>
        </is>
      </c>
      <c r="F45" s="8" t="n">
        <v>46419</v>
      </c>
      <c r="G45" s="8" t="n">
        <v>46660</v>
      </c>
      <c r="H45" s="7" t="n">
        <v>0.23</v>
      </c>
      <c r="I45" s="7" t="n"/>
      <c r="J45" s="7" t="n"/>
      <c r="K45" s="7" t="n"/>
    </row>
    <row r="46">
      <c r="A46" s="6" t="inlineStr">
        <is>
          <t>ASG-901</t>
        </is>
      </c>
      <c r="B46" s="6" t="inlineStr">
        <is>
          <t>PSN-010</t>
        </is>
      </c>
      <c r="C46" s="9">
        <f>IFERROR(INDEX(Person!$B:$B,MATCH($B46,Person!$A:$A,0)),"")</f>
        <v/>
      </c>
      <c r="D46" s="6" t="inlineStr">
        <is>
          <t>PRJ-009</t>
        </is>
      </c>
      <c r="E46" s="7" t="inlineStr">
        <is>
          <t>Other staff</t>
        </is>
      </c>
      <c r="F46" s="8" t="n">
        <v>46419</v>
      </c>
      <c r="G46" s="8" t="n">
        <v>46568</v>
      </c>
      <c r="H46" s="7" t="n">
        <v>0.18</v>
      </c>
      <c r="I46" s="7" t="n"/>
      <c r="J46" s="7" t="n"/>
      <c r="K46" s="7" t="n"/>
    </row>
    <row r="47">
      <c r="A47" s="6" t="inlineStr">
        <is>
          <t>ASG-902</t>
        </is>
      </c>
      <c r="B47" s="6" t="inlineStr">
        <is>
          <t>PSN-001</t>
        </is>
      </c>
      <c r="C47" s="9">
        <f>IFERROR(INDEX(Person!$B:$B,MATCH($B47,Person!$A:$A,0)),"")</f>
        <v/>
      </c>
      <c r="D47" s="6" t="inlineStr">
        <is>
          <t>PRJ-002</t>
        </is>
      </c>
      <c r="E47" s="7" t="inlineStr">
        <is>
          <t>Project oversight</t>
        </is>
      </c>
      <c r="F47" s="8" t="n">
        <v>46023</v>
      </c>
      <c r="G47" s="8" t="n">
        <v>46507</v>
      </c>
      <c r="H47" s="7" t="n">
        <v>0.35</v>
      </c>
      <c r="I47" s="7" t="n"/>
      <c r="J47" s="7" t="n"/>
      <c r="K47" s="7" t="n"/>
    </row>
    <row r="48">
      <c r="A48" s="6" t="inlineStr">
        <is>
          <t>ASG-903</t>
        </is>
      </c>
      <c r="B48" s="6" t="inlineStr">
        <is>
          <t>PSN-001</t>
        </is>
      </c>
      <c r="C48" s="9">
        <f>IFERROR(INDEX(Person!$B:$B,MATCH($B48,Person!$A:$A,0)),"")</f>
        <v/>
      </c>
      <c r="D48" s="6" t="inlineStr">
        <is>
          <t>PRJ-006</t>
        </is>
      </c>
      <c r="E48" s="7" t="inlineStr">
        <is>
          <t>Project oversight</t>
        </is>
      </c>
      <c r="F48" s="8" t="n">
        <v>45748</v>
      </c>
      <c r="G48" s="8" t="n">
        <v>46112</v>
      </c>
      <c r="H48" s="7" t="n">
        <v>0.35</v>
      </c>
      <c r="I48" s="7" t="n"/>
      <c r="J48" s="7" t="n"/>
      <c r="K48" s="7" t="n"/>
    </row>
    <row r="49">
      <c r="A49" s="6" t="inlineStr">
        <is>
          <t>ASG-904</t>
        </is>
      </c>
      <c r="B49" s="6" t="inlineStr">
        <is>
          <t>PSN-010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Other staff</t>
        </is>
      </c>
      <c r="F49" s="8" t="n">
        <v>46388</v>
      </c>
      <c r="G49" s="8" t="n">
        <v>46630</v>
      </c>
      <c r="H49" s="7" t="n">
        <v>0.22</v>
      </c>
      <c r="I49" s="7" t="n"/>
      <c r="J49" s="7" t="n"/>
      <c r="K49" s="7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46023</v>
      </c>
      <c r="C2" s="12" t="n">
        <v>46173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46327</v>
      </c>
      <c r="C3" s="12" t="n">
        <v>46477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45870</v>
      </c>
      <c r="C4" s="12" t="n">
        <v>45991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1" t="inlineStr">
        <is>
          <t>period_name_clinical</t>
        </is>
      </c>
      <c r="B39" s="9" t="inlineStr">
        <is>
          <t>Start-up</t>
        </is>
      </c>
      <c r="C39" s="9" t="n"/>
    </row>
    <row r="40">
      <c r="A40" s="11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1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1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1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1" t="inlineStr">
        <is>
          <t>period_name_others</t>
        </is>
      </c>
      <c r="B45" s="9" t="inlineStr">
        <is>
          <t>Planning</t>
        </is>
      </c>
      <c r="C45" s="9" t="n"/>
    </row>
    <row r="46">
      <c r="A46" s="11" t="inlineStr">
        <is>
          <t>period_name_others</t>
        </is>
      </c>
      <c r="B46" s="9" t="inlineStr">
        <is>
          <t>Develop</t>
        </is>
      </c>
      <c r="C46" s="9" t="n"/>
    </row>
    <row r="47">
      <c r="A47" s="11" t="inlineStr">
        <is>
          <t>period_name_others</t>
        </is>
      </c>
      <c r="B47" s="9" t="inlineStr">
        <is>
          <t>Close</t>
        </is>
      </c>
      <c r="C47" s="9" t="n"/>
    </row>
    <row r="48">
      <c r="A48" s="11" t="inlineStr">
        <is>
          <t>role_clinical</t>
        </is>
      </c>
      <c r="B48" s="9" t="inlineStr">
        <is>
          <t>Project oversight</t>
        </is>
      </c>
      <c r="C48" s="9" t="n"/>
    </row>
    <row r="49">
      <c r="A49" s="11" t="inlineStr">
        <is>
          <t>role_clinical</t>
        </is>
      </c>
      <c r="B49" s="9" t="inlineStr">
        <is>
          <t>Lead data manager</t>
        </is>
      </c>
      <c r="C49" s="9" t="n"/>
    </row>
    <row r="50">
      <c r="A50" s="11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1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1" t="inlineStr">
        <is>
          <t>role_clinical</t>
        </is>
      </c>
      <c r="B52" s="9" t="inlineStr">
        <is>
          <t>Data Analyst</t>
        </is>
      </c>
      <c r="C52" s="9" t="n"/>
    </row>
    <row r="53">
      <c r="A53" s="11" t="inlineStr">
        <is>
          <t>role_others</t>
        </is>
      </c>
      <c r="B53" s="9" t="inlineStr">
        <is>
          <t>Project lead</t>
        </is>
      </c>
      <c r="C53" s="9" t="n"/>
    </row>
    <row r="54">
      <c r="A54" s="11" t="inlineStr">
        <is>
          <t>role_others</t>
        </is>
      </c>
      <c r="B54" s="9" t="inlineStr">
        <is>
          <t>Main staff</t>
        </is>
      </c>
      <c r="C54" s="9" t="n"/>
    </row>
    <row r="55">
      <c r="A55" s="11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8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unit: 'FTE' or 'percent'.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2026-08-26T09:08:54Z</dcterms:created>
  <dcterms:modified xsi:type="dcterms:W3CDTF">2026-08-26T09:08:54Z</dcterms:modified>
</cp:coreProperties>
</file>