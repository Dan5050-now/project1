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WeightStandard" sheetId="5" state="visible" r:id="rId5"/>
    <sheet name="RoleFactor" sheetId="6" state="visible" r:id="rId6"/>
    <sheet name="Person" sheetId="7" state="visible" r:id="rId7"/>
    <sheet name="Assignment" sheetId="8" state="visible" r:id="rId8"/>
    <sheet name="PersonPeriodWeight" sheetId="9" state="visible" r:id="rId9"/>
    <sheet name="Lists" sheetId="10" state="visible" r:id="rId10"/>
    <sheet name="Confi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dummy</t>
        </is>
      </c>
    </row>
    <row r="2">
      <c r="A2" s="2" t="inlineStr"/>
    </row>
    <row r="3">
      <c r="A3" s="2" t="inlineStr">
        <is>
          <t>Schema version 1.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 by formula. Do not type in these; they recalculate.</t>
        </is>
      </c>
    </row>
    <row r="8">
      <c r="A8" s="4" t="inlineStr">
        <is>
          <t xml:space="preserve">   Yellow  you must supply this value. The application cannot work it out.</t>
        </is>
      </c>
    </row>
    <row r="9">
      <c r="A9" s="4" t="inlineStr">
        <is>
          <t xml:space="preserve">   Grey italic row   an example, in the template only. Delete it before use.</t>
        </is>
      </c>
    </row>
    <row r="10">
      <c r="A10" s="2" t="inlineStr"/>
    </row>
    <row r="11">
      <c r="A11" s="3" t="inlineStr">
        <is>
          <t>SHEETS</t>
        </is>
      </c>
    </row>
    <row r="12">
      <c r="A12" s="4" t="inlineStr">
        <is>
          <t xml:space="preserve">   Project               one row per project.</t>
        </is>
      </c>
    </row>
    <row r="13">
      <c r="A13" s="4" t="inlineStr">
        <is>
          <t xml:space="preserve">   Milestone             one row per milestone. Eight standard names.</t>
        </is>
      </c>
    </row>
    <row r="14">
      <c r="A14" s="4" t="inlineStr">
        <is>
          <t xml:space="preserve">   ProjectPeriod         the periods each project passes through, with their weights.</t>
        </is>
      </c>
    </row>
    <row r="15">
      <c r="A15" s="4" t="inlineStr">
        <is>
          <t xml:space="preserve">   PeriodWeightStandard  default weights per clinical phase. Clinical trials only.</t>
        </is>
      </c>
    </row>
    <row r="16">
      <c r="A16" s="4" t="inlineStr">
        <is>
          <t xml:space="preserve">   RoleFactor            the roles and their relative burden, per project type.</t>
        </is>
      </c>
    </row>
    <row r="17">
      <c r="A17" s="4" t="inlineStr">
        <is>
          <t xml:space="preserve">   Person                one row per person.</t>
        </is>
      </c>
    </row>
    <row r="18">
      <c r="A18" s="4" t="inlineStr">
        <is>
          <t xml:space="preserve">   Assignment            one row per person + project + role.</t>
        </is>
      </c>
    </row>
    <row r="19">
      <c r="A19" s="4" t="inlineStr">
        <is>
          <t xml:space="preserve">   PersonPeriodWeight    optional windows where a person's weight differs.</t>
        </is>
      </c>
    </row>
    <row r="20">
      <c r="A20" s="4" t="inlineStr">
        <is>
          <t xml:space="preserve">   Lists                 permitted values for every dropdown.</t>
        </is>
      </c>
    </row>
    <row r="21">
      <c r="A21" s="4" t="inlineStr">
        <is>
          <t xml:space="preserve">   Config                thresholds and settings.</t>
        </is>
      </c>
    </row>
    <row r="22">
      <c r="A22" s="2" t="inlineStr"/>
    </row>
    <row r="23">
      <c r="A23" s="3" t="inlineStr">
        <is>
          <t>HOW THE CALCULATION USES THIS</t>
        </is>
      </c>
    </row>
    <row r="24">
      <c r="A24" s="4" t="inlineStr">
        <is>
          <t xml:space="preserve">   monthly load = project period weight  x  role factor  x  person weight  x  month coverage</t>
        </is>
      </c>
    </row>
    <row r="25">
      <c r="A25" s="4" t="inlineStr">
        <is>
          <t xml:space="preserve">   The result is FTE, where 1.00 FTE = 160 hours per month.</t>
        </is>
      </c>
    </row>
    <row r="26">
      <c r="A26" s="4" t="inlineStr">
        <is>
          <t xml:space="preserve">   Over-allocated:  a person's monthly total above 1.50 FTE.</t>
        </is>
      </c>
    </row>
    <row r="27">
      <c r="A27" s="4" t="inlineStr">
        <is>
          <t xml:space="preserve">   Under-allocated: below 0.80 FTE for three or more consecutive months.</t>
        </is>
      </c>
    </row>
    <row r="28">
      <c r="A28" s="2" t="inlineStr"/>
    </row>
    <row r="29">
      <c r="A29" s="3" t="inlineStr">
        <is>
          <t>PERIODS</t>
        </is>
      </c>
    </row>
    <row r="30">
      <c r="A30" s="4" t="inlineStr">
        <is>
          <t xml:space="preserve">   Clinical trial periods are derived from the milestone dates:</t>
        </is>
      </c>
    </row>
    <row r="31">
      <c r="A31" s="4" t="inlineStr">
        <is>
          <t xml:space="preserve">      Before-Start-up      project start, to the day before Start-up</t>
        </is>
      </c>
    </row>
    <row r="32">
      <c r="A32" s="4" t="inlineStr">
        <is>
          <t xml:space="preserve">      Start-up             one month before CTA submission, lasting four months</t>
        </is>
      </c>
    </row>
    <row r="33">
      <c r="A33" s="4" t="inlineStr">
        <is>
          <t xml:space="preserve">      Conduct              from the end of Start-up to the day before the next close-out</t>
        </is>
      </c>
    </row>
    <row r="34">
      <c r="A34" s="4" t="inlineStr">
        <is>
          <t xml:space="preserve">      Close-out (interim)  three months before the interim DB lock, to that lock</t>
        </is>
      </c>
    </row>
    <row r="35">
      <c r="A35" s="4" t="inlineStr">
        <is>
          <t xml:space="preserve">      Conduct  (again)     from the interim DB lock to the day before Close-out (final)</t>
        </is>
      </c>
    </row>
    <row r="36">
      <c r="A36" s="4" t="inlineStr">
        <is>
          <t xml:space="preserve">      Close-out (final)    three months before the final DB lock, to that lock</t>
        </is>
      </c>
    </row>
    <row r="37">
      <c r="A37" s="4" t="inlineStr">
        <is>
          <t xml:space="preserve">   'Conduct' therefore appears TWICE where a trial has an interim DB lock. period_seq keeps</t>
        </is>
      </c>
    </row>
    <row r="38">
      <c r="A38" s="4" t="inlineStr">
        <is>
          <t xml:space="preserve">   the two apart. A period squeezed to nothing by a tight timeline is simply omitted.</t>
        </is>
      </c>
    </row>
    <row r="39">
      <c r="A39" s="2" t="inlineStr"/>
    </row>
    <row r="40">
      <c r="A40" s="4" t="inlineStr">
        <is>
          <t xml:space="preserve">   'Others' projects have no milestones. Their period dates and weights are both typed in.</t>
        </is>
      </c>
    </row>
    <row r="41">
      <c r="A41" s="2" t="inlineStr"/>
    </row>
    <row r="42">
      <c r="A42" s="3" t="inlineStr">
        <is>
          <t>ADDING A PERMITTED VALUE</t>
        </is>
      </c>
    </row>
    <row r="43">
      <c r="A43" s="4" t="inlineStr">
        <is>
          <t xml:space="preserve">   Insert a row inside that list's block on the Lists sheet, so the block stays contiguous -</t>
        </is>
      </c>
    </row>
    <row r="44">
      <c r="A44" s="4" t="inlineStr">
        <is>
          <t xml:space="preserve">   the dropdowns read a range, not a scattered set of rows.</t>
        </is>
      </c>
    </row>
    <row r="45">
      <c r="A45" s="2" t="inlineStr"/>
    </row>
    <row r="46">
      <c r="A46" s="3" t="inlineStr">
        <is>
          <t>WHAT THIS DUMMY FILE DEMONSTRATES</t>
        </is>
      </c>
    </row>
    <row r="47">
      <c r="A47" s="4" t="inlineStr">
        <is>
          <t xml:space="preserve">   - PSN-001 is loaded across three projects and breaches the 1.50 FTE over-allocation</t>
        </is>
      </c>
    </row>
    <row r="48">
      <c r="A48" s="4" t="inlineStr">
        <is>
          <t xml:space="preserve">     threshold in several months.</t>
        </is>
      </c>
    </row>
    <row r="49">
      <c r="A49" s="4" t="inlineStr">
        <is>
          <t xml:space="preserve">   - PSN-004 sits below 0.80 FTE for well over three consecutive months, so an</t>
        </is>
      </c>
    </row>
    <row r="50">
      <c r="A50" s="4" t="inlineStr">
        <is>
          <t xml:space="preserve">     under-allocation run is raised.</t>
        </is>
      </c>
    </row>
    <row r="51">
      <c r="A51" s="4" t="inlineStr">
        <is>
          <t xml:space="preserve">   - PRJ-002, PRJ-003 and PRJ-005 have an interim DB lock, so each has TWO Conduct</t>
        </is>
      </c>
    </row>
    <row r="52">
      <c r="A52" s="4" t="inlineStr">
        <is>
          <t xml:space="preserve">     stretches and two close-out periods.</t>
        </is>
      </c>
    </row>
    <row r="53">
      <c r="A53" s="4" t="inlineStr">
        <is>
          <t xml:space="preserve">   - PRJ-001 and PRJ-004 have no interim lock, so Conduct runs once.</t>
        </is>
      </c>
    </row>
    <row r="54">
      <c r="A54" s="4" t="inlineStr">
        <is>
          <t xml:space="preserve">   - PRJ-006 and PRJ-007 are 'Others' projects with hand-entered periods.</t>
        </is>
      </c>
    </row>
    <row r="55">
      <c r="A55" s="4" t="inlineStr">
        <is>
          <t xml:space="preserve">   - ASG-001 and ASG-004 carry PersonPeriodWeight overrides.</t>
        </is>
      </c>
    </row>
    <row r="56">
      <c r="A56" s="2" t="inlineStr"/>
    </row>
    <row r="57">
      <c r="A57" s="4" t="inlineStr">
        <is>
          <t xml:space="preserve">   The weights and role factors here are ILLUSTRATIVE, so the numbers can be exercised.</t>
        </is>
      </c>
    </row>
    <row r="58">
      <c r="A58" s="4" t="inlineStr">
        <is>
          <t xml:space="preserve">   Replace them with your own before drawing any conclusion from the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2" customWidth="1" min="6" max="6"/>
    <col width="15" customWidth="1" min="7" max="7"/>
    <col width="28" customWidth="1" min="8" max="8"/>
    <col width="16" customWidth="1" min="9" max="9"/>
    <col width="16" customWidth="1" min="10" max="10"/>
    <col width="16" customWidth="1" min="11" max="11"/>
    <col width="22" customWidth="1" min="12" max="12"/>
    <col width="17" customWidth="1" min="13" max="13"/>
    <col width="26" customWidth="1" min="14" max="14"/>
    <col width="16" customWidth="1" min="15" max="15"/>
    <col width="14" customWidth="1" min="16" max="16"/>
    <col width="2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outsourcing_type</t>
        </is>
      </c>
      <c r="G1" s="5" t="inlineStr">
        <is>
          <t>EDC_setup</t>
        </is>
      </c>
      <c r="H1" s="5" t="inlineStr">
        <is>
          <t>DataReviewSystem_setup</t>
        </is>
      </c>
      <c r="I1" s="5" t="inlineStr">
        <is>
          <t>RBQM_setup</t>
        </is>
      </c>
      <c r="J1" s="5" t="inlineStr">
        <is>
          <t>DM_conduct</t>
        </is>
      </c>
      <c r="K1" s="5" t="inlineStr">
        <is>
          <t>EDC_system</t>
        </is>
      </c>
      <c r="L1" s="5" t="inlineStr">
        <is>
          <t>DataReviewSystem</t>
        </is>
      </c>
      <c r="M1" s="5" t="inlineStr">
        <is>
          <t>RBQM_system</t>
        </is>
      </c>
      <c r="N1" s="5" t="inlineStr">
        <is>
          <t>planned_member_count</t>
        </is>
      </c>
      <c r="O1" s="5" t="inlineStr">
        <is>
          <t>start_date</t>
        </is>
      </c>
      <c r="P1" s="5" t="inlineStr">
        <is>
          <t>end_date</t>
        </is>
      </c>
      <c r="Q1" s="5" t="inlineStr">
        <is>
          <t>total_period_months</t>
        </is>
      </c>
      <c r="R1" s="5" t="inlineStr">
        <is>
          <t>status</t>
        </is>
      </c>
      <c r="S1" s="5" t="inlineStr">
        <is>
          <t>note_1</t>
        </is>
      </c>
      <c r="T1" s="5" t="inlineStr">
        <is>
          <t>note_2</t>
        </is>
      </c>
      <c r="U1" s="5" t="inlineStr">
        <is>
          <t>note_3</t>
        </is>
      </c>
      <c r="V1" s="5" t="inlineStr">
        <is>
          <t>note_4</t>
        </is>
      </c>
      <c r="W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First-in-human</t>
        </is>
      </c>
      <c r="C2" s="7" t="inlineStr">
        <is>
          <t>Clinical Trial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Partial outsourcing</t>
        </is>
      </c>
      <c r="G2" s="7" t="inlineStr">
        <is>
          <t>by SB</t>
        </is>
      </c>
      <c r="H2" s="7" t="inlineStr">
        <is>
          <t>by SB</t>
        </is>
      </c>
      <c r="I2" s="7" t="inlineStr">
        <is>
          <t>by CRO</t>
        </is>
      </c>
      <c r="J2" s="7" t="inlineStr">
        <is>
          <t>by SB</t>
        </is>
      </c>
      <c r="K2" s="7" t="inlineStr">
        <is>
          <t>Veeva EDC</t>
        </is>
      </c>
      <c r="L2" s="7" t="inlineStr">
        <is>
          <t>Veeva DQS</t>
        </is>
      </c>
      <c r="M2" s="7" t="inlineStr">
        <is>
          <t>CluePoints</t>
        </is>
      </c>
      <c r="N2" s="7" t="n">
        <v>5</v>
      </c>
      <c r="O2" s="8" t="n">
        <v>45931</v>
      </c>
      <c r="P2" s="8" t="n">
        <v>46568</v>
      </c>
      <c r="Q2" s="7">
        <f>IF(OR($O2="",$P2=""),"",(YEAR($P2)-YEAR($O2))*12+MONTH($P2)-MONTH($O2)+1)</f>
        <v/>
      </c>
      <c r="R2" s="7" t="inlineStr">
        <is>
          <t>Active</t>
        </is>
      </c>
      <c r="S2" s="7" t="n"/>
      <c r="T2" s="7" t="n"/>
      <c r="U2" s="7" t="n"/>
      <c r="V2" s="7" t="n"/>
      <c r="W2" s="7" t="n"/>
    </row>
    <row r="3">
      <c r="A3" s="6" t="inlineStr">
        <is>
          <t>PRJ-002</t>
        </is>
      </c>
      <c r="B3" s="6" t="inlineStr">
        <is>
          <t>ONV-205 Dose expansion</t>
        </is>
      </c>
      <c r="C3" s="7" t="inlineStr">
        <is>
          <t>Clinical Trial</t>
        </is>
      </c>
      <c r="D3" s="7" t="inlineStr">
        <is>
          <t>Onvelaris</t>
        </is>
      </c>
      <c r="E3" s="7" t="inlineStr">
        <is>
          <t>Phase 2</t>
        </is>
      </c>
      <c r="F3" s="7" t="inlineStr">
        <is>
          <t>Full outsourcing</t>
        </is>
      </c>
      <c r="G3" s="7" t="inlineStr">
        <is>
          <t>by CRO</t>
        </is>
      </c>
      <c r="H3" s="7" t="inlineStr">
        <is>
          <t>by CRO</t>
        </is>
      </c>
      <c r="I3" s="7" t="inlineStr">
        <is>
          <t>by CRO</t>
        </is>
      </c>
      <c r="J3" s="7" t="inlineStr">
        <is>
          <t>by CRO</t>
        </is>
      </c>
      <c r="K3" s="7" t="inlineStr">
        <is>
          <t>Rave</t>
        </is>
      </c>
      <c r="L3" s="7" t="inlineStr">
        <is>
          <t>Medidata CDS</t>
        </is>
      </c>
      <c r="M3" s="7" t="inlineStr">
        <is>
          <t>Medidata CDS</t>
        </is>
      </c>
      <c r="N3" s="7" t="n">
        <v>6</v>
      </c>
      <c r="O3" s="8" t="n">
        <v>46023</v>
      </c>
      <c r="P3" s="8" t="n">
        <v>47026</v>
      </c>
      <c r="Q3" s="7">
        <f>IF(OR($O3="",$P3=""),"",(YEAR($P3)-YEAR($O3))*12+MONTH($P3)-MONTH($O3)+1)</f>
        <v/>
      </c>
      <c r="R3" s="7" t="inlineStr">
        <is>
          <t>Active</t>
        </is>
      </c>
      <c r="S3" s="7" t="n"/>
      <c r="T3" s="7" t="n"/>
      <c r="U3" s="7" t="n"/>
      <c r="V3" s="7" t="n"/>
      <c r="W3" s="7" t="n"/>
    </row>
    <row r="4">
      <c r="A4" s="6" t="inlineStr">
        <is>
          <t>PRJ-003</t>
        </is>
      </c>
      <c r="B4" s="6" t="inlineStr">
        <is>
          <t>CDX-310 Pivotal</t>
        </is>
      </c>
      <c r="C4" s="7" t="inlineStr">
        <is>
          <t>Clinical Trial</t>
        </is>
      </c>
      <c r="D4" s="7" t="inlineStr">
        <is>
          <t>Cardexa</t>
        </is>
      </c>
      <c r="E4" s="7" t="inlineStr">
        <is>
          <t>Phase 3</t>
        </is>
      </c>
      <c r="F4" s="7" t="inlineStr">
        <is>
          <t>Partial outsourcing</t>
        </is>
      </c>
      <c r="G4" s="7" t="inlineStr">
        <is>
          <t>by CRO</t>
        </is>
      </c>
      <c r="H4" s="7" t="inlineStr">
        <is>
          <t>by SB</t>
        </is>
      </c>
      <c r="I4" s="7" t="inlineStr">
        <is>
          <t>by CRO</t>
        </is>
      </c>
      <c r="J4" s="7" t="inlineStr">
        <is>
          <t>by SB</t>
        </is>
      </c>
      <c r="K4" s="7" t="inlineStr">
        <is>
          <t>Veeva EDC</t>
        </is>
      </c>
      <c r="L4" s="7" t="inlineStr">
        <is>
          <t>Veeva DQS</t>
        </is>
      </c>
      <c r="M4" s="7" t="inlineStr">
        <is>
          <t>CluePoints</t>
        </is>
      </c>
      <c r="N4" s="7" t="n">
        <v>8</v>
      </c>
      <c r="O4" s="8" t="n">
        <v>45839</v>
      </c>
      <c r="P4" s="8" t="n">
        <v>47208</v>
      </c>
      <c r="Q4" s="7">
        <f>IF(OR($O4="",$P4=""),"",(YEAR($P4)-YEAR($O4))*12+MONTH($P4)-MONTH($O4)+1)</f>
        <v/>
      </c>
      <c r="R4" s="7" t="inlineStr">
        <is>
          <t>Active</t>
        </is>
      </c>
      <c r="S4" s="7" t="n"/>
      <c r="T4" s="7" t="n"/>
      <c r="U4" s="7" t="n"/>
      <c r="V4" s="7" t="n"/>
      <c r="W4" s="7" t="n"/>
    </row>
    <row r="5">
      <c r="A5" s="6" t="inlineStr">
        <is>
          <t>PRJ-004</t>
        </is>
      </c>
      <c r="B5" s="6" t="inlineStr">
        <is>
          <t>NRX-410 Post-marketing</t>
        </is>
      </c>
      <c r="C5" s="7" t="inlineStr">
        <is>
          <t>Clinical Trial</t>
        </is>
      </c>
      <c r="D5" s="7" t="inlineStr">
        <is>
          <t>Neurexa</t>
        </is>
      </c>
      <c r="E5" s="7" t="inlineStr">
        <is>
          <t>Phase 4</t>
        </is>
      </c>
      <c r="F5" s="7" t="inlineStr">
        <is>
          <t>Full In-house</t>
        </is>
      </c>
      <c r="G5" s="7" t="inlineStr">
        <is>
          <t>by SB</t>
        </is>
      </c>
      <c r="H5" s="7" t="inlineStr">
        <is>
          <t>by SB</t>
        </is>
      </c>
      <c r="I5" s="7" t="inlineStr">
        <is>
          <t>by SB</t>
        </is>
      </c>
      <c r="J5" s="7" t="inlineStr">
        <is>
          <t>by SB</t>
        </is>
      </c>
      <c r="K5" s="7" t="inlineStr">
        <is>
          <t>eSOURCE</t>
        </is>
      </c>
      <c r="L5" s="7" t="inlineStr">
        <is>
          <t>No system (manual)</t>
        </is>
      </c>
      <c r="M5" s="7" t="inlineStr">
        <is>
          <t>No system (manual)</t>
        </is>
      </c>
      <c r="N5" s="7" t="n">
        <v>3</v>
      </c>
      <c r="O5" s="8" t="n">
        <v>46113</v>
      </c>
      <c r="P5" s="8" t="n">
        <v>46843</v>
      </c>
      <c r="Q5" s="7">
        <f>IF(OR($O5="",$P5=""),"",(YEAR($P5)-YEAR($O5))*12+MONTH($P5)-MONTH($O5)+1)</f>
        <v/>
      </c>
      <c r="R5" s="7" t="inlineStr">
        <is>
          <t>Planned</t>
        </is>
      </c>
      <c r="S5" s="7" t="n"/>
      <c r="T5" s="7" t="n"/>
      <c r="U5" s="7" t="n"/>
      <c r="V5" s="7" t="n"/>
      <c r="W5" s="7" t="n"/>
    </row>
    <row r="6">
      <c r="A6" s="6" t="inlineStr">
        <is>
          <t>PRJ-005</t>
        </is>
      </c>
      <c r="B6" s="6" t="inlineStr">
        <is>
          <t>ONV-302 Confirmatory</t>
        </is>
      </c>
      <c r="C6" s="7" t="inlineStr">
        <is>
          <t>Clinical Trial</t>
        </is>
      </c>
      <c r="D6" s="7" t="inlineStr">
        <is>
          <t>Onvelaris</t>
        </is>
      </c>
      <c r="E6" s="7" t="inlineStr">
        <is>
          <t>Phase 3</t>
        </is>
      </c>
      <c r="F6" s="7" t="inlineStr">
        <is>
          <t>Full outsourcing</t>
        </is>
      </c>
      <c r="G6" s="7" t="inlineStr">
        <is>
          <t>by CRO</t>
        </is>
      </c>
      <c r="H6" s="7" t="inlineStr">
        <is>
          <t>by CRO</t>
        </is>
      </c>
      <c r="I6" s="7" t="inlineStr">
        <is>
          <t>by CRO</t>
        </is>
      </c>
      <c r="J6" s="7" t="inlineStr">
        <is>
          <t>by CRO</t>
        </is>
      </c>
      <c r="K6" s="7" t="inlineStr">
        <is>
          <t>Rave</t>
        </is>
      </c>
      <c r="L6" s="7" t="inlineStr">
        <is>
          <t>Medidata CDS</t>
        </is>
      </c>
      <c r="M6" s="7" t="inlineStr">
        <is>
          <t>CluePoints</t>
        </is>
      </c>
      <c r="N6" s="7" t="n">
        <v>7</v>
      </c>
      <c r="O6" s="8" t="n">
        <v>46174</v>
      </c>
      <c r="P6" s="8" t="n">
        <v>47299</v>
      </c>
      <c r="Q6" s="7">
        <f>IF(OR($O6="",$P6=""),"",(YEAR($P6)-YEAR($O6))*12+MONTH($P6)-MONTH($O6)+1)</f>
        <v/>
      </c>
      <c r="R6" s="7" t="inlineStr">
        <is>
          <t>Planned</t>
        </is>
      </c>
      <c r="S6" s="7" t="n"/>
      <c r="T6" s="7" t="n"/>
      <c r="U6" s="7" t="n"/>
      <c r="V6" s="7" t="n"/>
      <c r="W6" s="7" t="n"/>
    </row>
    <row r="7">
      <c r="A7" s="6" t="inlineStr">
        <is>
          <t>PRJ-006</t>
        </is>
      </c>
      <c r="B7" s="6" t="inlineStr">
        <is>
          <t>CDISC library migration</t>
        </is>
      </c>
      <c r="C7" s="7" t="inlineStr">
        <is>
          <t>Others</t>
        </is>
      </c>
      <c r="D7" s="7" t="inlineStr"/>
      <c r="E7" s="7" t="inlineStr"/>
      <c r="F7" s="7" t="inlineStr">
        <is>
          <t>Full In-house</t>
        </is>
      </c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n">
        <v>4</v>
      </c>
      <c r="O7" s="8" t="n">
        <v>46023</v>
      </c>
      <c r="P7" s="8" t="n">
        <v>46387</v>
      </c>
      <c r="Q7" s="7">
        <f>IF(OR($O7="",$P7=""),"",(YEAR($P7)-YEAR($O7))*12+MONTH($P7)-MONTH($O7)+1)</f>
        <v/>
      </c>
      <c r="R7" s="7" t="inlineStr">
        <is>
          <t>Active</t>
        </is>
      </c>
      <c r="S7" s="7" t="n"/>
      <c r="T7" s="7" t="n"/>
      <c r="U7" s="7" t="n"/>
      <c r="V7" s="7" t="n"/>
      <c r="W7" s="7" t="n"/>
    </row>
    <row r="8">
      <c r="A8" s="6" t="inlineStr">
        <is>
          <t>PRJ-007</t>
        </is>
      </c>
      <c r="B8" s="6" t="inlineStr">
        <is>
          <t>eTMF rollout</t>
        </is>
      </c>
      <c r="C8" s="7" t="inlineStr">
        <is>
          <t>Others</t>
        </is>
      </c>
      <c r="D8" s="7" t="inlineStr"/>
      <c r="E8" s="7" t="inlineStr"/>
      <c r="F8" s="7" t="inlineStr">
        <is>
          <t>Partial outsourcing</t>
        </is>
      </c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n">
        <v>3</v>
      </c>
      <c r="O8" s="8" t="n">
        <v>46082</v>
      </c>
      <c r="P8" s="8" t="n">
        <v>46446</v>
      </c>
      <c r="Q8" s="7">
        <f>IF(OR($O8="",$P8=""),"",(YEAR($P8)-YEAR($O8))*12+MONTH($P8)-MONTH($O8)+1)</f>
        <v/>
      </c>
      <c r="R8" s="7" t="inlineStr">
        <is>
          <t>Active</t>
        </is>
      </c>
      <c r="S8" s="7" t="n"/>
      <c r="T8" s="7" t="n"/>
      <c r="U8" s="7" t="n"/>
      <c r="V8" s="7" t="n"/>
      <c r="W8" s="7" t="n"/>
    </row>
  </sheetData>
  <dataValidations count="11">
    <dataValidation sqref="C2:C400" showDropDown="0" showInputMessage="0" showErrorMessage="0" allowBlank="1" type="list">
      <formula1>Lists!$B$2:$B$3</formula1>
    </dataValidation>
    <dataValidation sqref="E2:E400" showDropDown="0" showInputMessage="0" showErrorMessage="0" allowBlank="1" type="list">
      <formula1>Lists!$B$4:$B$7</formula1>
    </dataValidation>
    <dataValidation sqref="F2:F400" showDropDown="0" showInputMessage="0" showErrorMessage="0" allowBlank="1" type="list">
      <formula1>Lists!$B$8:$B$10</formula1>
    </dataValidation>
    <dataValidation sqref="G2:G400" showDropDown="0" showInputMessage="0" showErrorMessage="0" allowBlank="1" type="list">
      <formula1>Lists!$B$11:$B$12</formula1>
    </dataValidation>
    <dataValidation sqref="H2:H400" showDropDown="0" showInputMessage="0" showErrorMessage="0" allowBlank="1" type="list">
      <formula1>Lists!$B$11:$B$12</formula1>
    </dataValidation>
    <dataValidation sqref="I2:I400" showDropDown="0" showInputMessage="0" showErrorMessage="0" allowBlank="1" type="list">
      <formula1>Lists!$B$11:$B$12</formula1>
    </dataValidation>
    <dataValidation sqref="J2:J400" showDropDown="0" showInputMessage="0" showErrorMessage="0" allowBlank="1" type="list">
      <formula1>Lists!$B$11:$B$12</formula1>
    </dataValidation>
    <dataValidation sqref="K2:K400" showDropDown="0" showInputMessage="0" showErrorMessage="0" allowBlank="1" type="list">
      <formula1>Lists!$B$13:$B$15</formula1>
    </dataValidation>
    <dataValidation sqref="L2:L400" showDropDown="0" showInputMessage="0" showErrorMessage="0" allowBlank="1" type="list">
      <formula1>Lists!$B$16:$B$18</formula1>
    </dataValidation>
    <dataValidation sqref="M2:M400" showDropDown="0" showInputMessage="0" showErrorMessage="0" allowBlank="1" type="list">
      <formula1>Lists!$B$19:$B$21</formula1>
    </dataValidation>
    <dataValidation sqref="R2:R400" showDropDown="0" showInputMessage="0" showErrorMessage="0" allowBlank="1" type="list">
      <formula1>Lists!$B$22:$B$25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</row>
    <row r="2">
      <c r="A2" s="6" t="inlineStr">
        <is>
          <t>PRJ-001</t>
        </is>
      </c>
      <c r="B2" s="7">
        <f>IFERROR(INDEX(Project!$B:$B,MATCH($A2,Project!$A:$A,0)),"")</f>
        <v/>
      </c>
      <c r="C2" s="7" t="inlineStr">
        <is>
          <t>Protocol (v1)</t>
        </is>
      </c>
      <c r="D2" s="8" t="n">
        <v>45945</v>
      </c>
      <c r="E2" s="7" t="n">
        <v>1</v>
      </c>
    </row>
    <row r="3">
      <c r="A3" s="6" t="inlineStr">
        <is>
          <t>PRJ-001</t>
        </is>
      </c>
      <c r="B3" s="7">
        <f>IFERROR(INDEX(Project!$B:$B,MATCH($A3,Project!$A:$A,0)),"")</f>
        <v/>
      </c>
      <c r="C3" s="7" t="inlineStr">
        <is>
          <t>CTA submission</t>
        </is>
      </c>
      <c r="D3" s="8" t="n">
        <v>46037</v>
      </c>
      <c r="E3" s="7" t="n">
        <v>2</v>
      </c>
    </row>
    <row r="4">
      <c r="A4" s="6" t="inlineStr">
        <is>
          <t>PRJ-001</t>
        </is>
      </c>
      <c r="B4" s="7">
        <f>IFERROR(INDEX(Project!$B:$B,MATCH($A4,Project!$A:$A,0)),"")</f>
        <v/>
      </c>
      <c r="C4" s="7" t="inlineStr">
        <is>
          <t>First SIV</t>
        </is>
      </c>
      <c r="D4" s="8" t="n">
        <v>46113</v>
      </c>
      <c r="E4" s="7" t="n">
        <v>3</v>
      </c>
    </row>
    <row r="5">
      <c r="A5" s="6" t="inlineStr">
        <is>
          <t>PRJ-001</t>
        </is>
      </c>
      <c r="B5" s="7">
        <f>IFERROR(INDEX(Project!$B:$B,MATCH($A5,Project!$A:$A,0)),"")</f>
        <v/>
      </c>
      <c r="C5" s="7" t="inlineStr">
        <is>
          <t>LPI</t>
        </is>
      </c>
      <c r="D5" s="8" t="n">
        <v>46356</v>
      </c>
      <c r="E5" s="7" t="n">
        <v>4</v>
      </c>
    </row>
    <row r="6">
      <c r="A6" s="6" t="inlineStr">
        <is>
          <t>PRJ-001</t>
        </is>
      </c>
      <c r="B6" s="7">
        <f>IFERROR(INDEX(Project!$B:$B,MATCH($A6,Project!$A:$A,0)),"")</f>
        <v/>
      </c>
      <c r="C6" s="7" t="inlineStr">
        <is>
          <t>final DB lock cut-off</t>
        </is>
      </c>
      <c r="D6" s="8" t="n">
        <v>46477</v>
      </c>
      <c r="E6" s="7" t="n">
        <v>5</v>
      </c>
    </row>
    <row r="7">
      <c r="A7" s="6" t="inlineStr">
        <is>
          <t>PRJ-001</t>
        </is>
      </c>
      <c r="B7" s="7">
        <f>IFERROR(INDEX(Project!$B:$B,MATCH($A7,Project!$A:$A,0)),"")</f>
        <v/>
      </c>
      <c r="C7" s="7" t="inlineStr">
        <is>
          <t>final DB lock</t>
        </is>
      </c>
      <c r="D7" s="8" t="n">
        <v>46538</v>
      </c>
      <c r="E7" s="7" t="n">
        <v>6</v>
      </c>
    </row>
    <row r="8">
      <c r="A8" s="6" t="inlineStr">
        <is>
          <t>PRJ-002</t>
        </is>
      </c>
      <c r="B8" s="7">
        <f>IFERROR(INDEX(Project!$B:$B,MATCH($A8,Project!$A:$A,0)),"")</f>
        <v/>
      </c>
      <c r="C8" s="7" t="inlineStr">
        <is>
          <t>Protocol (v1)</t>
        </is>
      </c>
      <c r="D8" s="8" t="n">
        <v>46042</v>
      </c>
      <c r="E8" s="7" t="n">
        <v>1</v>
      </c>
    </row>
    <row r="9">
      <c r="A9" s="6" t="inlineStr">
        <is>
          <t>PRJ-002</t>
        </is>
      </c>
      <c r="B9" s="7">
        <f>IFERROR(INDEX(Project!$B:$B,MATCH($A9,Project!$A:$A,0)),"")</f>
        <v/>
      </c>
      <c r="C9" s="7" t="inlineStr">
        <is>
          <t>CTA submission</t>
        </is>
      </c>
      <c r="D9" s="8" t="n">
        <v>46113</v>
      </c>
      <c r="E9" s="7" t="n">
        <v>2</v>
      </c>
    </row>
    <row r="10">
      <c r="A10" s="6" t="inlineStr">
        <is>
          <t>PRJ-002</t>
        </is>
      </c>
      <c r="B10" s="7">
        <f>IFERROR(INDEX(Project!$B:$B,MATCH($A10,Project!$A:$A,0)),"")</f>
        <v/>
      </c>
      <c r="C10" s="7" t="inlineStr">
        <is>
          <t>First SIV</t>
        </is>
      </c>
      <c r="D10" s="8" t="n">
        <v>46204</v>
      </c>
      <c r="E10" s="7" t="n">
        <v>3</v>
      </c>
    </row>
    <row r="11">
      <c r="A11" s="6" t="inlineStr">
        <is>
          <t>PRJ-002</t>
        </is>
      </c>
      <c r="B11" s="7">
        <f>IFERROR(INDEX(Project!$B:$B,MATCH($A11,Project!$A:$A,0)),"")</f>
        <v/>
      </c>
      <c r="C11" s="7" t="inlineStr">
        <is>
          <t>LPI</t>
        </is>
      </c>
      <c r="D11" s="8" t="n">
        <v>46568</v>
      </c>
      <c r="E11" s="7" t="n">
        <v>4</v>
      </c>
    </row>
    <row r="12">
      <c r="A12" s="6" t="inlineStr">
        <is>
          <t>PRJ-002</t>
        </is>
      </c>
      <c r="B12" s="7">
        <f>IFERROR(INDEX(Project!$B:$B,MATCH($A12,Project!$A:$A,0)),"")</f>
        <v/>
      </c>
      <c r="C12" s="7" t="inlineStr">
        <is>
          <t>interim DB lock cut-off</t>
        </is>
      </c>
      <c r="D12" s="8" t="n">
        <v>46660</v>
      </c>
      <c r="E12" s="7" t="n">
        <v>5</v>
      </c>
    </row>
    <row r="13">
      <c r="A13" s="6" t="inlineStr">
        <is>
          <t>PRJ-002</t>
        </is>
      </c>
      <c r="B13" s="7">
        <f>IFERROR(INDEX(Project!$B:$B,MATCH($A13,Project!$A:$A,0)),"")</f>
        <v/>
      </c>
      <c r="C13" s="7" t="inlineStr">
        <is>
          <t>interim DB lock</t>
        </is>
      </c>
      <c r="D13" s="8" t="n">
        <v>46721</v>
      </c>
      <c r="E13" s="7" t="n">
        <v>6</v>
      </c>
    </row>
    <row r="14">
      <c r="A14" s="6" t="inlineStr">
        <is>
          <t>PRJ-002</t>
        </is>
      </c>
      <c r="B14" s="7">
        <f>IFERROR(INDEX(Project!$B:$B,MATCH($A14,Project!$A:$A,0)),"")</f>
        <v/>
      </c>
      <c r="C14" s="7" t="inlineStr">
        <is>
          <t>final DB lock cut-off</t>
        </is>
      </c>
      <c r="D14" s="8" t="n">
        <v>46934</v>
      </c>
      <c r="E14" s="7" t="n">
        <v>7</v>
      </c>
    </row>
    <row r="15">
      <c r="A15" s="6" t="inlineStr">
        <is>
          <t>PRJ-002</t>
        </is>
      </c>
      <c r="B15" s="7">
        <f>IFERROR(INDEX(Project!$B:$B,MATCH($A15,Project!$A:$A,0)),"")</f>
        <v/>
      </c>
      <c r="C15" s="7" t="inlineStr">
        <is>
          <t>final DB lock</t>
        </is>
      </c>
      <c r="D15" s="8" t="n">
        <v>46996</v>
      </c>
      <c r="E15" s="7" t="n">
        <v>8</v>
      </c>
    </row>
    <row r="16">
      <c r="A16" s="6" t="inlineStr">
        <is>
          <t>PRJ-003</t>
        </is>
      </c>
      <c r="B16" s="7">
        <f>IFERROR(INDEX(Project!$B:$B,MATCH($A16,Project!$A:$A,0)),"")</f>
        <v/>
      </c>
      <c r="C16" s="7" t="inlineStr">
        <is>
          <t>Protocol (v1)</t>
        </is>
      </c>
      <c r="D16" s="8" t="n">
        <v>45853</v>
      </c>
      <c r="E16" s="7" t="n">
        <v>1</v>
      </c>
    </row>
    <row r="17">
      <c r="A17" s="6" t="inlineStr">
        <is>
          <t>PRJ-003</t>
        </is>
      </c>
      <c r="B17" s="7">
        <f>IFERROR(INDEX(Project!$B:$B,MATCH($A17,Project!$A:$A,0)),"")</f>
        <v/>
      </c>
      <c r="C17" s="7" t="inlineStr">
        <is>
          <t>CTA submission</t>
        </is>
      </c>
      <c r="D17" s="8" t="n">
        <v>45931</v>
      </c>
      <c r="E17" s="7" t="n">
        <v>2</v>
      </c>
    </row>
    <row r="18">
      <c r="A18" s="6" t="inlineStr">
        <is>
          <t>PRJ-003</t>
        </is>
      </c>
      <c r="B18" s="7">
        <f>IFERROR(INDEX(Project!$B:$B,MATCH($A18,Project!$A:$A,0)),"")</f>
        <v/>
      </c>
      <c r="C18" s="7" t="inlineStr">
        <is>
          <t>First SIV</t>
        </is>
      </c>
      <c r="D18" s="8" t="n">
        <v>46037</v>
      </c>
      <c r="E18" s="7" t="n">
        <v>3</v>
      </c>
    </row>
    <row r="19">
      <c r="A19" s="6" t="inlineStr">
        <is>
          <t>PRJ-003</t>
        </is>
      </c>
      <c r="B19" s="7">
        <f>IFERROR(INDEX(Project!$B:$B,MATCH($A19,Project!$A:$A,0)),"")</f>
        <v/>
      </c>
      <c r="C19" s="7" t="inlineStr">
        <is>
          <t>LPI</t>
        </is>
      </c>
      <c r="D19" s="8" t="n">
        <v>46660</v>
      </c>
      <c r="E19" s="7" t="n">
        <v>4</v>
      </c>
    </row>
    <row r="20">
      <c r="A20" s="6" t="inlineStr">
        <is>
          <t>PRJ-003</t>
        </is>
      </c>
      <c r="B20" s="7">
        <f>IFERROR(INDEX(Project!$B:$B,MATCH($A20,Project!$A:$A,0)),"")</f>
        <v/>
      </c>
      <c r="C20" s="7" t="inlineStr">
        <is>
          <t>interim DB lock cut-off</t>
        </is>
      </c>
      <c r="D20" s="8" t="n">
        <v>46752</v>
      </c>
      <c r="E20" s="7" t="n">
        <v>5</v>
      </c>
    </row>
    <row r="21">
      <c r="A21" s="6" t="inlineStr">
        <is>
          <t>PRJ-003</t>
        </is>
      </c>
      <c r="B21" s="7">
        <f>IFERROR(INDEX(Project!$B:$B,MATCH($A21,Project!$A:$A,0)),"")</f>
        <v/>
      </c>
      <c r="C21" s="7" t="inlineStr">
        <is>
          <t>interim DB lock</t>
        </is>
      </c>
      <c r="D21" s="8" t="n">
        <v>46812</v>
      </c>
      <c r="E21" s="7" t="n">
        <v>6</v>
      </c>
    </row>
    <row r="22">
      <c r="A22" s="6" t="inlineStr">
        <is>
          <t>PRJ-003</t>
        </is>
      </c>
      <c r="B22" s="7">
        <f>IFERROR(INDEX(Project!$B:$B,MATCH($A22,Project!$A:$A,0)),"")</f>
        <v/>
      </c>
      <c r="C22" s="7" t="inlineStr">
        <is>
          <t>final DB lock cut-off</t>
        </is>
      </c>
      <c r="D22" s="8" t="n">
        <v>47118</v>
      </c>
      <c r="E22" s="7" t="n">
        <v>7</v>
      </c>
    </row>
    <row r="23">
      <c r="A23" s="6" t="inlineStr">
        <is>
          <t>PRJ-003</t>
        </is>
      </c>
      <c r="B23" s="7">
        <f>IFERROR(INDEX(Project!$B:$B,MATCH($A23,Project!$A:$A,0)),"")</f>
        <v/>
      </c>
      <c r="C23" s="7" t="inlineStr">
        <is>
          <t>final DB lock</t>
        </is>
      </c>
      <c r="D23" s="8" t="n">
        <v>47177</v>
      </c>
      <c r="E23" s="7" t="n">
        <v>8</v>
      </c>
    </row>
    <row r="24">
      <c r="A24" s="6" t="inlineStr">
        <is>
          <t>PRJ-004</t>
        </is>
      </c>
      <c r="B24" s="7">
        <f>IFERROR(INDEX(Project!$B:$B,MATCH($A24,Project!$A:$A,0)),"")</f>
        <v/>
      </c>
      <c r="C24" s="7" t="inlineStr">
        <is>
          <t>Protocol (v1)</t>
        </is>
      </c>
      <c r="D24" s="8" t="n">
        <v>46122</v>
      </c>
      <c r="E24" s="7" t="n">
        <v>1</v>
      </c>
    </row>
    <row r="25">
      <c r="A25" s="6" t="inlineStr">
        <is>
          <t>PRJ-004</t>
        </is>
      </c>
      <c r="B25" s="7">
        <f>IFERROR(INDEX(Project!$B:$B,MATCH($A25,Project!$A:$A,0)),"")</f>
        <v/>
      </c>
      <c r="C25" s="7" t="inlineStr">
        <is>
          <t>CTA submission</t>
        </is>
      </c>
      <c r="D25" s="8" t="n">
        <v>46174</v>
      </c>
      <c r="E25" s="7" t="n">
        <v>2</v>
      </c>
    </row>
    <row r="26">
      <c r="A26" s="6" t="inlineStr">
        <is>
          <t>PRJ-004</t>
        </is>
      </c>
      <c r="B26" s="7">
        <f>IFERROR(INDEX(Project!$B:$B,MATCH($A26,Project!$A:$A,0)),"")</f>
        <v/>
      </c>
      <c r="C26" s="7" t="inlineStr">
        <is>
          <t>First SIV</t>
        </is>
      </c>
      <c r="D26" s="8" t="n">
        <v>46266</v>
      </c>
      <c r="E26" s="7" t="n">
        <v>3</v>
      </c>
    </row>
    <row r="27">
      <c r="A27" s="6" t="inlineStr">
        <is>
          <t>PRJ-004</t>
        </is>
      </c>
      <c r="B27" s="7">
        <f>IFERROR(INDEX(Project!$B:$B,MATCH($A27,Project!$A:$A,0)),"")</f>
        <v/>
      </c>
      <c r="C27" s="7" t="inlineStr">
        <is>
          <t>LPI</t>
        </is>
      </c>
      <c r="D27" s="8" t="n">
        <v>46568</v>
      </c>
      <c r="E27" s="7" t="n">
        <v>4</v>
      </c>
    </row>
    <row r="28">
      <c r="A28" s="6" t="inlineStr">
        <is>
          <t>PRJ-004</t>
        </is>
      </c>
      <c r="B28" s="7">
        <f>IFERROR(INDEX(Project!$B:$B,MATCH($A28,Project!$A:$A,0)),"")</f>
        <v/>
      </c>
      <c r="C28" s="7" t="inlineStr">
        <is>
          <t>final DB lock cut-off</t>
        </is>
      </c>
      <c r="D28" s="8" t="n">
        <v>46752</v>
      </c>
      <c r="E28" s="7" t="n">
        <v>5</v>
      </c>
    </row>
    <row r="29">
      <c r="A29" s="6" t="inlineStr">
        <is>
          <t>PRJ-004</t>
        </is>
      </c>
      <c r="B29" s="7">
        <f>IFERROR(INDEX(Project!$B:$B,MATCH($A29,Project!$A:$A,0)),"")</f>
        <v/>
      </c>
      <c r="C29" s="7" t="inlineStr">
        <is>
          <t>final DB lock</t>
        </is>
      </c>
      <c r="D29" s="8" t="n">
        <v>46812</v>
      </c>
      <c r="E29" s="7" t="n">
        <v>6</v>
      </c>
    </row>
    <row r="30">
      <c r="A30" s="6" t="inlineStr">
        <is>
          <t>PRJ-005</t>
        </is>
      </c>
      <c r="B30" s="7">
        <f>IFERROR(INDEX(Project!$B:$B,MATCH($A30,Project!$A:$A,0)),"")</f>
        <v/>
      </c>
      <c r="C30" s="7" t="inlineStr">
        <is>
          <t>Protocol (v1)</t>
        </is>
      </c>
      <c r="D30" s="8" t="n">
        <v>46188</v>
      </c>
      <c r="E30" s="7" t="n">
        <v>1</v>
      </c>
    </row>
    <row r="31">
      <c r="A31" s="6" t="inlineStr">
        <is>
          <t>PRJ-005</t>
        </is>
      </c>
      <c r="B31" s="7">
        <f>IFERROR(INDEX(Project!$B:$B,MATCH($A31,Project!$A:$A,0)),"")</f>
        <v/>
      </c>
      <c r="C31" s="7" t="inlineStr">
        <is>
          <t>CTA submission</t>
        </is>
      </c>
      <c r="D31" s="8" t="n">
        <v>46266</v>
      </c>
      <c r="E31" s="7" t="n">
        <v>2</v>
      </c>
    </row>
    <row r="32">
      <c r="A32" s="6" t="inlineStr">
        <is>
          <t>PRJ-005</t>
        </is>
      </c>
      <c r="B32" s="7">
        <f>IFERROR(INDEX(Project!$B:$B,MATCH($A32,Project!$A:$A,0)),"")</f>
        <v/>
      </c>
      <c r="C32" s="7" t="inlineStr">
        <is>
          <t>First SIV</t>
        </is>
      </c>
      <c r="D32" s="8" t="n">
        <v>46357</v>
      </c>
      <c r="E32" s="7" t="n">
        <v>3</v>
      </c>
    </row>
    <row r="33">
      <c r="A33" s="6" t="inlineStr">
        <is>
          <t>PRJ-005</t>
        </is>
      </c>
      <c r="B33" s="7">
        <f>IFERROR(INDEX(Project!$B:$B,MATCH($A33,Project!$A:$A,0)),"")</f>
        <v/>
      </c>
      <c r="C33" s="7" t="inlineStr">
        <is>
          <t>LPI</t>
        </is>
      </c>
      <c r="D33" s="8" t="n">
        <v>46843</v>
      </c>
      <c r="E33" s="7" t="n">
        <v>4</v>
      </c>
    </row>
    <row r="34">
      <c r="A34" s="6" t="inlineStr">
        <is>
          <t>PRJ-005</t>
        </is>
      </c>
      <c r="B34" s="7">
        <f>IFERROR(INDEX(Project!$B:$B,MATCH($A34,Project!$A:$A,0)),"")</f>
        <v/>
      </c>
      <c r="C34" s="7" t="inlineStr">
        <is>
          <t>interim DB lock cut-off</t>
        </is>
      </c>
      <c r="D34" s="8" t="n">
        <v>46934</v>
      </c>
      <c r="E34" s="7" t="n">
        <v>5</v>
      </c>
    </row>
    <row r="35">
      <c r="A35" s="6" t="inlineStr">
        <is>
          <t>PRJ-005</t>
        </is>
      </c>
      <c r="B35" s="7">
        <f>IFERROR(INDEX(Project!$B:$B,MATCH($A35,Project!$A:$A,0)),"")</f>
        <v/>
      </c>
      <c r="C35" s="7" t="inlineStr">
        <is>
          <t>interim DB lock</t>
        </is>
      </c>
      <c r="D35" s="8" t="n">
        <v>46996</v>
      </c>
      <c r="E35" s="7" t="n">
        <v>6</v>
      </c>
    </row>
    <row r="36">
      <c r="A36" s="6" t="inlineStr">
        <is>
          <t>PRJ-005</t>
        </is>
      </c>
      <c r="B36" s="7">
        <f>IFERROR(INDEX(Project!$B:$B,MATCH($A36,Project!$A:$A,0)),"")</f>
        <v/>
      </c>
      <c r="C36" s="7" t="inlineStr">
        <is>
          <t>final DB lock cut-off</t>
        </is>
      </c>
      <c r="D36" s="8" t="n">
        <v>47208</v>
      </c>
      <c r="E36" s="7" t="n">
        <v>7</v>
      </c>
    </row>
    <row r="37">
      <c r="A37" s="6" t="inlineStr">
        <is>
          <t>PRJ-005</t>
        </is>
      </c>
      <c r="B37" s="7">
        <f>IFERROR(INDEX(Project!$B:$B,MATCH($A37,Project!$A:$A,0)),"")</f>
        <v/>
      </c>
      <c r="C37" s="7" t="inlineStr">
        <is>
          <t>final DB lock</t>
        </is>
      </c>
      <c r="D37" s="8" t="n">
        <v>47269</v>
      </c>
      <c r="E37" s="7" t="n">
        <v>8</v>
      </c>
    </row>
  </sheetData>
  <dataValidations count="1">
    <dataValidation sqref="C2:C400" showDropDown="0" showInputMessage="0" showErrorMessage="0" allowBlank="1" type="list">
      <formula1>Lists!$B$26:$B$33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</row>
    <row r="2">
      <c r="A2" s="6" t="inlineStr">
        <is>
          <t>PRJ-001</t>
        </is>
      </c>
      <c r="B2" s="7" t="inlineStr">
        <is>
          <t>Before-Start-up</t>
        </is>
      </c>
      <c r="C2" s="6" t="n">
        <v>1</v>
      </c>
      <c r="D2" s="8" t="n">
        <v>45931</v>
      </c>
      <c r="E2" s="8" t="n">
        <v>46005</v>
      </c>
      <c r="F2" s="7" t="n">
        <v>0.6</v>
      </c>
    </row>
    <row r="3">
      <c r="A3" s="6" t="inlineStr">
        <is>
          <t>PRJ-001</t>
        </is>
      </c>
      <c r="B3" s="7" t="inlineStr">
        <is>
          <t>Start-up</t>
        </is>
      </c>
      <c r="C3" s="6" t="n">
        <v>2</v>
      </c>
      <c r="D3" s="8" t="n">
        <v>46006</v>
      </c>
      <c r="E3" s="8" t="n">
        <v>46126</v>
      </c>
      <c r="F3" s="7" t="n">
        <v>1.3</v>
      </c>
    </row>
    <row r="4">
      <c r="A4" s="6" t="inlineStr">
        <is>
          <t>PRJ-001</t>
        </is>
      </c>
      <c r="B4" s="7" t="inlineStr">
        <is>
          <t>Conduct</t>
        </is>
      </c>
      <c r="C4" s="6" t="n">
        <v>3</v>
      </c>
      <c r="D4" s="8" t="n">
        <v>46127</v>
      </c>
      <c r="E4" s="8" t="n">
        <v>46445</v>
      </c>
      <c r="F4" s="7" t="n">
        <v>1</v>
      </c>
    </row>
    <row r="5">
      <c r="A5" s="6" t="inlineStr">
        <is>
          <t>PRJ-001</t>
        </is>
      </c>
      <c r="B5" s="7" t="inlineStr">
        <is>
          <t>Close-out (final)</t>
        </is>
      </c>
      <c r="C5" s="6" t="n">
        <v>4</v>
      </c>
      <c r="D5" s="8" t="n">
        <v>46446</v>
      </c>
      <c r="E5" s="8" t="n">
        <v>46568</v>
      </c>
      <c r="F5" s="7" t="n">
        <v>1.4</v>
      </c>
    </row>
    <row r="6">
      <c r="A6" s="6" t="inlineStr">
        <is>
          <t>PRJ-002</t>
        </is>
      </c>
      <c r="B6" s="7" t="inlineStr">
        <is>
          <t>Before-Start-up</t>
        </is>
      </c>
      <c r="C6" s="6" t="n">
        <v>1</v>
      </c>
      <c r="D6" s="8" t="n">
        <v>46023</v>
      </c>
      <c r="E6" s="8" t="n">
        <v>46081</v>
      </c>
      <c r="F6" s="7" t="n">
        <v>0.7</v>
      </c>
    </row>
    <row r="7">
      <c r="A7" s="6" t="inlineStr">
        <is>
          <t>PRJ-002</t>
        </is>
      </c>
      <c r="B7" s="7" t="inlineStr">
        <is>
          <t>Start-up</t>
        </is>
      </c>
      <c r="C7" s="6" t="n">
        <v>2</v>
      </c>
      <c r="D7" s="8" t="n">
        <v>46082</v>
      </c>
      <c r="E7" s="8" t="n">
        <v>46203</v>
      </c>
      <c r="F7" s="7" t="n">
        <v>1.4</v>
      </c>
    </row>
    <row r="8">
      <c r="A8" s="6" t="inlineStr">
        <is>
          <t>PRJ-002</t>
        </is>
      </c>
      <c r="B8" s="7" t="inlineStr">
        <is>
          <t>Conduct</t>
        </is>
      </c>
      <c r="C8" s="6" t="n">
        <v>3</v>
      </c>
      <c r="D8" s="8" t="n">
        <v>46204</v>
      </c>
      <c r="E8" s="8" t="n">
        <v>46628</v>
      </c>
      <c r="F8" s="7" t="n">
        <v>1.1</v>
      </c>
    </row>
    <row r="9">
      <c r="A9" s="6" t="inlineStr">
        <is>
          <t>PRJ-002</t>
        </is>
      </c>
      <c r="B9" s="7" t="inlineStr">
        <is>
          <t>Close-out (interim)</t>
        </is>
      </c>
      <c r="C9" s="6" t="n">
        <v>4</v>
      </c>
      <c r="D9" s="8" t="n">
        <v>46629</v>
      </c>
      <c r="E9" s="8" t="n">
        <v>46721</v>
      </c>
      <c r="F9" s="7" t="n">
        <v>1.3</v>
      </c>
    </row>
    <row r="10">
      <c r="A10" s="6" t="inlineStr">
        <is>
          <t>PRJ-002</t>
        </is>
      </c>
      <c r="B10" s="7" t="inlineStr">
        <is>
          <t>Conduct</t>
        </is>
      </c>
      <c r="C10" s="6" t="n">
        <v>5</v>
      </c>
      <c r="D10" s="8" t="n">
        <v>46722</v>
      </c>
      <c r="E10" s="8" t="n">
        <v>46903</v>
      </c>
      <c r="F10" s="7" t="n">
        <v>1.1</v>
      </c>
    </row>
    <row r="11">
      <c r="A11" s="6" t="inlineStr">
        <is>
          <t>PRJ-002</t>
        </is>
      </c>
      <c r="B11" s="7" t="inlineStr">
        <is>
          <t>Close-out (final)</t>
        </is>
      </c>
      <c r="C11" s="6" t="n">
        <v>6</v>
      </c>
      <c r="D11" s="8" t="n">
        <v>46904</v>
      </c>
      <c r="E11" s="8" t="n">
        <v>47026</v>
      </c>
      <c r="F11" s="7" t="n">
        <v>1.5</v>
      </c>
    </row>
    <row r="12">
      <c r="A12" s="6" t="inlineStr">
        <is>
          <t>PRJ-003</t>
        </is>
      </c>
      <c r="B12" s="7" t="inlineStr">
        <is>
          <t>Before-Start-up</t>
        </is>
      </c>
      <c r="C12" s="6" t="n">
        <v>1</v>
      </c>
      <c r="D12" s="8" t="n">
        <v>45839</v>
      </c>
      <c r="E12" s="8" t="n">
        <v>45900</v>
      </c>
      <c r="F12" s="7" t="n">
        <v>0.8</v>
      </c>
    </row>
    <row r="13">
      <c r="A13" s="6" t="inlineStr">
        <is>
          <t>PRJ-003</t>
        </is>
      </c>
      <c r="B13" s="7" t="inlineStr">
        <is>
          <t>Start-up</t>
        </is>
      </c>
      <c r="C13" s="6" t="n">
        <v>2</v>
      </c>
      <c r="D13" s="8" t="n">
        <v>45901</v>
      </c>
      <c r="E13" s="8" t="n">
        <v>46022</v>
      </c>
      <c r="F13" s="7" t="n">
        <v>1.6</v>
      </c>
    </row>
    <row r="14">
      <c r="A14" s="6" t="inlineStr">
        <is>
          <t>PRJ-003</t>
        </is>
      </c>
      <c r="B14" s="7" t="inlineStr">
        <is>
          <t>Conduct</t>
        </is>
      </c>
      <c r="C14" s="6" t="n">
        <v>3</v>
      </c>
      <c r="D14" s="8" t="n">
        <v>46023</v>
      </c>
      <c r="E14" s="8" t="n">
        <v>46719</v>
      </c>
      <c r="F14" s="7" t="n">
        <v>1.2</v>
      </c>
    </row>
    <row r="15">
      <c r="A15" s="6" t="inlineStr">
        <is>
          <t>PRJ-003</t>
        </is>
      </c>
      <c r="B15" s="7" t="inlineStr">
        <is>
          <t>Close-out (interim)</t>
        </is>
      </c>
      <c r="C15" s="6" t="n">
        <v>4</v>
      </c>
      <c r="D15" s="8" t="n">
        <v>46720</v>
      </c>
      <c r="E15" s="8" t="n">
        <v>46812</v>
      </c>
      <c r="F15" s="7" t="n">
        <v>1.4</v>
      </c>
    </row>
    <row r="16">
      <c r="A16" s="6" t="inlineStr">
        <is>
          <t>PRJ-003</t>
        </is>
      </c>
      <c r="B16" s="7" t="inlineStr">
        <is>
          <t>Conduct</t>
        </is>
      </c>
      <c r="C16" s="6" t="n">
        <v>5</v>
      </c>
      <c r="D16" s="8" t="n">
        <v>46813</v>
      </c>
      <c r="E16" s="8" t="n">
        <v>47084</v>
      </c>
      <c r="F16" s="7" t="n">
        <v>1.2</v>
      </c>
    </row>
    <row r="17">
      <c r="A17" s="6" t="inlineStr">
        <is>
          <t>PRJ-003</t>
        </is>
      </c>
      <c r="B17" s="7" t="inlineStr">
        <is>
          <t>Close-out (final)</t>
        </is>
      </c>
      <c r="C17" s="6" t="n">
        <v>6</v>
      </c>
      <c r="D17" s="8" t="n">
        <v>47085</v>
      </c>
      <c r="E17" s="8" t="n">
        <v>47208</v>
      </c>
      <c r="F17" s="7" t="n">
        <v>1.7</v>
      </c>
    </row>
    <row r="18">
      <c r="A18" s="6" t="inlineStr">
        <is>
          <t>PRJ-004</t>
        </is>
      </c>
      <c r="B18" s="7" t="inlineStr">
        <is>
          <t>Before-Start-up</t>
        </is>
      </c>
      <c r="C18" s="6" t="n">
        <v>1</v>
      </c>
      <c r="D18" s="8" t="n">
        <v>46113</v>
      </c>
      <c r="E18" s="8" t="n">
        <v>46142</v>
      </c>
      <c r="F18" s="7" t="n">
        <v>0.5</v>
      </c>
    </row>
    <row r="19">
      <c r="A19" s="6" t="inlineStr">
        <is>
          <t>PRJ-004</t>
        </is>
      </c>
      <c r="B19" s="7" t="inlineStr">
        <is>
          <t>Start-up</t>
        </is>
      </c>
      <c r="C19" s="6" t="n">
        <v>2</v>
      </c>
      <c r="D19" s="8" t="n">
        <v>46143</v>
      </c>
      <c r="E19" s="8" t="n">
        <v>46265</v>
      </c>
      <c r="F19" s="7" t="n">
        <v>1.1</v>
      </c>
    </row>
    <row r="20">
      <c r="A20" s="6" t="inlineStr">
        <is>
          <t>PRJ-004</t>
        </is>
      </c>
      <c r="B20" s="7" t="inlineStr">
        <is>
          <t>Conduct</t>
        </is>
      </c>
      <c r="C20" s="6" t="n">
        <v>3</v>
      </c>
      <c r="D20" s="8" t="n">
        <v>46266</v>
      </c>
      <c r="E20" s="8" t="n">
        <v>46719</v>
      </c>
      <c r="F20" s="7" t="n">
        <v>0.9</v>
      </c>
    </row>
    <row r="21">
      <c r="A21" s="6" t="inlineStr">
        <is>
          <t>PRJ-004</t>
        </is>
      </c>
      <c r="B21" s="7" t="inlineStr">
        <is>
          <t>Close-out (final)</t>
        </is>
      </c>
      <c r="C21" s="6" t="n">
        <v>4</v>
      </c>
      <c r="D21" s="8" t="n">
        <v>46720</v>
      </c>
      <c r="E21" s="8" t="n">
        <v>46843</v>
      </c>
      <c r="F21" s="7" t="n">
        <v>1.2</v>
      </c>
    </row>
    <row r="22">
      <c r="A22" s="6" t="inlineStr">
        <is>
          <t>PRJ-005</t>
        </is>
      </c>
      <c r="B22" s="7" t="inlineStr">
        <is>
          <t>Before-Start-up</t>
        </is>
      </c>
      <c r="C22" s="6" t="n">
        <v>1</v>
      </c>
      <c r="D22" s="8" t="n">
        <v>46174</v>
      </c>
      <c r="E22" s="8" t="n">
        <v>46234</v>
      </c>
      <c r="F22" s="7" t="n">
        <v>0.8</v>
      </c>
    </row>
    <row r="23">
      <c r="A23" s="6" t="inlineStr">
        <is>
          <t>PRJ-005</t>
        </is>
      </c>
      <c r="B23" s="7" t="inlineStr">
        <is>
          <t>Start-up</t>
        </is>
      </c>
      <c r="C23" s="6" t="n">
        <v>2</v>
      </c>
      <c r="D23" s="8" t="n">
        <v>46235</v>
      </c>
      <c r="E23" s="8" t="n">
        <v>46356</v>
      </c>
      <c r="F23" s="7" t="n">
        <v>1.6</v>
      </c>
    </row>
    <row r="24">
      <c r="A24" s="6" t="inlineStr">
        <is>
          <t>PRJ-005</t>
        </is>
      </c>
      <c r="B24" s="7" t="inlineStr">
        <is>
          <t>Conduct</t>
        </is>
      </c>
      <c r="C24" s="6" t="n">
        <v>3</v>
      </c>
      <c r="D24" s="8" t="n">
        <v>46357</v>
      </c>
      <c r="E24" s="8" t="n">
        <v>46903</v>
      </c>
      <c r="F24" s="7" t="n">
        <v>1.2</v>
      </c>
    </row>
    <row r="25">
      <c r="A25" s="6" t="inlineStr">
        <is>
          <t>PRJ-005</t>
        </is>
      </c>
      <c r="B25" s="7" t="inlineStr">
        <is>
          <t>Close-out (interim)</t>
        </is>
      </c>
      <c r="C25" s="6" t="n">
        <v>4</v>
      </c>
      <c r="D25" s="8" t="n">
        <v>46904</v>
      </c>
      <c r="E25" s="8" t="n">
        <v>46996</v>
      </c>
      <c r="F25" s="7" t="n">
        <v>1.4</v>
      </c>
    </row>
    <row r="26">
      <c r="A26" s="6" t="inlineStr">
        <is>
          <t>PRJ-005</t>
        </is>
      </c>
      <c r="B26" s="7" t="inlineStr">
        <is>
          <t>Conduct</t>
        </is>
      </c>
      <c r="C26" s="6" t="n">
        <v>5</v>
      </c>
      <c r="D26" s="8" t="n">
        <v>46997</v>
      </c>
      <c r="E26" s="8" t="n">
        <v>47176</v>
      </c>
      <c r="F26" s="7" t="n">
        <v>1.2</v>
      </c>
    </row>
    <row r="27">
      <c r="A27" s="6" t="inlineStr">
        <is>
          <t>PRJ-005</t>
        </is>
      </c>
      <c r="B27" s="7" t="inlineStr">
        <is>
          <t>Close-out (final)</t>
        </is>
      </c>
      <c r="C27" s="6" t="n">
        <v>6</v>
      </c>
      <c r="D27" s="8" t="n">
        <v>47177</v>
      </c>
      <c r="E27" s="8" t="n">
        <v>47299</v>
      </c>
      <c r="F27" s="7" t="n">
        <v>1.7</v>
      </c>
    </row>
    <row r="28">
      <c r="A28" s="6" t="inlineStr">
        <is>
          <t>PRJ-006</t>
        </is>
      </c>
      <c r="B28" s="7" t="inlineStr">
        <is>
          <t>Planning</t>
        </is>
      </c>
      <c r="C28" s="6" t="n">
        <v>1</v>
      </c>
      <c r="D28" s="8" t="n">
        <v>46023</v>
      </c>
      <c r="E28" s="8" t="n">
        <v>46114</v>
      </c>
      <c r="F28" s="7" t="n">
        <v>0.8</v>
      </c>
    </row>
    <row r="29">
      <c r="A29" s="6" t="inlineStr">
        <is>
          <t>PRJ-006</t>
        </is>
      </c>
      <c r="B29" s="7" t="inlineStr">
        <is>
          <t>Develop</t>
        </is>
      </c>
      <c r="C29" s="6" t="n">
        <v>2</v>
      </c>
      <c r="D29" s="8" t="n">
        <v>46115</v>
      </c>
      <c r="E29" s="8" t="n">
        <v>46314</v>
      </c>
      <c r="F29" s="7" t="n">
        <v>1.2</v>
      </c>
    </row>
    <row r="30">
      <c r="A30" s="6" t="inlineStr">
        <is>
          <t>PRJ-006</t>
        </is>
      </c>
      <c r="B30" s="7" t="inlineStr">
        <is>
          <t>Close</t>
        </is>
      </c>
      <c r="C30" s="6" t="n">
        <v>3</v>
      </c>
      <c r="D30" s="8" t="n">
        <v>46315</v>
      </c>
      <c r="E30" s="8" t="n">
        <v>46387</v>
      </c>
      <c r="F30" s="7" t="n">
        <v>0.9</v>
      </c>
    </row>
    <row r="31">
      <c r="A31" s="6" t="inlineStr">
        <is>
          <t>PRJ-007</t>
        </is>
      </c>
      <c r="B31" s="7" t="inlineStr">
        <is>
          <t>Planning</t>
        </is>
      </c>
      <c r="C31" s="6" t="n">
        <v>1</v>
      </c>
      <c r="D31" s="8" t="n">
        <v>46082</v>
      </c>
      <c r="E31" s="8" t="n">
        <v>46173</v>
      </c>
      <c r="F31" s="7" t="n">
        <v>0.8</v>
      </c>
    </row>
    <row r="32">
      <c r="A32" s="6" t="inlineStr">
        <is>
          <t>PRJ-007</t>
        </is>
      </c>
      <c r="B32" s="7" t="inlineStr">
        <is>
          <t>Develop</t>
        </is>
      </c>
      <c r="C32" s="6" t="n">
        <v>2</v>
      </c>
      <c r="D32" s="8" t="n">
        <v>46174</v>
      </c>
      <c r="E32" s="8" t="n">
        <v>46373</v>
      </c>
      <c r="F32" s="7" t="n">
        <v>1.2</v>
      </c>
    </row>
    <row r="33">
      <c r="A33" s="6" t="inlineStr">
        <is>
          <t>PRJ-007</t>
        </is>
      </c>
      <c r="B33" s="7" t="inlineStr">
        <is>
          <t>Close</t>
        </is>
      </c>
      <c r="C33" s="6" t="n">
        <v>3</v>
      </c>
      <c r="D33" s="8" t="n">
        <v>46374</v>
      </c>
      <c r="E33" s="8" t="n">
        <v>46446</v>
      </c>
      <c r="F33" s="7" t="n">
        <v>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  <col width="12" customWidth="1" min="4" max="4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period_name</t>
        </is>
      </c>
      <c r="D1" s="5" t="inlineStr">
        <is>
          <t>weight</t>
        </is>
      </c>
    </row>
    <row r="2">
      <c r="A2" s="7" t="inlineStr">
        <is>
          <t>Clinical Trial</t>
        </is>
      </c>
      <c r="B2" s="6" t="inlineStr">
        <is>
          <t>Phase 1</t>
        </is>
      </c>
      <c r="C2" s="6" t="inlineStr">
        <is>
          <t>Before-Start-up</t>
        </is>
      </c>
      <c r="D2" s="9" t="n">
        <v>0.6</v>
      </c>
    </row>
    <row r="3">
      <c r="A3" s="7" t="inlineStr">
        <is>
          <t>Clinical Trial</t>
        </is>
      </c>
      <c r="B3" s="6" t="inlineStr">
        <is>
          <t>Phase 1</t>
        </is>
      </c>
      <c r="C3" s="6" t="inlineStr">
        <is>
          <t>Start-up</t>
        </is>
      </c>
      <c r="D3" s="9" t="n">
        <v>1.3</v>
      </c>
    </row>
    <row r="4">
      <c r="A4" s="7" t="inlineStr">
        <is>
          <t>Clinical Trial</t>
        </is>
      </c>
      <c r="B4" s="6" t="inlineStr">
        <is>
          <t>Phase 1</t>
        </is>
      </c>
      <c r="C4" s="6" t="inlineStr">
        <is>
          <t>Conduct</t>
        </is>
      </c>
      <c r="D4" s="9" t="n">
        <v>1</v>
      </c>
    </row>
    <row r="5">
      <c r="A5" s="7" t="inlineStr">
        <is>
          <t>Clinical Trial</t>
        </is>
      </c>
      <c r="B5" s="6" t="inlineStr">
        <is>
          <t>Phase 1</t>
        </is>
      </c>
      <c r="C5" s="6" t="inlineStr">
        <is>
          <t>Close-out (interim)</t>
        </is>
      </c>
      <c r="D5" s="9" t="n">
        <v>1.2</v>
      </c>
    </row>
    <row r="6">
      <c r="A6" s="7" t="inlineStr">
        <is>
          <t>Clinical Trial</t>
        </is>
      </c>
      <c r="B6" s="6" t="inlineStr">
        <is>
          <t>Phase 1</t>
        </is>
      </c>
      <c r="C6" s="6" t="inlineStr">
        <is>
          <t>Close-out (final)</t>
        </is>
      </c>
      <c r="D6" s="9" t="n">
        <v>1.4</v>
      </c>
    </row>
    <row r="7">
      <c r="A7" s="7" t="inlineStr">
        <is>
          <t>Clinical Trial</t>
        </is>
      </c>
      <c r="B7" s="6" t="inlineStr">
        <is>
          <t>Phase 2</t>
        </is>
      </c>
      <c r="C7" s="6" t="inlineStr">
        <is>
          <t>Before-Start-up</t>
        </is>
      </c>
      <c r="D7" s="9" t="n">
        <v>0.7</v>
      </c>
    </row>
    <row r="8">
      <c r="A8" s="7" t="inlineStr">
        <is>
          <t>Clinical Trial</t>
        </is>
      </c>
      <c r="B8" s="6" t="inlineStr">
        <is>
          <t>Phase 2</t>
        </is>
      </c>
      <c r="C8" s="6" t="inlineStr">
        <is>
          <t>Start-up</t>
        </is>
      </c>
      <c r="D8" s="9" t="n">
        <v>1.4</v>
      </c>
    </row>
    <row r="9">
      <c r="A9" s="7" t="inlineStr">
        <is>
          <t>Clinical Trial</t>
        </is>
      </c>
      <c r="B9" s="6" t="inlineStr">
        <is>
          <t>Phase 2</t>
        </is>
      </c>
      <c r="C9" s="6" t="inlineStr">
        <is>
          <t>Conduct</t>
        </is>
      </c>
      <c r="D9" s="9" t="n">
        <v>1.1</v>
      </c>
    </row>
    <row r="10">
      <c r="A10" s="7" t="inlineStr">
        <is>
          <t>Clinical Trial</t>
        </is>
      </c>
      <c r="B10" s="6" t="inlineStr">
        <is>
          <t>Phase 2</t>
        </is>
      </c>
      <c r="C10" s="6" t="inlineStr">
        <is>
          <t>Close-out (interim)</t>
        </is>
      </c>
      <c r="D10" s="9" t="n">
        <v>1.3</v>
      </c>
    </row>
    <row r="11">
      <c r="A11" s="7" t="inlineStr">
        <is>
          <t>Clinical Trial</t>
        </is>
      </c>
      <c r="B11" s="6" t="inlineStr">
        <is>
          <t>Phase 2</t>
        </is>
      </c>
      <c r="C11" s="6" t="inlineStr">
        <is>
          <t>Close-out (final)</t>
        </is>
      </c>
      <c r="D11" s="9" t="n">
        <v>1.5</v>
      </c>
    </row>
    <row r="12">
      <c r="A12" s="7" t="inlineStr">
        <is>
          <t>Clinical Trial</t>
        </is>
      </c>
      <c r="B12" s="6" t="inlineStr">
        <is>
          <t>Phase 3</t>
        </is>
      </c>
      <c r="C12" s="6" t="inlineStr">
        <is>
          <t>Before-Start-up</t>
        </is>
      </c>
      <c r="D12" s="9" t="n">
        <v>0.8</v>
      </c>
    </row>
    <row r="13">
      <c r="A13" s="7" t="inlineStr">
        <is>
          <t>Clinical Trial</t>
        </is>
      </c>
      <c r="B13" s="6" t="inlineStr">
        <is>
          <t>Phase 3</t>
        </is>
      </c>
      <c r="C13" s="6" t="inlineStr">
        <is>
          <t>Start-up</t>
        </is>
      </c>
      <c r="D13" s="9" t="n">
        <v>1.6</v>
      </c>
    </row>
    <row r="14">
      <c r="A14" s="7" t="inlineStr">
        <is>
          <t>Clinical Trial</t>
        </is>
      </c>
      <c r="B14" s="6" t="inlineStr">
        <is>
          <t>Phase 3</t>
        </is>
      </c>
      <c r="C14" s="6" t="inlineStr">
        <is>
          <t>Conduct</t>
        </is>
      </c>
      <c r="D14" s="9" t="n">
        <v>1.2</v>
      </c>
    </row>
    <row r="15">
      <c r="A15" s="7" t="inlineStr">
        <is>
          <t>Clinical Trial</t>
        </is>
      </c>
      <c r="B15" s="6" t="inlineStr">
        <is>
          <t>Phase 3</t>
        </is>
      </c>
      <c r="C15" s="6" t="inlineStr">
        <is>
          <t>Close-out (interim)</t>
        </is>
      </c>
      <c r="D15" s="9" t="n">
        <v>1.4</v>
      </c>
    </row>
    <row r="16">
      <c r="A16" s="7" t="inlineStr">
        <is>
          <t>Clinical Trial</t>
        </is>
      </c>
      <c r="B16" s="6" t="inlineStr">
        <is>
          <t>Phase 3</t>
        </is>
      </c>
      <c r="C16" s="6" t="inlineStr">
        <is>
          <t>Close-out (final)</t>
        </is>
      </c>
      <c r="D16" s="9" t="n">
        <v>1.7</v>
      </c>
    </row>
    <row r="17">
      <c r="A17" s="7" t="inlineStr">
        <is>
          <t>Clinical Trial</t>
        </is>
      </c>
      <c r="B17" s="6" t="inlineStr">
        <is>
          <t>Phase 4</t>
        </is>
      </c>
      <c r="C17" s="6" t="inlineStr">
        <is>
          <t>Before-Start-up</t>
        </is>
      </c>
      <c r="D17" s="9" t="n">
        <v>0.5</v>
      </c>
    </row>
    <row r="18">
      <c r="A18" s="7" t="inlineStr">
        <is>
          <t>Clinical Trial</t>
        </is>
      </c>
      <c r="B18" s="6" t="inlineStr">
        <is>
          <t>Phase 4</t>
        </is>
      </c>
      <c r="C18" s="6" t="inlineStr">
        <is>
          <t>Start-up</t>
        </is>
      </c>
      <c r="D18" s="9" t="n">
        <v>1.1</v>
      </c>
    </row>
    <row r="19">
      <c r="A19" s="7" t="inlineStr">
        <is>
          <t>Clinical Trial</t>
        </is>
      </c>
      <c r="B19" s="6" t="inlineStr">
        <is>
          <t>Phase 4</t>
        </is>
      </c>
      <c r="C19" s="6" t="inlineStr">
        <is>
          <t>Conduct</t>
        </is>
      </c>
      <c r="D19" s="9" t="n">
        <v>0.9</v>
      </c>
    </row>
    <row r="20">
      <c r="A20" s="7" t="inlineStr">
        <is>
          <t>Clinical Trial</t>
        </is>
      </c>
      <c r="B20" s="6" t="inlineStr">
        <is>
          <t>Phase 4</t>
        </is>
      </c>
      <c r="C20" s="6" t="inlineStr">
        <is>
          <t>Close-out (interim)</t>
        </is>
      </c>
      <c r="D20" s="9" t="n">
        <v>1</v>
      </c>
    </row>
    <row r="21">
      <c r="A21" s="7" t="inlineStr">
        <is>
          <t>Clinical Trial</t>
        </is>
      </c>
      <c r="B21" s="6" t="inlineStr">
        <is>
          <t>Phase 4</t>
        </is>
      </c>
      <c r="C21" s="6" t="inlineStr">
        <is>
          <t>Close-out (final)</t>
        </is>
      </c>
      <c r="D21" s="9" t="n">
        <v>1.2</v>
      </c>
    </row>
  </sheetData>
  <dataValidations count="3">
    <dataValidation sqref="A2:A400" showDropDown="0" showInputMessage="0" showErrorMessage="0" allowBlank="1" type="list">
      <formula1>Lists!$B$2:$B$3</formula1>
    </dataValidation>
    <dataValidation sqref="B2:B400" showDropDown="0" showInputMessage="0" showErrorMessage="0" allowBlank="1" type="list">
      <formula1>Lists!$B$4:$B$7</formula1>
    </dataValidation>
    <dataValidation sqref="C2:C400" showDropDown="0" showInputMessage="0" showErrorMessage="0" allowBlank="1" type="list">
      <formula1>Lists!$B$34:$B$38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  <col width="15" customWidth="1" min="4" max="4"/>
  </cols>
  <sheetData>
    <row r="1" ht="30" customHeight="1">
      <c r="A1" s="5" t="inlineStr">
        <is>
          <t>project_type</t>
        </is>
      </c>
      <c r="B1" s="5" t="inlineStr">
        <is>
          <t>role_name</t>
        </is>
      </c>
      <c r="C1" s="5" t="inlineStr">
        <is>
          <t>role_factor</t>
        </is>
      </c>
      <c r="D1" s="5" t="inlineStr">
        <is>
          <t>role_note</t>
        </is>
      </c>
    </row>
    <row r="2">
      <c r="A2" s="6" t="inlineStr">
        <is>
          <t>Clinical Trial</t>
        </is>
      </c>
      <c r="B2" s="6" t="inlineStr">
        <is>
          <t>Project oversight</t>
        </is>
      </c>
      <c r="C2" s="9" t="n">
        <v>0.8</v>
      </c>
      <c r="D2" s="7" t="inlineStr">
        <is>
          <t>Illustrative - replace with your figure</t>
        </is>
      </c>
    </row>
    <row r="3">
      <c r="A3" s="6" t="inlineStr">
        <is>
          <t>Clinical Trial</t>
        </is>
      </c>
      <c r="B3" s="6" t="inlineStr">
        <is>
          <t>Lead data manager</t>
        </is>
      </c>
      <c r="C3" s="9" t="n">
        <v>1.2</v>
      </c>
      <c r="D3" s="7" t="inlineStr">
        <is>
          <t>Illustrative</t>
        </is>
      </c>
    </row>
    <row r="4">
      <c r="A4" s="6" t="inlineStr">
        <is>
          <t>Clinical Trial</t>
        </is>
      </c>
      <c r="B4" s="6" t="inlineStr">
        <is>
          <t>Clinical Data Associator</t>
        </is>
      </c>
      <c r="C4" s="9" t="n">
        <v>1</v>
      </c>
      <c r="D4" s="7" t="inlineStr">
        <is>
          <t>Illustrative</t>
        </is>
      </c>
    </row>
    <row r="5">
      <c r="A5" s="6" t="inlineStr">
        <is>
          <t>Clinical Trial</t>
        </is>
      </c>
      <c r="B5" s="6" t="inlineStr">
        <is>
          <t>Clinical Database Programmer</t>
        </is>
      </c>
      <c r="C5" s="9" t="n">
        <v>1.1</v>
      </c>
      <c r="D5" s="7" t="inlineStr">
        <is>
          <t>Illustrative</t>
        </is>
      </c>
    </row>
    <row r="6">
      <c r="A6" s="6" t="inlineStr">
        <is>
          <t>Clinical Trial</t>
        </is>
      </c>
      <c r="B6" s="6" t="inlineStr">
        <is>
          <t>Data Analyst</t>
        </is>
      </c>
      <c r="C6" s="9" t="n">
        <v>0.9</v>
      </c>
      <c r="D6" s="7" t="inlineStr">
        <is>
          <t>Illustrative</t>
        </is>
      </c>
    </row>
    <row r="7">
      <c r="A7" s="6" t="inlineStr">
        <is>
          <t>Others</t>
        </is>
      </c>
      <c r="B7" s="6" t="inlineStr">
        <is>
          <t>Project lead</t>
        </is>
      </c>
      <c r="C7" s="9" t="n">
        <v>1</v>
      </c>
      <c r="D7" s="7" t="inlineStr">
        <is>
          <t>Illustrative</t>
        </is>
      </c>
    </row>
    <row r="8">
      <c r="A8" s="6" t="inlineStr">
        <is>
          <t>Others</t>
        </is>
      </c>
      <c r="B8" s="6" t="inlineStr">
        <is>
          <t>Main staff</t>
        </is>
      </c>
      <c r="C8" s="9" t="n">
        <v>0.9</v>
      </c>
      <c r="D8" s="7" t="inlineStr">
        <is>
          <t>Illustrative</t>
        </is>
      </c>
    </row>
    <row r="9">
      <c r="A9" s="6" t="inlineStr">
        <is>
          <t>Others</t>
        </is>
      </c>
      <c r="B9" s="6" t="inlineStr">
        <is>
          <t>Other staff</t>
        </is>
      </c>
      <c r="C9" s="9" t="n">
        <v>0.7</v>
      </c>
      <c r="D9" s="7" t="inlineStr">
        <is>
          <t>Illustrative</t>
        </is>
      </c>
    </row>
  </sheetData>
  <dataValidations count="1">
    <dataValidation sqref="A2:A400" showDropDown="0" showInputMessage="0" showErrorMessage="0" allowBlank="1" type="list">
      <formula1>Lists!$B$2:$B$3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6" t="inlineStr">
        <is>
          <t>PSN-001</t>
        </is>
      </c>
      <c r="B2" s="7" t="inlineStr">
        <is>
          <t>Kim S.</t>
        </is>
      </c>
      <c r="C2" s="7" t="inlineStr">
        <is>
          <t>Data Management</t>
        </is>
      </c>
      <c r="D2" s="7" t="inlineStr">
        <is>
          <t>Lead data manager</t>
        </is>
      </c>
      <c r="E2" s="7" t="n">
        <v>1</v>
      </c>
      <c r="F2" s="8" t="n"/>
      <c r="G2" s="8" t="n"/>
      <c r="H2" s="7" t="n"/>
      <c r="I2" s="7" t="n"/>
      <c r="J2" s="7" t="n"/>
      <c r="K2" s="7" t="n"/>
      <c r="L2" s="7" t="n"/>
    </row>
    <row r="3">
      <c r="A3" s="6" t="inlineStr">
        <is>
          <t>PSN-002</t>
        </is>
      </c>
      <c r="B3" s="7" t="inlineStr">
        <is>
          <t>Park J.</t>
        </is>
      </c>
      <c r="C3" s="7" t="inlineStr">
        <is>
          <t>Data Management</t>
        </is>
      </c>
      <c r="D3" s="7" t="inlineStr">
        <is>
          <t>Lead data manager</t>
        </is>
      </c>
      <c r="E3" s="7" t="n">
        <v>1</v>
      </c>
      <c r="F3" s="8" t="n"/>
      <c r="G3" s="8" t="n"/>
      <c r="H3" s="7" t="n"/>
      <c r="I3" s="7" t="n"/>
      <c r="J3" s="7" t="n"/>
      <c r="K3" s="7" t="n"/>
      <c r="L3" s="7" t="n"/>
    </row>
    <row r="4">
      <c r="A4" s="6" t="inlineStr">
        <is>
          <t>PSN-003</t>
        </is>
      </c>
      <c r="B4" s="7" t="inlineStr">
        <is>
          <t>Lee H.</t>
        </is>
      </c>
      <c r="C4" s="7" t="inlineStr">
        <is>
          <t>Data Management</t>
        </is>
      </c>
      <c r="D4" s="7" t="inlineStr">
        <is>
          <t>Clinical Data Associator</t>
        </is>
      </c>
      <c r="E4" s="7" t="n">
        <v>1</v>
      </c>
      <c r="F4" s="8" t="n"/>
      <c r="G4" s="8" t="n"/>
      <c r="H4" s="7" t="n"/>
      <c r="I4" s="7" t="n"/>
      <c r="J4" s="7" t="n"/>
      <c r="K4" s="7" t="n"/>
      <c r="L4" s="7" t="n"/>
    </row>
    <row r="5">
      <c r="A5" s="6" t="inlineStr">
        <is>
          <t>PSN-004</t>
        </is>
      </c>
      <c r="B5" s="7" t="inlineStr">
        <is>
          <t>Choi M.</t>
        </is>
      </c>
      <c r="C5" s="7" t="inlineStr">
        <is>
          <t>Data Management</t>
        </is>
      </c>
      <c r="D5" s="7" t="inlineStr">
        <is>
          <t>Clinical Data Associator</t>
        </is>
      </c>
      <c r="E5" s="7" t="n">
        <v>0.6</v>
      </c>
      <c r="F5" s="8" t="n"/>
      <c r="G5" s="8" t="n"/>
      <c r="H5" s="7" t="n"/>
      <c r="I5" s="7" t="n"/>
      <c r="J5" s="7" t="n"/>
      <c r="K5" s="7" t="n"/>
      <c r="L5" s="7" t="n"/>
    </row>
    <row r="6">
      <c r="A6" s="6" t="inlineStr">
        <is>
          <t>PSN-005</t>
        </is>
      </c>
      <c r="B6" s="7" t="inlineStr">
        <is>
          <t>Jung Y.</t>
        </is>
      </c>
      <c r="C6" s="7" t="inlineStr">
        <is>
          <t>Programming</t>
        </is>
      </c>
      <c r="D6" s="7" t="inlineStr">
        <is>
          <t>Clinical Database Programmer</t>
        </is>
      </c>
      <c r="E6" s="7" t="n">
        <v>1</v>
      </c>
      <c r="F6" s="8" t="n"/>
      <c r="G6" s="8" t="n"/>
      <c r="H6" s="7" t="n"/>
      <c r="I6" s="7" t="n"/>
      <c r="J6" s="7" t="n"/>
      <c r="K6" s="7" t="n"/>
      <c r="L6" s="7" t="n"/>
    </row>
    <row r="7">
      <c r="A7" s="6" t="inlineStr">
        <is>
          <t>PSN-006</t>
        </is>
      </c>
      <c r="B7" s="7" t="inlineStr">
        <is>
          <t>Han B.</t>
        </is>
      </c>
      <c r="C7" s="7" t="inlineStr">
        <is>
          <t>Programming</t>
        </is>
      </c>
      <c r="D7" s="7" t="inlineStr">
        <is>
          <t>Clinical Database Programmer</t>
        </is>
      </c>
      <c r="E7" s="7" t="n">
        <v>1</v>
      </c>
      <c r="F7" s="8" t="n"/>
      <c r="G7" s="8" t="n"/>
      <c r="H7" s="7" t="n"/>
      <c r="I7" s="7" t="n"/>
      <c r="J7" s="7" t="n"/>
      <c r="K7" s="7" t="n"/>
      <c r="L7" s="7" t="n"/>
    </row>
    <row r="8">
      <c r="A8" s="6" t="inlineStr">
        <is>
          <t>PSN-007</t>
        </is>
      </c>
      <c r="B8" s="7" t="inlineStr">
        <is>
          <t>Oh K.</t>
        </is>
      </c>
      <c r="C8" s="7" t="inlineStr">
        <is>
          <t>Biostatistics</t>
        </is>
      </c>
      <c r="D8" s="7" t="inlineStr">
        <is>
          <t>Data Analyst</t>
        </is>
      </c>
      <c r="E8" s="7" t="n">
        <v>1</v>
      </c>
      <c r="F8" s="8" t="n"/>
      <c r="G8" s="8" t="n"/>
      <c r="H8" s="7" t="n"/>
      <c r="I8" s="7" t="n"/>
      <c r="J8" s="7" t="n"/>
      <c r="K8" s="7" t="n"/>
      <c r="L8" s="7" t="n"/>
    </row>
    <row r="9">
      <c r="A9" s="6" t="inlineStr">
        <is>
          <t>PSN-008</t>
        </is>
      </c>
      <c r="B9" s="7" t="inlineStr">
        <is>
          <t>Seo W.</t>
        </is>
      </c>
      <c r="C9" s="7" t="inlineStr">
        <is>
          <t>Biostatistics</t>
        </is>
      </c>
      <c r="D9" s="7" t="inlineStr">
        <is>
          <t>Data Analyst</t>
        </is>
      </c>
      <c r="E9" s="7" t="n">
        <v>0.8</v>
      </c>
      <c r="F9" s="8" t="n"/>
      <c r="G9" s="8" t="n"/>
      <c r="H9" s="7" t="n"/>
      <c r="I9" s="7" t="n"/>
      <c r="J9" s="7" t="n"/>
      <c r="K9" s="7" t="n"/>
      <c r="L9" s="7" t="n"/>
    </row>
    <row r="10">
      <c r="A10" s="6" t="inlineStr">
        <is>
          <t>PSN-009</t>
        </is>
      </c>
      <c r="B10" s="7" t="inlineStr">
        <is>
          <t>Yoon T.</t>
        </is>
      </c>
      <c r="C10" s="7" t="inlineStr">
        <is>
          <t>Clinical Operations</t>
        </is>
      </c>
      <c r="D10" s="7" t="inlineStr">
        <is>
          <t>Project oversight</t>
        </is>
      </c>
      <c r="E10" s="7" t="n">
        <v>1</v>
      </c>
      <c r="F10" s="8" t="n"/>
      <c r="G10" s="8" t="n"/>
      <c r="H10" s="7" t="n"/>
      <c r="I10" s="7" t="n"/>
      <c r="J10" s="7" t="n"/>
      <c r="K10" s="7" t="n"/>
      <c r="L10" s="7" t="n"/>
    </row>
    <row r="11">
      <c r="A11" s="6" t="inlineStr">
        <is>
          <t>PSN-010</t>
        </is>
      </c>
      <c r="B11" s="7" t="inlineStr">
        <is>
          <t>Nam R.</t>
        </is>
      </c>
      <c r="C11" s="7" t="inlineStr">
        <is>
          <t>Clinical Operations</t>
        </is>
      </c>
      <c r="D11" s="7" t="inlineStr">
        <is>
          <t>Project oversight</t>
        </is>
      </c>
      <c r="E11" s="7" t="n">
        <v>1</v>
      </c>
      <c r="F11" s="8" t="n"/>
      <c r="G11" s="8" t="n"/>
      <c r="H11" s="7" t="n"/>
      <c r="I11" s="7" t="n"/>
      <c r="J11" s="7" t="n"/>
      <c r="K11" s="7" t="n"/>
      <c r="L11" s="7" t="n"/>
    </row>
    <row r="12">
      <c r="A12" s="6" t="inlineStr">
        <is>
          <t>PSN-011</t>
        </is>
      </c>
      <c r="B12" s="7" t="inlineStr">
        <is>
          <t>Ahn D.</t>
        </is>
      </c>
      <c r="C12" s="7" t="inlineStr">
        <is>
          <t>Business Systems</t>
        </is>
      </c>
      <c r="D12" s="7" t="inlineStr">
        <is>
          <t>Project lead</t>
        </is>
      </c>
      <c r="E12" s="7" t="n">
        <v>1</v>
      </c>
      <c r="F12" s="8" t="n"/>
      <c r="G12" s="8" t="n"/>
      <c r="H12" s="7" t="n"/>
      <c r="I12" s="7" t="n"/>
      <c r="J12" s="7" t="n"/>
      <c r="K12" s="7" t="n"/>
      <c r="L12" s="7" t="n"/>
    </row>
    <row r="13">
      <c r="A13" s="6" t="inlineStr">
        <is>
          <t>PSN-012</t>
        </is>
      </c>
      <c r="B13" s="7" t="inlineStr">
        <is>
          <t>Baek C.</t>
        </is>
      </c>
      <c r="C13" s="7" t="inlineStr">
        <is>
          <t>Business Systems</t>
        </is>
      </c>
      <c r="D13" s="7" t="inlineStr">
        <is>
          <t>Main staff</t>
        </is>
      </c>
      <c r="E13" s="7" t="n">
        <v>1</v>
      </c>
      <c r="F13" s="8" t="n"/>
      <c r="G13" s="8" t="n"/>
      <c r="H13" s="7" t="n"/>
      <c r="I13" s="7" t="n"/>
      <c r="J13" s="7" t="n"/>
      <c r="K13" s="7" t="n"/>
      <c r="L13" s="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note_1</t>
        </is>
      </c>
      <c r="J1" s="5" t="inlineStr">
        <is>
          <t>note_2</t>
        </is>
      </c>
      <c r="K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7">
        <f>IFERROR(INDEX(Person!$B:$B,MATCH($B2,Person!$A:$A,0)),"")</f>
        <v/>
      </c>
      <c r="D2" s="6" t="inlineStr">
        <is>
          <t>PRJ-001</t>
        </is>
      </c>
      <c r="E2" s="7" t="inlineStr">
        <is>
          <t>Lead data manager</t>
        </is>
      </c>
      <c r="F2" s="8" t="n">
        <v>45931</v>
      </c>
      <c r="G2" s="8" t="n">
        <v>46568</v>
      </c>
      <c r="H2" s="7" t="n">
        <v>0.5</v>
      </c>
      <c r="I2" s="7" t="n"/>
      <c r="J2" s="7" t="n"/>
      <c r="K2" s="7" t="n"/>
    </row>
    <row r="3">
      <c r="A3" s="6" t="inlineStr">
        <is>
          <t>ASG-002</t>
        </is>
      </c>
      <c r="B3" s="6" t="inlineStr">
        <is>
          <t>PSN-001</t>
        </is>
      </c>
      <c r="C3" s="7">
        <f>IFERROR(INDEX(Person!$B:$B,MATCH($B3,Person!$A:$A,0)),"")</f>
        <v/>
      </c>
      <c r="D3" s="6" t="inlineStr">
        <is>
          <t>PRJ-002</t>
        </is>
      </c>
      <c r="E3" s="7" t="inlineStr">
        <is>
          <t>Lead data manager</t>
        </is>
      </c>
      <c r="F3" s="8" t="n">
        <v>46023</v>
      </c>
      <c r="G3" s="8" t="n">
        <v>47026</v>
      </c>
      <c r="H3" s="7" t="n">
        <v>0.5</v>
      </c>
      <c r="I3" s="7" t="n"/>
      <c r="J3" s="7" t="n"/>
      <c r="K3" s="7" t="n"/>
    </row>
    <row r="4">
      <c r="A4" s="6" t="inlineStr">
        <is>
          <t>ASG-003</t>
        </is>
      </c>
      <c r="B4" s="6" t="inlineStr">
        <is>
          <t>PSN-001</t>
        </is>
      </c>
      <c r="C4" s="7">
        <f>IFERROR(INDEX(Person!$B:$B,MATCH($B4,Person!$A:$A,0)),"")</f>
        <v/>
      </c>
      <c r="D4" s="6" t="inlineStr">
        <is>
          <t>PRJ-006</t>
        </is>
      </c>
      <c r="E4" s="7" t="inlineStr">
        <is>
          <t>Project lead</t>
        </is>
      </c>
      <c r="F4" s="8" t="n">
        <v>46023</v>
      </c>
      <c r="G4" s="8" t="n">
        <v>46387</v>
      </c>
      <c r="H4" s="7" t="n">
        <v>0.4</v>
      </c>
      <c r="I4" s="7" t="n"/>
      <c r="J4" s="7" t="n"/>
      <c r="K4" s="7" t="n"/>
    </row>
    <row r="5">
      <c r="A5" s="6" t="inlineStr">
        <is>
          <t>ASG-004</t>
        </is>
      </c>
      <c r="B5" s="6" t="inlineStr">
        <is>
          <t>PSN-002</t>
        </is>
      </c>
      <c r="C5" s="7">
        <f>IFERROR(INDEX(Person!$B:$B,MATCH($B5,Person!$A:$A,0)),"")</f>
        <v/>
      </c>
      <c r="D5" s="6" t="inlineStr">
        <is>
          <t>PRJ-003</t>
        </is>
      </c>
      <c r="E5" s="7" t="inlineStr">
        <is>
          <t>Lead data manager</t>
        </is>
      </c>
      <c r="F5" s="8" t="n">
        <v>45839</v>
      </c>
      <c r="G5" s="8" t="n">
        <v>47208</v>
      </c>
      <c r="H5" s="7" t="n">
        <v>0.55</v>
      </c>
      <c r="I5" s="7" t="n"/>
      <c r="J5" s="7" t="n"/>
      <c r="K5" s="7" t="n"/>
    </row>
    <row r="6">
      <c r="A6" s="6" t="inlineStr">
        <is>
          <t>ASG-005</t>
        </is>
      </c>
      <c r="B6" s="6" t="inlineStr">
        <is>
          <t>PSN-002</t>
        </is>
      </c>
      <c r="C6" s="7">
        <f>IFERROR(INDEX(Person!$B:$B,MATCH($B6,Person!$A:$A,0)),"")</f>
        <v/>
      </c>
      <c r="D6" s="6" t="inlineStr">
        <is>
          <t>PRJ-005</t>
        </is>
      </c>
      <c r="E6" s="7" t="inlineStr">
        <is>
          <t>Lead data manager</t>
        </is>
      </c>
      <c r="F6" s="8" t="n">
        <v>46174</v>
      </c>
      <c r="G6" s="8" t="n">
        <v>47299</v>
      </c>
      <c r="H6" s="7" t="n">
        <v>0.45</v>
      </c>
      <c r="I6" s="7" t="n"/>
      <c r="J6" s="7" t="n"/>
      <c r="K6" s="7" t="n"/>
    </row>
    <row r="7">
      <c r="A7" s="6" t="inlineStr">
        <is>
          <t>ASG-006</t>
        </is>
      </c>
      <c r="B7" s="6" t="inlineStr">
        <is>
          <t>PSN-003</t>
        </is>
      </c>
      <c r="C7" s="7">
        <f>IFERROR(INDEX(Person!$B:$B,MATCH($B7,Person!$A:$A,0)),"")</f>
        <v/>
      </c>
      <c r="D7" s="6" t="inlineStr">
        <is>
          <t>PRJ-001</t>
        </is>
      </c>
      <c r="E7" s="7" t="inlineStr">
        <is>
          <t>Clinical Data Associator</t>
        </is>
      </c>
      <c r="F7" s="8" t="n">
        <v>46023</v>
      </c>
      <c r="G7" s="8" t="n">
        <v>46568</v>
      </c>
      <c r="H7" s="7" t="n">
        <v>0.55</v>
      </c>
      <c r="I7" s="7" t="n"/>
      <c r="J7" s="7" t="n"/>
      <c r="K7" s="7" t="n"/>
    </row>
    <row r="8">
      <c r="A8" s="6" t="inlineStr">
        <is>
          <t>ASG-007</t>
        </is>
      </c>
      <c r="B8" s="6" t="inlineStr">
        <is>
          <t>PSN-003</t>
        </is>
      </c>
      <c r="C8" s="7">
        <f>IFERROR(INDEX(Person!$B:$B,MATCH($B8,Person!$A:$A,0)),"")</f>
        <v/>
      </c>
      <c r="D8" s="6" t="inlineStr">
        <is>
          <t>PRJ-003</t>
        </is>
      </c>
      <c r="E8" s="7" t="inlineStr">
        <is>
          <t>Clinical Data Associator</t>
        </is>
      </c>
      <c r="F8" s="8" t="n">
        <v>46023</v>
      </c>
      <c r="G8" s="8" t="n">
        <v>47208</v>
      </c>
      <c r="H8" s="7" t="n">
        <v>0.55</v>
      </c>
      <c r="I8" s="7" t="n"/>
      <c r="J8" s="7" t="n"/>
      <c r="K8" s="7" t="n"/>
    </row>
    <row r="9">
      <c r="A9" s="6" t="inlineStr">
        <is>
          <t>ASG-024</t>
        </is>
      </c>
      <c r="B9" s="6" t="inlineStr">
        <is>
          <t>PSN-003</t>
        </is>
      </c>
      <c r="C9" s="7">
        <f>IFERROR(INDEX(Person!$B:$B,MATCH($B9,Person!$A:$A,0)),"")</f>
        <v/>
      </c>
      <c r="D9" s="6" t="inlineStr">
        <is>
          <t>PRJ-005</t>
        </is>
      </c>
      <c r="E9" s="7" t="inlineStr">
        <is>
          <t>Clinical Data Associator</t>
        </is>
      </c>
      <c r="F9" s="8" t="n">
        <v>46569</v>
      </c>
      <c r="G9" s="8" t="n">
        <v>47299</v>
      </c>
      <c r="H9" s="7" t="n">
        <v>0.35</v>
      </c>
      <c r="I9" s="7" t="n"/>
      <c r="J9" s="7" t="n"/>
      <c r="K9" s="7" t="n"/>
    </row>
    <row r="10">
      <c r="A10" s="6" t="inlineStr">
        <is>
          <t>ASG-008</t>
        </is>
      </c>
      <c r="B10" s="6" t="inlineStr">
        <is>
          <t>PSN-004</t>
        </is>
      </c>
      <c r="C10" s="7">
        <f>IFERROR(INDEX(Person!$B:$B,MATCH($B10,Person!$A:$A,0)),"")</f>
        <v/>
      </c>
      <c r="D10" s="6" t="inlineStr">
        <is>
          <t>PRJ-004</t>
        </is>
      </c>
      <c r="E10" s="7" t="inlineStr">
        <is>
          <t>Clinical Data Associator</t>
        </is>
      </c>
      <c r="F10" s="8" t="n">
        <v>46113</v>
      </c>
      <c r="G10" s="8" t="n">
        <v>46843</v>
      </c>
      <c r="H10" s="7" t="n">
        <v>0.3</v>
      </c>
      <c r="I10" s="7" t="n"/>
      <c r="J10" s="7" t="n"/>
      <c r="K10" s="7" t="n"/>
    </row>
    <row r="11">
      <c r="A11" s="6" t="inlineStr">
        <is>
          <t>ASG-009</t>
        </is>
      </c>
      <c r="B11" s="6" t="inlineStr">
        <is>
          <t>PSN-005</t>
        </is>
      </c>
      <c r="C11" s="7">
        <f>IFERROR(INDEX(Person!$B:$B,MATCH($B11,Person!$A:$A,0)),"")</f>
        <v/>
      </c>
      <c r="D11" s="6" t="inlineStr">
        <is>
          <t>PRJ-001</t>
        </is>
      </c>
      <c r="E11" s="7" t="inlineStr">
        <is>
          <t>Clinical Database Programmer</t>
        </is>
      </c>
      <c r="F11" s="8" t="n">
        <v>45962</v>
      </c>
      <c r="G11" s="8" t="n">
        <v>46387</v>
      </c>
      <c r="H11" s="7" t="n">
        <v>0.45</v>
      </c>
      <c r="I11" s="7" t="n"/>
      <c r="J11" s="7" t="n"/>
      <c r="K11" s="7" t="n"/>
    </row>
    <row r="12">
      <c r="A12" s="6" t="inlineStr">
        <is>
          <t>ASG-010</t>
        </is>
      </c>
      <c r="B12" s="6" t="inlineStr">
        <is>
          <t>PSN-005</t>
        </is>
      </c>
      <c r="C12" s="7">
        <f>IFERROR(INDEX(Person!$B:$B,MATCH($B12,Person!$A:$A,0)),"")</f>
        <v/>
      </c>
      <c r="D12" s="6" t="inlineStr">
        <is>
          <t>PRJ-002</t>
        </is>
      </c>
      <c r="E12" s="7" t="inlineStr">
        <is>
          <t>Clinical Database Programmer</t>
        </is>
      </c>
      <c r="F12" s="8" t="n">
        <v>46054</v>
      </c>
      <c r="G12" s="8" t="n">
        <v>47026</v>
      </c>
      <c r="H12" s="7" t="n">
        <v>0.45</v>
      </c>
      <c r="I12" s="7" t="n"/>
      <c r="J12" s="7" t="n"/>
      <c r="K12" s="7" t="n"/>
    </row>
    <row r="13">
      <c r="A13" s="6" t="inlineStr">
        <is>
          <t>ASG-025</t>
        </is>
      </c>
      <c r="B13" s="6" t="inlineStr">
        <is>
          <t>PSN-005</t>
        </is>
      </c>
      <c r="C13" s="7">
        <f>IFERROR(INDEX(Person!$B:$B,MATCH($B13,Person!$A:$A,0)),"")</f>
        <v/>
      </c>
      <c r="D13" s="6" t="inlineStr">
        <is>
          <t>PRJ-004</t>
        </is>
      </c>
      <c r="E13" s="7" t="inlineStr">
        <is>
          <t>Clinical Database Programmer</t>
        </is>
      </c>
      <c r="F13" s="8" t="n">
        <v>46174</v>
      </c>
      <c r="G13" s="8" t="n">
        <v>46843</v>
      </c>
      <c r="H13" s="7" t="n">
        <v>0.3</v>
      </c>
      <c r="I13" s="7" t="n"/>
      <c r="J13" s="7" t="n"/>
      <c r="K13" s="7" t="n"/>
    </row>
    <row r="14">
      <c r="A14" s="6" t="inlineStr">
        <is>
          <t>ASG-011</t>
        </is>
      </c>
      <c r="B14" s="6" t="inlineStr">
        <is>
          <t>PSN-006</t>
        </is>
      </c>
      <c r="C14" s="7">
        <f>IFERROR(INDEX(Person!$B:$B,MATCH($B14,Person!$A:$A,0)),"")</f>
        <v/>
      </c>
      <c r="D14" s="6" t="inlineStr">
        <is>
          <t>PRJ-003</t>
        </is>
      </c>
      <c r="E14" s="7" t="inlineStr">
        <is>
          <t>Clinical Database Programmer</t>
        </is>
      </c>
      <c r="F14" s="8" t="n">
        <v>45901</v>
      </c>
      <c r="G14" s="8" t="n">
        <v>47208</v>
      </c>
      <c r="H14" s="7" t="n">
        <v>0.5</v>
      </c>
      <c r="I14" s="7" t="n"/>
      <c r="J14" s="7" t="n"/>
      <c r="K14" s="7" t="n"/>
    </row>
    <row r="15">
      <c r="A15" s="6" t="inlineStr">
        <is>
          <t>ASG-012</t>
        </is>
      </c>
      <c r="B15" s="6" t="inlineStr">
        <is>
          <t>PSN-006</t>
        </is>
      </c>
      <c r="C15" s="7">
        <f>IFERROR(INDEX(Person!$B:$B,MATCH($B15,Person!$A:$A,0)),"")</f>
        <v/>
      </c>
      <c r="D15" s="6" t="inlineStr">
        <is>
          <t>PRJ-005</t>
        </is>
      </c>
      <c r="E15" s="7" t="inlineStr">
        <is>
          <t>Clinical Database Programmer</t>
        </is>
      </c>
      <c r="F15" s="8" t="n">
        <v>46266</v>
      </c>
      <c r="G15" s="8" t="n">
        <v>47299</v>
      </c>
      <c r="H15" s="7" t="n">
        <v>0.4</v>
      </c>
      <c r="I15" s="7" t="n"/>
      <c r="J15" s="7" t="n"/>
      <c r="K15" s="7" t="n"/>
    </row>
    <row r="16">
      <c r="A16" s="6" t="inlineStr">
        <is>
          <t>ASG-026</t>
        </is>
      </c>
      <c r="B16" s="6" t="inlineStr">
        <is>
          <t>PSN-006</t>
        </is>
      </c>
      <c r="C16" s="7">
        <f>IFERROR(INDEX(Person!$B:$B,MATCH($B16,Person!$A:$A,0)),"")</f>
        <v/>
      </c>
      <c r="D16" s="6" t="inlineStr">
        <is>
          <t>PRJ-006</t>
        </is>
      </c>
      <c r="E16" s="7" t="inlineStr">
        <is>
          <t>Main staff</t>
        </is>
      </c>
      <c r="F16" s="8" t="n">
        <v>46023</v>
      </c>
      <c r="G16" s="8" t="n">
        <v>46387</v>
      </c>
      <c r="H16" s="7" t="n">
        <v>0.3</v>
      </c>
      <c r="I16" s="7" t="n"/>
      <c r="J16" s="7" t="n"/>
      <c r="K16" s="7" t="n"/>
    </row>
    <row r="17">
      <c r="A17" s="6" t="inlineStr">
        <is>
          <t>ASG-013</t>
        </is>
      </c>
      <c r="B17" s="6" t="inlineStr">
        <is>
          <t>PSN-007</t>
        </is>
      </c>
      <c r="C17" s="7">
        <f>IFERROR(INDEX(Person!$B:$B,MATCH($B17,Person!$A:$A,0)),"")</f>
        <v/>
      </c>
      <c r="D17" s="6" t="inlineStr">
        <is>
          <t>PRJ-002</t>
        </is>
      </c>
      <c r="E17" s="7" t="inlineStr">
        <is>
          <t>Data Analyst</t>
        </is>
      </c>
      <c r="F17" s="8" t="n">
        <v>46174</v>
      </c>
      <c r="G17" s="8" t="n">
        <v>47026</v>
      </c>
      <c r="H17" s="7" t="n">
        <v>0.55</v>
      </c>
      <c r="I17" s="7" t="n"/>
      <c r="J17" s="7" t="n"/>
      <c r="K17" s="7" t="n"/>
    </row>
    <row r="18">
      <c r="A18" s="6" t="inlineStr">
        <is>
          <t>ASG-014</t>
        </is>
      </c>
      <c r="B18" s="6" t="inlineStr">
        <is>
          <t>PSN-007</t>
        </is>
      </c>
      <c r="C18" s="7">
        <f>IFERROR(INDEX(Person!$B:$B,MATCH($B18,Person!$A:$A,0)),"")</f>
        <v/>
      </c>
      <c r="D18" s="6" t="inlineStr">
        <is>
          <t>PRJ-003</t>
        </is>
      </c>
      <c r="E18" s="7" t="inlineStr">
        <is>
          <t>Data Analyst</t>
        </is>
      </c>
      <c r="F18" s="8" t="n">
        <v>46174</v>
      </c>
      <c r="G18" s="8" t="n">
        <v>47208</v>
      </c>
      <c r="H18" s="7" t="n">
        <v>0.55</v>
      </c>
      <c r="I18" s="7" t="n"/>
      <c r="J18" s="7" t="n"/>
      <c r="K18" s="7" t="n"/>
    </row>
    <row r="19">
      <c r="A19" s="6" t="inlineStr">
        <is>
          <t>ASG-015</t>
        </is>
      </c>
      <c r="B19" s="6" t="inlineStr">
        <is>
          <t>PSN-008</t>
        </is>
      </c>
      <c r="C19" s="7">
        <f>IFERROR(INDEX(Person!$B:$B,MATCH($B19,Person!$A:$A,0)),"")</f>
        <v/>
      </c>
      <c r="D19" s="6" t="inlineStr">
        <is>
          <t>PRJ-005</t>
        </is>
      </c>
      <c r="E19" s="7" t="inlineStr">
        <is>
          <t>Data Analyst</t>
        </is>
      </c>
      <c r="F19" s="8" t="n">
        <v>46266</v>
      </c>
      <c r="G19" s="8" t="n">
        <v>47299</v>
      </c>
      <c r="H19" s="7" t="n">
        <v>0.5</v>
      </c>
      <c r="I19" s="7" t="n"/>
      <c r="J19" s="7" t="n"/>
      <c r="K19" s="7" t="n"/>
    </row>
    <row r="20">
      <c r="A20" s="6" t="inlineStr">
        <is>
          <t>ASG-027</t>
        </is>
      </c>
      <c r="B20" s="6" t="inlineStr">
        <is>
          <t>PSN-008</t>
        </is>
      </c>
      <c r="C20" s="7">
        <f>IFERROR(INDEX(Person!$B:$B,MATCH($B20,Person!$A:$A,0)),"")</f>
        <v/>
      </c>
      <c r="D20" s="6" t="inlineStr">
        <is>
          <t>PRJ-001</t>
        </is>
      </c>
      <c r="E20" s="7" t="inlineStr">
        <is>
          <t>Data Analyst</t>
        </is>
      </c>
      <c r="F20" s="8" t="n">
        <v>46023</v>
      </c>
      <c r="G20" s="8" t="n">
        <v>46568</v>
      </c>
      <c r="H20" s="7" t="n">
        <v>0.4</v>
      </c>
      <c r="I20" s="7" t="n"/>
      <c r="J20" s="7" t="n"/>
      <c r="K20" s="7" t="n"/>
    </row>
    <row r="21">
      <c r="A21" s="6" t="inlineStr">
        <is>
          <t>ASG-016</t>
        </is>
      </c>
      <c r="B21" s="6" t="inlineStr">
        <is>
          <t>PSN-009</t>
        </is>
      </c>
      <c r="C21" s="7">
        <f>IFERROR(INDEX(Person!$B:$B,MATCH($B21,Person!$A:$A,0)),"")</f>
        <v/>
      </c>
      <c r="D21" s="6" t="inlineStr">
        <is>
          <t>PRJ-001</t>
        </is>
      </c>
      <c r="E21" s="7" t="inlineStr">
        <is>
          <t>Project oversight</t>
        </is>
      </c>
      <c r="F21" s="8" t="n">
        <v>45931</v>
      </c>
      <c r="G21" s="8" t="n">
        <v>46568</v>
      </c>
      <c r="H21" s="7" t="n">
        <v>0.35</v>
      </c>
      <c r="I21" s="7" t="n"/>
      <c r="J21" s="7" t="n"/>
      <c r="K21" s="7" t="n"/>
    </row>
    <row r="22">
      <c r="A22" s="6" t="inlineStr">
        <is>
          <t>ASG-017</t>
        </is>
      </c>
      <c r="B22" s="6" t="inlineStr">
        <is>
          <t>PSN-009</t>
        </is>
      </c>
      <c r="C22" s="7">
        <f>IFERROR(INDEX(Person!$B:$B,MATCH($B22,Person!$A:$A,0)),"")</f>
        <v/>
      </c>
      <c r="D22" s="6" t="inlineStr">
        <is>
          <t>PRJ-002</t>
        </is>
      </c>
      <c r="E22" s="7" t="inlineStr">
        <is>
          <t>Project oversight</t>
        </is>
      </c>
      <c r="F22" s="8" t="n">
        <v>46023</v>
      </c>
      <c r="G22" s="8" t="n">
        <v>47026</v>
      </c>
      <c r="H22" s="7" t="n">
        <v>0.35</v>
      </c>
      <c r="I22" s="7" t="n"/>
      <c r="J22" s="7" t="n"/>
      <c r="K22" s="7" t="n"/>
    </row>
    <row r="23">
      <c r="A23" s="6" t="inlineStr">
        <is>
          <t>ASG-018</t>
        </is>
      </c>
      <c r="B23" s="6" t="inlineStr">
        <is>
          <t>PSN-009</t>
        </is>
      </c>
      <c r="C23" s="7">
        <f>IFERROR(INDEX(Person!$B:$B,MATCH($B23,Person!$A:$A,0)),"")</f>
        <v/>
      </c>
      <c r="D23" s="6" t="inlineStr">
        <is>
          <t>PRJ-004</t>
        </is>
      </c>
      <c r="E23" s="7" t="inlineStr">
        <is>
          <t>Project oversight</t>
        </is>
      </c>
      <c r="F23" s="8" t="n">
        <v>46113</v>
      </c>
      <c r="G23" s="8" t="n">
        <v>46843</v>
      </c>
      <c r="H23" s="7" t="n">
        <v>0.35</v>
      </c>
      <c r="I23" s="7" t="n"/>
      <c r="J23" s="7" t="n"/>
      <c r="K23" s="7" t="n"/>
    </row>
    <row r="24">
      <c r="A24" s="6" t="inlineStr">
        <is>
          <t>ASG-028</t>
        </is>
      </c>
      <c r="B24" s="6" t="inlineStr">
        <is>
          <t>PSN-009</t>
        </is>
      </c>
      <c r="C24" s="7">
        <f>IFERROR(INDEX(Person!$B:$B,MATCH($B24,Person!$A:$A,0)),"")</f>
        <v/>
      </c>
      <c r="D24" s="6" t="inlineStr">
        <is>
          <t>PRJ-006</t>
        </is>
      </c>
      <c r="E24" s="7" t="inlineStr">
        <is>
          <t>Project lead</t>
        </is>
      </c>
      <c r="F24" s="8" t="n">
        <v>46023</v>
      </c>
      <c r="G24" s="8" t="n">
        <v>46387</v>
      </c>
      <c r="H24" s="7" t="n">
        <v>0.3</v>
      </c>
      <c r="I24" s="7" t="n"/>
      <c r="J24" s="7" t="n"/>
      <c r="K24" s="7" t="n"/>
    </row>
    <row r="25">
      <c r="A25" s="6" t="inlineStr">
        <is>
          <t>ASG-019</t>
        </is>
      </c>
      <c r="B25" s="6" t="inlineStr">
        <is>
          <t>PSN-010</t>
        </is>
      </c>
      <c r="C25" s="7">
        <f>IFERROR(INDEX(Person!$B:$B,MATCH($B25,Person!$A:$A,0)),"")</f>
        <v/>
      </c>
      <c r="D25" s="6" t="inlineStr">
        <is>
          <t>PRJ-003</t>
        </is>
      </c>
      <c r="E25" s="7" t="inlineStr">
        <is>
          <t>Project oversight</t>
        </is>
      </c>
      <c r="F25" s="8" t="n">
        <v>45839</v>
      </c>
      <c r="G25" s="8" t="n">
        <v>47208</v>
      </c>
      <c r="H25" s="7" t="n">
        <v>0.45</v>
      </c>
      <c r="I25" s="7" t="n"/>
      <c r="J25" s="7" t="n"/>
      <c r="K25" s="7" t="n"/>
    </row>
    <row r="26">
      <c r="A26" s="6" t="inlineStr">
        <is>
          <t>ASG-020</t>
        </is>
      </c>
      <c r="B26" s="6" t="inlineStr">
        <is>
          <t>PSN-010</t>
        </is>
      </c>
      <c r="C26" s="7">
        <f>IFERROR(INDEX(Person!$B:$B,MATCH($B26,Person!$A:$A,0)),"")</f>
        <v/>
      </c>
      <c r="D26" s="6" t="inlineStr">
        <is>
          <t>PRJ-005</t>
        </is>
      </c>
      <c r="E26" s="7" t="inlineStr">
        <is>
          <t>Project oversight</t>
        </is>
      </c>
      <c r="F26" s="8" t="n">
        <v>46174</v>
      </c>
      <c r="G26" s="8" t="n">
        <v>47299</v>
      </c>
      <c r="H26" s="7" t="n">
        <v>0.45</v>
      </c>
      <c r="I26" s="7" t="n"/>
      <c r="J26" s="7" t="n"/>
      <c r="K26" s="7" t="n"/>
    </row>
    <row r="27">
      <c r="A27" s="6" t="inlineStr">
        <is>
          <t>ASG-029</t>
        </is>
      </c>
      <c r="B27" s="6" t="inlineStr">
        <is>
          <t>PSN-010</t>
        </is>
      </c>
      <c r="C27" s="7">
        <f>IFERROR(INDEX(Person!$B:$B,MATCH($B27,Person!$A:$A,0)),"")</f>
        <v/>
      </c>
      <c r="D27" s="6" t="inlineStr">
        <is>
          <t>PRJ-007</t>
        </is>
      </c>
      <c r="E27" s="7" t="inlineStr">
        <is>
          <t>Project lead</t>
        </is>
      </c>
      <c r="F27" s="8" t="n">
        <v>46082</v>
      </c>
      <c r="G27" s="8" t="n">
        <v>46446</v>
      </c>
      <c r="H27" s="7" t="n">
        <v>0.35</v>
      </c>
      <c r="I27" s="7" t="n"/>
      <c r="J27" s="7" t="n"/>
      <c r="K27" s="7" t="n"/>
    </row>
    <row r="28">
      <c r="A28" s="6" t="inlineStr">
        <is>
          <t>ASG-021</t>
        </is>
      </c>
      <c r="B28" s="6" t="inlineStr">
        <is>
          <t>PSN-011</t>
        </is>
      </c>
      <c r="C28" s="7">
        <f>IFERROR(INDEX(Person!$B:$B,MATCH($B28,Person!$A:$A,0)),"")</f>
        <v/>
      </c>
      <c r="D28" s="6" t="inlineStr">
        <is>
          <t>PRJ-007</t>
        </is>
      </c>
      <c r="E28" s="7" t="inlineStr">
        <is>
          <t>Project lead</t>
        </is>
      </c>
      <c r="F28" s="8" t="n">
        <v>46082</v>
      </c>
      <c r="G28" s="8" t="n">
        <v>46446</v>
      </c>
      <c r="H28" s="7" t="n">
        <v>0.6</v>
      </c>
      <c r="I28" s="7" t="n"/>
      <c r="J28" s="7" t="n"/>
      <c r="K28" s="7" t="n"/>
    </row>
    <row r="29">
      <c r="A29" s="6" t="inlineStr">
        <is>
          <t>ASG-030</t>
        </is>
      </c>
      <c r="B29" s="6" t="inlineStr">
        <is>
          <t>PSN-011</t>
        </is>
      </c>
      <c r="C29" s="7">
        <f>IFERROR(INDEX(Person!$B:$B,MATCH($B29,Person!$A:$A,0)),"")</f>
        <v/>
      </c>
      <c r="D29" s="6" t="inlineStr">
        <is>
          <t>PRJ-006</t>
        </is>
      </c>
      <c r="E29" s="7" t="inlineStr">
        <is>
          <t>Main staff</t>
        </is>
      </c>
      <c r="F29" s="8" t="n">
        <v>46023</v>
      </c>
      <c r="G29" s="8" t="n">
        <v>46387</v>
      </c>
      <c r="H29" s="7" t="n">
        <v>0.5</v>
      </c>
      <c r="I29" s="7" t="n"/>
      <c r="J29" s="7" t="n"/>
      <c r="K29" s="7" t="n"/>
    </row>
    <row r="30">
      <c r="A30" s="6" t="inlineStr">
        <is>
          <t>ASG-022</t>
        </is>
      </c>
      <c r="B30" s="6" t="inlineStr">
        <is>
          <t>PSN-012</t>
        </is>
      </c>
      <c r="C30" s="7">
        <f>IFERROR(INDEX(Person!$B:$B,MATCH($B30,Person!$A:$A,0)),"")</f>
        <v/>
      </c>
      <c r="D30" s="6" t="inlineStr">
        <is>
          <t>PRJ-006</t>
        </is>
      </c>
      <c r="E30" s="7" t="inlineStr">
        <is>
          <t>Main staff</t>
        </is>
      </c>
      <c r="F30" s="8" t="n">
        <v>46023</v>
      </c>
      <c r="G30" s="8" t="n">
        <v>46387</v>
      </c>
      <c r="H30" s="7" t="n">
        <v>0.7</v>
      </c>
      <c r="I30" s="7" t="n"/>
      <c r="J30" s="7" t="n"/>
      <c r="K30" s="7" t="n"/>
    </row>
    <row r="31">
      <c r="A31" s="6" t="inlineStr">
        <is>
          <t>ASG-023</t>
        </is>
      </c>
      <c r="B31" s="6" t="inlineStr">
        <is>
          <t>PSN-012</t>
        </is>
      </c>
      <c r="C31" s="7">
        <f>IFERROR(INDEX(Person!$B:$B,MATCH($B31,Person!$A:$A,0)),"")</f>
        <v/>
      </c>
      <c r="D31" s="6" t="inlineStr">
        <is>
          <t>PRJ-007</t>
        </is>
      </c>
      <c r="E31" s="7" t="inlineStr">
        <is>
          <t>Other staff</t>
        </is>
      </c>
      <c r="F31" s="8" t="n">
        <v>46082</v>
      </c>
      <c r="G31" s="8" t="n">
        <v>46446</v>
      </c>
      <c r="H31" s="7" t="n">
        <v>0.6</v>
      </c>
      <c r="I31" s="7" t="n"/>
      <c r="J31" s="7" t="n"/>
      <c r="K31" s="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6" t="inlineStr">
        <is>
          <t>ASG-001</t>
        </is>
      </c>
      <c r="B2" s="8" t="n">
        <v>46204</v>
      </c>
      <c r="C2" s="8" t="n">
        <v>46295</v>
      </c>
      <c r="D2" s="7" t="n">
        <v>0.2</v>
      </c>
      <c r="E2" s="7" t="inlineStr">
        <is>
          <t>Part-time - parental leave</t>
        </is>
      </c>
    </row>
    <row r="3">
      <c r="A3" s="6" t="inlineStr">
        <is>
          <t>ASG-004</t>
        </is>
      </c>
      <c r="B3" s="8" t="n">
        <v>46388</v>
      </c>
      <c r="C3" s="8" t="n">
        <v>46477</v>
      </c>
      <c r="D3" s="7" t="n">
        <v>0.7</v>
      </c>
      <c r="E3" s="7" t="inlineStr">
        <is>
          <t>Covering interim analysis peak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</cols>
  <sheetData>
    <row r="1" ht="30" customHeight="1">
      <c r="A1" s="5" t="inlineStr">
        <is>
          <t>list_name</t>
        </is>
      </c>
      <c r="B1" s="5" t="inlineStr">
        <is>
          <t>value</t>
        </is>
      </c>
    </row>
    <row r="2">
      <c r="A2" s="6" t="inlineStr">
        <is>
          <t>project_type</t>
        </is>
      </c>
      <c r="B2" s="7" t="inlineStr">
        <is>
          <t>Clinical Trial</t>
        </is>
      </c>
    </row>
    <row r="3">
      <c r="A3" s="6" t="inlineStr">
        <is>
          <t>project_type</t>
        </is>
      </c>
      <c r="B3" s="7" t="inlineStr">
        <is>
          <t>Others</t>
        </is>
      </c>
    </row>
    <row r="4">
      <c r="A4" s="6" t="inlineStr">
        <is>
          <t>clinical_phase</t>
        </is>
      </c>
      <c r="B4" s="7" t="inlineStr">
        <is>
          <t>Phase 1</t>
        </is>
      </c>
    </row>
    <row r="5">
      <c r="A5" s="6" t="inlineStr">
        <is>
          <t>clinical_phase</t>
        </is>
      </c>
      <c r="B5" s="7" t="inlineStr">
        <is>
          <t>Phase 2</t>
        </is>
      </c>
    </row>
    <row r="6">
      <c r="A6" s="6" t="inlineStr">
        <is>
          <t>clinical_phase</t>
        </is>
      </c>
      <c r="B6" s="7" t="inlineStr">
        <is>
          <t>Phase 3</t>
        </is>
      </c>
    </row>
    <row r="7">
      <c r="A7" s="6" t="inlineStr">
        <is>
          <t>clinical_phase</t>
        </is>
      </c>
      <c r="B7" s="7" t="inlineStr">
        <is>
          <t>Phase 4</t>
        </is>
      </c>
    </row>
    <row r="8">
      <c r="A8" s="6" t="inlineStr">
        <is>
          <t>outsourcing_type</t>
        </is>
      </c>
      <c r="B8" s="7" t="inlineStr">
        <is>
          <t>Full outsourcing</t>
        </is>
      </c>
    </row>
    <row r="9">
      <c r="A9" s="6" t="inlineStr">
        <is>
          <t>outsourcing_type</t>
        </is>
      </c>
      <c r="B9" s="7" t="inlineStr">
        <is>
          <t>Partial outsourcing</t>
        </is>
      </c>
    </row>
    <row r="10">
      <c r="A10" s="6" t="inlineStr">
        <is>
          <t>outsourcing_type</t>
        </is>
      </c>
      <c r="B10" s="7" t="inlineStr">
        <is>
          <t>Full In-house</t>
        </is>
      </c>
    </row>
    <row r="11">
      <c r="A11" s="6" t="inlineStr">
        <is>
          <t>setup_party</t>
        </is>
      </c>
      <c r="B11" s="7" t="inlineStr">
        <is>
          <t>by CRO</t>
        </is>
      </c>
    </row>
    <row r="12">
      <c r="A12" s="6" t="inlineStr">
        <is>
          <t>setup_party</t>
        </is>
      </c>
      <c r="B12" s="7" t="inlineStr">
        <is>
          <t>by SB</t>
        </is>
      </c>
    </row>
    <row r="13">
      <c r="A13" s="6" t="inlineStr">
        <is>
          <t>EDC_system</t>
        </is>
      </c>
      <c r="B13" s="7" t="inlineStr">
        <is>
          <t>Veeva EDC</t>
        </is>
      </c>
    </row>
    <row r="14">
      <c r="A14" s="6" t="inlineStr">
        <is>
          <t>EDC_system</t>
        </is>
      </c>
      <c r="B14" s="7" t="inlineStr">
        <is>
          <t>Rave</t>
        </is>
      </c>
    </row>
    <row r="15">
      <c r="A15" s="6" t="inlineStr">
        <is>
          <t>EDC_system</t>
        </is>
      </c>
      <c r="B15" s="7" t="inlineStr">
        <is>
          <t>eSOURCE</t>
        </is>
      </c>
    </row>
    <row r="16">
      <c r="A16" s="6" t="inlineStr">
        <is>
          <t>DataReviewSystem</t>
        </is>
      </c>
      <c r="B16" s="7" t="inlineStr">
        <is>
          <t>Veeva DQS</t>
        </is>
      </c>
    </row>
    <row r="17">
      <c r="A17" s="6" t="inlineStr">
        <is>
          <t>DataReviewSystem</t>
        </is>
      </c>
      <c r="B17" s="7" t="inlineStr">
        <is>
          <t>Medidata CDS</t>
        </is>
      </c>
    </row>
    <row r="18">
      <c r="A18" s="6" t="inlineStr">
        <is>
          <t>DataReviewSystem</t>
        </is>
      </c>
      <c r="B18" s="7" t="inlineStr">
        <is>
          <t>No system (manual)</t>
        </is>
      </c>
    </row>
    <row r="19">
      <c r="A19" s="6" t="inlineStr">
        <is>
          <t>RBQM_system</t>
        </is>
      </c>
      <c r="B19" s="7" t="inlineStr">
        <is>
          <t>CluePoints</t>
        </is>
      </c>
    </row>
    <row r="20">
      <c r="A20" s="6" t="inlineStr">
        <is>
          <t>RBQM_system</t>
        </is>
      </c>
      <c r="B20" s="7" t="inlineStr">
        <is>
          <t>Medidata CDS</t>
        </is>
      </c>
    </row>
    <row r="21">
      <c r="A21" s="6" t="inlineStr">
        <is>
          <t>RBQM_system</t>
        </is>
      </c>
      <c r="B21" s="7" t="inlineStr">
        <is>
          <t>No system (manual)</t>
        </is>
      </c>
    </row>
    <row r="22">
      <c r="A22" s="6" t="inlineStr">
        <is>
          <t>project_status</t>
        </is>
      </c>
      <c r="B22" s="7" t="inlineStr">
        <is>
          <t>Planned</t>
        </is>
      </c>
    </row>
    <row r="23">
      <c r="A23" s="6" t="inlineStr">
        <is>
          <t>project_status</t>
        </is>
      </c>
      <c r="B23" s="7" t="inlineStr">
        <is>
          <t>Active</t>
        </is>
      </c>
    </row>
    <row r="24">
      <c r="A24" s="6" t="inlineStr">
        <is>
          <t>project_status</t>
        </is>
      </c>
      <c r="B24" s="7" t="inlineStr">
        <is>
          <t>On hold</t>
        </is>
      </c>
    </row>
    <row r="25">
      <c r="A25" s="6" t="inlineStr">
        <is>
          <t>project_status</t>
        </is>
      </c>
      <c r="B25" s="7" t="inlineStr">
        <is>
          <t>Completed</t>
        </is>
      </c>
    </row>
    <row r="26">
      <c r="A26" s="6" t="inlineStr">
        <is>
          <t>milestone_name</t>
        </is>
      </c>
      <c r="B26" s="7" t="inlineStr">
        <is>
          <t>Protocol (v1)</t>
        </is>
      </c>
    </row>
    <row r="27">
      <c r="A27" s="6" t="inlineStr">
        <is>
          <t>milestone_name</t>
        </is>
      </c>
      <c r="B27" s="7" t="inlineStr">
        <is>
          <t>CTA submission</t>
        </is>
      </c>
    </row>
    <row r="28">
      <c r="A28" s="6" t="inlineStr">
        <is>
          <t>milestone_name</t>
        </is>
      </c>
      <c r="B28" s="7" t="inlineStr">
        <is>
          <t>First SIV</t>
        </is>
      </c>
    </row>
    <row r="29">
      <c r="A29" s="6" t="inlineStr">
        <is>
          <t>milestone_name</t>
        </is>
      </c>
      <c r="B29" s="7" t="inlineStr">
        <is>
          <t>LPI</t>
        </is>
      </c>
    </row>
    <row r="30">
      <c r="A30" s="6" t="inlineStr">
        <is>
          <t>milestone_name</t>
        </is>
      </c>
      <c r="B30" s="7" t="inlineStr">
        <is>
          <t>interim DB lock cut-off</t>
        </is>
      </c>
    </row>
    <row r="31">
      <c r="A31" s="6" t="inlineStr">
        <is>
          <t>milestone_name</t>
        </is>
      </c>
      <c r="B31" s="7" t="inlineStr">
        <is>
          <t>interim DB lock</t>
        </is>
      </c>
    </row>
    <row r="32">
      <c r="A32" s="6" t="inlineStr">
        <is>
          <t>milestone_name</t>
        </is>
      </c>
      <c r="B32" s="7" t="inlineStr">
        <is>
          <t>final DB lock cut-off</t>
        </is>
      </c>
    </row>
    <row r="33">
      <c r="A33" s="6" t="inlineStr">
        <is>
          <t>milestone_name</t>
        </is>
      </c>
      <c r="B33" s="7" t="inlineStr">
        <is>
          <t>final DB lock</t>
        </is>
      </c>
    </row>
    <row r="34">
      <c r="A34" s="6" t="inlineStr">
        <is>
          <t>period_name_clinical</t>
        </is>
      </c>
      <c r="B34" s="7" t="inlineStr">
        <is>
          <t>Before-Start-up</t>
        </is>
      </c>
    </row>
    <row r="35">
      <c r="A35" s="6" t="inlineStr">
        <is>
          <t>period_name_clinical</t>
        </is>
      </c>
      <c r="B35" s="7" t="inlineStr">
        <is>
          <t>Start-up</t>
        </is>
      </c>
    </row>
    <row r="36">
      <c r="A36" s="6" t="inlineStr">
        <is>
          <t>period_name_clinical</t>
        </is>
      </c>
      <c r="B36" s="7" t="inlineStr">
        <is>
          <t>Conduct</t>
        </is>
      </c>
    </row>
    <row r="37">
      <c r="A37" s="6" t="inlineStr">
        <is>
          <t>period_name_clinical</t>
        </is>
      </c>
      <c r="B37" s="7" t="inlineStr">
        <is>
          <t>Close-out (interim)</t>
        </is>
      </c>
    </row>
    <row r="38">
      <c r="A38" s="6" t="inlineStr">
        <is>
          <t>period_name_clinical</t>
        </is>
      </c>
      <c r="B38" s="7" t="inlineStr">
        <is>
          <t>Close-out (final)</t>
        </is>
      </c>
    </row>
    <row r="39">
      <c r="A39" s="6" t="inlineStr">
        <is>
          <t>period_name_others</t>
        </is>
      </c>
      <c r="B39" s="7" t="inlineStr">
        <is>
          <t>Planning</t>
        </is>
      </c>
    </row>
    <row r="40">
      <c r="A40" s="6" t="inlineStr">
        <is>
          <t>period_name_others</t>
        </is>
      </c>
      <c r="B40" s="7" t="inlineStr">
        <is>
          <t>Develop</t>
        </is>
      </c>
    </row>
    <row r="41">
      <c r="A41" s="6" t="inlineStr">
        <is>
          <t>period_name_others</t>
        </is>
      </c>
      <c r="B41" s="7" t="inlineStr">
        <is>
          <t>Close</t>
        </is>
      </c>
    </row>
    <row r="42">
      <c r="A42" s="6" t="inlineStr">
        <is>
          <t>role_clinical</t>
        </is>
      </c>
      <c r="B42" s="7" t="inlineStr">
        <is>
          <t>Project oversight</t>
        </is>
      </c>
    </row>
    <row r="43">
      <c r="A43" s="6" t="inlineStr">
        <is>
          <t>role_clinical</t>
        </is>
      </c>
      <c r="B43" s="7" t="inlineStr">
        <is>
          <t>Lead data manager</t>
        </is>
      </c>
    </row>
    <row r="44">
      <c r="A44" s="6" t="inlineStr">
        <is>
          <t>role_clinical</t>
        </is>
      </c>
      <c r="B44" s="7" t="inlineStr">
        <is>
          <t>Clinical Data Associator</t>
        </is>
      </c>
    </row>
    <row r="45">
      <c r="A45" s="6" t="inlineStr">
        <is>
          <t>role_clinical</t>
        </is>
      </c>
      <c r="B45" s="7" t="inlineStr">
        <is>
          <t>Clinical Database Programmer</t>
        </is>
      </c>
    </row>
    <row r="46">
      <c r="A46" s="6" t="inlineStr">
        <is>
          <t>role_clinical</t>
        </is>
      </c>
      <c r="B46" s="7" t="inlineStr">
        <is>
          <t>Data Analyst</t>
        </is>
      </c>
    </row>
    <row r="47">
      <c r="A47" s="6" t="inlineStr">
        <is>
          <t>role_others</t>
        </is>
      </c>
      <c r="B47" s="7" t="inlineStr">
        <is>
          <t>Project lead</t>
        </is>
      </c>
    </row>
    <row r="48">
      <c r="A48" s="6" t="inlineStr">
        <is>
          <t>role_others</t>
        </is>
      </c>
      <c r="B48" s="7" t="inlineStr">
        <is>
          <t>Main staff</t>
        </is>
      </c>
    </row>
    <row r="49">
      <c r="A49" s="6" t="inlineStr">
        <is>
          <t>role_others</t>
        </is>
      </c>
      <c r="B49" s="7" t="inlineStr">
        <is>
          <t>Other staff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6" t="inlineStr">
        <is>
          <t>schema_version</t>
        </is>
      </c>
      <c r="B2" s="7" t="n">
        <v>1</v>
      </c>
      <c r="C2" s="7" t="inlineStr">
        <is>
          <t>Structure version of this workbook. The application warns on a mismatch.</t>
        </is>
      </c>
    </row>
    <row r="3">
      <c r="A3" s="6" t="inlineStr">
        <is>
          <t>fte_hours_per_month</t>
        </is>
      </c>
      <c r="B3" s="7" t="n">
        <v>160</v>
      </c>
      <c r="C3" s="7" t="inlineStr">
        <is>
          <t>Hours equal to 1.00 FTE: 8 h/day x 5 days/week x 20 days/month.</t>
        </is>
      </c>
    </row>
    <row r="4">
      <c r="A4" s="6" t="inlineStr">
        <is>
          <t>over_allocation_fte</t>
        </is>
      </c>
      <c r="B4" s="7" t="n">
        <v>1.5</v>
      </c>
      <c r="C4" s="7" t="inlineStr">
        <is>
          <t>A person-month total above this is flagged as over-allocated.</t>
        </is>
      </c>
    </row>
    <row r="5">
      <c r="A5" s="6" t="inlineStr">
        <is>
          <t>under_allocation_fte</t>
        </is>
      </c>
      <c r="B5" s="7" t="n">
        <v>0.8</v>
      </c>
      <c r="C5" s="7" t="inlineStr">
        <is>
          <t>A person-month total below this counts toward an under-allocated run.</t>
        </is>
      </c>
    </row>
    <row r="6">
      <c r="A6" s="6" t="inlineStr">
        <is>
          <t>under_allocation_min_months</t>
        </is>
      </c>
      <c r="B6" s="7" t="n">
        <v>3</v>
      </c>
      <c r="C6" s="7" t="inlineStr">
        <is>
          <t>Consecutive months below the threshold before a run is flagged.</t>
        </is>
      </c>
    </row>
    <row r="7">
      <c r="A7" s="6" t="inlineStr">
        <is>
          <t>default_horizon_months</t>
        </is>
      </c>
      <c r="B7" s="7" t="n">
        <v>24</v>
      </c>
      <c r="C7" s="7" t="inlineStr">
        <is>
          <t>Months shown when the dashboard opens.</t>
        </is>
      </c>
    </row>
    <row r="8">
      <c r="A8" s="6" t="inlineStr">
        <is>
          <t>capacity_unit</t>
        </is>
      </c>
      <c r="B8" s="7" t="inlineStr">
        <is>
          <t>FTE</t>
        </is>
      </c>
      <c r="C8" s="7" t="inlineStr">
        <is>
          <t>Display unit: 'FTE' or 'percent'.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2026-07-31T16:23:39Z</dcterms:created>
  <dcterms:modified xsi:type="dcterms:W3CDTF">2026-07-31T16:23:39Z</dcterms:modified>
</cp:coreProperties>
</file>