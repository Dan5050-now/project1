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WHAT THIS DUMMY FILE DEMONSTRATES</t>
        </is>
      </c>
    </row>
    <row r="71">
      <c r="A71" s="4" t="inlineStr">
        <is>
          <t xml:space="preserve">   - PSN-001 is loaded across three projects and breaches the 1.50 FTE over-allocation</t>
        </is>
      </c>
    </row>
    <row r="72">
      <c r="A72" s="4" t="inlineStr">
        <is>
          <t xml:space="preserve">     threshold in several months.</t>
        </is>
      </c>
    </row>
    <row r="73">
      <c r="A73" s="4" t="inlineStr">
        <is>
          <t xml:space="preserve">   - PSN-004 sits below 0.80 FTE for well over three consecutive months, so an</t>
        </is>
      </c>
    </row>
    <row r="74">
      <c r="A74" s="4" t="inlineStr">
        <is>
          <t xml:space="preserve">     under-allocation run is raised.</t>
        </is>
      </c>
    </row>
    <row r="75">
      <c r="A75" s="4" t="inlineStr">
        <is>
          <t xml:space="preserve">   - PRJ-002, PRJ-003 and PRJ-005 have an interim DB lock, so each has TWO Conduct</t>
        </is>
      </c>
    </row>
    <row r="76">
      <c r="A76" s="4" t="inlineStr">
        <is>
          <t xml:space="preserve">     stretches and two close-out periods.</t>
        </is>
      </c>
    </row>
    <row r="77">
      <c r="A77" s="4" t="inlineStr">
        <is>
          <t xml:space="preserve">   - PRJ-001 and PRJ-004 have no interim lock, so Conduct runs once.</t>
        </is>
      </c>
    </row>
    <row r="78">
      <c r="A78" s="4" t="inlineStr">
        <is>
          <t xml:space="preserve">   - PRJ-006 and PRJ-007 are 'Others' projects with hand-entered periods.</t>
        </is>
      </c>
    </row>
    <row r="79">
      <c r="A79" s="4" t="inlineStr">
        <is>
          <t xml:space="preserve">   - ASG-001 and ASG-004 carry PersonPeriodWeight overrides.</t>
        </is>
      </c>
    </row>
    <row r="80">
      <c r="A80" s="4" t="inlineStr">
        <is>
          <t xml:space="preserve">   - PRJ-003 records THREE 'Inspection' events after its final DB lock, so it carries the</t>
        </is>
      </c>
    </row>
    <row r="81">
      <c r="A81" s="4" t="inlineStr">
        <is>
          <t xml:space="preserve">     seventh period. PRJ-001 records one. PRJ-002 records one dated BEFORE its final lock,</t>
        </is>
      </c>
    </row>
    <row r="82">
      <c r="A82" s="4" t="inlineStr">
        <is>
          <t xml:space="preserve">     which stays a marker and opens no period - the case raised as R-03 in the plan.</t>
        </is>
      </c>
    </row>
    <row r="83">
      <c r="A83" s="2" t="inlineStr"/>
    </row>
    <row r="84">
      <c r="A84" s="4" t="inlineStr">
        <is>
          <t xml:space="preserve">   The weights and role factors here are ILLUSTRATIVE, so the numbers can be exercised.</t>
        </is>
      </c>
    </row>
    <row r="85">
      <c r="A85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46660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ONV-205 Dose expansion</t>
        </is>
      </c>
      <c r="C3" s="7" t="inlineStr">
        <is>
          <t>Clinical Trial</t>
        </is>
      </c>
      <c r="D3" s="7" t="inlineStr">
        <is>
          <t>Onvelaris</t>
        </is>
      </c>
      <c r="E3" s="7" t="inlineStr">
        <is>
          <t>Phase 2</t>
        </is>
      </c>
      <c r="F3" s="7" t="inlineStr">
        <is>
          <t>Full outsourcing</t>
        </is>
      </c>
      <c r="G3" s="7" t="inlineStr">
        <is>
          <t>by CRO</t>
        </is>
      </c>
      <c r="H3" s="7" t="inlineStr">
        <is>
          <t>by CRO</t>
        </is>
      </c>
      <c r="I3" s="7" t="inlineStr">
        <is>
          <t>by CRO</t>
        </is>
      </c>
      <c r="J3" s="7" t="inlineStr">
        <is>
          <t>by CRO</t>
        </is>
      </c>
      <c r="K3" s="7" t="inlineStr">
        <is>
          <t>Rave</t>
        </is>
      </c>
      <c r="L3" s="7" t="inlineStr">
        <is>
          <t>Medidata CDS</t>
        </is>
      </c>
      <c r="M3" s="7" t="inlineStr">
        <is>
          <t>Medidata CDS</t>
        </is>
      </c>
      <c r="N3" s="7" t="n">
        <v>6</v>
      </c>
      <c r="O3" s="8" t="n">
        <v>46023</v>
      </c>
      <c r="P3" s="8" t="n">
        <v>47026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CDX-310 Pivotal</t>
        </is>
      </c>
      <c r="C4" s="7" t="inlineStr">
        <is>
          <t>Clinical Trial</t>
        </is>
      </c>
      <c r="D4" s="7" t="inlineStr">
        <is>
          <t>Cardexa</t>
        </is>
      </c>
      <c r="E4" s="7" t="inlineStr">
        <is>
          <t>Phase 3</t>
        </is>
      </c>
      <c r="F4" s="7" t="inlineStr">
        <is>
          <t>Partial outsourcing</t>
        </is>
      </c>
      <c r="G4" s="7" t="inlineStr">
        <is>
          <t>by CRO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8</v>
      </c>
      <c r="O4" s="8" t="n">
        <v>45839</v>
      </c>
      <c r="P4" s="8" t="n">
        <v>47422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NRX-410 Post-marketing</t>
        </is>
      </c>
      <c r="C5" s="7" t="inlineStr">
        <is>
          <t>Clinical Trial</t>
        </is>
      </c>
      <c r="D5" s="7" t="inlineStr">
        <is>
          <t>Neurexa</t>
        </is>
      </c>
      <c r="E5" s="7" t="inlineStr">
        <is>
          <t>Phase 4</t>
        </is>
      </c>
      <c r="F5" s="7" t="inlineStr">
        <is>
          <t>Full In-house</t>
        </is>
      </c>
      <c r="G5" s="7" t="inlineStr">
        <is>
          <t>by SB</t>
        </is>
      </c>
      <c r="H5" s="7" t="inlineStr">
        <is>
          <t>by SB</t>
        </is>
      </c>
      <c r="I5" s="7" t="inlineStr">
        <is>
          <t>by SB</t>
        </is>
      </c>
      <c r="J5" s="7" t="inlineStr">
        <is>
          <t>by SB</t>
        </is>
      </c>
      <c r="K5" s="7" t="inlineStr">
        <is>
          <t>eSOURCE</t>
        </is>
      </c>
      <c r="L5" s="7" t="inlineStr">
        <is>
          <t>No system (manual)</t>
        </is>
      </c>
      <c r="M5" s="7" t="inlineStr">
        <is>
          <t>No system (manual)</t>
        </is>
      </c>
      <c r="N5" s="7" t="n">
        <v>3</v>
      </c>
      <c r="O5" s="8" t="n">
        <v>46113</v>
      </c>
      <c r="P5" s="8" t="n">
        <v>46843</v>
      </c>
      <c r="Q5" s="7">
        <f>IF(OR($O5="",$P5=""),"",(YEAR($P5)-YEAR($O5))*12+MONTH($P5)-MONTH($O5)+1)</f>
        <v/>
      </c>
      <c r="R5" s="7" t="inlineStr">
        <is>
          <t>Planned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ONV-302 Confirmatory</t>
        </is>
      </c>
      <c r="C6" s="7" t="inlineStr">
        <is>
          <t>Clinical Trial</t>
        </is>
      </c>
      <c r="D6" s="7" t="inlineStr">
        <is>
          <t>Onvelaris</t>
        </is>
      </c>
      <c r="E6" s="7" t="inlineStr">
        <is>
          <t>Phase 3</t>
        </is>
      </c>
      <c r="F6" s="7" t="inlineStr">
        <is>
          <t>Full outsourcing</t>
        </is>
      </c>
      <c r="G6" s="7" t="inlineStr">
        <is>
          <t>by CRO</t>
        </is>
      </c>
      <c r="H6" s="7" t="inlineStr">
        <is>
          <t>by CRO</t>
        </is>
      </c>
      <c r="I6" s="7" t="inlineStr">
        <is>
          <t>by CRO</t>
        </is>
      </c>
      <c r="J6" s="7" t="inlineStr">
        <is>
          <t>by CRO</t>
        </is>
      </c>
      <c r="K6" s="7" t="inlineStr">
        <is>
          <t>Rave</t>
        </is>
      </c>
      <c r="L6" s="7" t="inlineStr">
        <is>
          <t>Medidata CDS</t>
        </is>
      </c>
      <c r="M6" s="7" t="inlineStr">
        <is>
          <t>CluePoints</t>
        </is>
      </c>
      <c r="N6" s="7" t="n">
        <v>7</v>
      </c>
      <c r="O6" s="8" t="n">
        <v>46174</v>
      </c>
      <c r="P6" s="8" t="n">
        <v>47299</v>
      </c>
      <c r="Q6" s="7">
        <f>IF(OR($O6="",$P6=""),"",(YEAR($P6)-YEAR($O6))*12+MONTH($P6)-MONTH($O6)+1)</f>
        <v/>
      </c>
      <c r="R6" s="7" t="inlineStr">
        <is>
          <t>Planned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CDISC library migration</t>
        </is>
      </c>
      <c r="C7" s="7" t="inlineStr">
        <is>
          <t>Others</t>
        </is>
      </c>
      <c r="D7" s="7" t="inlineStr"/>
      <c r="E7" s="7" t="inlineStr"/>
      <c r="F7" s="7" t="inlineStr">
        <is>
          <t>Full In-house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n">
        <v>4</v>
      </c>
      <c r="O7" s="8" t="n">
        <v>46023</v>
      </c>
      <c r="P7" s="8" t="n">
        <v>46387</v>
      </c>
      <c r="Q7" s="7">
        <f>IF(OR($O7="",$P7=""),"",(YEAR($P7)-YEAR($O7))*12+MONTH($P7)-MONTH($O7)+1)</f>
        <v/>
      </c>
      <c r="R7" s="7" t="inlineStr">
        <is>
          <t>Active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eTMF rollout</t>
        </is>
      </c>
      <c r="C8" s="7" t="inlineStr">
        <is>
          <t>Others</t>
        </is>
      </c>
      <c r="D8" s="7" t="inlineStr"/>
      <c r="E8" s="7" t="inlineStr"/>
      <c r="F8" s="7" t="inlineStr">
        <is>
          <t>Partial outsourcing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n">
        <v>3</v>
      </c>
      <c r="O8" s="8" t="n">
        <v>46082</v>
      </c>
      <c r="P8" s="8" t="n">
        <v>46446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45945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46037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46113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46356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final DB lock cut-off</t>
        </is>
      </c>
      <c r="D6" s="8" t="n">
        <v>46477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final DB lock</t>
        </is>
      </c>
      <c r="D7" s="8" t="n">
        <v>46538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Inspection</t>
        </is>
      </c>
      <c r="D8" s="8" t="n">
        <v>46614</v>
      </c>
      <c r="E8" s="7" t="n">
        <v>7</v>
      </c>
      <c r="F8" s="7" t="inlineStr">
        <is>
          <t>Regulatory inspection</t>
        </is>
      </c>
    </row>
    <row r="9">
      <c r="A9" s="6" t="inlineStr">
        <is>
          <t>PRJ-002</t>
        </is>
      </c>
      <c r="B9" s="7">
        <f>IFERROR(INDEX(Project!$B:$B,MATCH($A9,Project!$A:$A,0)),"")</f>
        <v/>
      </c>
      <c r="C9" s="7" t="inlineStr">
        <is>
          <t>Protocol (v1)</t>
        </is>
      </c>
      <c r="D9" s="8" t="n">
        <v>46042</v>
      </c>
      <c r="E9" s="7" t="n">
        <v>1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CTA submission</t>
        </is>
      </c>
      <c r="D10" s="8" t="n">
        <v>46113</v>
      </c>
      <c r="E10" s="7" t="n">
        <v>2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First SIV</t>
        </is>
      </c>
      <c r="D11" s="8" t="n">
        <v>46204</v>
      </c>
      <c r="E11" s="7" t="n">
        <v>3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LPI</t>
        </is>
      </c>
      <c r="D12" s="8" t="n">
        <v>46568</v>
      </c>
      <c r="E12" s="7" t="n">
        <v>4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interim DB lock cut-off</t>
        </is>
      </c>
      <c r="D13" s="8" t="n">
        <v>46660</v>
      </c>
      <c r="E13" s="7" t="n">
        <v>5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</t>
        </is>
      </c>
      <c r="D14" s="8" t="n">
        <v>46721</v>
      </c>
      <c r="E14" s="7" t="n">
        <v>6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Inspection</t>
        </is>
      </c>
      <c r="D15" s="8" t="n">
        <v>46893</v>
      </c>
      <c r="E15" s="7" t="n">
        <v>7</v>
      </c>
      <c r="F15" s="7" t="inlineStr">
        <is>
          <t>Regulatory inspection</t>
        </is>
      </c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46934</v>
      </c>
      <c r="E16" s="7" t="n">
        <v>8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46996</v>
      </c>
      <c r="E17" s="7" t="n">
        <v>9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45853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45931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46037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46660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interim DB lock cut-off</t>
        </is>
      </c>
      <c r="D22" s="8" t="n">
        <v>46752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interim DB lock</t>
        </is>
      </c>
      <c r="D23" s="8" t="n">
        <v>46812</v>
      </c>
      <c r="E23" s="7" t="n">
        <v>6</v>
      </c>
      <c r="F23" s="7" t="n"/>
    </row>
    <row r="24">
      <c r="A24" s="6" t="inlineStr">
        <is>
          <t>PRJ-003</t>
        </is>
      </c>
      <c r="B24" s="7">
        <f>IFERROR(INDEX(Project!$B:$B,MATCH($A24,Project!$A:$A,0)),"")</f>
        <v/>
      </c>
      <c r="C24" s="7" t="inlineStr">
        <is>
          <t>final DB lock cut-off</t>
        </is>
      </c>
      <c r="D24" s="8" t="n">
        <v>47118</v>
      </c>
      <c r="E24" s="7" t="n">
        <v>7</v>
      </c>
      <c r="F24" s="7" t="n"/>
    </row>
    <row r="25">
      <c r="A25" s="6" t="inlineStr">
        <is>
          <t>PRJ-003</t>
        </is>
      </c>
      <c r="B25" s="7">
        <f>IFERROR(INDEX(Project!$B:$B,MATCH($A25,Project!$A:$A,0)),"")</f>
        <v/>
      </c>
      <c r="C25" s="7" t="inlineStr">
        <is>
          <t>final DB lock</t>
        </is>
      </c>
      <c r="D25" s="8" t="n">
        <v>47177</v>
      </c>
      <c r="E25" s="7" t="n">
        <v>8</v>
      </c>
      <c r="F25" s="7" t="n"/>
    </row>
    <row r="26">
      <c r="A26" s="6" t="inlineStr">
        <is>
          <t>PRJ-003</t>
        </is>
      </c>
      <c r="B26" s="7">
        <f>IFERROR(INDEX(Project!$B:$B,MATCH($A26,Project!$A:$A,0)),"")</f>
        <v/>
      </c>
      <c r="C26" s="7" t="inlineStr">
        <is>
          <t>Inspection</t>
        </is>
      </c>
      <c r="D26" s="8" t="n">
        <v>47248</v>
      </c>
      <c r="E26" s="7" t="n">
        <v>9</v>
      </c>
      <c r="F26" s="7" t="inlineStr">
        <is>
          <t>Regulatory inspection</t>
        </is>
      </c>
    </row>
    <row r="27">
      <c r="A27" s="6" t="inlineStr">
        <is>
          <t>PRJ-003</t>
        </is>
      </c>
      <c r="B27" s="7">
        <f>IFERROR(INDEX(Project!$B:$B,MATCH($A27,Project!$A:$A,0)),"")</f>
        <v/>
      </c>
      <c r="C27" s="7" t="inlineStr">
        <is>
          <t>Inspection</t>
        </is>
      </c>
      <c r="D27" s="8" t="n">
        <v>47321</v>
      </c>
      <c r="E27" s="7" t="n">
        <v>10</v>
      </c>
      <c r="F27" s="7" t="inlineStr">
        <is>
          <t>Regulatory inspection</t>
        </is>
      </c>
    </row>
    <row r="28">
      <c r="A28" s="6" t="inlineStr">
        <is>
          <t>PRJ-003</t>
        </is>
      </c>
      <c r="B28" s="7">
        <f>IFERROR(INDEX(Project!$B:$B,MATCH($A28,Project!$A:$A,0)),"")</f>
        <v/>
      </c>
      <c r="C28" s="7" t="inlineStr">
        <is>
          <t>Inspection</t>
        </is>
      </c>
      <c r="D28" s="8" t="n">
        <v>47391</v>
      </c>
      <c r="E28" s="7" t="n">
        <v>11</v>
      </c>
      <c r="F28" s="7" t="inlineStr">
        <is>
          <t>Regulatory inspection</t>
        </is>
      </c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Protocol (v1)</t>
        </is>
      </c>
      <c r="D29" s="8" t="n">
        <v>46122</v>
      </c>
      <c r="E29" s="7" t="n">
        <v>1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CTA submission</t>
        </is>
      </c>
      <c r="D30" s="8" t="n">
        <v>46174</v>
      </c>
      <c r="E30" s="7" t="n">
        <v>2</v>
      </c>
      <c r="F30" s="7" t="n"/>
    </row>
    <row r="31">
      <c r="A31" s="6" t="inlineStr">
        <is>
          <t>PRJ-004</t>
        </is>
      </c>
      <c r="B31" s="7">
        <f>IFERROR(INDEX(Project!$B:$B,MATCH($A31,Project!$A:$A,0)),"")</f>
        <v/>
      </c>
      <c r="C31" s="7" t="inlineStr">
        <is>
          <t>First SIV</t>
        </is>
      </c>
      <c r="D31" s="8" t="n">
        <v>46266</v>
      </c>
      <c r="E31" s="7" t="n">
        <v>3</v>
      </c>
      <c r="F31" s="7" t="n"/>
    </row>
    <row r="32">
      <c r="A32" s="6" t="inlineStr">
        <is>
          <t>PRJ-004</t>
        </is>
      </c>
      <c r="B32" s="7">
        <f>IFERROR(INDEX(Project!$B:$B,MATCH($A32,Project!$A:$A,0)),"")</f>
        <v/>
      </c>
      <c r="C32" s="7" t="inlineStr">
        <is>
          <t>LPI</t>
        </is>
      </c>
      <c r="D32" s="8" t="n">
        <v>46568</v>
      </c>
      <c r="E32" s="7" t="n">
        <v>4</v>
      </c>
      <c r="F32" s="7" t="n"/>
    </row>
    <row r="33">
      <c r="A33" s="6" t="inlineStr">
        <is>
          <t>PRJ-004</t>
        </is>
      </c>
      <c r="B33" s="7">
        <f>IFERROR(INDEX(Project!$B:$B,MATCH($A33,Project!$A:$A,0)),"")</f>
        <v/>
      </c>
      <c r="C33" s="7" t="inlineStr">
        <is>
          <t>final DB lock cut-off</t>
        </is>
      </c>
      <c r="D33" s="8" t="n">
        <v>46752</v>
      </c>
      <c r="E33" s="7" t="n">
        <v>5</v>
      </c>
      <c r="F33" s="7" t="n"/>
    </row>
    <row r="34">
      <c r="A34" s="6" t="inlineStr">
        <is>
          <t>PRJ-004</t>
        </is>
      </c>
      <c r="B34" s="7">
        <f>IFERROR(INDEX(Project!$B:$B,MATCH($A34,Project!$A:$A,0)),"")</f>
        <v/>
      </c>
      <c r="C34" s="7" t="inlineStr">
        <is>
          <t>final DB lock</t>
        </is>
      </c>
      <c r="D34" s="8" t="n">
        <v>46812</v>
      </c>
      <c r="E34" s="7" t="n">
        <v>6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Protocol (v1)</t>
        </is>
      </c>
      <c r="D35" s="8" t="n">
        <v>46188</v>
      </c>
      <c r="E35" s="7" t="n">
        <v>1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CTA submission</t>
        </is>
      </c>
      <c r="D36" s="8" t="n">
        <v>46266</v>
      </c>
      <c r="E36" s="7" t="n">
        <v>2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First SIV</t>
        </is>
      </c>
      <c r="D37" s="8" t="n">
        <v>46357</v>
      </c>
      <c r="E37" s="7" t="n">
        <v>3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LPI</t>
        </is>
      </c>
      <c r="D38" s="8" t="n">
        <v>46843</v>
      </c>
      <c r="E38" s="7" t="n">
        <v>4</v>
      </c>
      <c r="F38" s="7" t="n"/>
    </row>
    <row r="39">
      <c r="A39" s="6" t="inlineStr">
        <is>
          <t>PRJ-005</t>
        </is>
      </c>
      <c r="B39" s="7">
        <f>IFERROR(INDEX(Project!$B:$B,MATCH($A39,Project!$A:$A,0)),"")</f>
        <v/>
      </c>
      <c r="C39" s="7" t="inlineStr">
        <is>
          <t>interim DB lock cut-off</t>
        </is>
      </c>
      <c r="D39" s="8" t="n">
        <v>46934</v>
      </c>
      <c r="E39" s="7" t="n">
        <v>5</v>
      </c>
      <c r="F39" s="7" t="n"/>
    </row>
    <row r="40">
      <c r="A40" s="6" t="inlineStr">
        <is>
          <t>PRJ-005</t>
        </is>
      </c>
      <c r="B40" s="7">
        <f>IFERROR(INDEX(Project!$B:$B,MATCH($A40,Project!$A:$A,0)),"")</f>
        <v/>
      </c>
      <c r="C40" s="7" t="inlineStr">
        <is>
          <t>interim DB lock</t>
        </is>
      </c>
      <c r="D40" s="8" t="n">
        <v>46996</v>
      </c>
      <c r="E40" s="7" t="n">
        <v>6</v>
      </c>
      <c r="F40" s="7" t="n"/>
    </row>
    <row r="41">
      <c r="A41" s="6" t="inlineStr">
        <is>
          <t>PRJ-005</t>
        </is>
      </c>
      <c r="B41" s="7">
        <f>IFERROR(INDEX(Project!$B:$B,MATCH($A41,Project!$A:$A,0)),"")</f>
        <v/>
      </c>
      <c r="C41" s="7" t="inlineStr">
        <is>
          <t>final DB lock cut-off</t>
        </is>
      </c>
      <c r="D41" s="8" t="n">
        <v>47208</v>
      </c>
      <c r="E41" s="7" t="n">
        <v>7</v>
      </c>
      <c r="F41" s="7" t="n"/>
    </row>
    <row r="42">
      <c r="A42" s="6" t="inlineStr">
        <is>
          <t>PRJ-005</t>
        </is>
      </c>
      <c r="B42" s="7">
        <f>IFERROR(INDEX(Project!$B:$B,MATCH($A42,Project!$A:$A,0)),"")</f>
        <v/>
      </c>
      <c r="C42" s="7" t="inlineStr">
        <is>
          <t>final DB lock</t>
        </is>
      </c>
      <c r="D42" s="8" t="n">
        <v>47269</v>
      </c>
      <c r="E42" s="7" t="n">
        <v>8</v>
      </c>
      <c r="F42" s="7" t="n"/>
    </row>
  </sheetData>
  <dataValidations count="1">
    <dataValidation sqref="C2:C400" showDropDown="0" showInputMessage="0" showErrorMessage="0" allowBlank="1" type="list">
      <formula1>Lists!$B$26:$B$35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45931</v>
      </c>
      <c r="E2" s="8" t="n">
        <v>45945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45946</v>
      </c>
      <c r="E3" s="8" t="n">
        <v>46113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46114</v>
      </c>
      <c r="E4" s="8" t="n">
        <v>46445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(final)</t>
        </is>
      </c>
      <c r="C5" s="6" t="n">
        <v>4</v>
      </c>
      <c r="D5" s="8" t="n">
        <v>46446</v>
      </c>
      <c r="E5" s="8" t="n">
        <v>46613</v>
      </c>
      <c r="F5" s="7" t="n">
        <v>1.4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After Close-out (final)</t>
        </is>
      </c>
      <c r="C6" s="6" t="n">
        <v>5</v>
      </c>
      <c r="D6" s="8" t="n">
        <v>46614</v>
      </c>
      <c r="E6" s="8" t="n">
        <v>46660</v>
      </c>
      <c r="F6" s="7" t="n">
        <v>0.84</v>
      </c>
      <c r="G6" s="7" t="inlineStr">
        <is>
          <t>Derived from milestones</t>
        </is>
      </c>
    </row>
    <row r="7">
      <c r="A7" s="6" t="inlineStr">
        <is>
          <t>PRJ-002</t>
        </is>
      </c>
      <c r="B7" s="7" t="inlineStr">
        <is>
          <t>Before-Start-up</t>
        </is>
      </c>
      <c r="C7" s="6" t="n">
        <v>1</v>
      </c>
      <c r="D7" s="8" t="n">
        <v>46023</v>
      </c>
      <c r="E7" s="8" t="n">
        <v>46042</v>
      </c>
      <c r="F7" s="7" t="n">
        <v>0.7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Start-up</t>
        </is>
      </c>
      <c r="C8" s="6" t="n">
        <v>2</v>
      </c>
      <c r="D8" s="8" t="n">
        <v>46043</v>
      </c>
      <c r="E8" s="8" t="n">
        <v>46204</v>
      </c>
      <c r="F8" s="7" t="n">
        <v>1.4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Conduct</t>
        </is>
      </c>
      <c r="C9" s="6" t="n">
        <v>3</v>
      </c>
      <c r="D9" s="8" t="n">
        <v>46205</v>
      </c>
      <c r="E9" s="8" t="n">
        <v>46628</v>
      </c>
      <c r="F9" s="7" t="n">
        <v>1.1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Close-out (interim)</t>
        </is>
      </c>
      <c r="C10" s="6" t="n">
        <v>4</v>
      </c>
      <c r="D10" s="8" t="n">
        <v>46629</v>
      </c>
      <c r="E10" s="8" t="n">
        <v>46721</v>
      </c>
      <c r="F10" s="7" t="n">
        <v>1.3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Conduct</t>
        </is>
      </c>
      <c r="C11" s="6" t="n">
        <v>5</v>
      </c>
      <c r="D11" s="8" t="n">
        <v>46722</v>
      </c>
      <c r="E11" s="8" t="n">
        <v>46903</v>
      </c>
      <c r="F11" s="7" t="n">
        <v>1.1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Close-out (final)</t>
        </is>
      </c>
      <c r="C12" s="6" t="n">
        <v>6</v>
      </c>
      <c r="D12" s="8" t="n">
        <v>46904</v>
      </c>
      <c r="E12" s="8" t="n">
        <v>47026</v>
      </c>
      <c r="F12" s="7" t="n">
        <v>1.5</v>
      </c>
      <c r="G12" s="7" t="inlineStr">
        <is>
          <t>Derived from milestones</t>
        </is>
      </c>
    </row>
    <row r="13">
      <c r="A13" s="6" t="inlineStr">
        <is>
          <t>PRJ-003</t>
        </is>
      </c>
      <c r="B13" s="7" t="inlineStr">
        <is>
          <t>Before-Start-up</t>
        </is>
      </c>
      <c r="C13" s="6" t="n">
        <v>1</v>
      </c>
      <c r="D13" s="8" t="n">
        <v>45839</v>
      </c>
      <c r="E13" s="8" t="n">
        <v>45853</v>
      </c>
      <c r="F13" s="7" t="n">
        <v>0.8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Start-up</t>
        </is>
      </c>
      <c r="C14" s="6" t="n">
        <v>2</v>
      </c>
      <c r="D14" s="8" t="n">
        <v>45854</v>
      </c>
      <c r="E14" s="8" t="n">
        <v>46037</v>
      </c>
      <c r="F14" s="7" t="n">
        <v>1.6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Conduct</t>
        </is>
      </c>
      <c r="C15" s="6" t="n">
        <v>3</v>
      </c>
      <c r="D15" s="8" t="n">
        <v>46038</v>
      </c>
      <c r="E15" s="8" t="n">
        <v>46719</v>
      </c>
      <c r="F15" s="7" t="n">
        <v>1.2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Close-out (interim)</t>
        </is>
      </c>
      <c r="C16" s="6" t="n">
        <v>4</v>
      </c>
      <c r="D16" s="8" t="n">
        <v>46720</v>
      </c>
      <c r="E16" s="8" t="n">
        <v>46812</v>
      </c>
      <c r="F16" s="7" t="n">
        <v>1.4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Conduct</t>
        </is>
      </c>
      <c r="C17" s="6" t="n">
        <v>5</v>
      </c>
      <c r="D17" s="8" t="n">
        <v>46813</v>
      </c>
      <c r="E17" s="8" t="n">
        <v>47084</v>
      </c>
      <c r="F17" s="7" t="n">
        <v>1.2</v>
      </c>
      <c r="G17" s="7" t="inlineStr">
        <is>
          <t>Derived from milestones</t>
        </is>
      </c>
    </row>
    <row r="18">
      <c r="A18" s="6" t="inlineStr">
        <is>
          <t>PRJ-003</t>
        </is>
      </c>
      <c r="B18" s="7" t="inlineStr">
        <is>
          <t>Close-out (final)</t>
        </is>
      </c>
      <c r="C18" s="6" t="n">
        <v>6</v>
      </c>
      <c r="D18" s="8" t="n">
        <v>47085</v>
      </c>
      <c r="E18" s="8" t="n">
        <v>47247</v>
      </c>
      <c r="F18" s="7" t="n">
        <v>1.7</v>
      </c>
      <c r="G18" s="7" t="inlineStr">
        <is>
          <t>Derived from milestones</t>
        </is>
      </c>
    </row>
    <row r="19">
      <c r="A19" s="6" t="inlineStr">
        <is>
          <t>PRJ-003</t>
        </is>
      </c>
      <c r="B19" s="7" t="inlineStr">
        <is>
          <t>After Close-out (final)</t>
        </is>
      </c>
      <c r="C19" s="6" t="n">
        <v>7</v>
      </c>
      <c r="D19" s="8" t="n">
        <v>47248</v>
      </c>
      <c r="E19" s="8" t="n">
        <v>47422</v>
      </c>
      <c r="F19" s="7" t="n">
        <v>1.02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Before-Start-up</t>
        </is>
      </c>
      <c r="C20" s="6" t="n">
        <v>1</v>
      </c>
      <c r="D20" s="8" t="n">
        <v>46113</v>
      </c>
      <c r="E20" s="8" t="n">
        <v>46122</v>
      </c>
      <c r="F20" s="7" t="n">
        <v>0.5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Start-up</t>
        </is>
      </c>
      <c r="C21" s="6" t="n">
        <v>2</v>
      </c>
      <c r="D21" s="8" t="n">
        <v>46123</v>
      </c>
      <c r="E21" s="8" t="n">
        <v>46266</v>
      </c>
      <c r="F21" s="7" t="n">
        <v>1.1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Conduct</t>
        </is>
      </c>
      <c r="C22" s="6" t="n">
        <v>3</v>
      </c>
      <c r="D22" s="8" t="n">
        <v>46267</v>
      </c>
      <c r="E22" s="8" t="n">
        <v>46719</v>
      </c>
      <c r="F22" s="7" t="n">
        <v>0.9</v>
      </c>
      <c r="G22" s="7" t="inlineStr">
        <is>
          <t>Derived from milestones</t>
        </is>
      </c>
    </row>
    <row r="23">
      <c r="A23" s="6" t="inlineStr">
        <is>
          <t>PRJ-004</t>
        </is>
      </c>
      <c r="B23" s="7" t="inlineStr">
        <is>
          <t>Close-out (final)</t>
        </is>
      </c>
      <c r="C23" s="6" t="n">
        <v>4</v>
      </c>
      <c r="D23" s="8" t="n">
        <v>46720</v>
      </c>
      <c r="E23" s="8" t="n">
        <v>46843</v>
      </c>
      <c r="F23" s="7" t="n">
        <v>1.2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Before-Start-up</t>
        </is>
      </c>
      <c r="C24" s="6" t="n">
        <v>1</v>
      </c>
      <c r="D24" s="8" t="n">
        <v>46174</v>
      </c>
      <c r="E24" s="8" t="n">
        <v>46188</v>
      </c>
      <c r="F24" s="7" t="n">
        <v>0.8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Start-up</t>
        </is>
      </c>
      <c r="C25" s="6" t="n">
        <v>2</v>
      </c>
      <c r="D25" s="8" t="n">
        <v>46189</v>
      </c>
      <c r="E25" s="8" t="n">
        <v>46357</v>
      </c>
      <c r="F25" s="7" t="n">
        <v>1.6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Conduct</t>
        </is>
      </c>
      <c r="C26" s="6" t="n">
        <v>3</v>
      </c>
      <c r="D26" s="8" t="n">
        <v>46358</v>
      </c>
      <c r="E26" s="8" t="n">
        <v>46903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Close-out (interim)</t>
        </is>
      </c>
      <c r="C27" s="6" t="n">
        <v>4</v>
      </c>
      <c r="D27" s="8" t="n">
        <v>46904</v>
      </c>
      <c r="E27" s="8" t="n">
        <v>46996</v>
      </c>
      <c r="F27" s="7" t="n">
        <v>1.4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Conduct</t>
        </is>
      </c>
      <c r="C28" s="6" t="n">
        <v>5</v>
      </c>
      <c r="D28" s="8" t="n">
        <v>46997</v>
      </c>
      <c r="E28" s="8" t="n">
        <v>47176</v>
      </c>
      <c r="F28" s="7" t="n">
        <v>1.2</v>
      </c>
      <c r="G28" s="7" t="inlineStr">
        <is>
          <t>Derived from milestones</t>
        </is>
      </c>
    </row>
    <row r="29">
      <c r="A29" s="6" t="inlineStr">
        <is>
          <t>PRJ-005</t>
        </is>
      </c>
      <c r="B29" s="7" t="inlineStr">
        <is>
          <t>Close-out (final)</t>
        </is>
      </c>
      <c r="C29" s="6" t="n">
        <v>6</v>
      </c>
      <c r="D29" s="8" t="n">
        <v>47177</v>
      </c>
      <c r="E29" s="8" t="n">
        <v>47299</v>
      </c>
      <c r="F29" s="7" t="n">
        <v>1.7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Planning</t>
        </is>
      </c>
      <c r="C30" s="6" t="n">
        <v>1</v>
      </c>
      <c r="D30" s="8" t="n">
        <v>46023</v>
      </c>
      <c r="E30" s="8" t="n">
        <v>46114</v>
      </c>
      <c r="F30" s="7" t="n">
        <v>0.8</v>
      </c>
      <c r="G30" s="7" t="inlineStr">
        <is>
          <t>Entered by hand - no milestone mapping</t>
        </is>
      </c>
    </row>
    <row r="31">
      <c r="A31" s="6" t="inlineStr">
        <is>
          <t>PRJ-006</t>
        </is>
      </c>
      <c r="B31" s="7" t="inlineStr">
        <is>
          <t>Develop</t>
        </is>
      </c>
      <c r="C31" s="6" t="n">
        <v>2</v>
      </c>
      <c r="D31" s="8" t="n">
        <v>46115</v>
      </c>
      <c r="E31" s="8" t="n">
        <v>46314</v>
      </c>
      <c r="F31" s="7" t="n">
        <v>1.2</v>
      </c>
      <c r="G31" s="7" t="inlineStr">
        <is>
          <t>Entered by hand - no milestone mapping</t>
        </is>
      </c>
    </row>
    <row r="32">
      <c r="A32" s="6" t="inlineStr">
        <is>
          <t>PRJ-006</t>
        </is>
      </c>
      <c r="B32" s="7" t="inlineStr">
        <is>
          <t>Close</t>
        </is>
      </c>
      <c r="C32" s="6" t="n">
        <v>3</v>
      </c>
      <c r="D32" s="8" t="n">
        <v>46315</v>
      </c>
      <c r="E32" s="8" t="n">
        <v>46387</v>
      </c>
      <c r="F32" s="7" t="n">
        <v>0.9</v>
      </c>
      <c r="G32" s="7" t="inlineStr">
        <is>
          <t>Entered by hand - no milestone mapping</t>
        </is>
      </c>
    </row>
    <row r="33">
      <c r="A33" s="6" t="inlineStr">
        <is>
          <t>PRJ-007</t>
        </is>
      </c>
      <c r="B33" s="7" t="inlineStr">
        <is>
          <t>Planning</t>
        </is>
      </c>
      <c r="C33" s="6" t="n">
        <v>1</v>
      </c>
      <c r="D33" s="8" t="n">
        <v>46082</v>
      </c>
      <c r="E33" s="8" t="n">
        <v>46173</v>
      </c>
      <c r="F33" s="7" t="n">
        <v>0.8</v>
      </c>
      <c r="G33" s="7" t="inlineStr">
        <is>
          <t>Entered by hand - no milestone mapping</t>
        </is>
      </c>
    </row>
    <row r="34">
      <c r="A34" s="6" t="inlineStr">
        <is>
          <t>PRJ-007</t>
        </is>
      </c>
      <c r="B34" s="7" t="inlineStr">
        <is>
          <t>Develop</t>
        </is>
      </c>
      <c r="C34" s="6" t="n">
        <v>2</v>
      </c>
      <c r="D34" s="8" t="n">
        <v>46174</v>
      </c>
      <c r="E34" s="8" t="n">
        <v>46373</v>
      </c>
      <c r="F34" s="7" t="n">
        <v>1.2</v>
      </c>
      <c r="G34" s="7" t="inlineStr">
        <is>
          <t>Entered by hand - no milestone mapping</t>
        </is>
      </c>
    </row>
    <row r="35">
      <c r="A35" s="6" t="inlineStr">
        <is>
          <t>PRJ-007</t>
        </is>
      </c>
      <c r="B35" s="7" t="inlineStr">
        <is>
          <t>Close</t>
        </is>
      </c>
      <c r="C35" s="6" t="n">
        <v>3</v>
      </c>
      <c r="D35" s="8" t="n">
        <v>46374</v>
      </c>
      <c r="E35" s="8" t="n">
        <v>46446</v>
      </c>
      <c r="F35" s="7" t="n">
        <v>0.9</v>
      </c>
      <c r="G35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</row>
    <row r="3">
      <c r="A3" s="7" t="inlineStr">
        <is>
          <t>Clinical Trial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</row>
    <row r="4">
      <c r="A4" s="7" t="inlineStr">
        <is>
          <t>Clinical Trial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  <c r="E4" s="7" t="inlineStr">
        <is>
          <t>Illustrative - replace with your figure</t>
        </is>
      </c>
    </row>
    <row r="5">
      <c r="A5" s="7" t="inlineStr">
        <is>
          <t>Clinical Trial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</row>
    <row r="6">
      <c r="A6" s="7" t="inlineStr">
        <is>
          <t>Clinical Trial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  <c r="E6" s="7" t="inlineStr">
        <is>
          <t>Illustrative - replace with your figure</t>
        </is>
      </c>
    </row>
    <row r="7">
      <c r="A7" s="7" t="inlineStr">
        <is>
          <t>Clinical Trial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  <c r="E7" s="7" t="inlineStr">
        <is>
          <t>Illustrative - replace with your figure</t>
        </is>
      </c>
    </row>
    <row r="8">
      <c r="A8" s="7" t="inlineStr">
        <is>
          <t>Clinical Trial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  <c r="E8" s="7" t="inlineStr">
        <is>
          <t>Illustrative - replace with your figure</t>
        </is>
      </c>
    </row>
    <row r="9">
      <c r="A9" s="7" t="inlineStr">
        <is>
          <t>Clinical Trial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  <c r="E9" s="7" t="inlineStr">
        <is>
          <t>Illustrative - replace with your figure</t>
        </is>
      </c>
    </row>
    <row r="10">
      <c r="A10" s="7" t="inlineStr">
        <is>
          <t>Clinical Trial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  <c r="E10" s="7" t="inlineStr">
        <is>
          <t>Illustrative - replace with your figure</t>
        </is>
      </c>
    </row>
    <row r="11">
      <c r="A11" s="7" t="inlineStr">
        <is>
          <t>Clinical Trial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  <c r="E11" s="7" t="inlineStr">
        <is>
          <t>Illustrative - replace with your figure</t>
        </is>
      </c>
    </row>
    <row r="12">
      <c r="A12" s="7" t="inlineStr">
        <is>
          <t>Clinical Trial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  <c r="E12" s="7" t="inlineStr">
        <is>
          <t>Illustrative - replace with your figure</t>
        </is>
      </c>
    </row>
    <row r="13">
      <c r="A13" s="7" t="inlineStr">
        <is>
          <t>Clinical Trial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  <c r="E13" s="7" t="inlineStr">
        <is>
          <t>Illustrative - replace with your figure</t>
        </is>
      </c>
    </row>
    <row r="14">
      <c r="A14" s="7" t="inlineStr">
        <is>
          <t>Clinical Trial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  <c r="E14" s="7" t="inlineStr">
        <is>
          <t>Illustrative - replace with your figure</t>
        </is>
      </c>
    </row>
    <row r="15">
      <c r="A15" s="7" t="inlineStr">
        <is>
          <t>Clinical Trial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  <c r="E15" s="7" t="inlineStr">
        <is>
          <t>Illustrative - replace with your figure</t>
        </is>
      </c>
    </row>
    <row r="16">
      <c r="A16" s="7" t="inlineStr">
        <is>
          <t>Clinical Trial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  <c r="E16" s="7" t="inlineStr">
        <is>
          <t>Illustrative - replace with your figure</t>
        </is>
      </c>
    </row>
    <row r="17">
      <c r="A17" s="7" t="inlineStr">
        <is>
          <t>Clinical Trial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  <c r="E17" s="7" t="inlineStr">
        <is>
          <t>Illustrative - replace with your figure</t>
        </is>
      </c>
    </row>
    <row r="18">
      <c r="A18" s="7" t="inlineStr">
        <is>
          <t>Clinical Trial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  <c r="E18" s="7" t="inlineStr">
        <is>
          <t>Illustrative - replace with your figure</t>
        </is>
      </c>
    </row>
    <row r="19">
      <c r="A19" s="7" t="inlineStr">
        <is>
          <t>Clinical Trial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  <c r="E19" s="7" t="inlineStr">
        <is>
          <t>Illustrative - replace with your figure</t>
        </is>
      </c>
    </row>
    <row r="20">
      <c r="A20" s="7" t="inlineStr">
        <is>
          <t>Clinical Trial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  <c r="E20" s="7" t="inlineStr">
        <is>
          <t>Illustrative - replace with your figure</t>
        </is>
      </c>
    </row>
    <row r="21">
      <c r="A21" s="7" t="inlineStr">
        <is>
          <t>Clinical Trial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  <c r="E21" s="7" t="inlineStr">
        <is>
          <t>Illustrative - replace with your figure</t>
        </is>
      </c>
    </row>
    <row r="22">
      <c r="A22" s="7" t="inlineStr">
        <is>
          <t>Clinical Trial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  <c r="E22" s="7" t="inlineStr">
        <is>
          <t>Illustrative - replace with your figure</t>
        </is>
      </c>
    </row>
    <row r="23">
      <c r="A23" s="7" t="inlineStr">
        <is>
          <t>Clinical Trial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  <c r="E23" s="7" t="inlineStr">
        <is>
          <t>Illustrative - replace with your figure</t>
        </is>
      </c>
    </row>
    <row r="24">
      <c r="A24" s="7" t="inlineStr">
        <is>
          <t>Clinical Trial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  <c r="E24" s="7" t="inlineStr">
        <is>
          <t>Illustrative - replace with your figure</t>
        </is>
      </c>
    </row>
    <row r="25">
      <c r="A25" s="7" t="inlineStr">
        <is>
          <t>Clinical Trial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  <c r="E25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Lists!$B$36:$B$41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Clinical Trial</t>
        </is>
      </c>
      <c r="B3" s="6" t="inlineStr">
        <is>
          <t>Lead data manager</t>
        </is>
      </c>
      <c r="C3" s="9" t="n">
        <v>1.2</v>
      </c>
      <c r="D3" s="7" t="inlineStr">
        <is>
          <t>Illustrative</t>
        </is>
      </c>
    </row>
    <row r="4">
      <c r="A4" s="6" t="inlineStr">
        <is>
          <t>Clinical Trial</t>
        </is>
      </c>
      <c r="B4" s="6" t="inlineStr">
        <is>
          <t>Clinical Data Associator</t>
        </is>
      </c>
      <c r="C4" s="9" t="n">
        <v>1</v>
      </c>
      <c r="D4" s="7" t="inlineStr">
        <is>
          <t>Illustrative</t>
        </is>
      </c>
    </row>
    <row r="5">
      <c r="A5" s="6" t="inlineStr">
        <is>
          <t>Clinical Trial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</t>
        </is>
      </c>
    </row>
    <row r="6">
      <c r="A6" s="6" t="inlineStr">
        <is>
          <t>Clinical Trial</t>
        </is>
      </c>
      <c r="B6" s="6" t="inlineStr">
        <is>
          <t>Data Analyst</t>
        </is>
      </c>
      <c r="C6" s="9" t="n">
        <v>0.9</v>
      </c>
      <c r="D6" s="7" t="inlineStr">
        <is>
          <t>Illustrative</t>
        </is>
      </c>
    </row>
    <row r="7">
      <c r="A7" s="6" t="inlineStr">
        <is>
          <t>Others</t>
        </is>
      </c>
      <c r="B7" s="6" t="inlineStr">
        <is>
          <t>Project lead</t>
        </is>
      </c>
      <c r="C7" s="9" t="n">
        <v>1</v>
      </c>
      <c r="D7" s="7" t="inlineStr">
        <is>
          <t>Illustrative</t>
        </is>
      </c>
    </row>
    <row r="8">
      <c r="A8" s="6" t="inlineStr">
        <is>
          <t>Others</t>
        </is>
      </c>
      <c r="B8" s="6" t="inlineStr">
        <is>
          <t>Main staff</t>
        </is>
      </c>
      <c r="C8" s="9" t="n">
        <v>0.9</v>
      </c>
      <c r="D8" s="7" t="inlineStr">
        <is>
          <t>Illustrative</t>
        </is>
      </c>
    </row>
    <row r="9">
      <c r="A9" s="6" t="inlineStr">
        <is>
          <t>Others</t>
        </is>
      </c>
      <c r="B9" s="6" t="inlineStr">
        <is>
          <t>Other staff</t>
        </is>
      </c>
      <c r="C9" s="9" t="n">
        <v>0.7</v>
      </c>
      <c r="D9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Data Management</t>
        </is>
      </c>
      <c r="D3" s="7" t="inlineStr">
        <is>
          <t>Lead data manager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Data Management</t>
        </is>
      </c>
      <c r="D4" s="7" t="inlineStr">
        <is>
          <t>Clinical Data Associator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Clinical Data Associator</t>
        </is>
      </c>
      <c r="E5" s="7" t="n">
        <v>0.6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Programming</t>
        </is>
      </c>
      <c r="D6" s="7" t="inlineStr">
        <is>
          <t>Clinical Database Programmer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Programming</t>
        </is>
      </c>
      <c r="D7" s="7" t="inlineStr">
        <is>
          <t>Clinical Database Programmer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Biostatistics</t>
        </is>
      </c>
      <c r="D8" s="7" t="inlineStr">
        <is>
          <t>Data Analyst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Biostatistics</t>
        </is>
      </c>
      <c r="D9" s="7" t="inlineStr">
        <is>
          <t>Data Analyst</t>
        </is>
      </c>
      <c r="E9" s="7" t="n">
        <v>0.8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Clinical Operations</t>
        </is>
      </c>
      <c r="D10" s="7" t="inlineStr">
        <is>
          <t>Project oversight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Clinical Operations</t>
        </is>
      </c>
      <c r="D11" s="7" t="inlineStr">
        <is>
          <t>Project oversight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Business Systems</t>
        </is>
      </c>
      <c r="D12" s="7" t="inlineStr">
        <is>
          <t>Project lead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Business Systems</t>
        </is>
      </c>
      <c r="D13" s="7" t="inlineStr">
        <is>
          <t>Main staff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0.5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PSN-001</t>
        </is>
      </c>
      <c r="C3" s="7">
        <f>IFERROR(INDEX(Person!$B:$B,MATCH($B3,Person!$A:$A,0)),"")</f>
        <v/>
      </c>
      <c r="D3" s="6" t="inlineStr">
        <is>
          <t>PRJ-002</t>
        </is>
      </c>
      <c r="E3" s="7" t="inlineStr">
        <is>
          <t>Lead data manager</t>
        </is>
      </c>
      <c r="F3" s="8" t="n">
        <v>46023</v>
      </c>
      <c r="G3" s="8" t="n">
        <v>47026</v>
      </c>
      <c r="H3" s="7" t="n">
        <v>0.5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PSN-001</t>
        </is>
      </c>
      <c r="C4" s="7">
        <f>IFERROR(INDEX(Person!$B:$B,MATCH($B4,Person!$A:$A,0)),"")</f>
        <v/>
      </c>
      <c r="D4" s="6" t="inlineStr">
        <is>
          <t>PRJ-006</t>
        </is>
      </c>
      <c r="E4" s="7" t="inlineStr">
        <is>
          <t>Project lead</t>
        </is>
      </c>
      <c r="F4" s="8" t="n">
        <v>46023</v>
      </c>
      <c r="G4" s="8" t="n">
        <v>46387</v>
      </c>
      <c r="H4" s="7" t="n">
        <v>0.4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PSN-002</t>
        </is>
      </c>
      <c r="C5" s="7">
        <f>IFERROR(INDEX(Person!$B:$B,MATCH($B5,Person!$A:$A,0)),"")</f>
        <v/>
      </c>
      <c r="D5" s="6" t="inlineStr">
        <is>
          <t>PRJ-003</t>
        </is>
      </c>
      <c r="E5" s="7" t="inlineStr">
        <is>
          <t>Lead data manager</t>
        </is>
      </c>
      <c r="F5" s="8" t="n">
        <v>45839</v>
      </c>
      <c r="G5" s="8" t="n">
        <v>47208</v>
      </c>
      <c r="H5" s="7" t="n">
        <v>0.55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PSN-002</t>
        </is>
      </c>
      <c r="C6" s="7">
        <f>IFERROR(INDEX(Person!$B:$B,MATCH($B6,Person!$A:$A,0)),"")</f>
        <v/>
      </c>
      <c r="D6" s="6" t="inlineStr">
        <is>
          <t>PRJ-005</t>
        </is>
      </c>
      <c r="E6" s="7" t="inlineStr">
        <is>
          <t>Lead data manager</t>
        </is>
      </c>
      <c r="F6" s="8" t="n">
        <v>46174</v>
      </c>
      <c r="G6" s="8" t="n">
        <v>47299</v>
      </c>
      <c r="H6" s="7" t="n">
        <v>0.45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PSN-003</t>
        </is>
      </c>
      <c r="C7" s="7">
        <f>IFERROR(INDEX(Person!$B:$B,MATCH($B7,Person!$A:$A,0)),"")</f>
        <v/>
      </c>
      <c r="D7" s="6" t="inlineStr">
        <is>
          <t>PRJ-001</t>
        </is>
      </c>
      <c r="E7" s="7" t="inlineStr">
        <is>
          <t>Clinical Data Associator</t>
        </is>
      </c>
      <c r="F7" s="8" t="n">
        <v>46023</v>
      </c>
      <c r="G7" s="8" t="n">
        <v>46568</v>
      </c>
      <c r="H7" s="7" t="n">
        <v>0.55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PSN-003</t>
        </is>
      </c>
      <c r="C8" s="7">
        <f>IFERROR(INDEX(Person!$B:$B,MATCH($B8,Person!$A:$A,0)),"")</f>
        <v/>
      </c>
      <c r="D8" s="6" t="inlineStr">
        <is>
          <t>PRJ-003</t>
        </is>
      </c>
      <c r="E8" s="7" t="inlineStr">
        <is>
          <t>Clinical Data Associator</t>
        </is>
      </c>
      <c r="F8" s="8" t="n">
        <v>46023</v>
      </c>
      <c r="G8" s="8" t="n">
        <v>47208</v>
      </c>
      <c r="H8" s="7" t="n">
        <v>0.55</v>
      </c>
      <c r="I8" s="7" t="n"/>
      <c r="J8" s="7" t="n"/>
      <c r="K8" s="7" t="n"/>
    </row>
    <row r="9">
      <c r="A9" s="6" t="inlineStr">
        <is>
          <t>ASG-024</t>
        </is>
      </c>
      <c r="B9" s="6" t="inlineStr">
        <is>
          <t>PSN-003</t>
        </is>
      </c>
      <c r="C9" s="7">
        <f>IFERROR(INDEX(Person!$B:$B,MATCH($B9,Person!$A:$A,0)),"")</f>
        <v/>
      </c>
      <c r="D9" s="6" t="inlineStr">
        <is>
          <t>PRJ-005</t>
        </is>
      </c>
      <c r="E9" s="7" t="inlineStr">
        <is>
          <t>Clinical Data Associator</t>
        </is>
      </c>
      <c r="F9" s="8" t="n">
        <v>46569</v>
      </c>
      <c r="G9" s="8" t="n">
        <v>47299</v>
      </c>
      <c r="H9" s="7" t="n">
        <v>0.35</v>
      </c>
      <c r="I9" s="7" t="n"/>
      <c r="J9" s="7" t="n"/>
      <c r="K9" s="7" t="n"/>
    </row>
    <row r="10">
      <c r="A10" s="6" t="inlineStr">
        <is>
          <t>ASG-008</t>
        </is>
      </c>
      <c r="B10" s="6" t="inlineStr">
        <is>
          <t>PSN-004</t>
        </is>
      </c>
      <c r="C10" s="7">
        <f>IFERROR(INDEX(Person!$B:$B,MATCH($B10,Person!$A:$A,0)),"")</f>
        <v/>
      </c>
      <c r="D10" s="6" t="inlineStr">
        <is>
          <t>PRJ-004</t>
        </is>
      </c>
      <c r="E10" s="7" t="inlineStr">
        <is>
          <t>Clinical Data Associator</t>
        </is>
      </c>
      <c r="F10" s="8" t="n">
        <v>46113</v>
      </c>
      <c r="G10" s="8" t="n">
        <v>46843</v>
      </c>
      <c r="H10" s="7" t="n">
        <v>0.3</v>
      </c>
      <c r="I10" s="7" t="n"/>
      <c r="J10" s="7" t="n"/>
      <c r="K10" s="7" t="n"/>
    </row>
    <row r="11">
      <c r="A11" s="6" t="inlineStr">
        <is>
          <t>ASG-009</t>
        </is>
      </c>
      <c r="B11" s="6" t="inlineStr">
        <is>
          <t>PSN-005</t>
        </is>
      </c>
      <c r="C11" s="7">
        <f>IFERROR(INDEX(Person!$B:$B,MATCH($B11,Person!$A:$A,0)),"")</f>
        <v/>
      </c>
      <c r="D11" s="6" t="inlineStr">
        <is>
          <t>PRJ-001</t>
        </is>
      </c>
      <c r="E11" s="7" t="inlineStr">
        <is>
          <t>Clinical Database Programmer</t>
        </is>
      </c>
      <c r="F11" s="8" t="n">
        <v>45962</v>
      </c>
      <c r="G11" s="8" t="n">
        <v>46387</v>
      </c>
      <c r="H11" s="7" t="n">
        <v>0.45</v>
      </c>
      <c r="I11" s="7" t="n"/>
      <c r="J11" s="7" t="n"/>
      <c r="K11" s="7" t="n"/>
    </row>
    <row r="12">
      <c r="A12" s="6" t="inlineStr">
        <is>
          <t>ASG-010</t>
        </is>
      </c>
      <c r="B12" s="6" t="inlineStr">
        <is>
          <t>PSN-005</t>
        </is>
      </c>
      <c r="C12" s="7">
        <f>IFERROR(INDEX(Person!$B:$B,MATCH($B12,Person!$A:$A,0)),"")</f>
        <v/>
      </c>
      <c r="D12" s="6" t="inlineStr">
        <is>
          <t>PRJ-002</t>
        </is>
      </c>
      <c r="E12" s="7" t="inlineStr">
        <is>
          <t>Clinical Database Programmer</t>
        </is>
      </c>
      <c r="F12" s="8" t="n">
        <v>46054</v>
      </c>
      <c r="G12" s="8" t="n">
        <v>47026</v>
      </c>
      <c r="H12" s="7" t="n">
        <v>0.45</v>
      </c>
      <c r="I12" s="7" t="n"/>
      <c r="J12" s="7" t="n"/>
      <c r="K12" s="7" t="n"/>
    </row>
    <row r="13">
      <c r="A13" s="6" t="inlineStr">
        <is>
          <t>ASG-025</t>
        </is>
      </c>
      <c r="B13" s="6" t="inlineStr">
        <is>
          <t>PSN-005</t>
        </is>
      </c>
      <c r="C13" s="7">
        <f>IFERROR(INDEX(Person!$B:$B,MATCH($B13,Person!$A:$A,0)),"")</f>
        <v/>
      </c>
      <c r="D13" s="6" t="inlineStr">
        <is>
          <t>PRJ-004</t>
        </is>
      </c>
      <c r="E13" s="7" t="inlineStr">
        <is>
          <t>Clinical Database Programmer</t>
        </is>
      </c>
      <c r="F13" s="8" t="n">
        <v>46174</v>
      </c>
      <c r="G13" s="8" t="n">
        <v>46843</v>
      </c>
      <c r="H13" s="7" t="n">
        <v>0.3</v>
      </c>
      <c r="I13" s="7" t="n"/>
      <c r="J13" s="7" t="n"/>
      <c r="K13" s="7" t="n"/>
    </row>
    <row r="14">
      <c r="A14" s="6" t="inlineStr">
        <is>
          <t>ASG-011</t>
        </is>
      </c>
      <c r="B14" s="6" t="inlineStr">
        <is>
          <t>PSN-006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Database Programmer</t>
        </is>
      </c>
      <c r="F14" s="8" t="n">
        <v>45901</v>
      </c>
      <c r="G14" s="8" t="n">
        <v>47208</v>
      </c>
      <c r="H14" s="7" t="n">
        <v>0.5</v>
      </c>
      <c r="I14" s="7" t="n"/>
      <c r="J14" s="7" t="n"/>
      <c r="K14" s="7" t="n"/>
    </row>
    <row r="15">
      <c r="A15" s="6" t="inlineStr">
        <is>
          <t>ASG-012</t>
        </is>
      </c>
      <c r="B15" s="6" t="inlineStr">
        <is>
          <t>PSN-006</t>
        </is>
      </c>
      <c r="C15" s="7">
        <f>IFERROR(INDEX(Person!$B:$B,MATCH($B15,Person!$A:$A,0)),"")</f>
        <v/>
      </c>
      <c r="D15" s="6" t="inlineStr">
        <is>
          <t>PRJ-005</t>
        </is>
      </c>
      <c r="E15" s="7" t="inlineStr">
        <is>
          <t>Clinical Database Programmer</t>
        </is>
      </c>
      <c r="F15" s="8" t="n">
        <v>46266</v>
      </c>
      <c r="G15" s="8" t="n">
        <v>47299</v>
      </c>
      <c r="H15" s="7" t="n">
        <v>0.4</v>
      </c>
      <c r="I15" s="7" t="n"/>
      <c r="J15" s="7" t="n"/>
      <c r="K15" s="7" t="n"/>
    </row>
    <row r="16">
      <c r="A16" s="6" t="inlineStr">
        <is>
          <t>ASG-026</t>
        </is>
      </c>
      <c r="B16" s="6" t="inlineStr">
        <is>
          <t>PSN-006</t>
        </is>
      </c>
      <c r="C16" s="7">
        <f>IFERROR(INDEX(Person!$B:$B,MATCH($B16,Person!$A:$A,0)),"")</f>
        <v/>
      </c>
      <c r="D16" s="6" t="inlineStr">
        <is>
          <t>PRJ-006</t>
        </is>
      </c>
      <c r="E16" s="7" t="inlineStr">
        <is>
          <t>Main staff</t>
        </is>
      </c>
      <c r="F16" s="8" t="n">
        <v>46023</v>
      </c>
      <c r="G16" s="8" t="n">
        <v>46387</v>
      </c>
      <c r="H16" s="7" t="n">
        <v>0.3</v>
      </c>
      <c r="I16" s="7" t="n"/>
      <c r="J16" s="7" t="n"/>
      <c r="K16" s="7" t="n"/>
    </row>
    <row r="17">
      <c r="A17" s="6" t="inlineStr">
        <is>
          <t>ASG-013</t>
        </is>
      </c>
      <c r="B17" s="6" t="inlineStr">
        <is>
          <t>PSN-007</t>
        </is>
      </c>
      <c r="C17" s="7">
        <f>IFERROR(INDEX(Person!$B:$B,MATCH($B17,Person!$A:$A,0)),"")</f>
        <v/>
      </c>
      <c r="D17" s="6" t="inlineStr">
        <is>
          <t>PRJ-002</t>
        </is>
      </c>
      <c r="E17" s="7" t="inlineStr">
        <is>
          <t>Data Analyst</t>
        </is>
      </c>
      <c r="F17" s="8" t="n">
        <v>46174</v>
      </c>
      <c r="G17" s="8" t="n">
        <v>47026</v>
      </c>
      <c r="H17" s="7" t="n">
        <v>0.55</v>
      </c>
      <c r="I17" s="7" t="n"/>
      <c r="J17" s="7" t="n"/>
      <c r="K17" s="7" t="n"/>
    </row>
    <row r="18">
      <c r="A18" s="6" t="inlineStr">
        <is>
          <t>ASG-014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PRJ-003</t>
        </is>
      </c>
      <c r="E18" s="7" t="inlineStr">
        <is>
          <t>Data Analyst</t>
        </is>
      </c>
      <c r="F18" s="8" t="n">
        <v>46174</v>
      </c>
      <c r="G18" s="8" t="n">
        <v>47208</v>
      </c>
      <c r="H18" s="7" t="n">
        <v>0.55</v>
      </c>
      <c r="I18" s="7" t="n"/>
      <c r="J18" s="7" t="n"/>
      <c r="K18" s="7" t="n"/>
    </row>
    <row r="19">
      <c r="A19" s="6" t="inlineStr">
        <is>
          <t>ASG-015</t>
        </is>
      </c>
      <c r="B19" s="6" t="inlineStr">
        <is>
          <t>PSN-008</t>
        </is>
      </c>
      <c r="C19" s="7">
        <f>IFERROR(INDEX(Person!$B:$B,MATCH($B19,Person!$A:$A,0)),"")</f>
        <v/>
      </c>
      <c r="D19" s="6" t="inlineStr">
        <is>
          <t>PRJ-005</t>
        </is>
      </c>
      <c r="E19" s="7" t="inlineStr">
        <is>
          <t>Data Analyst</t>
        </is>
      </c>
      <c r="F19" s="8" t="n">
        <v>46266</v>
      </c>
      <c r="G19" s="8" t="n">
        <v>47299</v>
      </c>
      <c r="H19" s="7" t="n">
        <v>0.5</v>
      </c>
      <c r="I19" s="7" t="n"/>
      <c r="J19" s="7" t="n"/>
      <c r="K19" s="7" t="n"/>
    </row>
    <row r="20">
      <c r="A20" s="6" t="inlineStr">
        <is>
          <t>ASG-027</t>
        </is>
      </c>
      <c r="B20" s="6" t="inlineStr">
        <is>
          <t>PSN-008</t>
        </is>
      </c>
      <c r="C20" s="7">
        <f>IFERROR(INDEX(Person!$B:$B,MATCH($B20,Person!$A:$A,0)),"")</f>
        <v/>
      </c>
      <c r="D20" s="6" t="inlineStr">
        <is>
          <t>PRJ-001</t>
        </is>
      </c>
      <c r="E20" s="7" t="inlineStr">
        <is>
          <t>Data Analyst</t>
        </is>
      </c>
      <c r="F20" s="8" t="n">
        <v>46023</v>
      </c>
      <c r="G20" s="8" t="n">
        <v>46568</v>
      </c>
      <c r="H20" s="7" t="n">
        <v>0.4</v>
      </c>
      <c r="I20" s="7" t="n"/>
      <c r="J20" s="7" t="n"/>
      <c r="K20" s="7" t="n"/>
    </row>
    <row r="21">
      <c r="A21" s="6" t="inlineStr">
        <is>
          <t>ASG-016</t>
        </is>
      </c>
      <c r="B21" s="6" t="inlineStr">
        <is>
          <t>PSN-009</t>
        </is>
      </c>
      <c r="C21" s="7">
        <f>IFERROR(INDEX(Person!$B:$B,MATCH($B21,Person!$A:$A,0)),"")</f>
        <v/>
      </c>
      <c r="D21" s="6" t="inlineStr">
        <is>
          <t>PRJ-001</t>
        </is>
      </c>
      <c r="E21" s="7" t="inlineStr">
        <is>
          <t>Project oversight</t>
        </is>
      </c>
      <c r="F21" s="8" t="n">
        <v>45931</v>
      </c>
      <c r="G21" s="8" t="n">
        <v>46568</v>
      </c>
      <c r="H21" s="7" t="n">
        <v>0.35</v>
      </c>
      <c r="I21" s="7" t="n"/>
      <c r="J21" s="7" t="n"/>
      <c r="K21" s="7" t="n"/>
    </row>
    <row r="22">
      <c r="A22" s="6" t="inlineStr">
        <is>
          <t>ASG-017</t>
        </is>
      </c>
      <c r="B22" s="6" t="inlineStr">
        <is>
          <t>PSN-009</t>
        </is>
      </c>
      <c r="C22" s="7">
        <f>IFERROR(INDEX(Person!$B:$B,MATCH($B22,Person!$A:$A,0)),"")</f>
        <v/>
      </c>
      <c r="D22" s="6" t="inlineStr">
        <is>
          <t>PRJ-002</t>
        </is>
      </c>
      <c r="E22" s="7" t="inlineStr">
        <is>
          <t>Project oversight</t>
        </is>
      </c>
      <c r="F22" s="8" t="n">
        <v>46023</v>
      </c>
      <c r="G22" s="8" t="n">
        <v>47026</v>
      </c>
      <c r="H22" s="7" t="n">
        <v>0.35</v>
      </c>
      <c r="I22" s="7" t="n"/>
      <c r="J22" s="7" t="n"/>
      <c r="K22" s="7" t="n"/>
    </row>
    <row r="23">
      <c r="A23" s="6" t="inlineStr">
        <is>
          <t>ASG-018</t>
        </is>
      </c>
      <c r="B23" s="6" t="inlineStr">
        <is>
          <t>PSN-009</t>
        </is>
      </c>
      <c r="C23" s="7">
        <f>IFERROR(INDEX(Person!$B:$B,MATCH($B23,Person!$A:$A,0)),"")</f>
        <v/>
      </c>
      <c r="D23" s="6" t="inlineStr">
        <is>
          <t>PRJ-004</t>
        </is>
      </c>
      <c r="E23" s="7" t="inlineStr">
        <is>
          <t>Project oversight</t>
        </is>
      </c>
      <c r="F23" s="8" t="n">
        <v>46113</v>
      </c>
      <c r="G23" s="8" t="n">
        <v>46843</v>
      </c>
      <c r="H23" s="7" t="n">
        <v>0.35</v>
      </c>
      <c r="I23" s="7" t="n"/>
      <c r="J23" s="7" t="n"/>
      <c r="K23" s="7" t="n"/>
    </row>
    <row r="24">
      <c r="A24" s="6" t="inlineStr">
        <is>
          <t>ASG-028</t>
        </is>
      </c>
      <c r="B24" s="6" t="inlineStr">
        <is>
          <t>PSN-009</t>
        </is>
      </c>
      <c r="C24" s="7">
        <f>IFERROR(INDEX(Person!$B:$B,MATCH($B24,Person!$A:$A,0)),"")</f>
        <v/>
      </c>
      <c r="D24" s="6" t="inlineStr">
        <is>
          <t>PRJ-006</t>
        </is>
      </c>
      <c r="E24" s="7" t="inlineStr">
        <is>
          <t>Project lead</t>
        </is>
      </c>
      <c r="F24" s="8" t="n">
        <v>46023</v>
      </c>
      <c r="G24" s="8" t="n">
        <v>46387</v>
      </c>
      <c r="H24" s="7" t="n">
        <v>0.3</v>
      </c>
      <c r="I24" s="7" t="n"/>
      <c r="J24" s="7" t="n"/>
      <c r="K24" s="7" t="n"/>
    </row>
    <row r="25">
      <c r="A25" s="6" t="inlineStr">
        <is>
          <t>ASG-019</t>
        </is>
      </c>
      <c r="B25" s="6" t="inlineStr">
        <is>
          <t>PSN-010</t>
        </is>
      </c>
      <c r="C25" s="7">
        <f>IFERROR(INDEX(Person!$B:$B,MATCH($B25,Person!$A:$A,0)),"")</f>
        <v/>
      </c>
      <c r="D25" s="6" t="inlineStr">
        <is>
          <t>PRJ-003</t>
        </is>
      </c>
      <c r="E25" s="7" t="inlineStr">
        <is>
          <t>Project oversight</t>
        </is>
      </c>
      <c r="F25" s="8" t="n">
        <v>45839</v>
      </c>
      <c r="G25" s="8" t="n">
        <v>47208</v>
      </c>
      <c r="H25" s="7" t="n">
        <v>0.45</v>
      </c>
      <c r="I25" s="7" t="n"/>
      <c r="J25" s="7" t="n"/>
      <c r="K25" s="7" t="n"/>
    </row>
    <row r="26">
      <c r="A26" s="6" t="inlineStr">
        <is>
          <t>ASG-020</t>
        </is>
      </c>
      <c r="B26" s="6" t="inlineStr">
        <is>
          <t>PSN-010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Project oversight</t>
        </is>
      </c>
      <c r="F26" s="8" t="n">
        <v>46174</v>
      </c>
      <c r="G26" s="8" t="n">
        <v>47299</v>
      </c>
      <c r="H26" s="7" t="n">
        <v>0.45</v>
      </c>
      <c r="I26" s="7" t="n"/>
      <c r="J26" s="7" t="n"/>
      <c r="K26" s="7" t="n"/>
    </row>
    <row r="27">
      <c r="A27" s="6" t="inlineStr">
        <is>
          <t>ASG-029</t>
        </is>
      </c>
      <c r="B27" s="6" t="inlineStr">
        <is>
          <t>PSN-010</t>
        </is>
      </c>
      <c r="C27" s="7">
        <f>IFERROR(INDEX(Person!$B:$B,MATCH($B27,Person!$A:$A,0)),"")</f>
        <v/>
      </c>
      <c r="D27" s="6" t="inlineStr">
        <is>
          <t>PRJ-007</t>
        </is>
      </c>
      <c r="E27" s="7" t="inlineStr">
        <is>
          <t>Project lead</t>
        </is>
      </c>
      <c r="F27" s="8" t="n">
        <v>46082</v>
      </c>
      <c r="G27" s="8" t="n">
        <v>46446</v>
      </c>
      <c r="H27" s="7" t="n">
        <v>0.35</v>
      </c>
      <c r="I27" s="7" t="n"/>
      <c r="J27" s="7" t="n"/>
      <c r="K27" s="7" t="n"/>
    </row>
    <row r="28">
      <c r="A28" s="6" t="inlineStr">
        <is>
          <t>ASG-021</t>
        </is>
      </c>
      <c r="B28" s="6" t="inlineStr">
        <is>
          <t>PSN-011</t>
        </is>
      </c>
      <c r="C28" s="7">
        <f>IFERROR(INDEX(Person!$B:$B,MATCH($B28,Person!$A:$A,0)),"")</f>
        <v/>
      </c>
      <c r="D28" s="6" t="inlineStr">
        <is>
          <t>PRJ-007</t>
        </is>
      </c>
      <c r="E28" s="7" t="inlineStr">
        <is>
          <t>Project lead</t>
        </is>
      </c>
      <c r="F28" s="8" t="n">
        <v>46082</v>
      </c>
      <c r="G28" s="8" t="n">
        <v>46446</v>
      </c>
      <c r="H28" s="7" t="n">
        <v>0.6</v>
      </c>
      <c r="I28" s="7" t="n"/>
      <c r="J28" s="7" t="n"/>
      <c r="K28" s="7" t="n"/>
    </row>
    <row r="29">
      <c r="A29" s="6" t="inlineStr">
        <is>
          <t>ASG-030</t>
        </is>
      </c>
      <c r="B29" s="6" t="inlineStr">
        <is>
          <t>PSN-011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Main staff</t>
        </is>
      </c>
      <c r="F29" s="8" t="n">
        <v>46023</v>
      </c>
      <c r="G29" s="8" t="n">
        <v>46387</v>
      </c>
      <c r="H29" s="7" t="n">
        <v>0.5</v>
      </c>
      <c r="I29" s="7" t="n"/>
      <c r="J29" s="7" t="n"/>
      <c r="K29" s="7" t="n"/>
    </row>
    <row r="30">
      <c r="A30" s="6" t="inlineStr">
        <is>
          <t>ASG-022</t>
        </is>
      </c>
      <c r="B30" s="6" t="inlineStr">
        <is>
          <t>PSN-012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Main staff</t>
        </is>
      </c>
      <c r="F30" s="8" t="n">
        <v>46023</v>
      </c>
      <c r="G30" s="8" t="n">
        <v>46387</v>
      </c>
      <c r="H30" s="7" t="n">
        <v>0.7</v>
      </c>
      <c r="I30" s="7" t="n"/>
      <c r="J30" s="7" t="n"/>
      <c r="K30" s="7" t="n"/>
    </row>
    <row r="31">
      <c r="A31" s="6" t="inlineStr">
        <is>
          <t>ASG-023</t>
        </is>
      </c>
      <c r="B31" s="6" t="inlineStr">
        <is>
          <t>PSN-012</t>
        </is>
      </c>
      <c r="C31" s="7">
        <f>IFERROR(INDEX(Person!$B:$B,MATCH($B31,Person!$A:$A,0)),"")</f>
        <v/>
      </c>
      <c r="D31" s="6" t="inlineStr">
        <is>
          <t>PRJ-007</t>
        </is>
      </c>
      <c r="E31" s="7" t="inlineStr">
        <is>
          <t>Other staff</t>
        </is>
      </c>
      <c r="F31" s="8" t="n">
        <v>46082</v>
      </c>
      <c r="G31" s="8" t="n">
        <v>46446</v>
      </c>
      <c r="H31" s="7" t="n">
        <v>0.6</v>
      </c>
      <c r="I31" s="7" t="n"/>
      <c r="J31" s="7" t="n"/>
      <c r="K3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ASG-004</t>
        </is>
      </c>
      <c r="B3" s="8" t="n">
        <v>46388</v>
      </c>
      <c r="C3" s="8" t="n">
        <v>46477</v>
      </c>
      <c r="D3" s="7" t="n">
        <v>0.7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Clinical Trial</t>
        </is>
      </c>
      <c r="C2" s="7" t="n"/>
    </row>
    <row r="3">
      <c r="A3" s="6" t="inlineStr">
        <is>
          <t>project_type</t>
        </is>
      </c>
      <c r="B3" s="7" t="inlineStr">
        <is>
          <t>Others</t>
        </is>
      </c>
      <c r="C3" s="7" t="n"/>
    </row>
    <row r="4">
      <c r="A4" s="6" t="inlineStr">
        <is>
          <t>clinical_phase</t>
        </is>
      </c>
      <c r="B4" s="7" t="inlineStr">
        <is>
          <t>Phase 1</t>
        </is>
      </c>
      <c r="C4" s="7" t="n"/>
    </row>
    <row r="5">
      <c r="A5" s="6" t="inlineStr">
        <is>
          <t>clinical_phase</t>
        </is>
      </c>
      <c r="B5" s="7" t="inlineStr">
        <is>
          <t>Phase 2</t>
        </is>
      </c>
      <c r="C5" s="7" t="n"/>
    </row>
    <row r="6">
      <c r="A6" s="6" t="inlineStr">
        <is>
          <t>clinical_phase</t>
        </is>
      </c>
      <c r="B6" s="7" t="inlineStr">
        <is>
          <t>Phase 3</t>
        </is>
      </c>
      <c r="C6" s="7" t="n"/>
    </row>
    <row r="7">
      <c r="A7" s="6" t="inlineStr">
        <is>
          <t>clinical_phase</t>
        </is>
      </c>
      <c r="B7" s="7" t="inlineStr">
        <is>
          <t>Phase 4</t>
        </is>
      </c>
      <c r="C7" s="7" t="n"/>
    </row>
    <row r="8">
      <c r="A8" s="6" t="inlineStr">
        <is>
          <t>outsourcing_type</t>
        </is>
      </c>
      <c r="B8" s="7" t="inlineStr">
        <is>
          <t>Full outsourcing</t>
        </is>
      </c>
      <c r="C8" s="7" t="n"/>
    </row>
    <row r="9">
      <c r="A9" s="6" t="inlineStr">
        <is>
          <t>outsourcing_type</t>
        </is>
      </c>
      <c r="B9" s="7" t="inlineStr">
        <is>
          <t>Partial outsourcing</t>
        </is>
      </c>
      <c r="C9" s="7" t="n"/>
    </row>
    <row r="10">
      <c r="A10" s="6" t="inlineStr">
        <is>
          <t>outsourcing_type</t>
        </is>
      </c>
      <c r="B10" s="7" t="inlineStr">
        <is>
          <t>Full In-house</t>
        </is>
      </c>
      <c r="C10" s="7" t="n"/>
    </row>
    <row r="11">
      <c r="A11" s="6" t="inlineStr">
        <is>
          <t>setup_party</t>
        </is>
      </c>
      <c r="B11" s="7" t="inlineStr">
        <is>
          <t>by CRO</t>
        </is>
      </c>
      <c r="C11" s="7" t="n"/>
    </row>
    <row r="12">
      <c r="A12" s="6" t="inlineStr">
        <is>
          <t>setup_party</t>
        </is>
      </c>
      <c r="B12" s="7" t="inlineStr">
        <is>
          <t>by SB</t>
        </is>
      </c>
      <c r="C12" s="7" t="n"/>
    </row>
    <row r="13">
      <c r="A13" s="6" t="inlineStr">
        <is>
          <t>EDC_system</t>
        </is>
      </c>
      <c r="B13" s="7" t="inlineStr">
        <is>
          <t>Veeva EDC</t>
        </is>
      </c>
      <c r="C13" s="7" t="n"/>
    </row>
    <row r="14">
      <c r="A14" s="6" t="inlineStr">
        <is>
          <t>EDC_system</t>
        </is>
      </c>
      <c r="B14" s="7" t="inlineStr">
        <is>
          <t>Rave</t>
        </is>
      </c>
      <c r="C14" s="7" t="n"/>
    </row>
    <row r="15">
      <c r="A15" s="6" t="inlineStr">
        <is>
          <t>EDC_system</t>
        </is>
      </c>
      <c r="B15" s="7" t="inlineStr">
        <is>
          <t>eSOURCE</t>
        </is>
      </c>
      <c r="C15" s="7" t="n"/>
    </row>
    <row r="16">
      <c r="A16" s="6" t="inlineStr">
        <is>
          <t>DataReviewSystem</t>
        </is>
      </c>
      <c r="B16" s="7" t="inlineStr">
        <is>
          <t>Veeva DQS</t>
        </is>
      </c>
      <c r="C16" s="7" t="n"/>
    </row>
    <row r="17">
      <c r="A17" s="6" t="inlineStr">
        <is>
          <t>DataReviewSystem</t>
        </is>
      </c>
      <c r="B17" s="7" t="inlineStr">
        <is>
          <t>Medidata CDS</t>
        </is>
      </c>
      <c r="C17" s="7" t="n"/>
    </row>
    <row r="18">
      <c r="A18" s="6" t="inlineStr">
        <is>
          <t>DataReviewSystem</t>
        </is>
      </c>
      <c r="B18" s="7" t="inlineStr">
        <is>
          <t>No system (manual)</t>
        </is>
      </c>
      <c r="C18" s="7" t="n"/>
    </row>
    <row r="19">
      <c r="A19" s="6" t="inlineStr">
        <is>
          <t>RBQM_system</t>
        </is>
      </c>
      <c r="B19" s="7" t="inlineStr">
        <is>
          <t>CluePoints</t>
        </is>
      </c>
      <c r="C19" s="7" t="n"/>
    </row>
    <row r="20">
      <c r="A20" s="6" t="inlineStr">
        <is>
          <t>RBQM_system</t>
        </is>
      </c>
      <c r="B20" s="7" t="inlineStr">
        <is>
          <t>Medidata CDS</t>
        </is>
      </c>
      <c r="C20" s="7" t="n"/>
    </row>
    <row r="21">
      <c r="A21" s="6" t="inlineStr">
        <is>
          <t>RBQM_system</t>
        </is>
      </c>
      <c r="B21" s="7" t="inlineStr">
        <is>
          <t>No system (manual)</t>
        </is>
      </c>
      <c r="C21" s="7" t="n"/>
    </row>
    <row r="22">
      <c r="A22" s="6" t="inlineStr">
        <is>
          <t>project_status</t>
        </is>
      </c>
      <c r="B22" s="7" t="inlineStr">
        <is>
          <t>Planned</t>
        </is>
      </c>
      <c r="C22" s="7" t="n"/>
    </row>
    <row r="23">
      <c r="A23" s="6" t="inlineStr">
        <is>
          <t>project_status</t>
        </is>
      </c>
      <c r="B23" s="7" t="inlineStr">
        <is>
          <t>Active</t>
        </is>
      </c>
      <c r="C23" s="7" t="n"/>
    </row>
    <row r="24">
      <c r="A24" s="6" t="inlineStr">
        <is>
          <t>project_status</t>
        </is>
      </c>
      <c r="B24" s="7" t="inlineStr">
        <is>
          <t>On hold</t>
        </is>
      </c>
      <c r="C24" s="7" t="n"/>
    </row>
    <row r="25">
      <c r="A25" s="6" t="inlineStr">
        <is>
          <t>project_status</t>
        </is>
      </c>
      <c r="B25" s="7" t="inlineStr">
        <is>
          <t>Completed</t>
        </is>
      </c>
      <c r="C25" s="7" t="n"/>
    </row>
    <row r="26">
      <c r="A26" s="6" t="inlineStr">
        <is>
          <t>milestone_name</t>
        </is>
      </c>
      <c r="B26" s="7" t="inlineStr">
        <is>
          <t>Protocol (v1)</t>
        </is>
      </c>
      <c r="C26" s="7" t="n"/>
    </row>
    <row r="27">
      <c r="A27" s="6" t="inlineStr">
        <is>
          <t>milestone_name</t>
        </is>
      </c>
      <c r="B27" s="7" t="inlineStr">
        <is>
          <t>CTA submission</t>
        </is>
      </c>
      <c r="C27" s="7" t="n"/>
    </row>
    <row r="28">
      <c r="A28" s="6" t="inlineStr">
        <is>
          <t>milestone_name</t>
        </is>
      </c>
      <c r="B28" s="7" t="inlineStr">
        <is>
          <t>FPI</t>
        </is>
      </c>
      <c r="C28" s="7" t="n"/>
    </row>
    <row r="29">
      <c r="A29" s="6" t="inlineStr">
        <is>
          <t>milestone_name</t>
        </is>
      </c>
      <c r="B29" s="7" t="inlineStr">
        <is>
          <t>First SIV</t>
        </is>
      </c>
      <c r="C29" s="7" t="n"/>
    </row>
    <row r="30">
      <c r="A30" s="6" t="inlineStr">
        <is>
          <t>milestone_name</t>
        </is>
      </c>
      <c r="B30" s="7" t="inlineStr">
        <is>
          <t>LPI</t>
        </is>
      </c>
      <c r="C30" s="7" t="n"/>
    </row>
    <row r="31">
      <c r="A31" s="6" t="inlineStr">
        <is>
          <t>milestone_name</t>
        </is>
      </c>
      <c r="B31" s="7" t="inlineStr">
        <is>
          <t>interim DB lock cut-off</t>
        </is>
      </c>
      <c r="C31" s="7" t="n"/>
    </row>
    <row r="32">
      <c r="A32" s="6" t="inlineStr">
        <is>
          <t>milestone_name</t>
        </is>
      </c>
      <c r="B32" s="7" t="inlineStr">
        <is>
          <t>interim DB lock</t>
        </is>
      </c>
      <c r="C32" s="7" t="n"/>
    </row>
    <row r="33">
      <c r="A33" s="6" t="inlineStr">
        <is>
          <t>milestone_name</t>
        </is>
      </c>
      <c r="B33" s="7" t="inlineStr">
        <is>
          <t>final DB lock cut-off</t>
        </is>
      </c>
      <c r="C33" s="7" t="n"/>
    </row>
    <row r="34">
      <c r="A34" s="6" t="inlineStr">
        <is>
          <t>milestone_name</t>
        </is>
      </c>
      <c r="B34" s="7" t="inlineStr">
        <is>
          <t>final DB lock</t>
        </is>
      </c>
      <c r="C34" s="7" t="n"/>
    </row>
    <row r="35">
      <c r="A35" s="6" t="inlineStr">
        <is>
          <t>milestone_name</t>
        </is>
      </c>
      <c r="B35" s="7" t="inlineStr">
        <is>
          <t>Inspection</t>
        </is>
      </c>
      <c r="C35" s="7" t="n"/>
    </row>
    <row r="36">
      <c r="A36" s="6" t="inlineStr">
        <is>
          <t>period_name_clinical</t>
        </is>
      </c>
      <c r="B36" s="7" t="inlineStr">
        <is>
          <t>Before-Start-up</t>
        </is>
      </c>
      <c r="C36" s="7" t="n"/>
    </row>
    <row r="37">
      <c r="A37" s="6" t="inlineStr">
        <is>
          <t>period_name_clinical</t>
        </is>
      </c>
      <c r="B37" s="7" t="inlineStr">
        <is>
          <t>Start-up</t>
        </is>
      </c>
      <c r="C37" s="7" t="n"/>
    </row>
    <row r="38">
      <c r="A38" s="6" t="inlineStr">
        <is>
          <t>period_name_clinical</t>
        </is>
      </c>
      <c r="B38" s="7" t="inlineStr">
        <is>
          <t>Conduct</t>
        </is>
      </c>
      <c r="C38" s="7" t="n"/>
    </row>
    <row r="39">
      <c r="A39" s="6" t="inlineStr">
        <is>
          <t>period_name_clinical</t>
        </is>
      </c>
      <c r="B39" s="7" t="inlineStr">
        <is>
          <t>Close-out (interim)</t>
        </is>
      </c>
      <c r="C39" s="7" t="n"/>
    </row>
    <row r="40">
      <c r="A40" s="6" t="inlineStr">
        <is>
          <t>period_name_clinical</t>
        </is>
      </c>
      <c r="B40" s="7" t="inlineStr">
        <is>
          <t>Close-out (final)</t>
        </is>
      </c>
      <c r="C40" s="7" t="n"/>
    </row>
    <row r="41">
      <c r="A41" s="6" t="inlineStr">
        <is>
          <t>period_name_clinical</t>
        </is>
      </c>
      <c r="B41" s="7" t="inlineStr">
        <is>
          <t>After Close-out (final)</t>
        </is>
      </c>
      <c r="C41" s="7" t="n"/>
    </row>
    <row r="42">
      <c r="A42" s="6" t="inlineStr">
        <is>
          <t>period_name_others</t>
        </is>
      </c>
      <c r="B42" s="7" t="inlineStr">
        <is>
          <t>Planning</t>
        </is>
      </c>
      <c r="C42" s="7" t="n"/>
    </row>
    <row r="43">
      <c r="A43" s="6" t="inlineStr">
        <is>
          <t>period_name_others</t>
        </is>
      </c>
      <c r="B43" s="7" t="inlineStr">
        <is>
          <t>Develop</t>
        </is>
      </c>
      <c r="C43" s="7" t="n"/>
    </row>
    <row r="44">
      <c r="A44" s="6" t="inlineStr">
        <is>
          <t>period_name_others</t>
        </is>
      </c>
      <c r="B44" s="7" t="inlineStr">
        <is>
          <t>Close</t>
        </is>
      </c>
      <c r="C44" s="7" t="n"/>
    </row>
    <row r="45">
      <c r="A45" s="6" t="inlineStr">
        <is>
          <t>role_clinical</t>
        </is>
      </c>
      <c r="B45" s="7" t="inlineStr">
        <is>
          <t>Project oversight</t>
        </is>
      </c>
      <c r="C45" s="7" t="n"/>
    </row>
    <row r="46">
      <c r="A46" s="6" t="inlineStr">
        <is>
          <t>role_clinical</t>
        </is>
      </c>
      <c r="B46" s="7" t="inlineStr">
        <is>
          <t>Lead data manager</t>
        </is>
      </c>
      <c r="C46" s="7" t="n"/>
    </row>
    <row r="47">
      <c r="A47" s="6" t="inlineStr">
        <is>
          <t>role_clinical</t>
        </is>
      </c>
      <c r="B47" s="7" t="inlineStr">
        <is>
          <t>Clinical Data Associator</t>
        </is>
      </c>
      <c r="C47" s="7" t="n"/>
    </row>
    <row r="48">
      <c r="A48" s="6" t="inlineStr">
        <is>
          <t>role_clinical</t>
        </is>
      </c>
      <c r="B48" s="7" t="inlineStr">
        <is>
          <t>Clinical Database Programmer</t>
        </is>
      </c>
      <c r="C48" s="7" t="n"/>
    </row>
    <row r="49">
      <c r="A49" s="6" t="inlineStr">
        <is>
          <t>role_clinical</t>
        </is>
      </c>
      <c r="B49" s="7" t="inlineStr">
        <is>
          <t>Data Analyst</t>
        </is>
      </c>
      <c r="C49" s="7" t="n"/>
    </row>
    <row r="50">
      <c r="A50" s="6" t="inlineStr">
        <is>
          <t>role_others</t>
        </is>
      </c>
      <c r="B50" s="7" t="inlineStr">
        <is>
          <t>Project lead</t>
        </is>
      </c>
      <c r="C50" s="7" t="n"/>
    </row>
    <row r="51">
      <c r="A51" s="6" t="inlineStr">
        <is>
          <t>role_others</t>
        </is>
      </c>
      <c r="B51" s="7" t="inlineStr">
        <is>
          <t>Main staff</t>
        </is>
      </c>
      <c r="C51" s="7" t="n"/>
    </row>
    <row r="52">
      <c r="A52" s="6" t="inlineStr">
        <is>
          <t>role_others</t>
        </is>
      </c>
      <c r="B52" s="7" t="inlineStr">
        <is>
          <t>Other staff</t>
        </is>
      </c>
      <c r="C52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2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</t>
        </is>
      </c>
    </row>
    <row r="5">
      <c r="A5" s="6" t="inlineStr">
        <is>
          <t>under_allocation_fte</t>
        </is>
      </c>
      <c r="B5" s="7" t="n">
        <v>0.8</v>
      </c>
      <c r="C5" s="7" t="inlineStr">
        <is>
          <t>A person-month total below this counts toward an under-allocated run.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2026-08-01T03:01:30Z</dcterms:created>
  <dcterms:modified xsi:type="dcterms:W3CDTF">2026-08-01T03:01:31Z</dcterms:modified>
</cp:coreProperties>
</file>